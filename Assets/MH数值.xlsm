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4215" yWindow="2145" windowWidth="14805" windowHeight="9570"/>
  </bookViews>
  <sheets>
    <sheet name="简介" sheetId="3" r:id="rId1"/>
    <sheet name="体验" sheetId="9" r:id="rId2"/>
    <sheet name="怪物" sheetId="2" r:id="rId3"/>
    <sheet name="武器系统思路" sheetId="7" r:id="rId4"/>
    <sheet name="输出-武器" sheetId="8" r:id="rId5"/>
    <sheet name="输出-物品" sheetId="1" r:id="rId6"/>
    <sheet name="数值缓存" sheetId="5" r:id="rId7"/>
  </sheets>
  <calcPr calcId="145621"/>
</workbook>
</file>

<file path=xl/calcChain.xml><?xml version="1.0" encoding="utf-8"?>
<calcChain xmlns="http://schemas.openxmlformats.org/spreadsheetml/2006/main">
  <c r="J10" i="9" l="1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9" i="9"/>
  <c r="AR4" i="9"/>
  <c r="AR3" i="9"/>
  <c r="J4" i="5"/>
  <c r="AL234" i="9"/>
  <c r="AK9" i="9"/>
  <c r="AL9" i="9" s="1"/>
  <c r="AK10" i="9"/>
  <c r="AL10" i="9" s="1"/>
  <c r="AK11" i="9"/>
  <c r="AL11" i="9" s="1"/>
  <c r="AK12" i="9"/>
  <c r="AL12" i="9" s="1"/>
  <c r="AK13" i="9"/>
  <c r="AL13" i="9" s="1"/>
  <c r="AK14" i="9"/>
  <c r="AL14" i="9" s="1"/>
  <c r="AK15" i="9"/>
  <c r="AL15" i="9" s="1"/>
  <c r="AK16" i="9"/>
  <c r="AL16" i="9" s="1"/>
  <c r="AK17" i="9"/>
  <c r="AL17" i="9" s="1"/>
  <c r="AK18" i="9"/>
  <c r="AL18" i="9" s="1"/>
  <c r="AK19" i="9"/>
  <c r="AL19" i="9" s="1"/>
  <c r="AN19" i="9" s="1"/>
  <c r="AK20" i="9"/>
  <c r="AL20" i="9" s="1"/>
  <c r="AK21" i="9"/>
  <c r="AL21" i="9" s="1"/>
  <c r="AK22" i="9"/>
  <c r="AL22" i="9" s="1"/>
  <c r="AK23" i="9"/>
  <c r="AL23" i="9" s="1"/>
  <c r="AK24" i="9"/>
  <c r="AL24" i="9" s="1"/>
  <c r="AK25" i="9"/>
  <c r="AL25" i="9" s="1"/>
  <c r="AK26" i="9"/>
  <c r="AL26" i="9" s="1"/>
  <c r="AK27" i="9"/>
  <c r="AL27" i="9" s="1"/>
  <c r="AN27" i="9" s="1"/>
  <c r="AK28" i="9"/>
  <c r="AL28" i="9" s="1"/>
  <c r="AK29" i="9"/>
  <c r="AL29" i="9" s="1"/>
  <c r="AK30" i="9"/>
  <c r="AL30" i="9" s="1"/>
  <c r="AK31" i="9"/>
  <c r="AL31" i="9" s="1"/>
  <c r="AN31" i="9" s="1"/>
  <c r="AK32" i="9"/>
  <c r="AL32" i="9" s="1"/>
  <c r="AK33" i="9"/>
  <c r="AL33" i="9" s="1"/>
  <c r="AK34" i="9"/>
  <c r="AL34" i="9" s="1"/>
  <c r="AK35" i="9"/>
  <c r="AL35" i="9" s="1"/>
  <c r="AK36" i="9"/>
  <c r="AL36" i="9" s="1"/>
  <c r="AK37" i="9"/>
  <c r="AL37" i="9" s="1"/>
  <c r="AK38" i="9"/>
  <c r="AL38" i="9" s="1"/>
  <c r="AK39" i="9"/>
  <c r="AL39" i="9" s="1"/>
  <c r="AN39" i="9" s="1"/>
  <c r="AK40" i="9"/>
  <c r="AL40" i="9" s="1"/>
  <c r="AK41" i="9"/>
  <c r="AL41" i="9" s="1"/>
  <c r="AK42" i="9"/>
  <c r="AL42" i="9" s="1"/>
  <c r="AK43" i="9"/>
  <c r="AL43" i="9" s="1"/>
  <c r="AK44" i="9"/>
  <c r="AL44" i="9" s="1"/>
  <c r="AK45" i="9"/>
  <c r="AL45" i="9" s="1"/>
  <c r="AK46" i="9"/>
  <c r="AL46" i="9" s="1"/>
  <c r="AK47" i="9"/>
  <c r="AL47" i="9" s="1"/>
  <c r="AK48" i="9"/>
  <c r="AL48" i="9" s="1"/>
  <c r="AK49" i="9"/>
  <c r="AL49" i="9" s="1"/>
  <c r="AK50" i="9"/>
  <c r="AL50" i="9" s="1"/>
  <c r="AK51" i="9"/>
  <c r="AL51" i="9" s="1"/>
  <c r="AN51" i="9" s="1"/>
  <c r="AK52" i="9"/>
  <c r="AL52" i="9" s="1"/>
  <c r="AK53" i="9"/>
  <c r="AL53" i="9" s="1"/>
  <c r="AK54" i="9"/>
  <c r="AL54" i="9" s="1"/>
  <c r="AK55" i="9"/>
  <c r="AL55" i="9" s="1"/>
  <c r="AK56" i="9"/>
  <c r="AL56" i="9" s="1"/>
  <c r="AK57" i="9"/>
  <c r="AL57" i="9" s="1"/>
  <c r="AK58" i="9"/>
  <c r="AL58" i="9" s="1"/>
  <c r="AK59" i="9"/>
  <c r="AL59" i="9" s="1"/>
  <c r="AN59" i="9" s="1"/>
  <c r="AK60" i="9"/>
  <c r="AL60" i="9" s="1"/>
  <c r="AK61" i="9"/>
  <c r="AL61" i="9" s="1"/>
  <c r="AK62" i="9"/>
  <c r="AL62" i="9" s="1"/>
  <c r="AK63" i="9"/>
  <c r="AL63" i="9" s="1"/>
  <c r="AN63" i="9" s="1"/>
  <c r="AK64" i="9"/>
  <c r="AL64" i="9" s="1"/>
  <c r="AK65" i="9"/>
  <c r="AL65" i="9" s="1"/>
  <c r="AK66" i="9"/>
  <c r="AL66" i="9" s="1"/>
  <c r="AK67" i="9"/>
  <c r="AL67" i="9" s="1"/>
  <c r="AK68" i="9"/>
  <c r="AL68" i="9" s="1"/>
  <c r="AK69" i="9"/>
  <c r="AL69" i="9" s="1"/>
  <c r="AK70" i="9"/>
  <c r="AL70" i="9" s="1"/>
  <c r="AK71" i="9"/>
  <c r="AL71" i="9" s="1"/>
  <c r="AN71" i="9" s="1"/>
  <c r="AK72" i="9"/>
  <c r="AL72" i="9" s="1"/>
  <c r="AK73" i="9"/>
  <c r="AL73" i="9" s="1"/>
  <c r="AN73" i="9" s="1"/>
  <c r="AK74" i="9"/>
  <c r="AL74" i="9" s="1"/>
  <c r="AK75" i="9"/>
  <c r="AL75" i="9" s="1"/>
  <c r="AK76" i="9"/>
  <c r="AL76" i="9" s="1"/>
  <c r="AK77" i="9"/>
  <c r="AL77" i="9" s="1"/>
  <c r="AK78" i="9"/>
  <c r="AL78" i="9" s="1"/>
  <c r="AK79" i="9"/>
  <c r="AL79" i="9" s="1"/>
  <c r="AK80" i="9"/>
  <c r="AL80" i="9" s="1"/>
  <c r="AK81" i="9"/>
  <c r="AL81" i="9" s="1"/>
  <c r="AK82" i="9"/>
  <c r="AL82" i="9" s="1"/>
  <c r="AK83" i="9"/>
  <c r="AL83" i="9" s="1"/>
  <c r="AN83" i="9" s="1"/>
  <c r="AK84" i="9"/>
  <c r="AL84" i="9" s="1"/>
  <c r="AK85" i="9"/>
  <c r="AL85" i="9" s="1"/>
  <c r="AK86" i="9"/>
  <c r="AL86" i="9" s="1"/>
  <c r="AK87" i="9"/>
  <c r="AL87" i="9" s="1"/>
  <c r="AK88" i="9"/>
  <c r="AL88" i="9" s="1"/>
  <c r="AK89" i="9"/>
  <c r="AL89" i="9" s="1"/>
  <c r="AK90" i="9"/>
  <c r="AL90" i="9" s="1"/>
  <c r="AK91" i="9"/>
  <c r="AL91" i="9" s="1"/>
  <c r="AN91" i="9" s="1"/>
  <c r="AK92" i="9"/>
  <c r="AL92" i="9" s="1"/>
  <c r="AK93" i="9"/>
  <c r="AL93" i="9" s="1"/>
  <c r="AK94" i="9"/>
  <c r="AL94" i="9" s="1"/>
  <c r="AK95" i="9"/>
  <c r="AL95" i="9" s="1"/>
  <c r="AK96" i="9"/>
  <c r="AL96" i="9" s="1"/>
  <c r="AK97" i="9"/>
  <c r="AL97" i="9" s="1"/>
  <c r="AK98" i="9"/>
  <c r="AL98" i="9" s="1"/>
  <c r="AK99" i="9"/>
  <c r="AL99" i="9" s="1"/>
  <c r="AN99" i="9" s="1"/>
  <c r="AK100" i="9"/>
  <c r="AL100" i="9" s="1"/>
  <c r="AK101" i="9"/>
  <c r="AL101" i="9" s="1"/>
  <c r="AK102" i="9"/>
  <c r="AL102" i="9" s="1"/>
  <c r="AK103" i="9"/>
  <c r="AL103" i="9" s="1"/>
  <c r="AK104" i="9"/>
  <c r="AL104" i="9" s="1"/>
  <c r="AK105" i="9"/>
  <c r="AL105" i="9" s="1"/>
  <c r="AK106" i="9"/>
  <c r="AL106" i="9" s="1"/>
  <c r="AN106" i="9" s="1"/>
  <c r="AK107" i="9"/>
  <c r="AL107" i="9" s="1"/>
  <c r="AN107" i="9" s="1"/>
  <c r="AK108" i="9"/>
  <c r="AL108" i="9" s="1"/>
  <c r="AK109" i="9"/>
  <c r="AL109" i="9" s="1"/>
  <c r="AK110" i="9"/>
  <c r="AL110" i="9" s="1"/>
  <c r="AK111" i="9"/>
  <c r="AL111" i="9" s="1"/>
  <c r="AK112" i="9"/>
  <c r="AL112" i="9" s="1"/>
  <c r="AK113" i="9"/>
  <c r="AL113" i="9" s="1"/>
  <c r="AK114" i="9"/>
  <c r="AL114" i="9" s="1"/>
  <c r="AK115" i="9"/>
  <c r="AL115" i="9" s="1"/>
  <c r="AN115" i="9" s="1"/>
  <c r="AK116" i="9"/>
  <c r="AL116" i="9" s="1"/>
  <c r="AK117" i="9"/>
  <c r="AL117" i="9" s="1"/>
  <c r="AK118" i="9"/>
  <c r="AL118" i="9" s="1"/>
  <c r="AK119" i="9"/>
  <c r="AL119" i="9" s="1"/>
  <c r="AK120" i="9"/>
  <c r="AL120" i="9" s="1"/>
  <c r="AK121" i="9"/>
  <c r="AL121" i="9" s="1"/>
  <c r="AK122" i="9"/>
  <c r="AL122" i="9" s="1"/>
  <c r="AN122" i="9" s="1"/>
  <c r="AK123" i="9"/>
  <c r="AL123" i="9" s="1"/>
  <c r="AK124" i="9"/>
  <c r="AL124" i="9" s="1"/>
  <c r="AK125" i="9"/>
  <c r="AL125" i="9" s="1"/>
  <c r="AK126" i="9"/>
  <c r="AL126" i="9" s="1"/>
  <c r="AK127" i="9"/>
  <c r="AL127" i="9" s="1"/>
  <c r="AK128" i="9"/>
  <c r="AL128" i="9" s="1"/>
  <c r="AK129" i="9"/>
  <c r="AL129" i="9" s="1"/>
  <c r="AK130" i="9"/>
  <c r="AL130" i="9" s="1"/>
  <c r="AK131" i="9"/>
  <c r="AL131" i="9" s="1"/>
  <c r="AK132" i="9"/>
  <c r="AL132" i="9" s="1"/>
  <c r="AK133" i="9"/>
  <c r="AL133" i="9" s="1"/>
  <c r="AK134" i="9"/>
  <c r="AL134" i="9" s="1"/>
  <c r="AN134" i="9" s="1"/>
  <c r="AK135" i="9"/>
  <c r="AL135" i="9" s="1"/>
  <c r="AK136" i="9"/>
  <c r="AL136" i="9" s="1"/>
  <c r="AK137" i="9"/>
  <c r="AL137" i="9" s="1"/>
  <c r="AN137" i="9" s="1"/>
  <c r="AK138" i="9"/>
  <c r="AL138" i="9" s="1"/>
  <c r="AK139" i="9"/>
  <c r="AL139" i="9" s="1"/>
  <c r="AK140" i="9"/>
  <c r="AL140" i="9" s="1"/>
  <c r="AK141" i="9"/>
  <c r="AL141" i="9" s="1"/>
  <c r="AK142" i="9"/>
  <c r="AL142" i="9" s="1"/>
  <c r="AK143" i="9"/>
  <c r="AL143" i="9" s="1"/>
  <c r="AK144" i="9"/>
  <c r="AL144" i="9" s="1"/>
  <c r="AK145" i="9"/>
  <c r="AL145" i="9" s="1"/>
  <c r="AK146" i="9"/>
  <c r="AL146" i="9" s="1"/>
  <c r="AK147" i="9"/>
  <c r="AL147" i="9" s="1"/>
  <c r="AK148" i="9"/>
  <c r="AL148" i="9" s="1"/>
  <c r="AK149" i="9"/>
  <c r="AL149" i="9" s="1"/>
  <c r="AK150" i="9"/>
  <c r="AL150" i="9" s="1"/>
  <c r="AN150" i="9" s="1"/>
  <c r="AK151" i="9"/>
  <c r="AL151" i="9" s="1"/>
  <c r="AK152" i="9"/>
  <c r="AL152" i="9" s="1"/>
  <c r="AK153" i="9"/>
  <c r="AL153" i="9" s="1"/>
  <c r="AK154" i="9"/>
  <c r="AL154" i="9" s="1"/>
  <c r="AK155" i="9"/>
  <c r="AL155" i="9" s="1"/>
  <c r="AK156" i="9"/>
  <c r="AL156" i="9" s="1"/>
  <c r="AK157" i="9"/>
  <c r="AL157" i="9" s="1"/>
  <c r="AK158" i="9"/>
  <c r="AL158" i="9" s="1"/>
  <c r="AK159" i="9"/>
  <c r="AL159" i="9" s="1"/>
  <c r="AK160" i="9"/>
  <c r="AL160" i="9" s="1"/>
  <c r="AK161" i="9"/>
  <c r="AL161" i="9" s="1"/>
  <c r="AK162" i="9"/>
  <c r="AL162" i="9" s="1"/>
  <c r="AK163" i="9"/>
  <c r="AL163" i="9" s="1"/>
  <c r="AK164" i="9"/>
  <c r="AL164" i="9" s="1"/>
  <c r="AK165" i="9"/>
  <c r="AL165" i="9" s="1"/>
  <c r="AN165" i="9" s="1"/>
  <c r="AK166" i="9"/>
  <c r="AL166" i="9" s="1"/>
  <c r="AK167" i="9"/>
  <c r="AL167" i="9" s="1"/>
  <c r="AK168" i="9"/>
  <c r="AL168" i="9" s="1"/>
  <c r="AK169" i="9"/>
  <c r="AL169" i="9" s="1"/>
  <c r="AK170" i="9"/>
  <c r="AL170" i="9" s="1"/>
  <c r="AK171" i="9"/>
  <c r="AL171" i="9" s="1"/>
  <c r="AK172" i="9"/>
  <c r="AL172" i="9" s="1"/>
  <c r="AK173" i="9"/>
  <c r="AL173" i="9" s="1"/>
  <c r="AK174" i="9"/>
  <c r="AL174" i="9" s="1"/>
  <c r="AK175" i="9"/>
  <c r="AL175" i="9" s="1"/>
  <c r="AK176" i="9"/>
  <c r="AL176" i="9" s="1"/>
  <c r="AK177" i="9"/>
  <c r="AL177" i="9" s="1"/>
  <c r="AK178" i="9"/>
  <c r="AL178" i="9" s="1"/>
  <c r="AK179" i="9"/>
  <c r="AL179" i="9" s="1"/>
  <c r="AK180" i="9"/>
  <c r="AL180" i="9" s="1"/>
  <c r="AK181" i="9"/>
  <c r="AL181" i="9" s="1"/>
  <c r="AK182" i="9"/>
  <c r="AL182" i="9" s="1"/>
  <c r="AK183" i="9"/>
  <c r="AL183" i="9" s="1"/>
  <c r="AK184" i="9"/>
  <c r="AL184" i="9" s="1"/>
  <c r="AK185" i="9"/>
  <c r="AL185" i="9" s="1"/>
  <c r="AK186" i="9"/>
  <c r="AL186" i="9" s="1"/>
  <c r="AK187" i="9"/>
  <c r="AL187" i="9" s="1"/>
  <c r="AK188" i="9"/>
  <c r="AL188" i="9" s="1"/>
  <c r="AK189" i="9"/>
  <c r="AL189" i="9" s="1"/>
  <c r="AK190" i="9"/>
  <c r="AL190" i="9" s="1"/>
  <c r="AK191" i="9"/>
  <c r="AL191" i="9" s="1"/>
  <c r="AK192" i="9"/>
  <c r="AL192" i="9" s="1"/>
  <c r="AK193" i="9"/>
  <c r="AL193" i="9" s="1"/>
  <c r="AN193" i="9" s="1"/>
  <c r="AK194" i="9"/>
  <c r="AL194" i="9" s="1"/>
  <c r="AK195" i="9"/>
  <c r="AL195" i="9" s="1"/>
  <c r="AK196" i="9"/>
  <c r="AL196" i="9" s="1"/>
  <c r="AK197" i="9"/>
  <c r="AL197" i="9" s="1"/>
  <c r="AK198" i="9"/>
  <c r="AL198" i="9" s="1"/>
  <c r="AK199" i="9"/>
  <c r="AL199" i="9" s="1"/>
  <c r="AK200" i="9"/>
  <c r="AL200" i="9" s="1"/>
  <c r="AK201" i="9"/>
  <c r="AL201" i="9" s="1"/>
  <c r="AK202" i="9"/>
  <c r="AL202" i="9" s="1"/>
  <c r="AK203" i="9"/>
  <c r="AL203" i="9" s="1"/>
  <c r="AK204" i="9"/>
  <c r="AL204" i="9" s="1"/>
  <c r="AK205" i="9"/>
  <c r="AL205" i="9" s="1"/>
  <c r="AK206" i="9"/>
  <c r="AL206" i="9" s="1"/>
  <c r="AK207" i="9"/>
  <c r="AL207" i="9" s="1"/>
  <c r="AK208" i="9"/>
  <c r="AL208" i="9" s="1"/>
  <c r="AK209" i="9"/>
  <c r="AL209" i="9" s="1"/>
  <c r="AK210" i="9"/>
  <c r="AL210" i="9" s="1"/>
  <c r="AK211" i="9"/>
  <c r="AL211" i="9" s="1"/>
  <c r="AK212" i="9"/>
  <c r="AL212" i="9" s="1"/>
  <c r="AK213" i="9"/>
  <c r="AL213" i="9" s="1"/>
  <c r="AK214" i="9"/>
  <c r="AL214" i="9" s="1"/>
  <c r="AK215" i="9"/>
  <c r="AL215" i="9" s="1"/>
  <c r="AK216" i="9"/>
  <c r="AL216" i="9" s="1"/>
  <c r="AK217" i="9"/>
  <c r="AL217" i="9" s="1"/>
  <c r="AK218" i="9"/>
  <c r="AL218" i="9" s="1"/>
  <c r="AK219" i="9"/>
  <c r="AL219" i="9" s="1"/>
  <c r="AK220" i="9"/>
  <c r="AL220" i="9" s="1"/>
  <c r="AK221" i="9"/>
  <c r="AL221" i="9" s="1"/>
  <c r="AK222" i="9"/>
  <c r="AL222" i="9" s="1"/>
  <c r="AN222" i="9" s="1"/>
  <c r="AK223" i="9"/>
  <c r="AL223" i="9" s="1"/>
  <c r="AK224" i="9"/>
  <c r="AL224" i="9" s="1"/>
  <c r="AK225" i="9"/>
  <c r="AL225" i="9" s="1"/>
  <c r="AK226" i="9"/>
  <c r="AL226" i="9" s="1"/>
  <c r="AK227" i="9"/>
  <c r="AL227" i="9" s="1"/>
  <c r="AK228" i="9"/>
  <c r="AL228" i="9" s="1"/>
  <c r="AK229" i="9"/>
  <c r="AL229" i="9" s="1"/>
  <c r="AK230" i="9"/>
  <c r="AL230" i="9" s="1"/>
  <c r="AK231" i="9"/>
  <c r="AL231" i="9" s="1"/>
  <c r="AK232" i="9"/>
  <c r="AL232" i="9" s="1"/>
  <c r="AK233" i="9"/>
  <c r="AL233" i="9" s="1"/>
  <c r="AK234" i="9"/>
  <c r="AK235" i="9"/>
  <c r="AL235" i="9" s="1"/>
  <c r="AN235" i="9" s="1"/>
  <c r="AK236" i="9"/>
  <c r="AL236" i="9" s="1"/>
  <c r="AK237" i="9"/>
  <c r="AL237" i="9" s="1"/>
  <c r="AK238" i="9"/>
  <c r="AL238" i="9" s="1"/>
  <c r="AK239" i="9"/>
  <c r="AL239" i="9" s="1"/>
  <c r="AK240" i="9"/>
  <c r="AL240" i="9" s="1"/>
  <c r="AK241" i="9"/>
  <c r="AL241" i="9" s="1"/>
  <c r="AK242" i="9"/>
  <c r="AL242" i="9" s="1"/>
  <c r="AK243" i="9"/>
  <c r="AL243" i="9" s="1"/>
  <c r="AK244" i="9"/>
  <c r="AL244" i="9" s="1"/>
  <c r="AK245" i="9"/>
  <c r="AL245" i="9" s="1"/>
  <c r="AK246" i="9"/>
  <c r="AL246" i="9" s="1"/>
  <c r="AK247" i="9"/>
  <c r="AL247" i="9" s="1"/>
  <c r="AK248" i="9"/>
  <c r="AL248" i="9" s="1"/>
  <c r="AK249" i="9"/>
  <c r="AL249" i="9" s="1"/>
  <c r="AK250" i="9"/>
  <c r="AL250" i="9" s="1"/>
  <c r="AN250" i="9" s="1"/>
  <c r="AK251" i="9"/>
  <c r="AL251" i="9" s="1"/>
  <c r="AK252" i="9"/>
  <c r="AL252" i="9" s="1"/>
  <c r="AK253" i="9"/>
  <c r="AL253" i="9" s="1"/>
  <c r="AK254" i="9"/>
  <c r="AL254" i="9" s="1"/>
  <c r="AK255" i="9"/>
  <c r="AL255" i="9" s="1"/>
  <c r="AK256" i="9"/>
  <c r="AL256" i="9" s="1"/>
  <c r="AK257" i="9"/>
  <c r="AL257" i="9" s="1"/>
  <c r="AK258" i="9"/>
  <c r="AL258" i="9" s="1"/>
  <c r="AK259" i="9"/>
  <c r="AL259" i="9" s="1"/>
  <c r="AK260" i="9"/>
  <c r="AL260" i="9" s="1"/>
  <c r="AK261" i="9"/>
  <c r="AL261" i="9" s="1"/>
  <c r="AK262" i="9"/>
  <c r="AL262" i="9" s="1"/>
  <c r="AN262" i="9" s="1"/>
  <c r="AK263" i="9"/>
  <c r="AL263" i="9" s="1"/>
  <c r="AK264" i="9"/>
  <c r="AL264" i="9" s="1"/>
  <c r="AK265" i="9"/>
  <c r="AL265" i="9" s="1"/>
  <c r="AN265" i="9" s="1"/>
  <c r="AK266" i="9"/>
  <c r="AL266" i="9" s="1"/>
  <c r="AK267" i="9"/>
  <c r="AL267" i="9" s="1"/>
  <c r="AK268" i="9"/>
  <c r="AL268" i="9" s="1"/>
  <c r="AK269" i="9"/>
  <c r="AL269" i="9" s="1"/>
  <c r="AK270" i="9"/>
  <c r="AL270" i="9" s="1"/>
  <c r="AK271" i="9"/>
  <c r="AL271" i="9" s="1"/>
  <c r="AK272" i="9"/>
  <c r="AL272" i="9" s="1"/>
  <c r="AK273" i="9"/>
  <c r="AL273" i="9" s="1"/>
  <c r="AK274" i="9"/>
  <c r="AL274" i="9" s="1"/>
  <c r="AK275" i="9"/>
  <c r="AL275" i="9" s="1"/>
  <c r="AK276" i="9"/>
  <c r="AL276" i="9" s="1"/>
  <c r="AK277" i="9"/>
  <c r="AL277" i="9" s="1"/>
  <c r="AK278" i="9"/>
  <c r="AL278" i="9" s="1"/>
  <c r="AN278" i="9" s="1"/>
  <c r="AK279" i="9"/>
  <c r="AL279" i="9" s="1"/>
  <c r="AK280" i="9"/>
  <c r="AL280" i="9" s="1"/>
  <c r="AK281" i="9"/>
  <c r="AL281" i="9" s="1"/>
  <c r="AK282" i="9"/>
  <c r="AL282" i="9" s="1"/>
  <c r="AK283" i="9"/>
  <c r="AL283" i="9" s="1"/>
  <c r="AK284" i="9"/>
  <c r="AL284" i="9" s="1"/>
  <c r="AK285" i="9"/>
  <c r="AL285" i="9" s="1"/>
  <c r="AK286" i="9"/>
  <c r="AL286" i="9" s="1"/>
  <c r="AK287" i="9"/>
  <c r="AL287" i="9" s="1"/>
  <c r="AK288" i="9"/>
  <c r="AL288" i="9" s="1"/>
  <c r="AK289" i="9"/>
  <c r="AL289" i="9" s="1"/>
  <c r="AK290" i="9"/>
  <c r="AL290" i="9" s="1"/>
  <c r="AK291" i="9"/>
  <c r="AL291" i="9" s="1"/>
  <c r="AK292" i="9"/>
  <c r="AL292" i="9" s="1"/>
  <c r="AK293" i="9"/>
  <c r="AL293" i="9" s="1"/>
  <c r="AN293" i="9" s="1"/>
  <c r="AK294" i="9"/>
  <c r="AL294" i="9" s="1"/>
  <c r="AK295" i="9"/>
  <c r="AL295" i="9" s="1"/>
  <c r="AK296" i="9"/>
  <c r="AL296" i="9" s="1"/>
  <c r="AK297" i="9"/>
  <c r="AL297" i="9" s="1"/>
  <c r="AK298" i="9"/>
  <c r="AL298" i="9" s="1"/>
  <c r="AK299" i="9"/>
  <c r="AL299" i="9" s="1"/>
  <c r="AK300" i="9"/>
  <c r="AL300" i="9" s="1"/>
  <c r="AK301" i="9"/>
  <c r="AL301" i="9" s="1"/>
  <c r="AK302" i="9"/>
  <c r="AL302" i="9" s="1"/>
  <c r="AK303" i="9"/>
  <c r="AL303" i="9" s="1"/>
  <c r="AK304" i="9"/>
  <c r="AL304" i="9" s="1"/>
  <c r="AK305" i="9"/>
  <c r="AL305" i="9" s="1"/>
  <c r="AK306" i="9"/>
  <c r="AL306" i="9" s="1"/>
  <c r="AK307" i="9"/>
  <c r="AL307" i="9" s="1"/>
  <c r="AN307" i="9" s="1"/>
  <c r="AK308" i="9"/>
  <c r="AL308" i="9" s="1"/>
  <c r="AK309" i="9"/>
  <c r="AL309" i="9" s="1"/>
  <c r="AK310" i="9"/>
  <c r="AL310" i="9" s="1"/>
  <c r="AK311" i="9"/>
  <c r="AL311" i="9" s="1"/>
  <c r="AK312" i="9"/>
  <c r="AL312" i="9" s="1"/>
  <c r="AK313" i="9"/>
  <c r="AL313" i="9" s="1"/>
  <c r="AK314" i="9"/>
  <c r="AL314" i="9" s="1"/>
  <c r="AK315" i="9"/>
  <c r="AL315" i="9" s="1"/>
  <c r="AK316" i="9"/>
  <c r="AL316" i="9" s="1"/>
  <c r="AK317" i="9"/>
  <c r="AL317" i="9" s="1"/>
  <c r="AK318" i="9"/>
  <c r="AL318" i="9" s="1"/>
  <c r="AK319" i="9"/>
  <c r="AL319" i="9" s="1"/>
  <c r="AK320" i="9"/>
  <c r="AL320" i="9" s="1"/>
  <c r="AK321" i="9"/>
  <c r="AL321" i="9" s="1"/>
  <c r="AN321" i="9" s="1"/>
  <c r="AK322" i="9"/>
  <c r="AL322" i="9" s="1"/>
  <c r="AK323" i="9"/>
  <c r="AL323" i="9" s="1"/>
  <c r="AK324" i="9"/>
  <c r="AL324" i="9" s="1"/>
  <c r="AK325" i="9"/>
  <c r="AL325" i="9" s="1"/>
  <c r="AK326" i="9"/>
  <c r="AL326" i="9" s="1"/>
  <c r="AK327" i="9"/>
  <c r="AL327" i="9" s="1"/>
  <c r="AK328" i="9"/>
  <c r="AL328" i="9" s="1"/>
  <c r="AK329" i="9"/>
  <c r="AL329" i="9" s="1"/>
  <c r="AK330" i="9"/>
  <c r="AL330" i="9" s="1"/>
  <c r="AK331" i="9"/>
  <c r="AL331" i="9" s="1"/>
  <c r="AK332" i="9"/>
  <c r="AL332" i="9" s="1"/>
  <c r="AK333" i="9"/>
  <c r="AL333" i="9" s="1"/>
  <c r="AK334" i="9"/>
  <c r="AL334" i="9" s="1"/>
  <c r="AK335" i="9"/>
  <c r="AL335" i="9" s="1"/>
  <c r="AN335" i="9" s="1"/>
  <c r="AK336" i="9"/>
  <c r="AL336" i="9" s="1"/>
  <c r="AK337" i="9"/>
  <c r="AL337" i="9" s="1"/>
  <c r="AK338" i="9"/>
  <c r="AL338" i="9" s="1"/>
  <c r="AK339" i="9"/>
  <c r="AL339" i="9" s="1"/>
  <c r="AK340" i="9"/>
  <c r="AL340" i="9" s="1"/>
  <c r="AK341" i="9"/>
  <c r="AL341" i="9" s="1"/>
  <c r="AK342" i="9"/>
  <c r="AL342" i="9" s="1"/>
  <c r="AK343" i="9"/>
  <c r="AL343" i="9" s="1"/>
  <c r="AK344" i="9"/>
  <c r="AL344" i="9" s="1"/>
  <c r="AK345" i="9"/>
  <c r="AL345" i="9" s="1"/>
  <c r="AK346" i="9"/>
  <c r="AL346" i="9" s="1"/>
  <c r="AK347" i="9"/>
  <c r="AL347" i="9" s="1"/>
  <c r="AK348" i="9"/>
  <c r="AL348" i="9" s="1"/>
  <c r="AK349" i="9"/>
  <c r="AL349" i="9" s="1"/>
  <c r="AK350" i="9"/>
  <c r="AL350" i="9" s="1"/>
  <c r="AN350" i="9" s="1"/>
  <c r="AK351" i="9"/>
  <c r="AL351" i="9" s="1"/>
  <c r="AK352" i="9"/>
  <c r="AL352" i="9" s="1"/>
  <c r="AK353" i="9"/>
  <c r="AL353" i="9" s="1"/>
  <c r="AK354" i="9"/>
  <c r="AL354" i="9" s="1"/>
  <c r="AK355" i="9"/>
  <c r="AL355" i="9" s="1"/>
  <c r="AK356" i="9"/>
  <c r="AL356" i="9" s="1"/>
  <c r="AK357" i="9"/>
  <c r="AL357" i="9" s="1"/>
  <c r="AK358" i="9"/>
  <c r="AL358" i="9" s="1"/>
  <c r="AK359" i="9"/>
  <c r="AL359" i="9" s="1"/>
  <c r="AK360" i="9"/>
  <c r="AL360" i="9" s="1"/>
  <c r="AN360" i="9" s="1"/>
  <c r="AK361" i="9"/>
  <c r="AL361" i="9" s="1"/>
  <c r="AK362" i="9"/>
  <c r="AL362" i="9" s="1"/>
  <c r="AK363" i="9"/>
  <c r="AL363" i="9" s="1"/>
  <c r="AK364" i="9"/>
  <c r="AL364" i="9" s="1"/>
  <c r="AK365" i="9"/>
  <c r="AL365" i="9" s="1"/>
  <c r="AK366" i="9"/>
  <c r="AL366" i="9" s="1"/>
  <c r="AK367" i="9"/>
  <c r="AL367" i="9" s="1"/>
  <c r="AK368" i="9"/>
  <c r="AL368" i="9" s="1"/>
  <c r="AK369" i="9"/>
  <c r="AL369" i="9" s="1"/>
  <c r="AK370" i="9"/>
  <c r="AL370" i="9" s="1"/>
  <c r="AK371" i="9"/>
  <c r="AL371" i="9" s="1"/>
  <c r="AN371" i="9" s="1"/>
  <c r="AK372" i="9"/>
  <c r="AL372" i="9" s="1"/>
  <c r="AK373" i="9"/>
  <c r="AL373" i="9" s="1"/>
  <c r="AK374" i="9"/>
  <c r="AL374" i="9" s="1"/>
  <c r="AK375" i="9"/>
  <c r="AL375" i="9" s="1"/>
  <c r="AK376" i="9"/>
  <c r="AL376" i="9" s="1"/>
  <c r="AK377" i="9"/>
  <c r="AL377" i="9" s="1"/>
  <c r="AK378" i="9"/>
  <c r="AL378" i="9" s="1"/>
  <c r="AK379" i="9"/>
  <c r="AL379" i="9" s="1"/>
  <c r="AK380" i="9"/>
  <c r="AL380" i="9" s="1"/>
  <c r="AN380" i="9" s="1"/>
  <c r="AK381" i="9"/>
  <c r="AL381" i="9" s="1"/>
  <c r="AK382" i="9"/>
  <c r="AL382" i="9" s="1"/>
  <c r="AN382" i="9" s="1"/>
  <c r="AK383" i="9"/>
  <c r="AL383" i="9" s="1"/>
  <c r="AK384" i="9"/>
  <c r="AL384" i="9" s="1"/>
  <c r="AK385" i="9"/>
  <c r="AL385" i="9" s="1"/>
  <c r="AK386" i="9"/>
  <c r="AL386" i="9" s="1"/>
  <c r="AK387" i="9"/>
  <c r="AL387" i="9" s="1"/>
  <c r="AK388" i="9"/>
  <c r="AL388" i="9" s="1"/>
  <c r="AK389" i="9"/>
  <c r="AL389" i="9" s="1"/>
  <c r="AK390" i="9"/>
  <c r="AL390" i="9" s="1"/>
  <c r="AK391" i="9"/>
  <c r="AL391" i="9" s="1"/>
  <c r="AK392" i="9"/>
  <c r="AL392" i="9" s="1"/>
  <c r="AN392" i="9" s="1"/>
  <c r="AK393" i="9"/>
  <c r="AL393" i="9" s="1"/>
  <c r="AK394" i="9"/>
  <c r="AL394" i="9" s="1"/>
  <c r="AK395" i="9"/>
  <c r="AL395" i="9" s="1"/>
  <c r="AK396" i="9"/>
  <c r="AL396" i="9" s="1"/>
  <c r="AK397" i="9"/>
  <c r="AL397" i="9" s="1"/>
  <c r="AK398" i="9"/>
  <c r="AL398" i="9" s="1"/>
  <c r="AK399" i="9"/>
  <c r="AL399" i="9" s="1"/>
  <c r="AK400" i="9"/>
  <c r="AL400" i="9" s="1"/>
  <c r="AK401" i="9"/>
  <c r="AL401" i="9" s="1"/>
  <c r="AK402" i="9"/>
  <c r="AL402" i="9" s="1"/>
  <c r="AK403" i="9"/>
  <c r="AL403" i="9" s="1"/>
  <c r="AN403" i="9" s="1"/>
  <c r="AK404" i="9"/>
  <c r="AL404" i="9" s="1"/>
  <c r="AK405" i="9"/>
  <c r="AL405" i="9" s="1"/>
  <c r="AK406" i="9"/>
  <c r="AL406" i="9" s="1"/>
  <c r="AK407" i="9"/>
  <c r="AL407" i="9" s="1"/>
  <c r="AK408" i="9"/>
  <c r="AL408" i="9" s="1"/>
  <c r="AK409" i="9"/>
  <c r="AL409" i="9" s="1"/>
  <c r="AK410" i="9"/>
  <c r="AL410" i="9" s="1"/>
  <c r="AK411" i="9"/>
  <c r="AL411" i="9" s="1"/>
  <c r="AK412" i="9"/>
  <c r="AL412" i="9" s="1"/>
  <c r="AN412" i="9" s="1"/>
  <c r="AK413" i="9"/>
  <c r="AL413" i="9" s="1"/>
  <c r="AK414" i="9"/>
  <c r="AL414" i="9" s="1"/>
  <c r="AN414" i="9" s="1"/>
  <c r="AK415" i="9"/>
  <c r="AL415" i="9" s="1"/>
  <c r="AK416" i="9"/>
  <c r="AL416" i="9" s="1"/>
  <c r="AK417" i="9"/>
  <c r="AL417" i="9" s="1"/>
  <c r="AK418" i="9"/>
  <c r="AL418" i="9" s="1"/>
  <c r="AK419" i="9"/>
  <c r="AL419" i="9" s="1"/>
  <c r="AK420" i="9"/>
  <c r="AL420" i="9" s="1"/>
  <c r="AK421" i="9"/>
  <c r="AL421" i="9" s="1"/>
  <c r="AK422" i="9"/>
  <c r="AL422" i="9" s="1"/>
  <c r="AK423" i="9"/>
  <c r="AL423" i="9" s="1"/>
  <c r="AK424" i="9"/>
  <c r="AL424" i="9" s="1"/>
  <c r="AN424" i="9" s="1"/>
  <c r="AK425" i="9"/>
  <c r="AL425" i="9" s="1"/>
  <c r="AK426" i="9"/>
  <c r="AL426" i="9" s="1"/>
  <c r="AK427" i="9"/>
  <c r="AL427" i="9" s="1"/>
  <c r="AK428" i="9"/>
  <c r="AL428" i="9" s="1"/>
  <c r="AK429" i="9"/>
  <c r="AL429" i="9" s="1"/>
  <c r="AK430" i="9"/>
  <c r="AL430" i="9" s="1"/>
  <c r="AK431" i="9"/>
  <c r="AL431" i="9" s="1"/>
  <c r="AK432" i="9"/>
  <c r="AL432" i="9" s="1"/>
  <c r="AK433" i="9"/>
  <c r="AL433" i="9" s="1"/>
  <c r="AK434" i="9"/>
  <c r="AL434" i="9" s="1"/>
  <c r="AN434" i="9" s="1"/>
  <c r="AK435" i="9"/>
  <c r="AL435" i="9" s="1"/>
  <c r="AN435" i="9" s="1"/>
  <c r="AK436" i="9"/>
  <c r="AL436" i="9" s="1"/>
  <c r="AK437" i="9"/>
  <c r="AL437" i="9" s="1"/>
  <c r="AK438" i="9"/>
  <c r="AL438" i="9" s="1"/>
  <c r="AK439" i="9"/>
  <c r="AL439" i="9" s="1"/>
  <c r="AK440" i="9"/>
  <c r="AL440" i="9" s="1"/>
  <c r="AK441" i="9"/>
  <c r="AL441" i="9" s="1"/>
  <c r="AK442" i="9"/>
  <c r="AL442" i="9" s="1"/>
  <c r="AK443" i="9"/>
  <c r="AL443" i="9" s="1"/>
  <c r="AK444" i="9"/>
  <c r="AL444" i="9" s="1"/>
  <c r="AN444" i="9" s="1"/>
  <c r="AK445" i="9"/>
  <c r="AL445" i="9" s="1"/>
  <c r="AK446" i="9"/>
  <c r="AL446" i="9" s="1"/>
  <c r="AN446" i="9" s="1"/>
  <c r="AK447" i="9"/>
  <c r="AL447" i="9" s="1"/>
  <c r="AK448" i="9"/>
  <c r="AL448" i="9" s="1"/>
  <c r="AK449" i="9"/>
  <c r="AL449" i="9" s="1"/>
  <c r="AK450" i="9"/>
  <c r="AL450" i="9" s="1"/>
  <c r="AK451" i="9"/>
  <c r="AL451" i="9" s="1"/>
  <c r="AK452" i="9"/>
  <c r="AL452" i="9" s="1"/>
  <c r="AK453" i="9"/>
  <c r="AL453" i="9" s="1"/>
  <c r="AK454" i="9"/>
  <c r="AL454" i="9" s="1"/>
  <c r="AK455" i="9"/>
  <c r="AL455" i="9" s="1"/>
  <c r="AK456" i="9"/>
  <c r="AL456" i="9" s="1"/>
  <c r="AN456" i="9" s="1"/>
  <c r="AK457" i="9"/>
  <c r="AL457" i="9" s="1"/>
  <c r="AK458" i="9"/>
  <c r="AL458" i="9" s="1"/>
  <c r="AK459" i="9"/>
  <c r="AL459" i="9" s="1"/>
  <c r="AK460" i="9"/>
  <c r="AL460" i="9" s="1"/>
  <c r="AN460" i="9" s="1"/>
  <c r="AK461" i="9"/>
  <c r="AL461" i="9" s="1"/>
  <c r="AN461" i="9" s="1"/>
  <c r="AK462" i="9"/>
  <c r="AL462" i="9" s="1"/>
  <c r="AK463" i="9"/>
  <c r="AL463" i="9" s="1"/>
  <c r="AK464" i="9"/>
  <c r="AL464" i="9" s="1"/>
  <c r="AK465" i="9"/>
  <c r="AL465" i="9" s="1"/>
  <c r="AK466" i="9"/>
  <c r="AL466" i="9" s="1"/>
  <c r="AK467" i="9"/>
  <c r="AL467" i="9" s="1"/>
  <c r="AN467" i="9" s="1"/>
  <c r="AK468" i="9"/>
  <c r="AL468" i="9" s="1"/>
  <c r="AK469" i="9"/>
  <c r="AL469" i="9" s="1"/>
  <c r="AK470" i="9"/>
  <c r="AL470" i="9" s="1"/>
  <c r="AK471" i="9"/>
  <c r="AL471" i="9" s="1"/>
  <c r="AK472" i="9"/>
  <c r="AL472" i="9" s="1"/>
  <c r="AN472" i="9" s="1"/>
  <c r="AK473" i="9"/>
  <c r="AL473" i="9" s="1"/>
  <c r="AK474" i="9"/>
  <c r="AL474" i="9" s="1"/>
  <c r="AK475" i="9"/>
  <c r="AL475" i="9" s="1"/>
  <c r="AK476" i="9"/>
  <c r="AL476" i="9" s="1"/>
  <c r="AN476" i="9" s="1"/>
  <c r="AK477" i="9"/>
  <c r="AL477" i="9" s="1"/>
  <c r="AN477" i="9" s="1"/>
  <c r="AK478" i="9"/>
  <c r="AL478" i="9" s="1"/>
  <c r="AK479" i="9"/>
  <c r="AL479" i="9" s="1"/>
  <c r="AK480" i="9"/>
  <c r="AL480" i="9" s="1"/>
  <c r="AK481" i="9"/>
  <c r="AL481" i="9" s="1"/>
  <c r="AK482" i="9"/>
  <c r="AL482" i="9" s="1"/>
  <c r="AK483" i="9"/>
  <c r="AL483" i="9" s="1"/>
  <c r="AN483" i="9" s="1"/>
  <c r="AK484" i="9"/>
  <c r="AL484" i="9" s="1"/>
  <c r="AK485" i="9"/>
  <c r="AL485" i="9" s="1"/>
  <c r="AK486" i="9"/>
  <c r="AL486" i="9" s="1"/>
  <c r="AK487" i="9"/>
  <c r="AL487" i="9" s="1"/>
  <c r="AK488" i="9"/>
  <c r="AL488" i="9" s="1"/>
  <c r="AN488" i="9" s="1"/>
  <c r="AK489" i="9"/>
  <c r="AL489" i="9" s="1"/>
  <c r="AK490" i="9"/>
  <c r="AL490" i="9" s="1"/>
  <c r="AK491" i="9"/>
  <c r="AL491" i="9" s="1"/>
  <c r="AK492" i="9"/>
  <c r="AL492" i="9" s="1"/>
  <c r="AN492" i="9" s="1"/>
  <c r="AK493" i="9"/>
  <c r="AL493" i="9" s="1"/>
  <c r="AN493" i="9" s="1"/>
  <c r="AK494" i="9"/>
  <c r="AL494" i="9" s="1"/>
  <c r="AK495" i="9"/>
  <c r="AL495" i="9" s="1"/>
  <c r="AK496" i="9"/>
  <c r="AL496" i="9" s="1"/>
  <c r="AK497" i="9"/>
  <c r="AL497" i="9" s="1"/>
  <c r="AK498" i="9"/>
  <c r="AL498" i="9" s="1"/>
  <c r="AK499" i="9"/>
  <c r="AL499" i="9" s="1"/>
  <c r="AN499" i="9" s="1"/>
  <c r="AK500" i="9"/>
  <c r="AL500" i="9" s="1"/>
  <c r="AK501" i="9"/>
  <c r="AL501" i="9" s="1"/>
  <c r="AK502" i="9"/>
  <c r="AL502" i="9" s="1"/>
  <c r="AK503" i="9"/>
  <c r="AL503" i="9" s="1"/>
  <c r="AK504" i="9"/>
  <c r="AL504" i="9" s="1"/>
  <c r="AN504" i="9" s="1"/>
  <c r="AK505" i="9"/>
  <c r="AL505" i="9" s="1"/>
  <c r="AK506" i="9"/>
  <c r="AL506" i="9" s="1"/>
  <c r="AK507" i="9"/>
  <c r="AL507" i="9" s="1"/>
  <c r="AK508" i="9"/>
  <c r="AL508" i="9" s="1"/>
  <c r="AN508" i="9" s="1"/>
  <c r="AK509" i="9"/>
  <c r="AL509" i="9" s="1"/>
  <c r="AN509" i="9" s="1"/>
  <c r="AK510" i="9"/>
  <c r="AL510" i="9" s="1"/>
  <c r="AK511" i="9"/>
  <c r="AL511" i="9" s="1"/>
  <c r="AK512" i="9"/>
  <c r="AL512" i="9" s="1"/>
  <c r="AK513" i="9"/>
  <c r="AL513" i="9" s="1"/>
  <c r="AK514" i="9"/>
  <c r="AL514" i="9" s="1"/>
  <c r="AK515" i="9"/>
  <c r="AL515" i="9" s="1"/>
  <c r="AN515" i="9" s="1"/>
  <c r="AK516" i="9"/>
  <c r="AL516" i="9" s="1"/>
  <c r="AK517" i="9"/>
  <c r="AL517" i="9" s="1"/>
  <c r="AK518" i="9"/>
  <c r="AL518" i="9" s="1"/>
  <c r="AK519" i="9"/>
  <c r="AL519" i="9" s="1"/>
  <c r="AK520" i="9"/>
  <c r="AL520" i="9" s="1"/>
  <c r="AN520" i="9" s="1"/>
  <c r="AK521" i="9"/>
  <c r="AL521" i="9" s="1"/>
  <c r="AK522" i="9"/>
  <c r="AL522" i="9" s="1"/>
  <c r="AK523" i="9"/>
  <c r="AL523" i="9" s="1"/>
  <c r="AK524" i="9"/>
  <c r="AL524" i="9" s="1"/>
  <c r="AN524" i="9" s="1"/>
  <c r="AK525" i="9"/>
  <c r="AL525" i="9" s="1"/>
  <c r="AN525" i="9" s="1"/>
  <c r="AK526" i="9"/>
  <c r="AL526" i="9" s="1"/>
  <c r="AK527" i="9"/>
  <c r="AL527" i="9" s="1"/>
  <c r="AK528" i="9"/>
  <c r="AL528" i="9" s="1"/>
  <c r="AK529" i="9"/>
  <c r="AL529" i="9" s="1"/>
  <c r="AK530" i="9"/>
  <c r="AL530" i="9" s="1"/>
  <c r="AK531" i="9"/>
  <c r="AL531" i="9" s="1"/>
  <c r="AN531" i="9" s="1"/>
  <c r="AK532" i="9"/>
  <c r="AL532" i="9" s="1"/>
  <c r="AK533" i="9"/>
  <c r="AL533" i="9" s="1"/>
  <c r="AK534" i="9"/>
  <c r="AL534" i="9" s="1"/>
  <c r="AK535" i="9"/>
  <c r="AL535" i="9" s="1"/>
  <c r="AK536" i="9"/>
  <c r="AL536" i="9" s="1"/>
  <c r="AN536" i="9" s="1"/>
  <c r="AK537" i="9"/>
  <c r="AL537" i="9" s="1"/>
  <c r="AK538" i="9"/>
  <c r="AL538" i="9" s="1"/>
  <c r="AK539" i="9"/>
  <c r="AL539" i="9" s="1"/>
  <c r="AK540" i="9"/>
  <c r="AL540" i="9" s="1"/>
  <c r="AN540" i="9" s="1"/>
  <c r="AK541" i="9"/>
  <c r="AL541" i="9" s="1"/>
  <c r="AN541" i="9" s="1"/>
  <c r="AK542" i="9"/>
  <c r="AL542" i="9" s="1"/>
  <c r="AK543" i="9"/>
  <c r="AL543" i="9" s="1"/>
  <c r="AK544" i="9"/>
  <c r="AL544" i="9" s="1"/>
  <c r="AK545" i="9"/>
  <c r="AL545" i="9" s="1"/>
  <c r="AK546" i="9"/>
  <c r="AL546" i="9" s="1"/>
  <c r="AK547" i="9"/>
  <c r="AL547" i="9" s="1"/>
  <c r="AN547" i="9" s="1"/>
  <c r="AK548" i="9"/>
  <c r="AL548" i="9" s="1"/>
  <c r="AK549" i="9"/>
  <c r="AL549" i="9" s="1"/>
  <c r="AK550" i="9"/>
  <c r="AL550" i="9" s="1"/>
  <c r="AK551" i="9"/>
  <c r="AL551" i="9" s="1"/>
  <c r="AK552" i="9"/>
  <c r="AL552" i="9" s="1"/>
  <c r="AN552" i="9" s="1"/>
  <c r="AK553" i="9"/>
  <c r="AL553" i="9" s="1"/>
  <c r="AK554" i="9"/>
  <c r="AL554" i="9" s="1"/>
  <c r="AK555" i="9"/>
  <c r="AL555" i="9" s="1"/>
  <c r="AK556" i="9"/>
  <c r="AL556" i="9" s="1"/>
  <c r="AN556" i="9" s="1"/>
  <c r="AK557" i="9"/>
  <c r="AL557" i="9" s="1"/>
  <c r="AN557" i="9" s="1"/>
  <c r="AK558" i="9"/>
  <c r="AL558" i="9" s="1"/>
  <c r="AK559" i="9"/>
  <c r="AL559" i="9" s="1"/>
  <c r="AK560" i="9"/>
  <c r="AL560" i="9" s="1"/>
  <c r="AK561" i="9"/>
  <c r="AL561" i="9" s="1"/>
  <c r="AK562" i="9"/>
  <c r="AL562" i="9" s="1"/>
  <c r="AK563" i="9"/>
  <c r="AL563" i="9" s="1"/>
  <c r="AN563" i="9" s="1"/>
  <c r="AK564" i="9"/>
  <c r="AL564" i="9" s="1"/>
  <c r="AK565" i="9"/>
  <c r="AL565" i="9" s="1"/>
  <c r="AK566" i="9"/>
  <c r="AL566" i="9" s="1"/>
  <c r="AK567" i="9"/>
  <c r="AL567" i="9" s="1"/>
  <c r="AK568" i="9"/>
  <c r="AL568" i="9" s="1"/>
  <c r="AN568" i="9" s="1"/>
  <c r="AK569" i="9"/>
  <c r="AL569" i="9" s="1"/>
  <c r="AK570" i="9"/>
  <c r="AL570" i="9" s="1"/>
  <c r="AK571" i="9"/>
  <c r="AL571" i="9" s="1"/>
  <c r="AK572" i="9"/>
  <c r="AL572" i="9" s="1"/>
  <c r="AN572" i="9" s="1"/>
  <c r="AK573" i="9"/>
  <c r="AL573" i="9" s="1"/>
  <c r="AN573" i="9" s="1"/>
  <c r="AK574" i="9"/>
  <c r="AL574" i="9" s="1"/>
  <c r="AK575" i="9"/>
  <c r="AL575" i="9" s="1"/>
  <c r="AK576" i="9"/>
  <c r="AL576" i="9" s="1"/>
  <c r="AK577" i="9"/>
  <c r="AL577" i="9" s="1"/>
  <c r="AK578" i="9"/>
  <c r="AL578" i="9" s="1"/>
  <c r="AK579" i="9"/>
  <c r="AL579" i="9" s="1"/>
  <c r="AN579" i="9" s="1"/>
  <c r="AK580" i="9"/>
  <c r="AL580" i="9" s="1"/>
  <c r="AK581" i="9"/>
  <c r="AL581" i="9" s="1"/>
  <c r="AK582" i="9"/>
  <c r="AL582" i="9" s="1"/>
  <c r="AK583" i="9"/>
  <c r="AL583" i="9" s="1"/>
  <c r="AK584" i="9"/>
  <c r="AL584" i="9" s="1"/>
  <c r="AN584" i="9" s="1"/>
  <c r="AK585" i="9"/>
  <c r="AL585" i="9" s="1"/>
  <c r="AK586" i="9"/>
  <c r="AL586" i="9" s="1"/>
  <c r="AK587" i="9"/>
  <c r="AL587" i="9" s="1"/>
  <c r="AK588" i="9"/>
  <c r="AL588" i="9" s="1"/>
  <c r="AN588" i="9" s="1"/>
  <c r="AK589" i="9"/>
  <c r="AL589" i="9" s="1"/>
  <c r="AN589" i="9" s="1"/>
  <c r="AK590" i="9"/>
  <c r="AL590" i="9" s="1"/>
  <c r="AK591" i="9"/>
  <c r="AL591" i="9" s="1"/>
  <c r="AK592" i="9"/>
  <c r="AL592" i="9" s="1"/>
  <c r="AK593" i="9"/>
  <c r="AL593" i="9" s="1"/>
  <c r="AK594" i="9"/>
  <c r="AL594" i="9" s="1"/>
  <c r="AK595" i="9"/>
  <c r="AL595" i="9" s="1"/>
  <c r="AN595" i="9" s="1"/>
  <c r="AK596" i="9"/>
  <c r="AL596" i="9" s="1"/>
  <c r="AK597" i="9"/>
  <c r="AL597" i="9" s="1"/>
  <c r="AK598" i="9"/>
  <c r="AL598" i="9" s="1"/>
  <c r="AK599" i="9"/>
  <c r="AL599" i="9" s="1"/>
  <c r="AK600" i="9"/>
  <c r="AL600" i="9" s="1"/>
  <c r="AN600" i="9" s="1"/>
  <c r="AK601" i="9"/>
  <c r="AL601" i="9" s="1"/>
  <c r="AK602" i="9"/>
  <c r="AL602" i="9" s="1"/>
  <c r="AK603" i="9"/>
  <c r="AL603" i="9" s="1"/>
  <c r="AK604" i="9"/>
  <c r="AL604" i="9" s="1"/>
  <c r="AN604" i="9" s="1"/>
  <c r="AK605" i="9"/>
  <c r="AL605" i="9" s="1"/>
  <c r="AN605" i="9" s="1"/>
  <c r="AK606" i="9"/>
  <c r="AL606" i="9" s="1"/>
  <c r="AK607" i="9"/>
  <c r="AL607" i="9" s="1"/>
  <c r="AK608" i="9"/>
  <c r="AL608" i="9" s="1"/>
  <c r="AK609" i="9"/>
  <c r="AL609" i="9" s="1"/>
  <c r="AK610" i="9"/>
  <c r="AL610" i="9" s="1"/>
  <c r="AK611" i="9"/>
  <c r="AL611" i="9" s="1"/>
  <c r="AN611" i="9" s="1"/>
  <c r="AK612" i="9"/>
  <c r="AL612" i="9" s="1"/>
  <c r="AK613" i="9"/>
  <c r="AL613" i="9" s="1"/>
  <c r="AK614" i="9"/>
  <c r="AL614" i="9" s="1"/>
  <c r="AK615" i="9"/>
  <c r="AL615" i="9" s="1"/>
  <c r="AK616" i="9"/>
  <c r="AL616" i="9" s="1"/>
  <c r="AN616" i="9" s="1"/>
  <c r="AK617" i="9"/>
  <c r="AL617" i="9" s="1"/>
  <c r="AK618" i="9"/>
  <c r="AL618" i="9" s="1"/>
  <c r="AK619" i="9"/>
  <c r="AL619" i="9" s="1"/>
  <c r="AK620" i="9"/>
  <c r="AL620" i="9" s="1"/>
  <c r="AN620" i="9" s="1"/>
  <c r="AK621" i="9"/>
  <c r="AL621" i="9" s="1"/>
  <c r="AN621" i="9" s="1"/>
  <c r="AK622" i="9"/>
  <c r="AL622" i="9" s="1"/>
  <c r="AK623" i="9"/>
  <c r="AL623" i="9" s="1"/>
  <c r="AK624" i="9"/>
  <c r="AL624" i="9" s="1"/>
  <c r="AK625" i="9"/>
  <c r="AL625" i="9" s="1"/>
  <c r="AK626" i="9"/>
  <c r="AL626" i="9" s="1"/>
  <c r="AK627" i="9"/>
  <c r="AL627" i="9" s="1"/>
  <c r="AN627" i="9" s="1"/>
  <c r="AK628" i="9"/>
  <c r="AL628" i="9" s="1"/>
  <c r="AK629" i="9"/>
  <c r="AL629" i="9" s="1"/>
  <c r="AK630" i="9"/>
  <c r="AL630" i="9" s="1"/>
  <c r="AK631" i="9"/>
  <c r="AL631" i="9" s="1"/>
  <c r="AK632" i="9"/>
  <c r="AL632" i="9" s="1"/>
  <c r="AN632" i="9" s="1"/>
  <c r="AK633" i="9"/>
  <c r="AL633" i="9" s="1"/>
  <c r="AK634" i="9"/>
  <c r="AL634" i="9" s="1"/>
  <c r="AK635" i="9"/>
  <c r="AL635" i="9" s="1"/>
  <c r="AK636" i="9"/>
  <c r="AL636" i="9" s="1"/>
  <c r="AN636" i="9" s="1"/>
  <c r="AK637" i="9"/>
  <c r="AL637" i="9" s="1"/>
  <c r="AN637" i="9" s="1"/>
  <c r="AK638" i="9"/>
  <c r="AL638" i="9" s="1"/>
  <c r="AK639" i="9"/>
  <c r="AL639" i="9" s="1"/>
  <c r="AK640" i="9"/>
  <c r="AL640" i="9" s="1"/>
  <c r="AK641" i="9"/>
  <c r="AL641" i="9" s="1"/>
  <c r="AK642" i="9"/>
  <c r="AL642" i="9" s="1"/>
  <c r="AK643" i="9"/>
  <c r="AL643" i="9" s="1"/>
  <c r="AN643" i="9" s="1"/>
  <c r="AK644" i="9"/>
  <c r="AL644" i="9" s="1"/>
  <c r="AK645" i="9"/>
  <c r="AL645" i="9" s="1"/>
  <c r="AK646" i="9"/>
  <c r="AL646" i="9" s="1"/>
  <c r="AK647" i="9"/>
  <c r="AL647" i="9" s="1"/>
  <c r="AK648" i="9"/>
  <c r="AL648" i="9" s="1"/>
  <c r="AN648" i="9" s="1"/>
  <c r="AK649" i="9"/>
  <c r="AL649" i="9" s="1"/>
  <c r="AK650" i="9"/>
  <c r="AL650" i="9" s="1"/>
  <c r="AK651" i="9"/>
  <c r="AL651" i="9" s="1"/>
  <c r="AK652" i="9"/>
  <c r="AL652" i="9" s="1"/>
  <c r="AN652" i="9" s="1"/>
  <c r="AK653" i="9"/>
  <c r="AL653" i="9" s="1"/>
  <c r="AN653" i="9" s="1"/>
  <c r="AK654" i="9"/>
  <c r="AL654" i="9" s="1"/>
  <c r="AK655" i="9"/>
  <c r="AL655" i="9" s="1"/>
  <c r="AK656" i="9"/>
  <c r="AL656" i="9" s="1"/>
  <c r="AK657" i="9"/>
  <c r="AL657" i="9" s="1"/>
  <c r="AK658" i="9"/>
  <c r="AL658" i="9" s="1"/>
  <c r="AK659" i="9"/>
  <c r="AL659" i="9" s="1"/>
  <c r="AN659" i="9" s="1"/>
  <c r="AK660" i="9"/>
  <c r="AL660" i="9" s="1"/>
  <c r="AK661" i="9"/>
  <c r="AL661" i="9" s="1"/>
  <c r="AK662" i="9"/>
  <c r="AL662" i="9" s="1"/>
  <c r="AK663" i="9"/>
  <c r="AL663" i="9" s="1"/>
  <c r="AK664" i="9"/>
  <c r="AL664" i="9" s="1"/>
  <c r="AN664" i="9" s="1"/>
  <c r="AK665" i="9"/>
  <c r="AL665" i="9" s="1"/>
  <c r="AK666" i="9"/>
  <c r="AL666" i="9" s="1"/>
  <c r="AK667" i="9"/>
  <c r="AL667" i="9" s="1"/>
  <c r="AK668" i="9"/>
  <c r="AL668" i="9" s="1"/>
  <c r="AN668" i="9" s="1"/>
  <c r="AK669" i="9"/>
  <c r="AL669" i="9" s="1"/>
  <c r="AN669" i="9" s="1"/>
  <c r="AK670" i="9"/>
  <c r="AL670" i="9" s="1"/>
  <c r="AK671" i="9"/>
  <c r="AL671" i="9" s="1"/>
  <c r="AK672" i="9"/>
  <c r="AL672" i="9" s="1"/>
  <c r="AK673" i="9"/>
  <c r="AL673" i="9" s="1"/>
  <c r="AK674" i="9"/>
  <c r="AL674" i="9" s="1"/>
  <c r="AK675" i="9"/>
  <c r="AL675" i="9" s="1"/>
  <c r="AN675" i="9" s="1"/>
  <c r="AK676" i="9"/>
  <c r="AL676" i="9" s="1"/>
  <c r="AK677" i="9"/>
  <c r="AL677" i="9" s="1"/>
  <c r="AK678" i="9"/>
  <c r="AL678" i="9" s="1"/>
  <c r="AK679" i="9"/>
  <c r="AL679" i="9" s="1"/>
  <c r="AK680" i="9"/>
  <c r="AL680" i="9" s="1"/>
  <c r="AN680" i="9" s="1"/>
  <c r="AK681" i="9"/>
  <c r="AL681" i="9" s="1"/>
  <c r="AK682" i="9"/>
  <c r="AL682" i="9" s="1"/>
  <c r="AK683" i="9"/>
  <c r="AL683" i="9" s="1"/>
  <c r="AK684" i="9"/>
  <c r="AL684" i="9" s="1"/>
  <c r="AN684" i="9" s="1"/>
  <c r="AK685" i="9"/>
  <c r="AL685" i="9" s="1"/>
  <c r="AN685" i="9" s="1"/>
  <c r="AK686" i="9"/>
  <c r="AL686" i="9" s="1"/>
  <c r="AK687" i="9"/>
  <c r="AL687" i="9" s="1"/>
  <c r="AK688" i="9"/>
  <c r="AL688" i="9" s="1"/>
  <c r="AK689" i="9"/>
  <c r="AL689" i="9" s="1"/>
  <c r="AK690" i="9"/>
  <c r="AL690" i="9" s="1"/>
  <c r="AK691" i="9"/>
  <c r="AL691" i="9" s="1"/>
  <c r="AN691" i="9" s="1"/>
  <c r="AK692" i="9"/>
  <c r="AL692" i="9" s="1"/>
  <c r="AK693" i="9"/>
  <c r="AL693" i="9" s="1"/>
  <c r="AK694" i="9"/>
  <c r="AL694" i="9" s="1"/>
  <c r="AK695" i="9"/>
  <c r="AL695" i="9" s="1"/>
  <c r="AK696" i="9"/>
  <c r="AL696" i="9" s="1"/>
  <c r="AN696" i="9" s="1"/>
  <c r="AK697" i="9"/>
  <c r="AL697" i="9" s="1"/>
  <c r="AK698" i="9"/>
  <c r="AL698" i="9" s="1"/>
  <c r="AK699" i="9"/>
  <c r="AL699" i="9" s="1"/>
  <c r="AK700" i="9"/>
  <c r="AL700" i="9" s="1"/>
  <c r="AN700" i="9" s="1"/>
  <c r="AK701" i="9"/>
  <c r="AL701" i="9" s="1"/>
  <c r="AN701" i="9" s="1"/>
  <c r="AK702" i="9"/>
  <c r="AL702" i="9" s="1"/>
  <c r="AK703" i="9"/>
  <c r="AL703" i="9" s="1"/>
  <c r="AK704" i="9"/>
  <c r="AL704" i="9" s="1"/>
  <c r="AK705" i="9"/>
  <c r="AL705" i="9" s="1"/>
  <c r="AK706" i="9"/>
  <c r="AL706" i="9" s="1"/>
  <c r="AK707" i="9"/>
  <c r="AL707" i="9" s="1"/>
  <c r="AN707" i="9" s="1"/>
  <c r="AK708" i="9"/>
  <c r="AL708" i="9" s="1"/>
  <c r="AK709" i="9"/>
  <c r="AL709" i="9" s="1"/>
  <c r="AK710" i="9"/>
  <c r="AL710" i="9" s="1"/>
  <c r="AK711" i="9"/>
  <c r="AL711" i="9" s="1"/>
  <c r="AK712" i="9"/>
  <c r="AL712" i="9" s="1"/>
  <c r="AN712" i="9" s="1"/>
  <c r="AK713" i="9"/>
  <c r="AL713" i="9" s="1"/>
  <c r="AK714" i="9"/>
  <c r="AL714" i="9" s="1"/>
  <c r="AK715" i="9"/>
  <c r="AL715" i="9" s="1"/>
  <c r="AK716" i="9"/>
  <c r="AL716" i="9" s="1"/>
  <c r="AN716" i="9" s="1"/>
  <c r="AK717" i="9"/>
  <c r="AL717" i="9" s="1"/>
  <c r="AN717" i="9" s="1"/>
  <c r="AK718" i="9"/>
  <c r="AL718" i="9" s="1"/>
  <c r="AK719" i="9"/>
  <c r="AL719" i="9" s="1"/>
  <c r="AK720" i="9"/>
  <c r="AL720" i="9" s="1"/>
  <c r="AK721" i="9"/>
  <c r="AL721" i="9" s="1"/>
  <c r="AK722" i="9"/>
  <c r="AL722" i="9" s="1"/>
  <c r="AK723" i="9"/>
  <c r="AL723" i="9" s="1"/>
  <c r="AN723" i="9" s="1"/>
  <c r="AK724" i="9"/>
  <c r="AL724" i="9" s="1"/>
  <c r="AK725" i="9"/>
  <c r="AL725" i="9" s="1"/>
  <c r="AK726" i="9"/>
  <c r="AL726" i="9" s="1"/>
  <c r="AK727" i="9"/>
  <c r="AL727" i="9" s="1"/>
  <c r="AK728" i="9"/>
  <c r="AL728" i="9" s="1"/>
  <c r="AN728" i="9" s="1"/>
  <c r="AK729" i="9"/>
  <c r="AL729" i="9" s="1"/>
  <c r="AK730" i="9"/>
  <c r="AL730" i="9" s="1"/>
  <c r="AK731" i="9"/>
  <c r="AL731" i="9" s="1"/>
  <c r="AK732" i="9"/>
  <c r="AL732" i="9" s="1"/>
  <c r="AN732" i="9" s="1"/>
  <c r="AK733" i="9"/>
  <c r="AL733" i="9" s="1"/>
  <c r="AN733" i="9" s="1"/>
  <c r="AK734" i="9"/>
  <c r="AL734" i="9" s="1"/>
  <c r="AK735" i="9"/>
  <c r="AL735" i="9" s="1"/>
  <c r="AK736" i="9"/>
  <c r="AL736" i="9" s="1"/>
  <c r="AK737" i="9"/>
  <c r="AL737" i="9" s="1"/>
  <c r="AK738" i="9"/>
  <c r="AL738" i="9" s="1"/>
  <c r="AK739" i="9"/>
  <c r="AL739" i="9" s="1"/>
  <c r="AN739" i="9" s="1"/>
  <c r="AK740" i="9"/>
  <c r="AL740" i="9" s="1"/>
  <c r="AN740" i="9" s="1"/>
  <c r="AK741" i="9"/>
  <c r="AL741" i="9" s="1"/>
  <c r="AK742" i="9"/>
  <c r="AL742" i="9" s="1"/>
  <c r="AK743" i="9"/>
  <c r="AL743" i="9" s="1"/>
  <c r="AN743" i="9" s="1"/>
  <c r="AK744" i="9"/>
  <c r="AL744" i="9" s="1"/>
  <c r="AK745" i="9"/>
  <c r="AL745" i="9" s="1"/>
  <c r="AN745" i="9" s="1"/>
  <c r="AK746" i="9"/>
  <c r="AL746" i="9" s="1"/>
  <c r="AK747" i="9"/>
  <c r="AL747" i="9" s="1"/>
  <c r="AK748" i="9"/>
  <c r="AL748" i="9" s="1"/>
  <c r="AN748" i="9" s="1"/>
  <c r="AK749" i="9"/>
  <c r="AL749" i="9" s="1"/>
  <c r="AN749" i="9" s="1"/>
  <c r="AK750" i="9"/>
  <c r="AL750" i="9" s="1"/>
  <c r="AK751" i="9"/>
  <c r="AL751" i="9" s="1"/>
  <c r="AK752" i="9"/>
  <c r="AL752" i="9" s="1"/>
  <c r="AK753" i="9"/>
  <c r="AL753" i="9" s="1"/>
  <c r="AN753" i="9" s="1"/>
  <c r="AK754" i="9"/>
  <c r="AL754" i="9" s="1"/>
  <c r="AK755" i="9"/>
  <c r="AL755" i="9" s="1"/>
  <c r="AK756" i="9"/>
  <c r="AL756" i="9" s="1"/>
  <c r="AN756" i="9" s="1"/>
  <c r="AK757" i="9"/>
  <c r="AL757" i="9" s="1"/>
  <c r="AK758" i="9"/>
  <c r="AL758" i="9" s="1"/>
  <c r="AK759" i="9"/>
  <c r="AL759" i="9" s="1"/>
  <c r="AK760" i="9"/>
  <c r="AL760" i="9" s="1"/>
  <c r="AN760" i="9" s="1"/>
  <c r="AK761" i="9"/>
  <c r="AL761" i="9" s="1"/>
  <c r="AK762" i="9"/>
  <c r="AL762" i="9" s="1"/>
  <c r="AK763" i="9"/>
  <c r="AL763" i="9" s="1"/>
  <c r="AK764" i="9"/>
  <c r="AL764" i="9" s="1"/>
  <c r="AN764" i="9" s="1"/>
  <c r="AK765" i="9"/>
  <c r="AL765" i="9" s="1"/>
  <c r="AK766" i="9"/>
  <c r="AL766" i="9" s="1"/>
  <c r="AK767" i="9"/>
  <c r="AL767" i="9" s="1"/>
  <c r="AN767" i="9" s="1"/>
  <c r="AK768" i="9"/>
  <c r="AL768" i="9" s="1"/>
  <c r="AK769" i="9"/>
  <c r="AL769" i="9" s="1"/>
  <c r="AK770" i="9"/>
  <c r="AL770" i="9" s="1"/>
  <c r="AK771" i="9"/>
  <c r="AL771" i="9" s="1"/>
  <c r="AN771" i="9" s="1"/>
  <c r="AK772" i="9"/>
  <c r="AL772" i="9" s="1"/>
  <c r="AN772" i="9" s="1"/>
  <c r="AK773" i="9"/>
  <c r="AL773" i="9" s="1"/>
  <c r="AK774" i="9"/>
  <c r="AL774" i="9" s="1"/>
  <c r="AK775" i="9"/>
  <c r="AL775" i="9" s="1"/>
  <c r="AN775" i="9" s="1"/>
  <c r="AK776" i="9"/>
  <c r="AL776" i="9" s="1"/>
  <c r="AK777" i="9"/>
  <c r="AL777" i="9" s="1"/>
  <c r="AN777" i="9" s="1"/>
  <c r="AK778" i="9"/>
  <c r="AL778" i="9" s="1"/>
  <c r="AK779" i="9"/>
  <c r="AL779" i="9" s="1"/>
  <c r="AK780" i="9"/>
  <c r="AL780" i="9" s="1"/>
  <c r="AN780" i="9" s="1"/>
  <c r="AK781" i="9"/>
  <c r="AL781" i="9" s="1"/>
  <c r="AN781" i="9" s="1"/>
  <c r="AK782" i="9"/>
  <c r="AL782" i="9" s="1"/>
  <c r="AK783" i="9"/>
  <c r="AL783" i="9" s="1"/>
  <c r="AK784" i="9"/>
  <c r="AL784" i="9" s="1"/>
  <c r="AK785" i="9"/>
  <c r="AL785" i="9" s="1"/>
  <c r="AN785" i="9" s="1"/>
  <c r="AK786" i="9"/>
  <c r="AL786" i="9" s="1"/>
  <c r="AK787" i="9"/>
  <c r="AL787" i="9" s="1"/>
  <c r="AK788" i="9"/>
  <c r="AL788" i="9" s="1"/>
  <c r="AN788" i="9" s="1"/>
  <c r="AK789" i="9"/>
  <c r="AL789" i="9" s="1"/>
  <c r="AK790" i="9"/>
  <c r="AL790" i="9" s="1"/>
  <c r="AK791" i="9"/>
  <c r="AL791" i="9" s="1"/>
  <c r="AK792" i="9"/>
  <c r="AL792" i="9" s="1"/>
  <c r="AN792" i="9" s="1"/>
  <c r="AK793" i="9"/>
  <c r="AL793" i="9" s="1"/>
  <c r="AK794" i="9"/>
  <c r="AL794" i="9" s="1"/>
  <c r="AK795" i="9"/>
  <c r="AL795" i="9" s="1"/>
  <c r="AK796" i="9"/>
  <c r="AL796" i="9" s="1"/>
  <c r="AN796" i="9" s="1"/>
  <c r="AK797" i="9"/>
  <c r="AL797" i="9" s="1"/>
  <c r="AK798" i="9"/>
  <c r="AL798" i="9" s="1"/>
  <c r="AK799" i="9"/>
  <c r="AL799" i="9" s="1"/>
  <c r="AN799" i="9" s="1"/>
  <c r="AK800" i="9"/>
  <c r="AL800" i="9" s="1"/>
  <c r="AK801" i="9"/>
  <c r="AL801" i="9" s="1"/>
  <c r="AK802" i="9"/>
  <c r="AL802" i="9" s="1"/>
  <c r="AK803" i="9"/>
  <c r="AL803" i="9" s="1"/>
  <c r="AN803" i="9" s="1"/>
  <c r="AK804" i="9"/>
  <c r="AL804" i="9" s="1"/>
  <c r="AN804" i="9" s="1"/>
  <c r="AK805" i="9"/>
  <c r="AL805" i="9" s="1"/>
  <c r="AK806" i="9"/>
  <c r="AL806" i="9" s="1"/>
  <c r="AK807" i="9"/>
  <c r="AL807" i="9" s="1"/>
  <c r="AN807" i="9" s="1"/>
  <c r="AK808" i="9"/>
  <c r="AL808" i="9" s="1"/>
  <c r="AK809" i="9"/>
  <c r="AL809" i="9" s="1"/>
  <c r="AN809" i="9" s="1"/>
  <c r="AK810" i="9"/>
  <c r="AL810" i="9" s="1"/>
  <c r="AK811" i="9"/>
  <c r="AL811" i="9" s="1"/>
  <c r="AK812" i="9"/>
  <c r="AL812" i="9" s="1"/>
  <c r="AN812" i="9" s="1"/>
  <c r="AK813" i="9"/>
  <c r="AL813" i="9" s="1"/>
  <c r="AN813" i="9" s="1"/>
  <c r="AK814" i="9"/>
  <c r="AL814" i="9" s="1"/>
  <c r="AK815" i="9"/>
  <c r="AL815" i="9" s="1"/>
  <c r="AK816" i="9"/>
  <c r="AL816" i="9" s="1"/>
  <c r="AK817" i="9"/>
  <c r="AL817" i="9" s="1"/>
  <c r="AN817" i="9" s="1"/>
  <c r="AK818" i="9"/>
  <c r="AL818" i="9" s="1"/>
  <c r="AK819" i="9"/>
  <c r="AL819" i="9" s="1"/>
  <c r="AK820" i="9"/>
  <c r="AL820" i="9" s="1"/>
  <c r="AN820" i="9" s="1"/>
  <c r="AK821" i="9"/>
  <c r="AL821" i="9" s="1"/>
  <c r="AK822" i="9"/>
  <c r="AL822" i="9" s="1"/>
  <c r="AK823" i="9"/>
  <c r="AL823" i="9" s="1"/>
  <c r="AK824" i="9"/>
  <c r="AL824" i="9" s="1"/>
  <c r="AN824" i="9" s="1"/>
  <c r="AK825" i="9"/>
  <c r="AL825" i="9" s="1"/>
  <c r="AK826" i="9"/>
  <c r="AL826" i="9" s="1"/>
  <c r="AK827" i="9"/>
  <c r="AL827" i="9" s="1"/>
  <c r="AK828" i="9"/>
  <c r="AL828" i="9" s="1"/>
  <c r="AN828" i="9" s="1"/>
  <c r="AK829" i="9"/>
  <c r="AL829" i="9" s="1"/>
  <c r="AK830" i="9"/>
  <c r="AL830" i="9" s="1"/>
  <c r="AK831" i="9"/>
  <c r="AL831" i="9" s="1"/>
  <c r="AN831" i="9" s="1"/>
  <c r="AK832" i="9"/>
  <c r="AL832" i="9" s="1"/>
  <c r="AK833" i="9"/>
  <c r="AL833" i="9" s="1"/>
  <c r="AK834" i="9"/>
  <c r="AL834" i="9" s="1"/>
  <c r="AK835" i="9"/>
  <c r="AL835" i="9" s="1"/>
  <c r="AN835" i="9" s="1"/>
  <c r="AK836" i="9"/>
  <c r="AL836" i="9" s="1"/>
  <c r="AN836" i="9" s="1"/>
  <c r="AK837" i="9"/>
  <c r="AL837" i="9" s="1"/>
  <c r="AK838" i="9"/>
  <c r="AL838" i="9" s="1"/>
  <c r="AK839" i="9"/>
  <c r="AL839" i="9" s="1"/>
  <c r="AN839" i="9" s="1"/>
  <c r="AK840" i="9"/>
  <c r="AL840" i="9" s="1"/>
  <c r="AK841" i="9"/>
  <c r="AL841" i="9" s="1"/>
  <c r="AN841" i="9" s="1"/>
  <c r="AK842" i="9"/>
  <c r="AL842" i="9" s="1"/>
  <c r="AK843" i="9"/>
  <c r="AL843" i="9" s="1"/>
  <c r="AK844" i="9"/>
  <c r="AL844" i="9" s="1"/>
  <c r="AN844" i="9" s="1"/>
  <c r="AK845" i="9"/>
  <c r="AL845" i="9" s="1"/>
  <c r="AN845" i="9" s="1"/>
  <c r="AK846" i="9"/>
  <c r="AL846" i="9" s="1"/>
  <c r="AK847" i="9"/>
  <c r="AL847" i="9" s="1"/>
  <c r="AK848" i="9"/>
  <c r="AL848" i="9" s="1"/>
  <c r="AK849" i="9"/>
  <c r="AL849" i="9" s="1"/>
  <c r="AN849" i="9" s="1"/>
  <c r="AK850" i="9"/>
  <c r="AL850" i="9" s="1"/>
  <c r="AK851" i="9"/>
  <c r="AL851" i="9" s="1"/>
  <c r="AK852" i="9"/>
  <c r="AL852" i="9" s="1"/>
  <c r="AN852" i="9" s="1"/>
  <c r="AK853" i="9"/>
  <c r="AL853" i="9" s="1"/>
  <c r="AK854" i="9"/>
  <c r="AL854" i="9" s="1"/>
  <c r="AK855" i="9"/>
  <c r="AL855" i="9" s="1"/>
  <c r="AK856" i="9"/>
  <c r="AL856" i="9" s="1"/>
  <c r="AN856" i="9" s="1"/>
  <c r="AK857" i="9"/>
  <c r="AL857" i="9" s="1"/>
  <c r="AK858" i="9"/>
  <c r="AL858" i="9" s="1"/>
  <c r="AK859" i="9"/>
  <c r="AL859" i="9" s="1"/>
  <c r="AK860" i="9"/>
  <c r="AL860" i="9" s="1"/>
  <c r="AN860" i="9" s="1"/>
  <c r="AK861" i="9"/>
  <c r="AL861" i="9" s="1"/>
  <c r="AK862" i="9"/>
  <c r="AL862" i="9" s="1"/>
  <c r="AK863" i="9"/>
  <c r="AL863" i="9" s="1"/>
  <c r="AN863" i="9" s="1"/>
  <c r="AK864" i="9"/>
  <c r="AL864" i="9" s="1"/>
  <c r="AK865" i="9"/>
  <c r="AL865" i="9" s="1"/>
  <c r="AK866" i="9"/>
  <c r="AL866" i="9" s="1"/>
  <c r="AK867" i="9"/>
  <c r="AL867" i="9" s="1"/>
  <c r="AN867" i="9" s="1"/>
  <c r="AK868" i="9"/>
  <c r="AL868" i="9" s="1"/>
  <c r="AK869" i="9"/>
  <c r="AL869" i="9" s="1"/>
  <c r="AK870" i="9"/>
  <c r="AL870" i="9" s="1"/>
  <c r="AK871" i="9"/>
  <c r="AL871" i="9" s="1"/>
  <c r="AN871" i="9" s="1"/>
  <c r="AK872" i="9"/>
  <c r="AL872" i="9" s="1"/>
  <c r="AK873" i="9"/>
  <c r="AL873" i="9" s="1"/>
  <c r="AN873" i="9" s="1"/>
  <c r="AK874" i="9"/>
  <c r="AL874" i="9" s="1"/>
  <c r="AK875" i="9"/>
  <c r="AL875" i="9" s="1"/>
  <c r="AK876" i="9"/>
  <c r="AL876" i="9" s="1"/>
  <c r="AK877" i="9"/>
  <c r="AL877" i="9" s="1"/>
  <c r="AN877" i="9" s="1"/>
  <c r="AK878" i="9"/>
  <c r="AL878" i="9" s="1"/>
  <c r="AK879" i="9"/>
  <c r="AL879" i="9" s="1"/>
  <c r="AK880" i="9"/>
  <c r="AL880" i="9" s="1"/>
  <c r="AK881" i="9"/>
  <c r="AL881" i="9" s="1"/>
  <c r="AN881" i="9" s="1"/>
  <c r="AK882" i="9"/>
  <c r="AL882" i="9" s="1"/>
  <c r="AN882" i="9" s="1"/>
  <c r="AK883" i="9"/>
  <c r="AL883" i="9" s="1"/>
  <c r="AN883" i="9" s="1"/>
  <c r="AK884" i="9"/>
  <c r="AL884" i="9" s="1"/>
  <c r="AK885" i="9"/>
  <c r="AL885" i="9" s="1"/>
  <c r="AK886" i="9"/>
  <c r="AL886" i="9" s="1"/>
  <c r="AN886" i="9" s="1"/>
  <c r="AK887" i="9"/>
  <c r="AL887" i="9" s="1"/>
  <c r="AK888" i="9"/>
  <c r="AL888" i="9" s="1"/>
  <c r="AK889" i="9"/>
  <c r="AL889" i="9" s="1"/>
  <c r="AN889" i="9" s="1"/>
  <c r="AK890" i="9"/>
  <c r="AL890" i="9" s="1"/>
  <c r="AN890" i="9" s="1"/>
  <c r="AK891" i="9"/>
  <c r="AL891" i="9" s="1"/>
  <c r="AN891" i="9" s="1"/>
  <c r="AK892" i="9"/>
  <c r="AL892" i="9" s="1"/>
  <c r="AK893" i="9"/>
  <c r="AL893" i="9" s="1"/>
  <c r="AK894" i="9"/>
  <c r="AL894" i="9" s="1"/>
  <c r="AN894" i="9" s="1"/>
  <c r="AK895" i="9"/>
  <c r="AL895" i="9" s="1"/>
  <c r="AK896" i="9"/>
  <c r="AL896" i="9" s="1"/>
  <c r="AK897" i="9"/>
  <c r="AL897" i="9" s="1"/>
  <c r="AN897" i="9" s="1"/>
  <c r="AK898" i="9"/>
  <c r="AL898" i="9" s="1"/>
  <c r="AN898" i="9" s="1"/>
  <c r="AK899" i="9"/>
  <c r="AL899" i="9" s="1"/>
  <c r="AN899" i="9" s="1"/>
  <c r="AK900" i="9"/>
  <c r="AL900" i="9" s="1"/>
  <c r="AK901" i="9"/>
  <c r="AL901" i="9" s="1"/>
  <c r="AK902" i="9"/>
  <c r="AL902" i="9" s="1"/>
  <c r="AN902" i="9" s="1"/>
  <c r="AK903" i="9"/>
  <c r="AL903" i="9" s="1"/>
  <c r="AK904" i="9"/>
  <c r="AL904" i="9" s="1"/>
  <c r="AK905" i="9"/>
  <c r="AL905" i="9" s="1"/>
  <c r="AN905" i="9" s="1"/>
  <c r="AK906" i="9"/>
  <c r="AL906" i="9" s="1"/>
  <c r="AN906" i="9" s="1"/>
  <c r="AK907" i="9"/>
  <c r="AL907" i="9" s="1"/>
  <c r="AN907" i="9" s="1"/>
  <c r="AK908" i="9"/>
  <c r="AL908" i="9" s="1"/>
  <c r="AK909" i="9"/>
  <c r="AL909" i="9" s="1"/>
  <c r="AK910" i="9"/>
  <c r="AL910" i="9" s="1"/>
  <c r="AN910" i="9" s="1"/>
  <c r="AK911" i="9"/>
  <c r="AL911" i="9" s="1"/>
  <c r="AK912" i="9"/>
  <c r="AL912" i="9" s="1"/>
  <c r="AK913" i="9"/>
  <c r="AL913" i="9" s="1"/>
  <c r="AN913" i="9" s="1"/>
  <c r="AK914" i="9"/>
  <c r="AL914" i="9" s="1"/>
  <c r="AN914" i="9" s="1"/>
  <c r="AK915" i="9"/>
  <c r="AL915" i="9" s="1"/>
  <c r="AN915" i="9" s="1"/>
  <c r="AK916" i="9"/>
  <c r="AL916" i="9" s="1"/>
  <c r="AK917" i="9"/>
  <c r="AL917" i="9" s="1"/>
  <c r="AK918" i="9"/>
  <c r="AL918" i="9" s="1"/>
  <c r="AN918" i="9" s="1"/>
  <c r="AK919" i="9"/>
  <c r="AL919" i="9" s="1"/>
  <c r="AK920" i="9"/>
  <c r="AL920" i="9" s="1"/>
  <c r="AK921" i="9"/>
  <c r="AL921" i="9" s="1"/>
  <c r="AN921" i="9" s="1"/>
  <c r="AK922" i="9"/>
  <c r="AL922" i="9" s="1"/>
  <c r="AN922" i="9" s="1"/>
  <c r="AK923" i="9"/>
  <c r="AL923" i="9" s="1"/>
  <c r="AN923" i="9" s="1"/>
  <c r="AK924" i="9"/>
  <c r="AL924" i="9" s="1"/>
  <c r="AK925" i="9"/>
  <c r="AL925" i="9" s="1"/>
  <c r="AK926" i="9"/>
  <c r="AL926" i="9" s="1"/>
  <c r="AN926" i="9" s="1"/>
  <c r="AK927" i="9"/>
  <c r="AL927" i="9" s="1"/>
  <c r="AK928" i="9"/>
  <c r="AL928" i="9" s="1"/>
  <c r="AK929" i="9"/>
  <c r="AL929" i="9" s="1"/>
  <c r="AN929" i="9" s="1"/>
  <c r="AK930" i="9"/>
  <c r="AL930" i="9" s="1"/>
  <c r="AN930" i="9" s="1"/>
  <c r="AK931" i="9"/>
  <c r="AL931" i="9" s="1"/>
  <c r="AN931" i="9" s="1"/>
  <c r="AK932" i="9"/>
  <c r="AL932" i="9" s="1"/>
  <c r="AK933" i="9"/>
  <c r="AL933" i="9" s="1"/>
  <c r="AK934" i="9"/>
  <c r="AL934" i="9" s="1"/>
  <c r="AN934" i="9" s="1"/>
  <c r="AK935" i="9"/>
  <c r="AL935" i="9" s="1"/>
  <c r="AK936" i="9"/>
  <c r="AL936" i="9" s="1"/>
  <c r="AK937" i="9"/>
  <c r="AL937" i="9" s="1"/>
  <c r="AN937" i="9" s="1"/>
  <c r="AK938" i="9"/>
  <c r="AL938" i="9" s="1"/>
  <c r="AN938" i="9" s="1"/>
  <c r="AK939" i="9"/>
  <c r="AL939" i="9" s="1"/>
  <c r="AN939" i="9" s="1"/>
  <c r="AK940" i="9"/>
  <c r="AL940" i="9" s="1"/>
  <c r="AK941" i="9"/>
  <c r="AL941" i="9" s="1"/>
  <c r="AK942" i="9"/>
  <c r="AL942" i="9" s="1"/>
  <c r="AN942" i="9" s="1"/>
  <c r="AK943" i="9"/>
  <c r="AL943" i="9" s="1"/>
  <c r="AK944" i="9"/>
  <c r="AL944" i="9" s="1"/>
  <c r="AK945" i="9"/>
  <c r="AL945" i="9" s="1"/>
  <c r="AN945" i="9" s="1"/>
  <c r="AK946" i="9"/>
  <c r="AL946" i="9" s="1"/>
  <c r="AN946" i="9" s="1"/>
  <c r="AK947" i="9"/>
  <c r="AL947" i="9" s="1"/>
  <c r="AN947" i="9" s="1"/>
  <c r="AK948" i="9"/>
  <c r="AL948" i="9" s="1"/>
  <c r="AK949" i="9"/>
  <c r="AL949" i="9" s="1"/>
  <c r="AK950" i="9"/>
  <c r="AL950" i="9" s="1"/>
  <c r="AN950" i="9" s="1"/>
  <c r="AK951" i="9"/>
  <c r="AL951" i="9" s="1"/>
  <c r="AK952" i="9"/>
  <c r="AL952" i="9" s="1"/>
  <c r="AK953" i="9"/>
  <c r="AL953" i="9" s="1"/>
  <c r="AN953" i="9" s="1"/>
  <c r="AK954" i="9"/>
  <c r="AL954" i="9" s="1"/>
  <c r="AN954" i="9" s="1"/>
  <c r="AK955" i="9"/>
  <c r="AL955" i="9" s="1"/>
  <c r="AN955" i="9" s="1"/>
  <c r="AK956" i="9"/>
  <c r="AL956" i="9" s="1"/>
  <c r="AK957" i="9"/>
  <c r="AL957" i="9" s="1"/>
  <c r="AK958" i="9"/>
  <c r="AL958" i="9" s="1"/>
  <c r="AN958" i="9" s="1"/>
  <c r="AK959" i="9"/>
  <c r="AL959" i="9" s="1"/>
  <c r="AK960" i="9"/>
  <c r="AL960" i="9" s="1"/>
  <c r="AK961" i="9"/>
  <c r="AL961" i="9" s="1"/>
  <c r="AN961" i="9" s="1"/>
  <c r="AK962" i="9"/>
  <c r="AL962" i="9" s="1"/>
  <c r="AN962" i="9" s="1"/>
  <c r="AK963" i="9"/>
  <c r="AL963" i="9" s="1"/>
  <c r="AN963" i="9" s="1"/>
  <c r="AK964" i="9"/>
  <c r="AL964" i="9" s="1"/>
  <c r="AK965" i="9"/>
  <c r="AL965" i="9" s="1"/>
  <c r="AK966" i="9"/>
  <c r="AL966" i="9" s="1"/>
  <c r="AN966" i="9" s="1"/>
  <c r="AK967" i="9"/>
  <c r="AL967" i="9" s="1"/>
  <c r="AK968" i="9"/>
  <c r="AL968" i="9" s="1"/>
  <c r="AK969" i="9"/>
  <c r="AL969" i="9" s="1"/>
  <c r="AN969" i="9" s="1"/>
  <c r="AK970" i="9"/>
  <c r="AL970" i="9" s="1"/>
  <c r="AN970" i="9" s="1"/>
  <c r="AK971" i="9"/>
  <c r="AL971" i="9" s="1"/>
  <c r="AN971" i="9" s="1"/>
  <c r="AK972" i="9"/>
  <c r="AL972" i="9" s="1"/>
  <c r="AK973" i="9"/>
  <c r="AL973" i="9" s="1"/>
  <c r="AK974" i="9"/>
  <c r="AL974" i="9" s="1"/>
  <c r="AN974" i="9" s="1"/>
  <c r="AK975" i="9"/>
  <c r="AL975" i="9" s="1"/>
  <c r="AK976" i="9"/>
  <c r="AL976" i="9" s="1"/>
  <c r="AK977" i="9"/>
  <c r="AL977" i="9" s="1"/>
  <c r="AN977" i="9" s="1"/>
  <c r="AK978" i="9"/>
  <c r="AL978" i="9" s="1"/>
  <c r="AN978" i="9" s="1"/>
  <c r="AK979" i="9"/>
  <c r="AL979" i="9" s="1"/>
  <c r="AN979" i="9" s="1"/>
  <c r="AK980" i="9"/>
  <c r="AL980" i="9" s="1"/>
  <c r="AK981" i="9"/>
  <c r="AL981" i="9" s="1"/>
  <c r="AK982" i="9"/>
  <c r="AL982" i="9" s="1"/>
  <c r="AN982" i="9" s="1"/>
  <c r="AK983" i="9"/>
  <c r="AL983" i="9" s="1"/>
  <c r="AK984" i="9"/>
  <c r="AL984" i="9" s="1"/>
  <c r="AK985" i="9"/>
  <c r="AL985" i="9" s="1"/>
  <c r="AN985" i="9" s="1"/>
  <c r="AK986" i="9"/>
  <c r="AL986" i="9" s="1"/>
  <c r="AN986" i="9" s="1"/>
  <c r="AK987" i="9"/>
  <c r="AL987" i="9" s="1"/>
  <c r="AN987" i="9" s="1"/>
  <c r="AK988" i="9"/>
  <c r="AL988" i="9" s="1"/>
  <c r="AK989" i="9"/>
  <c r="AL989" i="9" s="1"/>
  <c r="AK990" i="9"/>
  <c r="AL990" i="9" s="1"/>
  <c r="AN990" i="9" s="1"/>
  <c r="AK991" i="9"/>
  <c r="AL991" i="9" s="1"/>
  <c r="AK992" i="9"/>
  <c r="AL992" i="9" s="1"/>
  <c r="AK993" i="9"/>
  <c r="AL993" i="9" s="1"/>
  <c r="AN993" i="9" s="1"/>
  <c r="AK994" i="9"/>
  <c r="AL994" i="9" s="1"/>
  <c r="AN994" i="9" s="1"/>
  <c r="AK995" i="9"/>
  <c r="AL995" i="9" s="1"/>
  <c r="AN995" i="9" s="1"/>
  <c r="AK996" i="9"/>
  <c r="AL996" i="9" s="1"/>
  <c r="AK997" i="9"/>
  <c r="AL997" i="9" s="1"/>
  <c r="AK998" i="9"/>
  <c r="AL998" i="9" s="1"/>
  <c r="AN998" i="9" s="1"/>
  <c r="AK999" i="9"/>
  <c r="AL999" i="9" s="1"/>
  <c r="AK1000" i="9"/>
  <c r="AL1000" i="9" s="1"/>
  <c r="AK1001" i="9"/>
  <c r="AL1001" i="9" s="1"/>
  <c r="AN1001" i="9" s="1"/>
  <c r="AK1002" i="9"/>
  <c r="AL1002" i="9" s="1"/>
  <c r="AN1002" i="9" s="1"/>
  <c r="AK1003" i="9"/>
  <c r="AL1003" i="9" s="1"/>
  <c r="AN1003" i="9" s="1"/>
  <c r="AK1004" i="9"/>
  <c r="AL1004" i="9" s="1"/>
  <c r="AK1005" i="9"/>
  <c r="AL1005" i="9" s="1"/>
  <c r="AK1006" i="9"/>
  <c r="AL1006" i="9" s="1"/>
  <c r="AN1006" i="9" s="1"/>
  <c r="AK1007" i="9"/>
  <c r="AL1007" i="9" s="1"/>
  <c r="AK1008" i="9"/>
  <c r="AL1008" i="9" s="1"/>
  <c r="AK1009" i="9"/>
  <c r="AL1009" i="9" s="1"/>
  <c r="AM921" i="9" l="1"/>
  <c r="AM509" i="9"/>
  <c r="AM955" i="9"/>
  <c r="AM467" i="9"/>
  <c r="AM894" i="9"/>
  <c r="AM122" i="9"/>
  <c r="AO122" i="9"/>
  <c r="AO107" i="9"/>
  <c r="AM107" i="9" s="1"/>
  <c r="AO91" i="9"/>
  <c r="AM91" i="9" s="1"/>
  <c r="AO51" i="9"/>
  <c r="AM51" i="9" s="1"/>
  <c r="AO1006" i="9"/>
  <c r="AM1006" i="9" s="1"/>
  <c r="AO982" i="9"/>
  <c r="AM982" i="9" s="1"/>
  <c r="AO974" i="9"/>
  <c r="AM974" i="9" s="1"/>
  <c r="AO950" i="9"/>
  <c r="AM950" i="9" s="1"/>
  <c r="AO942" i="9"/>
  <c r="AM942" i="9" s="1"/>
  <c r="AO918" i="9"/>
  <c r="AM918" i="9" s="1"/>
  <c r="AO910" i="9"/>
  <c r="AM910" i="9" s="1"/>
  <c r="AO886" i="9"/>
  <c r="AM886" i="9" s="1"/>
  <c r="AO31" i="9"/>
  <c r="AM31" i="9" s="1"/>
  <c r="AN1005" i="9"/>
  <c r="AO1005" i="9"/>
  <c r="AN981" i="9"/>
  <c r="AM981" i="9" s="1"/>
  <c r="AO981" i="9"/>
  <c r="AN973" i="9"/>
  <c r="AO973" i="9"/>
  <c r="AN965" i="9"/>
  <c r="AM965" i="9" s="1"/>
  <c r="AO965" i="9"/>
  <c r="AN957" i="9"/>
  <c r="AO957" i="9"/>
  <c r="AN949" i="9"/>
  <c r="AM949" i="9" s="1"/>
  <c r="AO949" i="9"/>
  <c r="AN941" i="9"/>
  <c r="AO941" i="9"/>
  <c r="AN933" i="9"/>
  <c r="AM933" i="9" s="1"/>
  <c r="AO933" i="9"/>
  <c r="AN925" i="9"/>
  <c r="AO925" i="9"/>
  <c r="AN917" i="9"/>
  <c r="AM917" i="9" s="1"/>
  <c r="AO917" i="9"/>
  <c r="AN909" i="9"/>
  <c r="AO909" i="9"/>
  <c r="AN901" i="9"/>
  <c r="AM901" i="9" s="1"/>
  <c r="AO901" i="9"/>
  <c r="AN893" i="9"/>
  <c r="AO893" i="9"/>
  <c r="AN885" i="9"/>
  <c r="AM885" i="9" s="1"/>
  <c r="AO885" i="9"/>
  <c r="AN869" i="9"/>
  <c r="AO869" i="9"/>
  <c r="AN865" i="9"/>
  <c r="AM865" i="9" s="1"/>
  <c r="AO865" i="9"/>
  <c r="AN861" i="9"/>
  <c r="AO861" i="9"/>
  <c r="AN857" i="9"/>
  <c r="AM857" i="9" s="1"/>
  <c r="AO857" i="9"/>
  <c r="AN853" i="9"/>
  <c r="AO853" i="9"/>
  <c r="AN837" i="9"/>
  <c r="AM837" i="9" s="1"/>
  <c r="AO837" i="9"/>
  <c r="AN833" i="9"/>
  <c r="AO833" i="9"/>
  <c r="AN829" i="9"/>
  <c r="AM829" i="9" s="1"/>
  <c r="AO829" i="9"/>
  <c r="AN825" i="9"/>
  <c r="AO825" i="9"/>
  <c r="AN821" i="9"/>
  <c r="AM821" i="9" s="1"/>
  <c r="AO821" i="9"/>
  <c r="AN805" i="9"/>
  <c r="AO805" i="9"/>
  <c r="AN801" i="9"/>
  <c r="AM801" i="9" s="1"/>
  <c r="AO801" i="9"/>
  <c r="AN797" i="9"/>
  <c r="AO797" i="9"/>
  <c r="AN793" i="9"/>
  <c r="AM793" i="9" s="1"/>
  <c r="AO793" i="9"/>
  <c r="AN789" i="9"/>
  <c r="AO789" i="9"/>
  <c r="AN773" i="9"/>
  <c r="AM773" i="9" s="1"/>
  <c r="AO773" i="9"/>
  <c r="AN769" i="9"/>
  <c r="AO769" i="9"/>
  <c r="AN765" i="9"/>
  <c r="AM765" i="9" s="1"/>
  <c r="AO765" i="9"/>
  <c r="AN761" i="9"/>
  <c r="AO761" i="9"/>
  <c r="AN757" i="9"/>
  <c r="AM757" i="9" s="1"/>
  <c r="AO757" i="9"/>
  <c r="AN741" i="9"/>
  <c r="AO741" i="9"/>
  <c r="AN737" i="9"/>
  <c r="AM737" i="9" s="1"/>
  <c r="AO737" i="9"/>
  <c r="AN729" i="9"/>
  <c r="AO729" i="9"/>
  <c r="AN725" i="9"/>
  <c r="AM725" i="9" s="1"/>
  <c r="AO725" i="9"/>
  <c r="AN721" i="9"/>
  <c r="AO721" i="9"/>
  <c r="AN713" i="9"/>
  <c r="AM713" i="9" s="1"/>
  <c r="AO713" i="9"/>
  <c r="AN709" i="9"/>
  <c r="AO709" i="9"/>
  <c r="AN705" i="9"/>
  <c r="AM705" i="9" s="1"/>
  <c r="AO705" i="9"/>
  <c r="AN697" i="9"/>
  <c r="AO697" i="9"/>
  <c r="AN693" i="9"/>
  <c r="AM693" i="9" s="1"/>
  <c r="AO693" i="9"/>
  <c r="AN689" i="9"/>
  <c r="AO689" i="9"/>
  <c r="AN681" i="9"/>
  <c r="AM681" i="9" s="1"/>
  <c r="AO681" i="9"/>
  <c r="AN677" i="9"/>
  <c r="AO677" i="9"/>
  <c r="AN673" i="9"/>
  <c r="AM673" i="9" s="1"/>
  <c r="AO673" i="9"/>
  <c r="AN665" i="9"/>
  <c r="AO665" i="9"/>
  <c r="AN661" i="9"/>
  <c r="AM661" i="9" s="1"/>
  <c r="AO661" i="9"/>
  <c r="AN657" i="9"/>
  <c r="AO657" i="9"/>
  <c r="AN649" i="9"/>
  <c r="AM649" i="9" s="1"/>
  <c r="AO649" i="9"/>
  <c r="AN645" i="9"/>
  <c r="AO645" i="9"/>
  <c r="AN641" i="9"/>
  <c r="AM641" i="9" s="1"/>
  <c r="AO641" i="9"/>
  <c r="AN633" i="9"/>
  <c r="AO633" i="9"/>
  <c r="AN629" i="9"/>
  <c r="AM629" i="9" s="1"/>
  <c r="AO629" i="9"/>
  <c r="AN625" i="9"/>
  <c r="AO625" i="9"/>
  <c r="AN617" i="9"/>
  <c r="AM617" i="9" s="1"/>
  <c r="AO617" i="9"/>
  <c r="AN613" i="9"/>
  <c r="AO613" i="9"/>
  <c r="AN609" i="9"/>
  <c r="AM609" i="9" s="1"/>
  <c r="AO609" i="9"/>
  <c r="AN601" i="9"/>
  <c r="AO601" i="9"/>
  <c r="AN597" i="9"/>
  <c r="AM597" i="9" s="1"/>
  <c r="AO597" i="9"/>
  <c r="AN593" i="9"/>
  <c r="AO593" i="9"/>
  <c r="AN585" i="9"/>
  <c r="AM585" i="9" s="1"/>
  <c r="AO585" i="9"/>
  <c r="AN581" i="9"/>
  <c r="AO581" i="9"/>
  <c r="AN577" i="9"/>
  <c r="AM577" i="9" s="1"/>
  <c r="AO577" i="9"/>
  <c r="AN569" i="9"/>
  <c r="AO569" i="9"/>
  <c r="AN565" i="9"/>
  <c r="AM565" i="9" s="1"/>
  <c r="AO565" i="9"/>
  <c r="AN561" i="9"/>
  <c r="AO561" i="9"/>
  <c r="AN553" i="9"/>
  <c r="AM553" i="9" s="1"/>
  <c r="AO553" i="9"/>
  <c r="AN549" i="9"/>
  <c r="AM549" i="9" s="1"/>
  <c r="AO549" i="9"/>
  <c r="AN545" i="9"/>
  <c r="AM545" i="9" s="1"/>
  <c r="AO545" i="9"/>
  <c r="AN537" i="9"/>
  <c r="AM537" i="9" s="1"/>
  <c r="AO537" i="9"/>
  <c r="AN533" i="9"/>
  <c r="AM533" i="9" s="1"/>
  <c r="AO533" i="9"/>
  <c r="AN529" i="9"/>
  <c r="AM529" i="9" s="1"/>
  <c r="AO529" i="9"/>
  <c r="AN521" i="9"/>
  <c r="AM521" i="9" s="1"/>
  <c r="AO521" i="9"/>
  <c r="AN517" i="9"/>
  <c r="AM517" i="9" s="1"/>
  <c r="AO517" i="9"/>
  <c r="AN513" i="9"/>
  <c r="AM513" i="9" s="1"/>
  <c r="AO513" i="9"/>
  <c r="AN505" i="9"/>
  <c r="AM505" i="9" s="1"/>
  <c r="AO505" i="9"/>
  <c r="AN501" i="9"/>
  <c r="AM501" i="9" s="1"/>
  <c r="AO501" i="9"/>
  <c r="AN497" i="9"/>
  <c r="AM497" i="9" s="1"/>
  <c r="AO497" i="9"/>
  <c r="AN489" i="9"/>
  <c r="AM489" i="9" s="1"/>
  <c r="AO489" i="9"/>
  <c r="AN485" i="9"/>
  <c r="AM485" i="9" s="1"/>
  <c r="AO485" i="9"/>
  <c r="AN481" i="9"/>
  <c r="AM481" i="9" s="1"/>
  <c r="AO481" i="9"/>
  <c r="AN473" i="9"/>
  <c r="AM473" i="9" s="1"/>
  <c r="AO473" i="9"/>
  <c r="AN469" i="9"/>
  <c r="AM469" i="9" s="1"/>
  <c r="AO469" i="9"/>
  <c r="AN465" i="9"/>
  <c r="AM465" i="9" s="1"/>
  <c r="AO465" i="9"/>
  <c r="AN457" i="9"/>
  <c r="AM457" i="9" s="1"/>
  <c r="AO457" i="9"/>
  <c r="AN453" i="9"/>
  <c r="AM453" i="9" s="1"/>
  <c r="AO453" i="9"/>
  <c r="AN449" i="9"/>
  <c r="AM449" i="9" s="1"/>
  <c r="AO449" i="9"/>
  <c r="AN445" i="9"/>
  <c r="AM445" i="9" s="1"/>
  <c r="AO445" i="9"/>
  <c r="AN441" i="9"/>
  <c r="AM441" i="9" s="1"/>
  <c r="AO441" i="9"/>
  <c r="AN437" i="9"/>
  <c r="AM437" i="9" s="1"/>
  <c r="AO437" i="9"/>
  <c r="AN433" i="9"/>
  <c r="AM433" i="9" s="1"/>
  <c r="AO433" i="9"/>
  <c r="AN429" i="9"/>
  <c r="AM429" i="9" s="1"/>
  <c r="AO429" i="9"/>
  <c r="AN425" i="9"/>
  <c r="AM425" i="9" s="1"/>
  <c r="AO425" i="9"/>
  <c r="AN421" i="9"/>
  <c r="AM421" i="9" s="1"/>
  <c r="AO421" i="9"/>
  <c r="AN417" i="9"/>
  <c r="AM417" i="9" s="1"/>
  <c r="AO417" i="9"/>
  <c r="AN413" i="9"/>
  <c r="AM413" i="9" s="1"/>
  <c r="AO413" i="9"/>
  <c r="AN409" i="9"/>
  <c r="AM409" i="9" s="1"/>
  <c r="AO409" i="9"/>
  <c r="AN405" i="9"/>
  <c r="AM405" i="9" s="1"/>
  <c r="AO405" i="9"/>
  <c r="AN401" i="9"/>
  <c r="AM401" i="9" s="1"/>
  <c r="AO401" i="9"/>
  <c r="AN397" i="9"/>
  <c r="AM397" i="9" s="1"/>
  <c r="AO397" i="9"/>
  <c r="AN393" i="9"/>
  <c r="AM393" i="9" s="1"/>
  <c r="AO393" i="9"/>
  <c r="AN389" i="9"/>
  <c r="AM389" i="9" s="1"/>
  <c r="AO389" i="9"/>
  <c r="AN385" i="9"/>
  <c r="AM385" i="9" s="1"/>
  <c r="AO385" i="9"/>
  <c r="AN381" i="9"/>
  <c r="AM381" i="9" s="1"/>
  <c r="AO381" i="9"/>
  <c r="AN377" i="9"/>
  <c r="AM377" i="9" s="1"/>
  <c r="AO377" i="9"/>
  <c r="AN373" i="9"/>
  <c r="AM373" i="9" s="1"/>
  <c r="AO373" i="9"/>
  <c r="AN369" i="9"/>
  <c r="AM369" i="9" s="1"/>
  <c r="AO369" i="9"/>
  <c r="AN365" i="9"/>
  <c r="AM365" i="9" s="1"/>
  <c r="AO365" i="9"/>
  <c r="AN361" i="9"/>
  <c r="AM361" i="9" s="1"/>
  <c r="AO361" i="9"/>
  <c r="AN357" i="9"/>
  <c r="AM357" i="9" s="1"/>
  <c r="AO357" i="9"/>
  <c r="AN353" i="9"/>
  <c r="AM353" i="9" s="1"/>
  <c r="AO353" i="9"/>
  <c r="AN349" i="9"/>
  <c r="AM349" i="9" s="1"/>
  <c r="AO349" i="9"/>
  <c r="AN345" i="9"/>
  <c r="AM345" i="9" s="1"/>
  <c r="AO345" i="9"/>
  <c r="AN341" i="9"/>
  <c r="AM341" i="9" s="1"/>
  <c r="AO341" i="9"/>
  <c r="AN337" i="9"/>
  <c r="AM337" i="9" s="1"/>
  <c r="AO337" i="9"/>
  <c r="AN333" i="9"/>
  <c r="AM333" i="9" s="1"/>
  <c r="AO333" i="9"/>
  <c r="AN329" i="9"/>
  <c r="AM329" i="9" s="1"/>
  <c r="AO329" i="9"/>
  <c r="AN325" i="9"/>
  <c r="AM325" i="9" s="1"/>
  <c r="AO325" i="9"/>
  <c r="AN317" i="9"/>
  <c r="AM317" i="9" s="1"/>
  <c r="AO317" i="9"/>
  <c r="AN313" i="9"/>
  <c r="AM313" i="9" s="1"/>
  <c r="AO313" i="9"/>
  <c r="AN309" i="9"/>
  <c r="AM309" i="9" s="1"/>
  <c r="AO309" i="9"/>
  <c r="AN305" i="9"/>
  <c r="AM305" i="9" s="1"/>
  <c r="AO305" i="9"/>
  <c r="AN301" i="9"/>
  <c r="AM301" i="9" s="1"/>
  <c r="AO301" i="9"/>
  <c r="AN297" i="9"/>
  <c r="AM297" i="9" s="1"/>
  <c r="AO297" i="9"/>
  <c r="AN289" i="9"/>
  <c r="AM289" i="9" s="1"/>
  <c r="AO289" i="9"/>
  <c r="AN285" i="9"/>
  <c r="AM285" i="9" s="1"/>
  <c r="AO285" i="9"/>
  <c r="AN281" i="9"/>
  <c r="AM281" i="9" s="1"/>
  <c r="AO281" i="9"/>
  <c r="AN277" i="9"/>
  <c r="AM277" i="9" s="1"/>
  <c r="AO277" i="9"/>
  <c r="AN273" i="9"/>
  <c r="AM273" i="9" s="1"/>
  <c r="AO273" i="9"/>
  <c r="AN269" i="9"/>
  <c r="AM269" i="9" s="1"/>
  <c r="AO269" i="9"/>
  <c r="AN261" i="9"/>
  <c r="AM261" i="9" s="1"/>
  <c r="AO261" i="9"/>
  <c r="AN257" i="9"/>
  <c r="AM257" i="9" s="1"/>
  <c r="AO257" i="9"/>
  <c r="AN253" i="9"/>
  <c r="AM253" i="9" s="1"/>
  <c r="AO253" i="9"/>
  <c r="AN249" i="9"/>
  <c r="AM249" i="9" s="1"/>
  <c r="AO249" i="9"/>
  <c r="AN245" i="9"/>
  <c r="AM245" i="9" s="1"/>
  <c r="AO245" i="9"/>
  <c r="AN241" i="9"/>
  <c r="AM241" i="9" s="1"/>
  <c r="AO241" i="9"/>
  <c r="AN237" i="9"/>
  <c r="AM237" i="9" s="1"/>
  <c r="AO237" i="9"/>
  <c r="AN233" i="9"/>
  <c r="AM233" i="9" s="1"/>
  <c r="AO233" i="9"/>
  <c r="AN229" i="9"/>
  <c r="AM229" i="9" s="1"/>
  <c r="AO229" i="9"/>
  <c r="AN225" i="9"/>
  <c r="AM225" i="9" s="1"/>
  <c r="AO225" i="9"/>
  <c r="AN221" i="9"/>
  <c r="AM221" i="9" s="1"/>
  <c r="AO221" i="9"/>
  <c r="AN217" i="9"/>
  <c r="AM217" i="9" s="1"/>
  <c r="AO217" i="9"/>
  <c r="AN213" i="9"/>
  <c r="AM213" i="9" s="1"/>
  <c r="AO213" i="9"/>
  <c r="AN209" i="9"/>
  <c r="AM209" i="9" s="1"/>
  <c r="AO209" i="9"/>
  <c r="AN205" i="9"/>
  <c r="AM205" i="9" s="1"/>
  <c r="AO205" i="9"/>
  <c r="AN201" i="9"/>
  <c r="AM201" i="9" s="1"/>
  <c r="AO201" i="9"/>
  <c r="AN197" i="9"/>
  <c r="AM197" i="9" s="1"/>
  <c r="AO197" i="9"/>
  <c r="AN189" i="9"/>
  <c r="AM189" i="9" s="1"/>
  <c r="AO189" i="9"/>
  <c r="AN185" i="9"/>
  <c r="AM185" i="9" s="1"/>
  <c r="AO185" i="9"/>
  <c r="AN181" i="9"/>
  <c r="AM181" i="9" s="1"/>
  <c r="AO181" i="9"/>
  <c r="AN177" i="9"/>
  <c r="AM177" i="9" s="1"/>
  <c r="AO177" i="9"/>
  <c r="AN173" i="9"/>
  <c r="AM173" i="9" s="1"/>
  <c r="AO173" i="9"/>
  <c r="AN169" i="9"/>
  <c r="AM169" i="9" s="1"/>
  <c r="AO169" i="9"/>
  <c r="AN161" i="9"/>
  <c r="AM161" i="9" s="1"/>
  <c r="AO161" i="9"/>
  <c r="AN157" i="9"/>
  <c r="AM157" i="9" s="1"/>
  <c r="AO157" i="9"/>
  <c r="AN153" i="9"/>
  <c r="AM153" i="9" s="1"/>
  <c r="AO153" i="9"/>
  <c r="AN149" i="9"/>
  <c r="AM149" i="9" s="1"/>
  <c r="AO149" i="9"/>
  <c r="AN145" i="9"/>
  <c r="AM145" i="9" s="1"/>
  <c r="AO145" i="9"/>
  <c r="AN141" i="9"/>
  <c r="AM141" i="9" s="1"/>
  <c r="AO141" i="9"/>
  <c r="AN133" i="9"/>
  <c r="AM133" i="9" s="1"/>
  <c r="AO133" i="9"/>
  <c r="AN129" i="9"/>
  <c r="AM129" i="9" s="1"/>
  <c r="AO129" i="9"/>
  <c r="AN125" i="9"/>
  <c r="AM125" i="9" s="1"/>
  <c r="AO125" i="9"/>
  <c r="AN121" i="9"/>
  <c r="AM121" i="9" s="1"/>
  <c r="AO121" i="9"/>
  <c r="AN117" i="9"/>
  <c r="AM117" i="9" s="1"/>
  <c r="AO117" i="9"/>
  <c r="AN113" i="9"/>
  <c r="AM113" i="9" s="1"/>
  <c r="AO113" i="9"/>
  <c r="AN109" i="9"/>
  <c r="AM109" i="9" s="1"/>
  <c r="AO109" i="9"/>
  <c r="AN105" i="9"/>
  <c r="AM105" i="9" s="1"/>
  <c r="AO105" i="9"/>
  <c r="AN101" i="9"/>
  <c r="AM101" i="9" s="1"/>
  <c r="AO101" i="9"/>
  <c r="AN97" i="9"/>
  <c r="AM97" i="9" s="1"/>
  <c r="AO97" i="9"/>
  <c r="AN93" i="9"/>
  <c r="AM93" i="9" s="1"/>
  <c r="AO93" i="9"/>
  <c r="AN89" i="9"/>
  <c r="AM89" i="9" s="1"/>
  <c r="AO89" i="9"/>
  <c r="AN85" i="9"/>
  <c r="AM85" i="9" s="1"/>
  <c r="AO85" i="9"/>
  <c r="AN81" i="9"/>
  <c r="AM81" i="9" s="1"/>
  <c r="AO81" i="9"/>
  <c r="AN77" i="9"/>
  <c r="AM77" i="9" s="1"/>
  <c r="AO77" i="9"/>
  <c r="AN69" i="9"/>
  <c r="AM69" i="9" s="1"/>
  <c r="AO69" i="9"/>
  <c r="AN65" i="9"/>
  <c r="AM65" i="9" s="1"/>
  <c r="AO65" i="9"/>
  <c r="AN61" i="9"/>
  <c r="AM61" i="9" s="1"/>
  <c r="AO61" i="9"/>
  <c r="AN57" i="9"/>
  <c r="AM57" i="9" s="1"/>
  <c r="AO57" i="9"/>
  <c r="AN53" i="9"/>
  <c r="AM53" i="9" s="1"/>
  <c r="AO53" i="9"/>
  <c r="AN49" i="9"/>
  <c r="AM49" i="9" s="1"/>
  <c r="AO49" i="9"/>
  <c r="AN45" i="9"/>
  <c r="AM45" i="9" s="1"/>
  <c r="AO45" i="9"/>
  <c r="AN41" i="9"/>
  <c r="AM41" i="9" s="1"/>
  <c r="AO41" i="9"/>
  <c r="AN37" i="9"/>
  <c r="AM37" i="9" s="1"/>
  <c r="AO37" i="9"/>
  <c r="AN33" i="9"/>
  <c r="AM33" i="9" s="1"/>
  <c r="AO33" i="9"/>
  <c r="AN29" i="9"/>
  <c r="AM29" i="9" s="1"/>
  <c r="AO29" i="9"/>
  <c r="AN25" i="9"/>
  <c r="AM25" i="9" s="1"/>
  <c r="AO25" i="9"/>
  <c r="AN21" i="9"/>
  <c r="AM21" i="9" s="1"/>
  <c r="AO21" i="9"/>
  <c r="AN17" i="9"/>
  <c r="AM17" i="9" s="1"/>
  <c r="AO17" i="9"/>
  <c r="AN13" i="9"/>
  <c r="AM13" i="9" s="1"/>
  <c r="AO13" i="9"/>
  <c r="AN9" i="9"/>
  <c r="AM9" i="9" s="1"/>
  <c r="AO9" i="9"/>
  <c r="AN816" i="9"/>
  <c r="AM816" i="9" s="1"/>
  <c r="AO816" i="9"/>
  <c r="AN776" i="9"/>
  <c r="AM776" i="9" s="1"/>
  <c r="AO776" i="9"/>
  <c r="AN734" i="9"/>
  <c r="AM734" i="9" s="1"/>
  <c r="AO734" i="9"/>
  <c r="AN688" i="9"/>
  <c r="AM688" i="9" s="1"/>
  <c r="AO688" i="9"/>
  <c r="AN606" i="9"/>
  <c r="AM606" i="9" s="1"/>
  <c r="AO606" i="9"/>
  <c r="AN560" i="9"/>
  <c r="AM560" i="9" s="1"/>
  <c r="AO560" i="9"/>
  <c r="AN478" i="9"/>
  <c r="AM478" i="9" s="1"/>
  <c r="AO478" i="9"/>
  <c r="AN432" i="9"/>
  <c r="AM432" i="9" s="1"/>
  <c r="AO432" i="9"/>
  <c r="AN394" i="9"/>
  <c r="AM394" i="9" s="1"/>
  <c r="AO394" i="9"/>
  <c r="AN306" i="9"/>
  <c r="AM306" i="9" s="1"/>
  <c r="AO306" i="9"/>
  <c r="AN266" i="9"/>
  <c r="AM266" i="9" s="1"/>
  <c r="AO266" i="9"/>
  <c r="AN178" i="9"/>
  <c r="AM178" i="9" s="1"/>
  <c r="AO178" i="9"/>
  <c r="AN120" i="9"/>
  <c r="AM120" i="9" s="1"/>
  <c r="AO120" i="9"/>
  <c r="AN56" i="9"/>
  <c r="AM56" i="9" s="1"/>
  <c r="AO56" i="9"/>
  <c r="AO995" i="9"/>
  <c r="AM995" i="9" s="1"/>
  <c r="AO985" i="9"/>
  <c r="AM985" i="9" s="1"/>
  <c r="AO963" i="9"/>
  <c r="AM963" i="9" s="1"/>
  <c r="AO953" i="9"/>
  <c r="AM953" i="9" s="1"/>
  <c r="AO931" i="9"/>
  <c r="AM931" i="9" s="1"/>
  <c r="AO921" i="9"/>
  <c r="AO899" i="9"/>
  <c r="AM899" i="9" s="1"/>
  <c r="AO889" i="9"/>
  <c r="AM889" i="9" s="1"/>
  <c r="AO877" i="9"/>
  <c r="AM877" i="9" s="1"/>
  <c r="AO863" i="9"/>
  <c r="AM863" i="9" s="1"/>
  <c r="AO849" i="9"/>
  <c r="AM849" i="9" s="1"/>
  <c r="AO835" i="9"/>
  <c r="AM835" i="9" s="1"/>
  <c r="AO820" i="9"/>
  <c r="AM820" i="9" s="1"/>
  <c r="AO807" i="9"/>
  <c r="AM807" i="9" s="1"/>
  <c r="AO792" i="9"/>
  <c r="AM792" i="9" s="1"/>
  <c r="AO777" i="9"/>
  <c r="AM777" i="9" s="1"/>
  <c r="AO764" i="9"/>
  <c r="AM764" i="9" s="1"/>
  <c r="AO749" i="9"/>
  <c r="AM749" i="9" s="1"/>
  <c r="AO733" i="9"/>
  <c r="AM733" i="9" s="1"/>
  <c r="AO712" i="9"/>
  <c r="AM712" i="9" s="1"/>
  <c r="AO691" i="9"/>
  <c r="AM691" i="9" s="1"/>
  <c r="AO669" i="9"/>
  <c r="AM669" i="9" s="1"/>
  <c r="AO648" i="9"/>
  <c r="AM648" i="9" s="1"/>
  <c r="AO627" i="9"/>
  <c r="AM627" i="9" s="1"/>
  <c r="AO605" i="9"/>
  <c r="AM605" i="9" s="1"/>
  <c r="AO584" i="9"/>
  <c r="AM584" i="9" s="1"/>
  <c r="AO563" i="9"/>
  <c r="AM563" i="9" s="1"/>
  <c r="AO541" i="9"/>
  <c r="AM541" i="9" s="1"/>
  <c r="AO520" i="9"/>
  <c r="AM520" i="9" s="1"/>
  <c r="AO499" i="9"/>
  <c r="AM499" i="9" s="1"/>
  <c r="AO477" i="9"/>
  <c r="AM477" i="9" s="1"/>
  <c r="AO456" i="9"/>
  <c r="AM456" i="9" s="1"/>
  <c r="AO414" i="9"/>
  <c r="AM414" i="9" s="1"/>
  <c r="AO371" i="9"/>
  <c r="AM371" i="9" s="1"/>
  <c r="AO321" i="9"/>
  <c r="AM321" i="9" s="1"/>
  <c r="AO265" i="9"/>
  <c r="AM265" i="9" s="1"/>
  <c r="AO193" i="9"/>
  <c r="AM193" i="9" s="1"/>
  <c r="AN1008" i="9"/>
  <c r="AO1008" i="9"/>
  <c r="AN1004" i="9"/>
  <c r="AO1004" i="9"/>
  <c r="AN1000" i="9"/>
  <c r="AO1000" i="9"/>
  <c r="AN996" i="9"/>
  <c r="AO996" i="9"/>
  <c r="AN992" i="9"/>
  <c r="AO992" i="9"/>
  <c r="AN988" i="9"/>
  <c r="AO988" i="9"/>
  <c r="AN984" i="9"/>
  <c r="AO984" i="9"/>
  <c r="AN980" i="9"/>
  <c r="AO980" i="9"/>
  <c r="AN976" i="9"/>
  <c r="AO976" i="9"/>
  <c r="AN972" i="9"/>
  <c r="AO972" i="9"/>
  <c r="AN968" i="9"/>
  <c r="AO968" i="9"/>
  <c r="AN964" i="9"/>
  <c r="AO964" i="9"/>
  <c r="AN960" i="9"/>
  <c r="AO960" i="9"/>
  <c r="AN956" i="9"/>
  <c r="AO956" i="9"/>
  <c r="AN952" i="9"/>
  <c r="AO952" i="9"/>
  <c r="AN948" i="9"/>
  <c r="AO948" i="9"/>
  <c r="AN944" i="9"/>
  <c r="AO944" i="9"/>
  <c r="AN940" i="9"/>
  <c r="AO940" i="9"/>
  <c r="AN936" i="9"/>
  <c r="AO936" i="9"/>
  <c r="AN932" i="9"/>
  <c r="AO932" i="9"/>
  <c r="AN928" i="9"/>
  <c r="AO928" i="9"/>
  <c r="AN924" i="9"/>
  <c r="AO924" i="9"/>
  <c r="AN920" i="9"/>
  <c r="AO920" i="9"/>
  <c r="AN916" i="9"/>
  <c r="AO916" i="9"/>
  <c r="AN912" i="9"/>
  <c r="AO912" i="9"/>
  <c r="AN908" i="9"/>
  <c r="AO908" i="9"/>
  <c r="AN904" i="9"/>
  <c r="AO904" i="9"/>
  <c r="AN900" i="9"/>
  <c r="AO900" i="9"/>
  <c r="AN896" i="9"/>
  <c r="AO896" i="9"/>
  <c r="AN892" i="9"/>
  <c r="AO892" i="9"/>
  <c r="AN888" i="9"/>
  <c r="AO888" i="9"/>
  <c r="AN884" i="9"/>
  <c r="AO884" i="9"/>
  <c r="AN880" i="9"/>
  <c r="AO880" i="9"/>
  <c r="AN876" i="9"/>
  <c r="AO876" i="9"/>
  <c r="AN872" i="9"/>
  <c r="AO872" i="9"/>
  <c r="AN868" i="9"/>
  <c r="AO868" i="9"/>
  <c r="AN864" i="9"/>
  <c r="AO864" i="9"/>
  <c r="AN832" i="9"/>
  <c r="AO832" i="9"/>
  <c r="AN800" i="9"/>
  <c r="AO800" i="9"/>
  <c r="AN768" i="9"/>
  <c r="AO768" i="9"/>
  <c r="AN736" i="9"/>
  <c r="AO736" i="9"/>
  <c r="AN704" i="9"/>
  <c r="AO704" i="9"/>
  <c r="AN672" i="9"/>
  <c r="AO672" i="9"/>
  <c r="AN640" i="9"/>
  <c r="AO640" i="9"/>
  <c r="AN608" i="9"/>
  <c r="AO608" i="9"/>
  <c r="AN576" i="9"/>
  <c r="AO576" i="9"/>
  <c r="AN544" i="9"/>
  <c r="AO544" i="9"/>
  <c r="AN512" i="9"/>
  <c r="AO512" i="9"/>
  <c r="AN480" i="9"/>
  <c r="AO480" i="9"/>
  <c r="AN448" i="9"/>
  <c r="AO448" i="9"/>
  <c r="AN440" i="9"/>
  <c r="AO440" i="9"/>
  <c r="AN416" i="9"/>
  <c r="AO416" i="9"/>
  <c r="AN152" i="9"/>
  <c r="AO152" i="9"/>
  <c r="AN104" i="9"/>
  <c r="AO104" i="9"/>
  <c r="AN88" i="9"/>
  <c r="AO88" i="9"/>
  <c r="AN40" i="9"/>
  <c r="AO40" i="9"/>
  <c r="AN24" i="9"/>
  <c r="AO24" i="9"/>
  <c r="AN848" i="9"/>
  <c r="AO848" i="9"/>
  <c r="AN808" i="9"/>
  <c r="AO808" i="9"/>
  <c r="AN766" i="9"/>
  <c r="AO766" i="9"/>
  <c r="AN720" i="9"/>
  <c r="AO720" i="9"/>
  <c r="AN638" i="9"/>
  <c r="AO638" i="9"/>
  <c r="AN592" i="9"/>
  <c r="AO592" i="9"/>
  <c r="AN510" i="9"/>
  <c r="AO510" i="9"/>
  <c r="AN464" i="9"/>
  <c r="AO464" i="9"/>
  <c r="AN338" i="9"/>
  <c r="AO338" i="9"/>
  <c r="AN298" i="9"/>
  <c r="AO298" i="9"/>
  <c r="AN254" i="9"/>
  <c r="AO254" i="9"/>
  <c r="AN210" i="9"/>
  <c r="AO210" i="9"/>
  <c r="AN170" i="9"/>
  <c r="AO170" i="9"/>
  <c r="AN94" i="9"/>
  <c r="AO94" i="9"/>
  <c r="AN30" i="9"/>
  <c r="AO30" i="9"/>
  <c r="AO1003" i="9"/>
  <c r="AM1003" i="9" s="1"/>
  <c r="AO993" i="9"/>
  <c r="AM993" i="9" s="1"/>
  <c r="AO971" i="9"/>
  <c r="AM971" i="9" s="1"/>
  <c r="AO961" i="9"/>
  <c r="AM961" i="9" s="1"/>
  <c r="AO939" i="9"/>
  <c r="AM939" i="9" s="1"/>
  <c r="AO929" i="9"/>
  <c r="AM929" i="9" s="1"/>
  <c r="AO907" i="9"/>
  <c r="AM907" i="9" s="1"/>
  <c r="AO897" i="9"/>
  <c r="AM897" i="9" s="1"/>
  <c r="AO873" i="9"/>
  <c r="AM873" i="9" s="1"/>
  <c r="AO860" i="9"/>
  <c r="AM860" i="9" s="1"/>
  <c r="AO845" i="9"/>
  <c r="AM845" i="9" s="1"/>
  <c r="AO831" i="9"/>
  <c r="AM831" i="9" s="1"/>
  <c r="AO817" i="9"/>
  <c r="AM817" i="9" s="1"/>
  <c r="AO803" i="9"/>
  <c r="AM803" i="9" s="1"/>
  <c r="AO788" i="9"/>
  <c r="AM788" i="9" s="1"/>
  <c r="AO775" i="9"/>
  <c r="AM775" i="9" s="1"/>
  <c r="AO760" i="9"/>
  <c r="AM760" i="9" s="1"/>
  <c r="AO745" i="9"/>
  <c r="AM745" i="9" s="1"/>
  <c r="AO728" i="9"/>
  <c r="AM728" i="9" s="1"/>
  <c r="AO707" i="9"/>
  <c r="AM707" i="9" s="1"/>
  <c r="AO685" i="9"/>
  <c r="AM685" i="9" s="1"/>
  <c r="AO664" i="9"/>
  <c r="AM664" i="9" s="1"/>
  <c r="AO643" i="9"/>
  <c r="AM643" i="9" s="1"/>
  <c r="AO621" i="9"/>
  <c r="AM621" i="9" s="1"/>
  <c r="AO600" i="9"/>
  <c r="AM600" i="9" s="1"/>
  <c r="AO579" i="9"/>
  <c r="AM579" i="9" s="1"/>
  <c r="AO557" i="9"/>
  <c r="AM557" i="9" s="1"/>
  <c r="AO536" i="9"/>
  <c r="AM536" i="9" s="1"/>
  <c r="AO515" i="9"/>
  <c r="AM515" i="9" s="1"/>
  <c r="AO493" i="9"/>
  <c r="AM493" i="9" s="1"/>
  <c r="AO472" i="9"/>
  <c r="AM472" i="9" s="1"/>
  <c r="AO446" i="9"/>
  <c r="AM446" i="9" s="1"/>
  <c r="AO403" i="9"/>
  <c r="AM403" i="9" s="1"/>
  <c r="AO360" i="9"/>
  <c r="AM360" i="9" s="1"/>
  <c r="AO307" i="9"/>
  <c r="AM307" i="9" s="1"/>
  <c r="AO250" i="9"/>
  <c r="AM250" i="9" s="1"/>
  <c r="AO165" i="9"/>
  <c r="AM165" i="9" s="1"/>
  <c r="AO73" i="9"/>
  <c r="AM73" i="9" s="1"/>
  <c r="AN997" i="9"/>
  <c r="AO997" i="9"/>
  <c r="AN989" i="9"/>
  <c r="AO989" i="9"/>
  <c r="AN1007" i="9"/>
  <c r="AO1007" i="9"/>
  <c r="AN999" i="9"/>
  <c r="AO999" i="9"/>
  <c r="AN991" i="9"/>
  <c r="AO991" i="9"/>
  <c r="AN983" i="9"/>
  <c r="AO983" i="9"/>
  <c r="AN975" i="9"/>
  <c r="AO975" i="9"/>
  <c r="AN967" i="9"/>
  <c r="AO967" i="9"/>
  <c r="AN959" i="9"/>
  <c r="AO959" i="9"/>
  <c r="AN951" i="9"/>
  <c r="AO951" i="9"/>
  <c r="AN943" i="9"/>
  <c r="AO943" i="9"/>
  <c r="AN935" i="9"/>
  <c r="AO935" i="9"/>
  <c r="AN927" i="9"/>
  <c r="AO927" i="9"/>
  <c r="AN919" i="9"/>
  <c r="AO919" i="9"/>
  <c r="AN911" i="9"/>
  <c r="AO911" i="9"/>
  <c r="AN903" i="9"/>
  <c r="AO903" i="9"/>
  <c r="AN895" i="9"/>
  <c r="AO895" i="9"/>
  <c r="AN887" i="9"/>
  <c r="AO887" i="9"/>
  <c r="AN879" i="9"/>
  <c r="AO879" i="9"/>
  <c r="AN875" i="9"/>
  <c r="AO875" i="9"/>
  <c r="AN859" i="9"/>
  <c r="AO859" i="9"/>
  <c r="AN855" i="9"/>
  <c r="AO855" i="9"/>
  <c r="AN851" i="9"/>
  <c r="AO851" i="9"/>
  <c r="AN847" i="9"/>
  <c r="AO847" i="9"/>
  <c r="AN843" i="9"/>
  <c r="AO843" i="9"/>
  <c r="AN827" i="9"/>
  <c r="AO827" i="9"/>
  <c r="AN823" i="9"/>
  <c r="AO823" i="9"/>
  <c r="AN819" i="9"/>
  <c r="AO819" i="9"/>
  <c r="AN815" i="9"/>
  <c r="AO815" i="9"/>
  <c r="AN811" i="9"/>
  <c r="AO811" i="9"/>
  <c r="AN795" i="9"/>
  <c r="AO795" i="9"/>
  <c r="AN791" i="9"/>
  <c r="AO791" i="9"/>
  <c r="AN787" i="9"/>
  <c r="AO787" i="9"/>
  <c r="AN783" i="9"/>
  <c r="AO783" i="9"/>
  <c r="AN779" i="9"/>
  <c r="AO779" i="9"/>
  <c r="AN763" i="9"/>
  <c r="AO763" i="9"/>
  <c r="AN759" i="9"/>
  <c r="AO759" i="9"/>
  <c r="AN755" i="9"/>
  <c r="AO755" i="9"/>
  <c r="AN751" i="9"/>
  <c r="AO751" i="9"/>
  <c r="AN747" i="9"/>
  <c r="AO747" i="9"/>
  <c r="AN735" i="9"/>
  <c r="AO735" i="9"/>
  <c r="AN731" i="9"/>
  <c r="AO731" i="9"/>
  <c r="AN727" i="9"/>
  <c r="AO727" i="9"/>
  <c r="AN719" i="9"/>
  <c r="AO719" i="9"/>
  <c r="AN715" i="9"/>
  <c r="AO715" i="9"/>
  <c r="AN711" i="9"/>
  <c r="AO711" i="9"/>
  <c r="AN703" i="9"/>
  <c r="AO703" i="9"/>
  <c r="AN699" i="9"/>
  <c r="AO699" i="9"/>
  <c r="AN695" i="9"/>
  <c r="AO695" i="9"/>
  <c r="AN687" i="9"/>
  <c r="AO687" i="9"/>
  <c r="AN683" i="9"/>
  <c r="AO683" i="9"/>
  <c r="AN679" i="9"/>
  <c r="AO679" i="9"/>
  <c r="AN671" i="9"/>
  <c r="AO671" i="9"/>
  <c r="AN667" i="9"/>
  <c r="AO667" i="9"/>
  <c r="AN663" i="9"/>
  <c r="AO663" i="9"/>
  <c r="AN655" i="9"/>
  <c r="AO655" i="9"/>
  <c r="AN651" i="9"/>
  <c r="AO651" i="9"/>
  <c r="AN647" i="9"/>
  <c r="AO647" i="9"/>
  <c r="AN639" i="9"/>
  <c r="AO639" i="9"/>
  <c r="AN635" i="9"/>
  <c r="AO635" i="9"/>
  <c r="AN631" i="9"/>
  <c r="AO631" i="9"/>
  <c r="AN623" i="9"/>
  <c r="AO623" i="9"/>
  <c r="AN619" i="9"/>
  <c r="AO619" i="9"/>
  <c r="AN615" i="9"/>
  <c r="AO615" i="9"/>
  <c r="AN607" i="9"/>
  <c r="AO607" i="9"/>
  <c r="AN603" i="9"/>
  <c r="AO603" i="9"/>
  <c r="AN599" i="9"/>
  <c r="AO599" i="9"/>
  <c r="AN591" i="9"/>
  <c r="AO591" i="9"/>
  <c r="AN587" i="9"/>
  <c r="AO587" i="9"/>
  <c r="AN583" i="9"/>
  <c r="AO583" i="9"/>
  <c r="AN575" i="9"/>
  <c r="AO575" i="9"/>
  <c r="AN571" i="9"/>
  <c r="AO571" i="9"/>
  <c r="AN567" i="9"/>
  <c r="AO567" i="9"/>
  <c r="AN559" i="9"/>
  <c r="AO559" i="9"/>
  <c r="AN555" i="9"/>
  <c r="AO555" i="9"/>
  <c r="AN551" i="9"/>
  <c r="AO551" i="9"/>
  <c r="AN543" i="9"/>
  <c r="AO543" i="9"/>
  <c r="AN539" i="9"/>
  <c r="AO539" i="9"/>
  <c r="AN535" i="9"/>
  <c r="AO535" i="9"/>
  <c r="AN527" i="9"/>
  <c r="AO527" i="9"/>
  <c r="AN523" i="9"/>
  <c r="AO523" i="9"/>
  <c r="AN519" i="9"/>
  <c r="AO519" i="9"/>
  <c r="AN511" i="9"/>
  <c r="AO511" i="9"/>
  <c r="AN507" i="9"/>
  <c r="AO507" i="9"/>
  <c r="AN503" i="9"/>
  <c r="AO503" i="9"/>
  <c r="AN495" i="9"/>
  <c r="AO495" i="9"/>
  <c r="AN491" i="9"/>
  <c r="AO491" i="9"/>
  <c r="AN487" i="9"/>
  <c r="AO487" i="9"/>
  <c r="AN479" i="9"/>
  <c r="AO479" i="9"/>
  <c r="AN475" i="9"/>
  <c r="AO475" i="9"/>
  <c r="AN471" i="9"/>
  <c r="AO471" i="9"/>
  <c r="AN463" i="9"/>
  <c r="AO463" i="9"/>
  <c r="AN459" i="9"/>
  <c r="AO459" i="9"/>
  <c r="AN455" i="9"/>
  <c r="AO455" i="9"/>
  <c r="AN451" i="9"/>
  <c r="AO451" i="9"/>
  <c r="AN447" i="9"/>
  <c r="AO447" i="9"/>
  <c r="AN443" i="9"/>
  <c r="AO443" i="9"/>
  <c r="AN439" i="9"/>
  <c r="AO439" i="9"/>
  <c r="AN431" i="9"/>
  <c r="AO431" i="9"/>
  <c r="AN427" i="9"/>
  <c r="AO427" i="9"/>
  <c r="AN423" i="9"/>
  <c r="AO423" i="9"/>
  <c r="AN419" i="9"/>
  <c r="AO419" i="9"/>
  <c r="AN415" i="9"/>
  <c r="AO415" i="9"/>
  <c r="AN411" i="9"/>
  <c r="AO411" i="9"/>
  <c r="AN407" i="9"/>
  <c r="AO407" i="9"/>
  <c r="AN399" i="9"/>
  <c r="AO399" i="9"/>
  <c r="AN395" i="9"/>
  <c r="AO395" i="9"/>
  <c r="AN391" i="9"/>
  <c r="AO391" i="9"/>
  <c r="AN387" i="9"/>
  <c r="AO387" i="9"/>
  <c r="AN383" i="9"/>
  <c r="AO383" i="9"/>
  <c r="AN379" i="9"/>
  <c r="AO379" i="9"/>
  <c r="AN375" i="9"/>
  <c r="AO375" i="9"/>
  <c r="AN367" i="9"/>
  <c r="AO367" i="9"/>
  <c r="AN363" i="9"/>
  <c r="AO363" i="9"/>
  <c r="AN359" i="9"/>
  <c r="AO359" i="9"/>
  <c r="AN355" i="9"/>
  <c r="AO355" i="9"/>
  <c r="AN351" i="9"/>
  <c r="AO351" i="9"/>
  <c r="AN347" i="9"/>
  <c r="AO347" i="9"/>
  <c r="AN343" i="9"/>
  <c r="AO343" i="9"/>
  <c r="AN339" i="9"/>
  <c r="AO339" i="9"/>
  <c r="AN331" i="9"/>
  <c r="AO331" i="9"/>
  <c r="AN327" i="9"/>
  <c r="AO327" i="9"/>
  <c r="AN323" i="9"/>
  <c r="AO323" i="9"/>
  <c r="AN319" i="9"/>
  <c r="AO319" i="9"/>
  <c r="AN315" i="9"/>
  <c r="AO315" i="9"/>
  <c r="AN311" i="9"/>
  <c r="AO311" i="9"/>
  <c r="AN303" i="9"/>
  <c r="AO303" i="9"/>
  <c r="AN299" i="9"/>
  <c r="AO299" i="9"/>
  <c r="AN295" i="9"/>
  <c r="AO295" i="9"/>
  <c r="AN291" i="9"/>
  <c r="AO291" i="9"/>
  <c r="AN287" i="9"/>
  <c r="AO287" i="9"/>
  <c r="AN283" i="9"/>
  <c r="AO283" i="9"/>
  <c r="AN279" i="9"/>
  <c r="AO279" i="9"/>
  <c r="AN275" i="9"/>
  <c r="AO275" i="9"/>
  <c r="AN271" i="9"/>
  <c r="AO271" i="9"/>
  <c r="AN267" i="9"/>
  <c r="AO267" i="9"/>
  <c r="AN263" i="9"/>
  <c r="AO263" i="9"/>
  <c r="AN259" i="9"/>
  <c r="AO259" i="9"/>
  <c r="AN255" i="9"/>
  <c r="AO255" i="9"/>
  <c r="AN251" i="9"/>
  <c r="AO251" i="9"/>
  <c r="AN247" i="9"/>
  <c r="AO247" i="9"/>
  <c r="AN243" i="9"/>
  <c r="AO243" i="9"/>
  <c r="AN239" i="9"/>
  <c r="AO239" i="9"/>
  <c r="AN231" i="9"/>
  <c r="AO231" i="9"/>
  <c r="AN227" i="9"/>
  <c r="AO227" i="9"/>
  <c r="AN223" i="9"/>
  <c r="AO223" i="9"/>
  <c r="AN219" i="9"/>
  <c r="AO219" i="9"/>
  <c r="AN215" i="9"/>
  <c r="AO215" i="9"/>
  <c r="AN211" i="9"/>
  <c r="AO211" i="9"/>
  <c r="AN207" i="9"/>
  <c r="AO207" i="9"/>
  <c r="AN203" i="9"/>
  <c r="AO203" i="9"/>
  <c r="AN199" i="9"/>
  <c r="AO199" i="9"/>
  <c r="AN195" i="9"/>
  <c r="AO195" i="9"/>
  <c r="AN191" i="9"/>
  <c r="AO191" i="9"/>
  <c r="AN187" i="9"/>
  <c r="AO187" i="9"/>
  <c r="AN183" i="9"/>
  <c r="AO183" i="9"/>
  <c r="AN179" i="9"/>
  <c r="AO179" i="9"/>
  <c r="AN175" i="9"/>
  <c r="AO175" i="9"/>
  <c r="AN171" i="9"/>
  <c r="AO171" i="9"/>
  <c r="AN167" i="9"/>
  <c r="AO167" i="9"/>
  <c r="AN163" i="9"/>
  <c r="AO163" i="9"/>
  <c r="AN159" i="9"/>
  <c r="AO159" i="9"/>
  <c r="AN155" i="9"/>
  <c r="AO155" i="9"/>
  <c r="AN151" i="9"/>
  <c r="AO151" i="9"/>
  <c r="AO150" i="9"/>
  <c r="AM150" i="9" s="1"/>
  <c r="AN147" i="9"/>
  <c r="AM147" i="9" s="1"/>
  <c r="AO147" i="9"/>
  <c r="AN143" i="9"/>
  <c r="AM143" i="9" s="1"/>
  <c r="AO143" i="9"/>
  <c r="AN139" i="9"/>
  <c r="AM139" i="9" s="1"/>
  <c r="AO139" i="9"/>
  <c r="AN135" i="9"/>
  <c r="AM135" i="9" s="1"/>
  <c r="AO135" i="9"/>
  <c r="AN131" i="9"/>
  <c r="AM131" i="9" s="1"/>
  <c r="AO131" i="9"/>
  <c r="AN127" i="9"/>
  <c r="AM127" i="9" s="1"/>
  <c r="AO127" i="9"/>
  <c r="AN840" i="9"/>
  <c r="AM840" i="9" s="1"/>
  <c r="AO840" i="9"/>
  <c r="AN798" i="9"/>
  <c r="AM798" i="9" s="1"/>
  <c r="AO798" i="9"/>
  <c r="AN752" i="9"/>
  <c r="AM752" i="9" s="1"/>
  <c r="AO752" i="9"/>
  <c r="AN670" i="9"/>
  <c r="AM670" i="9" s="1"/>
  <c r="AO670" i="9"/>
  <c r="AN624" i="9"/>
  <c r="AM624" i="9" s="1"/>
  <c r="AO624" i="9"/>
  <c r="AN542" i="9"/>
  <c r="AM542" i="9" s="1"/>
  <c r="AO542" i="9"/>
  <c r="AN496" i="9"/>
  <c r="AM496" i="9" s="1"/>
  <c r="AO496" i="9"/>
  <c r="AN370" i="9"/>
  <c r="AM370" i="9" s="1"/>
  <c r="AO370" i="9"/>
  <c r="AN330" i="9"/>
  <c r="AM330" i="9" s="1"/>
  <c r="AO330" i="9"/>
  <c r="AN286" i="9"/>
  <c r="AM286" i="9" s="1"/>
  <c r="AO286" i="9"/>
  <c r="AN242" i="9"/>
  <c r="AM242" i="9" s="1"/>
  <c r="AO242" i="9"/>
  <c r="AN202" i="9"/>
  <c r="AM202" i="9" s="1"/>
  <c r="AO202" i="9"/>
  <c r="AN158" i="9"/>
  <c r="AM158" i="9" s="1"/>
  <c r="AO158" i="9"/>
  <c r="AN72" i="9"/>
  <c r="AM72" i="9" s="1"/>
  <c r="AO72" i="9"/>
  <c r="AO71" i="9"/>
  <c r="AM71" i="9" s="1"/>
  <c r="AO1001" i="9"/>
  <c r="AM1001" i="9" s="1"/>
  <c r="AO990" i="9"/>
  <c r="AM990" i="9" s="1"/>
  <c r="AO979" i="9"/>
  <c r="AM979" i="9" s="1"/>
  <c r="AO969" i="9"/>
  <c r="AM969" i="9" s="1"/>
  <c r="AO958" i="9"/>
  <c r="AM958" i="9" s="1"/>
  <c r="AO947" i="9"/>
  <c r="AM947" i="9" s="1"/>
  <c r="AO937" i="9"/>
  <c r="AM937" i="9" s="1"/>
  <c r="AO926" i="9"/>
  <c r="AM926" i="9" s="1"/>
  <c r="AO915" i="9"/>
  <c r="AM915" i="9" s="1"/>
  <c r="AO905" i="9"/>
  <c r="AM905" i="9" s="1"/>
  <c r="AO894" i="9"/>
  <c r="AO883" i="9"/>
  <c r="AM883" i="9" s="1"/>
  <c r="AO871" i="9"/>
  <c r="AM871" i="9" s="1"/>
  <c r="AO856" i="9"/>
  <c r="AM856" i="9" s="1"/>
  <c r="AO841" i="9"/>
  <c r="AM841" i="9" s="1"/>
  <c r="AO828" i="9"/>
  <c r="AM828" i="9" s="1"/>
  <c r="AO813" i="9"/>
  <c r="AM813" i="9" s="1"/>
  <c r="AO799" i="9"/>
  <c r="AM799" i="9" s="1"/>
  <c r="AO785" i="9"/>
  <c r="AM785" i="9" s="1"/>
  <c r="AO771" i="9"/>
  <c r="AM771" i="9" s="1"/>
  <c r="AO756" i="9"/>
  <c r="AM756" i="9" s="1"/>
  <c r="AO743" i="9"/>
  <c r="AM743" i="9" s="1"/>
  <c r="AO723" i="9"/>
  <c r="AM723" i="9" s="1"/>
  <c r="AO701" i="9"/>
  <c r="AM701" i="9" s="1"/>
  <c r="AO680" i="9"/>
  <c r="AM680" i="9" s="1"/>
  <c r="AO659" i="9"/>
  <c r="AM659" i="9" s="1"/>
  <c r="AO637" i="9"/>
  <c r="AM637" i="9" s="1"/>
  <c r="AO616" i="9"/>
  <c r="AM616" i="9" s="1"/>
  <c r="AO595" i="9"/>
  <c r="AM595" i="9" s="1"/>
  <c r="AO573" i="9"/>
  <c r="AM573" i="9" s="1"/>
  <c r="AO552" i="9"/>
  <c r="AM552" i="9" s="1"/>
  <c r="AO531" i="9"/>
  <c r="AM531" i="9" s="1"/>
  <c r="AO509" i="9"/>
  <c r="AO488" i="9"/>
  <c r="AM488" i="9" s="1"/>
  <c r="AO467" i="9"/>
  <c r="AO435" i="9"/>
  <c r="AM435" i="9" s="1"/>
  <c r="AO392" i="9"/>
  <c r="AM392" i="9" s="1"/>
  <c r="AO350" i="9"/>
  <c r="AM350" i="9" s="1"/>
  <c r="AO293" i="9"/>
  <c r="AM293" i="9" s="1"/>
  <c r="AO235" i="9"/>
  <c r="AM235" i="9" s="1"/>
  <c r="AO137" i="9"/>
  <c r="AM137" i="9" s="1"/>
  <c r="AN846" i="9"/>
  <c r="AM846" i="9" s="1"/>
  <c r="AO846" i="9"/>
  <c r="AN814" i="9"/>
  <c r="AM814" i="9" s="1"/>
  <c r="AO814" i="9"/>
  <c r="AN782" i="9"/>
  <c r="AM782" i="9" s="1"/>
  <c r="AO782" i="9"/>
  <c r="AN750" i="9"/>
  <c r="AM750" i="9" s="1"/>
  <c r="AO750" i="9"/>
  <c r="AN718" i="9"/>
  <c r="AM718" i="9" s="1"/>
  <c r="AO718" i="9"/>
  <c r="AN686" i="9"/>
  <c r="AM686" i="9" s="1"/>
  <c r="AO686" i="9"/>
  <c r="AN654" i="9"/>
  <c r="AM654" i="9" s="1"/>
  <c r="AO654" i="9"/>
  <c r="AN622" i="9"/>
  <c r="AM622" i="9" s="1"/>
  <c r="AO622" i="9"/>
  <c r="AN590" i="9"/>
  <c r="AM590" i="9" s="1"/>
  <c r="AO590" i="9"/>
  <c r="AN558" i="9"/>
  <c r="AM558" i="9" s="1"/>
  <c r="AO558" i="9"/>
  <c r="AN526" i="9"/>
  <c r="AM526" i="9" s="1"/>
  <c r="AO526" i="9"/>
  <c r="AN494" i="9"/>
  <c r="AM494" i="9" s="1"/>
  <c r="AO494" i="9"/>
  <c r="AN462" i="9"/>
  <c r="AM462" i="9" s="1"/>
  <c r="AO462" i="9"/>
  <c r="AN430" i="9"/>
  <c r="AM430" i="9" s="1"/>
  <c r="AO430" i="9"/>
  <c r="AN410" i="9"/>
  <c r="AM410" i="9" s="1"/>
  <c r="AO410" i="9"/>
  <c r="AN398" i="9"/>
  <c r="AM398" i="9" s="1"/>
  <c r="AO398" i="9"/>
  <c r="AN386" i="9"/>
  <c r="AM386" i="9" s="1"/>
  <c r="AO386" i="9"/>
  <c r="AN378" i="9"/>
  <c r="AM378" i="9" s="1"/>
  <c r="AO378" i="9"/>
  <c r="AN366" i="9"/>
  <c r="AM366" i="9" s="1"/>
  <c r="AO366" i="9"/>
  <c r="AN354" i="9"/>
  <c r="AM354" i="9" s="1"/>
  <c r="AO354" i="9"/>
  <c r="AN346" i="9"/>
  <c r="AM346" i="9" s="1"/>
  <c r="AO346" i="9"/>
  <c r="AN334" i="9"/>
  <c r="AM334" i="9" s="1"/>
  <c r="AO334" i="9"/>
  <c r="AN322" i="9"/>
  <c r="AM322" i="9" s="1"/>
  <c r="AO322" i="9"/>
  <c r="AN314" i="9"/>
  <c r="AM314" i="9" s="1"/>
  <c r="AO314" i="9"/>
  <c r="AN302" i="9"/>
  <c r="AM302" i="9" s="1"/>
  <c r="AO302" i="9"/>
  <c r="AN290" i="9"/>
  <c r="AM290" i="9" s="1"/>
  <c r="AO290" i="9"/>
  <c r="AN282" i="9"/>
  <c r="AM282" i="9" s="1"/>
  <c r="AO282" i="9"/>
  <c r="AN270" i="9"/>
  <c r="AM270" i="9" s="1"/>
  <c r="AO270" i="9"/>
  <c r="AN258" i="9"/>
  <c r="AM258" i="9" s="1"/>
  <c r="AO258" i="9"/>
  <c r="AN238" i="9"/>
  <c r="AM238" i="9" s="1"/>
  <c r="AO238" i="9"/>
  <c r="AN226" i="9"/>
  <c r="AM226" i="9" s="1"/>
  <c r="AO226" i="9"/>
  <c r="AN218" i="9"/>
  <c r="AM218" i="9" s="1"/>
  <c r="AO218" i="9"/>
  <c r="AN206" i="9"/>
  <c r="AM206" i="9" s="1"/>
  <c r="AO206" i="9"/>
  <c r="AN194" i="9"/>
  <c r="AM194" i="9" s="1"/>
  <c r="AO194" i="9"/>
  <c r="AN186" i="9"/>
  <c r="AM186" i="9" s="1"/>
  <c r="AO186" i="9"/>
  <c r="AN174" i="9"/>
  <c r="AM174" i="9" s="1"/>
  <c r="AO174" i="9"/>
  <c r="AN162" i="9"/>
  <c r="AM162" i="9" s="1"/>
  <c r="AO162" i="9"/>
  <c r="AN126" i="9"/>
  <c r="AM126" i="9" s="1"/>
  <c r="AO126" i="9"/>
  <c r="AN830" i="9"/>
  <c r="AM830" i="9" s="1"/>
  <c r="AO830" i="9"/>
  <c r="AN784" i="9"/>
  <c r="AM784" i="9" s="1"/>
  <c r="AO784" i="9"/>
  <c r="AN744" i="9"/>
  <c r="AM744" i="9" s="1"/>
  <c r="AO744" i="9"/>
  <c r="AN702" i="9"/>
  <c r="AM702" i="9" s="1"/>
  <c r="AO702" i="9"/>
  <c r="AN656" i="9"/>
  <c r="AM656" i="9" s="1"/>
  <c r="AO656" i="9"/>
  <c r="AN574" i="9"/>
  <c r="AM574" i="9" s="1"/>
  <c r="AO574" i="9"/>
  <c r="AN528" i="9"/>
  <c r="AM528" i="9" s="1"/>
  <c r="AO528" i="9"/>
  <c r="AN402" i="9"/>
  <c r="AM402" i="9" s="1"/>
  <c r="AO402" i="9"/>
  <c r="AN362" i="9"/>
  <c r="AM362" i="9" s="1"/>
  <c r="AO362" i="9"/>
  <c r="AN318" i="9"/>
  <c r="AM318" i="9" s="1"/>
  <c r="AO318" i="9"/>
  <c r="AN274" i="9"/>
  <c r="AM274" i="9" s="1"/>
  <c r="AO274" i="9"/>
  <c r="AN234" i="9"/>
  <c r="AM234" i="9" s="1"/>
  <c r="AO234" i="9"/>
  <c r="AN190" i="9"/>
  <c r="AM190" i="9" s="1"/>
  <c r="AO190" i="9"/>
  <c r="AN136" i="9"/>
  <c r="AM136" i="9" s="1"/>
  <c r="AO136" i="9"/>
  <c r="AN1009" i="9"/>
  <c r="AO998" i="9"/>
  <c r="AM998" i="9" s="1"/>
  <c r="AO987" i="9"/>
  <c r="AM987" i="9" s="1"/>
  <c r="AO977" i="9"/>
  <c r="AM977" i="9" s="1"/>
  <c r="AO966" i="9"/>
  <c r="AM966" i="9" s="1"/>
  <c r="AO955" i="9"/>
  <c r="AO945" i="9"/>
  <c r="AM945" i="9" s="1"/>
  <c r="AO934" i="9"/>
  <c r="AM934" i="9" s="1"/>
  <c r="AO923" i="9"/>
  <c r="AM923" i="9" s="1"/>
  <c r="AO913" i="9"/>
  <c r="AM913" i="9" s="1"/>
  <c r="AO902" i="9"/>
  <c r="AM902" i="9" s="1"/>
  <c r="AO891" i="9"/>
  <c r="AM891" i="9" s="1"/>
  <c r="AO881" i="9"/>
  <c r="AM881" i="9" s="1"/>
  <c r="AO867" i="9"/>
  <c r="AM867" i="9" s="1"/>
  <c r="AO852" i="9"/>
  <c r="AM852" i="9" s="1"/>
  <c r="AO839" i="9"/>
  <c r="AM839" i="9" s="1"/>
  <c r="AO824" i="9"/>
  <c r="AM824" i="9" s="1"/>
  <c r="AO809" i="9"/>
  <c r="AM809" i="9" s="1"/>
  <c r="AO796" i="9"/>
  <c r="AM796" i="9" s="1"/>
  <c r="AO781" i="9"/>
  <c r="AM781" i="9" s="1"/>
  <c r="AO767" i="9"/>
  <c r="AM767" i="9" s="1"/>
  <c r="AO753" i="9"/>
  <c r="AM753" i="9" s="1"/>
  <c r="AO739" i="9"/>
  <c r="AM739" i="9" s="1"/>
  <c r="AO717" i="9"/>
  <c r="AM717" i="9" s="1"/>
  <c r="AO696" i="9"/>
  <c r="AM696" i="9" s="1"/>
  <c r="AO675" i="9"/>
  <c r="AM675" i="9" s="1"/>
  <c r="AO653" i="9"/>
  <c r="AM653" i="9" s="1"/>
  <c r="AO632" i="9"/>
  <c r="AM632" i="9" s="1"/>
  <c r="AO611" i="9"/>
  <c r="AM611" i="9" s="1"/>
  <c r="AO589" i="9"/>
  <c r="AM589" i="9" s="1"/>
  <c r="AO568" i="9"/>
  <c r="AM568" i="9" s="1"/>
  <c r="AO547" i="9"/>
  <c r="AM547" i="9" s="1"/>
  <c r="AO525" i="9"/>
  <c r="AM525" i="9" s="1"/>
  <c r="AO504" i="9"/>
  <c r="AM504" i="9" s="1"/>
  <c r="AO483" i="9"/>
  <c r="AM483" i="9" s="1"/>
  <c r="AO461" i="9"/>
  <c r="AM461" i="9" s="1"/>
  <c r="AO424" i="9"/>
  <c r="AM424" i="9" s="1"/>
  <c r="AO382" i="9"/>
  <c r="AM382" i="9" s="1"/>
  <c r="AO335" i="9"/>
  <c r="AM335" i="9" s="1"/>
  <c r="AO278" i="9"/>
  <c r="AM278" i="9" s="1"/>
  <c r="AO222" i="9"/>
  <c r="AM222" i="9" s="1"/>
  <c r="AN878" i="9"/>
  <c r="AO878" i="9"/>
  <c r="AN874" i="9"/>
  <c r="AO874" i="9"/>
  <c r="AN870" i="9"/>
  <c r="AO870" i="9"/>
  <c r="AN866" i="9"/>
  <c r="AO866" i="9"/>
  <c r="AN862" i="9"/>
  <c r="AO862" i="9"/>
  <c r="AN858" i="9"/>
  <c r="AO858" i="9"/>
  <c r="AN854" i="9"/>
  <c r="AO854" i="9"/>
  <c r="AN850" i="9"/>
  <c r="AO850" i="9"/>
  <c r="AN842" i="9"/>
  <c r="AO842" i="9"/>
  <c r="AN838" i="9"/>
  <c r="AO838" i="9"/>
  <c r="AN834" i="9"/>
  <c r="AO834" i="9"/>
  <c r="AN826" i="9"/>
  <c r="AO826" i="9"/>
  <c r="AN822" i="9"/>
  <c r="AO822" i="9"/>
  <c r="AN818" i="9"/>
  <c r="AO818" i="9"/>
  <c r="AN810" i="9"/>
  <c r="AO810" i="9"/>
  <c r="AN806" i="9"/>
  <c r="AO806" i="9"/>
  <c r="AN802" i="9"/>
  <c r="AO802" i="9"/>
  <c r="AN794" i="9"/>
  <c r="AO794" i="9"/>
  <c r="AN790" i="9"/>
  <c r="AO790" i="9"/>
  <c r="AN786" i="9"/>
  <c r="AO786" i="9"/>
  <c r="AN778" i="9"/>
  <c r="AO778" i="9"/>
  <c r="AN774" i="9"/>
  <c r="AO774" i="9"/>
  <c r="AN770" i="9"/>
  <c r="AO770" i="9"/>
  <c r="AN762" i="9"/>
  <c r="AO762" i="9"/>
  <c r="AN758" i="9"/>
  <c r="AO758" i="9"/>
  <c r="AN754" i="9"/>
  <c r="AO754" i="9"/>
  <c r="AN746" i="9"/>
  <c r="AO746" i="9"/>
  <c r="AN742" i="9"/>
  <c r="AO742" i="9"/>
  <c r="AN738" i="9"/>
  <c r="AO738" i="9"/>
  <c r="AN730" i="9"/>
  <c r="AO730" i="9"/>
  <c r="AN726" i="9"/>
  <c r="AO726" i="9"/>
  <c r="AN722" i="9"/>
  <c r="AO722" i="9"/>
  <c r="AN714" i="9"/>
  <c r="AO714" i="9"/>
  <c r="AN710" i="9"/>
  <c r="AO710" i="9"/>
  <c r="AN706" i="9"/>
  <c r="AO706" i="9"/>
  <c r="AN698" i="9"/>
  <c r="AO698" i="9"/>
  <c r="AN694" i="9"/>
  <c r="AO694" i="9"/>
  <c r="AN690" i="9"/>
  <c r="AO690" i="9"/>
  <c r="AN682" i="9"/>
  <c r="AO682" i="9"/>
  <c r="AN678" i="9"/>
  <c r="AO678" i="9"/>
  <c r="AN674" i="9"/>
  <c r="AO674" i="9"/>
  <c r="AN666" i="9"/>
  <c r="AO666" i="9"/>
  <c r="AN662" i="9"/>
  <c r="AO662" i="9"/>
  <c r="AN658" i="9"/>
  <c r="AO658" i="9"/>
  <c r="AN650" i="9"/>
  <c r="AO650" i="9"/>
  <c r="AN646" i="9"/>
  <c r="AO646" i="9"/>
  <c r="AN642" i="9"/>
  <c r="AO642" i="9"/>
  <c r="AN634" i="9"/>
  <c r="AO634" i="9"/>
  <c r="AN630" i="9"/>
  <c r="AO630" i="9"/>
  <c r="AN626" i="9"/>
  <c r="AO626" i="9"/>
  <c r="AN618" i="9"/>
  <c r="AO618" i="9"/>
  <c r="AN614" i="9"/>
  <c r="AO614" i="9"/>
  <c r="AN610" i="9"/>
  <c r="AO610" i="9"/>
  <c r="AN602" i="9"/>
  <c r="AO602" i="9"/>
  <c r="AN598" i="9"/>
  <c r="AO598" i="9"/>
  <c r="AN594" i="9"/>
  <c r="AO594" i="9"/>
  <c r="AN586" i="9"/>
  <c r="AO586" i="9"/>
  <c r="AN582" i="9"/>
  <c r="AO582" i="9"/>
  <c r="AN578" i="9"/>
  <c r="AO578" i="9"/>
  <c r="AN570" i="9"/>
  <c r="AO570" i="9"/>
  <c r="AN566" i="9"/>
  <c r="AO566" i="9"/>
  <c r="AN562" i="9"/>
  <c r="AO562" i="9"/>
  <c r="AN554" i="9"/>
  <c r="AO554" i="9"/>
  <c r="AN550" i="9"/>
  <c r="AO550" i="9"/>
  <c r="AN546" i="9"/>
  <c r="AO546" i="9"/>
  <c r="AN538" i="9"/>
  <c r="AO538" i="9"/>
  <c r="AN534" i="9"/>
  <c r="AO534" i="9"/>
  <c r="AN530" i="9"/>
  <c r="AO530" i="9"/>
  <c r="AN522" i="9"/>
  <c r="AO522" i="9"/>
  <c r="AN518" i="9"/>
  <c r="AO518" i="9"/>
  <c r="AN514" i="9"/>
  <c r="AO514" i="9"/>
  <c r="AN506" i="9"/>
  <c r="AO506" i="9"/>
  <c r="AN502" i="9"/>
  <c r="AO502" i="9"/>
  <c r="AN498" i="9"/>
  <c r="AO498" i="9"/>
  <c r="AN490" i="9"/>
  <c r="AO490" i="9"/>
  <c r="AN486" i="9"/>
  <c r="AO486" i="9"/>
  <c r="AN482" i="9"/>
  <c r="AO482" i="9"/>
  <c r="AN474" i="9"/>
  <c r="AO474" i="9"/>
  <c r="AN470" i="9"/>
  <c r="AO470" i="9"/>
  <c r="AN466" i="9"/>
  <c r="AO466" i="9"/>
  <c r="AN458" i="9"/>
  <c r="AO458" i="9"/>
  <c r="AN454" i="9"/>
  <c r="AO454" i="9"/>
  <c r="AN450" i="9"/>
  <c r="AO450" i="9"/>
  <c r="AN442" i="9"/>
  <c r="AO442" i="9"/>
  <c r="AN438" i="9"/>
  <c r="AO438" i="9"/>
  <c r="AN426" i="9"/>
  <c r="AO426" i="9"/>
  <c r="AN422" i="9"/>
  <c r="AO422" i="9"/>
  <c r="AN418" i="9"/>
  <c r="AO418" i="9"/>
  <c r="AN406" i="9"/>
  <c r="AO406" i="9"/>
  <c r="AN390" i="9"/>
  <c r="AO390" i="9"/>
  <c r="AN374" i="9"/>
  <c r="AO374" i="9"/>
  <c r="AN358" i="9"/>
  <c r="AO358" i="9"/>
  <c r="AN342" i="9"/>
  <c r="AO342" i="9"/>
  <c r="AN326" i="9"/>
  <c r="AO326" i="9"/>
  <c r="AN310" i="9"/>
  <c r="AO310" i="9"/>
  <c r="AN294" i="9"/>
  <c r="AO294" i="9"/>
  <c r="AN246" i="9"/>
  <c r="AO246" i="9"/>
  <c r="AN230" i="9"/>
  <c r="AO230" i="9"/>
  <c r="AN214" i="9"/>
  <c r="AO214" i="9"/>
  <c r="AN198" i="9"/>
  <c r="AO198" i="9"/>
  <c r="AN182" i="9"/>
  <c r="AO182" i="9"/>
  <c r="AN166" i="9"/>
  <c r="AO166" i="9"/>
  <c r="AN154" i="9"/>
  <c r="AO154" i="9"/>
  <c r="AN146" i="9"/>
  <c r="AO146" i="9"/>
  <c r="AN142" i="9"/>
  <c r="AO142" i="9"/>
  <c r="AN138" i="9"/>
  <c r="AO138" i="9"/>
  <c r="AN130" i="9"/>
  <c r="AO130" i="9"/>
  <c r="AN118" i="9"/>
  <c r="AO118" i="9"/>
  <c r="AN114" i="9"/>
  <c r="AO114" i="9"/>
  <c r="AN110" i="9"/>
  <c r="AO110" i="9"/>
  <c r="AN102" i="9"/>
  <c r="AO102" i="9"/>
  <c r="AN98" i="9"/>
  <c r="AO98" i="9"/>
  <c r="AN90" i="9"/>
  <c r="AO90" i="9"/>
  <c r="AN86" i="9"/>
  <c r="AO86" i="9"/>
  <c r="AN82" i="9"/>
  <c r="AO82" i="9"/>
  <c r="AN78" i="9"/>
  <c r="AO78" i="9"/>
  <c r="AN74" i="9"/>
  <c r="AO74" i="9"/>
  <c r="AN70" i="9"/>
  <c r="AO70" i="9"/>
  <c r="AN66" i="9"/>
  <c r="AO66" i="9"/>
  <c r="AN58" i="9"/>
  <c r="AO58" i="9"/>
  <c r="AN54" i="9"/>
  <c r="AO54" i="9"/>
  <c r="AN50" i="9"/>
  <c r="AO50" i="9"/>
  <c r="AN46" i="9"/>
  <c r="AO46" i="9"/>
  <c r="AN42" i="9"/>
  <c r="AO42" i="9"/>
  <c r="AN38" i="9"/>
  <c r="AO38" i="9"/>
  <c r="AN34" i="9"/>
  <c r="AO34" i="9"/>
  <c r="AN26" i="9"/>
  <c r="AO26" i="9"/>
  <c r="AN22" i="9"/>
  <c r="AO22" i="9"/>
  <c r="AN18" i="9"/>
  <c r="AO18" i="9"/>
  <c r="AN14" i="9"/>
  <c r="AO14" i="9"/>
  <c r="AN10" i="9"/>
  <c r="AO10" i="9"/>
  <c r="AO994" i="9"/>
  <c r="AM994" i="9" s="1"/>
  <c r="AO978" i="9"/>
  <c r="AM978" i="9" s="1"/>
  <c r="AO962" i="9"/>
  <c r="AM962" i="9" s="1"/>
  <c r="AO946" i="9"/>
  <c r="AM946" i="9" s="1"/>
  <c r="AO930" i="9"/>
  <c r="AM930" i="9" s="1"/>
  <c r="AO914" i="9"/>
  <c r="AM914" i="9" s="1"/>
  <c r="AO898" i="9"/>
  <c r="AM898" i="9" s="1"/>
  <c r="AO882" i="9"/>
  <c r="AM882" i="9" s="1"/>
  <c r="AO812" i="9"/>
  <c r="AM812" i="9" s="1"/>
  <c r="AO804" i="9"/>
  <c r="AM804" i="9" s="1"/>
  <c r="AO748" i="9"/>
  <c r="AM748" i="9" s="1"/>
  <c r="AO740" i="9"/>
  <c r="AM740" i="9" s="1"/>
  <c r="AO732" i="9"/>
  <c r="AM732" i="9" s="1"/>
  <c r="AO700" i="9"/>
  <c r="AM700" i="9" s="1"/>
  <c r="AO668" i="9"/>
  <c r="AM668" i="9" s="1"/>
  <c r="AO636" i="9"/>
  <c r="AM636" i="9" s="1"/>
  <c r="AO604" i="9"/>
  <c r="AM604" i="9" s="1"/>
  <c r="AO572" i="9"/>
  <c r="AM572" i="9" s="1"/>
  <c r="AO540" i="9"/>
  <c r="AM540" i="9" s="1"/>
  <c r="AO508" i="9"/>
  <c r="AM508" i="9" s="1"/>
  <c r="AO476" i="9"/>
  <c r="AM476" i="9" s="1"/>
  <c r="AO434" i="9"/>
  <c r="AM434" i="9" s="1"/>
  <c r="AO412" i="9"/>
  <c r="AM412" i="9" s="1"/>
  <c r="AO262" i="9"/>
  <c r="AM262" i="9" s="1"/>
  <c r="AN724" i="9"/>
  <c r="AO724" i="9"/>
  <c r="AN708" i="9"/>
  <c r="AO708" i="9"/>
  <c r="AN692" i="9"/>
  <c r="AO692" i="9"/>
  <c r="AN676" i="9"/>
  <c r="AO676" i="9"/>
  <c r="AN660" i="9"/>
  <c r="AO660" i="9"/>
  <c r="AN644" i="9"/>
  <c r="AO644" i="9"/>
  <c r="AN628" i="9"/>
  <c r="AO628" i="9"/>
  <c r="AN612" i="9"/>
  <c r="AO612" i="9"/>
  <c r="AN596" i="9"/>
  <c r="AO596" i="9"/>
  <c r="AN580" i="9"/>
  <c r="AO580" i="9"/>
  <c r="AN564" i="9"/>
  <c r="AO564" i="9"/>
  <c r="AN548" i="9"/>
  <c r="AO548" i="9"/>
  <c r="AN532" i="9"/>
  <c r="AO532" i="9"/>
  <c r="AN516" i="9"/>
  <c r="AO516" i="9"/>
  <c r="AN500" i="9"/>
  <c r="AO500" i="9"/>
  <c r="AN484" i="9"/>
  <c r="AO484" i="9"/>
  <c r="AN468" i="9"/>
  <c r="AO468" i="9"/>
  <c r="AN452" i="9"/>
  <c r="AO452" i="9"/>
  <c r="AN436" i="9"/>
  <c r="AO436" i="9"/>
  <c r="AN428" i="9"/>
  <c r="AO428" i="9"/>
  <c r="AN420" i="9"/>
  <c r="AO420" i="9"/>
  <c r="AN408" i="9"/>
  <c r="AO408" i="9"/>
  <c r="AN404" i="9"/>
  <c r="AO404" i="9"/>
  <c r="AN400" i="9"/>
  <c r="AO400" i="9"/>
  <c r="AN396" i="9"/>
  <c r="AO396" i="9"/>
  <c r="AN388" i="9"/>
  <c r="AO388" i="9"/>
  <c r="AN384" i="9"/>
  <c r="AO384" i="9"/>
  <c r="AN376" i="9"/>
  <c r="AO376" i="9"/>
  <c r="AN372" i="9"/>
  <c r="AO372" i="9"/>
  <c r="AN368" i="9"/>
  <c r="AO368" i="9"/>
  <c r="AN364" i="9"/>
  <c r="AO364" i="9"/>
  <c r="AN356" i="9"/>
  <c r="AO356" i="9"/>
  <c r="AN352" i="9"/>
  <c r="AO352" i="9"/>
  <c r="AN348" i="9"/>
  <c r="AO348" i="9"/>
  <c r="AN344" i="9"/>
  <c r="AO344" i="9"/>
  <c r="AN340" i="9"/>
  <c r="AO340" i="9"/>
  <c r="AN336" i="9"/>
  <c r="AO336" i="9"/>
  <c r="AN332" i="9"/>
  <c r="AO332" i="9"/>
  <c r="AN328" i="9"/>
  <c r="AO328" i="9"/>
  <c r="AN324" i="9"/>
  <c r="AO324" i="9"/>
  <c r="AN320" i="9"/>
  <c r="AO320" i="9"/>
  <c r="AN316" i="9"/>
  <c r="AO316" i="9"/>
  <c r="AN312" i="9"/>
  <c r="AO312" i="9"/>
  <c r="AN308" i="9"/>
  <c r="AO308" i="9"/>
  <c r="AN304" i="9"/>
  <c r="AO304" i="9"/>
  <c r="AN300" i="9"/>
  <c r="AO300" i="9"/>
  <c r="AN296" i="9"/>
  <c r="AO296" i="9"/>
  <c r="AN292" i="9"/>
  <c r="AO292" i="9"/>
  <c r="AN288" i="9"/>
  <c r="AO288" i="9"/>
  <c r="AN284" i="9"/>
  <c r="AO284" i="9"/>
  <c r="AN280" i="9"/>
  <c r="AO280" i="9"/>
  <c r="AN276" i="9"/>
  <c r="AO276" i="9"/>
  <c r="AN272" i="9"/>
  <c r="AO272" i="9"/>
  <c r="AN268" i="9"/>
  <c r="AO268" i="9"/>
  <c r="AN264" i="9"/>
  <c r="AO264" i="9"/>
  <c r="AN260" i="9"/>
  <c r="AO260" i="9"/>
  <c r="AN256" i="9"/>
  <c r="AO256" i="9"/>
  <c r="AN252" i="9"/>
  <c r="AO252" i="9"/>
  <c r="AN248" i="9"/>
  <c r="AO248" i="9"/>
  <c r="AN244" i="9"/>
  <c r="AO244" i="9"/>
  <c r="AN240" i="9"/>
  <c r="AO240" i="9"/>
  <c r="AN236" i="9"/>
  <c r="AO236" i="9"/>
  <c r="AN232" i="9"/>
  <c r="AO232" i="9"/>
  <c r="AN228" i="9"/>
  <c r="AO228" i="9"/>
  <c r="AN224" i="9"/>
  <c r="AO224" i="9"/>
  <c r="AN220" i="9"/>
  <c r="AO220" i="9"/>
  <c r="AN216" i="9"/>
  <c r="AO216" i="9"/>
  <c r="AN212" i="9"/>
  <c r="AO212" i="9"/>
  <c r="AN208" i="9"/>
  <c r="AO208" i="9"/>
  <c r="AN204" i="9"/>
  <c r="AO204" i="9"/>
  <c r="AN200" i="9"/>
  <c r="AO200" i="9"/>
  <c r="AN196" i="9"/>
  <c r="AO196" i="9"/>
  <c r="AN192" i="9"/>
  <c r="AO192" i="9"/>
  <c r="AN188" i="9"/>
  <c r="AO188" i="9"/>
  <c r="AN184" i="9"/>
  <c r="AO184" i="9"/>
  <c r="AN180" i="9"/>
  <c r="AO180" i="9"/>
  <c r="AN176" i="9"/>
  <c r="AO176" i="9"/>
  <c r="AN172" i="9"/>
  <c r="AO172" i="9"/>
  <c r="AN168" i="9"/>
  <c r="AO168" i="9"/>
  <c r="AN164" i="9"/>
  <c r="AO164" i="9"/>
  <c r="AN160" i="9"/>
  <c r="AO160" i="9"/>
  <c r="AN156" i="9"/>
  <c r="AO156" i="9"/>
  <c r="AN148" i="9"/>
  <c r="AO148" i="9"/>
  <c r="AN144" i="9"/>
  <c r="AO144" i="9"/>
  <c r="AN140" i="9"/>
  <c r="AO140" i="9"/>
  <c r="AN132" i="9"/>
  <c r="AO132" i="9"/>
  <c r="AN128" i="9"/>
  <c r="AO128" i="9"/>
  <c r="AN124" i="9"/>
  <c r="AO124" i="9"/>
  <c r="AN116" i="9"/>
  <c r="AO116" i="9"/>
  <c r="AN112" i="9"/>
  <c r="AO112" i="9"/>
  <c r="AN108" i="9"/>
  <c r="AO108" i="9"/>
  <c r="AN100" i="9"/>
  <c r="AO100" i="9"/>
  <c r="AN96" i="9"/>
  <c r="AO96" i="9"/>
  <c r="AN92" i="9"/>
  <c r="AO92" i="9"/>
  <c r="AN84" i="9"/>
  <c r="AO84" i="9"/>
  <c r="AN80" i="9"/>
  <c r="AO80" i="9"/>
  <c r="AN76" i="9"/>
  <c r="AO76" i="9"/>
  <c r="AN68" i="9"/>
  <c r="AO68" i="9"/>
  <c r="AN64" i="9"/>
  <c r="AO64" i="9"/>
  <c r="AN60" i="9"/>
  <c r="AO60" i="9"/>
  <c r="AN52" i="9"/>
  <c r="AO52" i="9"/>
  <c r="AN48" i="9"/>
  <c r="AO48" i="9"/>
  <c r="AN44" i="9"/>
  <c r="AO44" i="9"/>
  <c r="AN36" i="9"/>
  <c r="AO36" i="9"/>
  <c r="AN32" i="9"/>
  <c r="AO32" i="9"/>
  <c r="AN28" i="9"/>
  <c r="AO28" i="9"/>
  <c r="AN20" i="9"/>
  <c r="AO20" i="9"/>
  <c r="AN16" i="9"/>
  <c r="AO16" i="9"/>
  <c r="AN12" i="9"/>
  <c r="AO12" i="9"/>
  <c r="AN62" i="9"/>
  <c r="AO62" i="9"/>
  <c r="AO1002" i="9"/>
  <c r="AM1002" i="9" s="1"/>
  <c r="AO986" i="9"/>
  <c r="AM986" i="9" s="1"/>
  <c r="AO970" i="9"/>
  <c r="AM970" i="9" s="1"/>
  <c r="AO954" i="9"/>
  <c r="AM954" i="9" s="1"/>
  <c r="AO938" i="9"/>
  <c r="AM938" i="9" s="1"/>
  <c r="AO922" i="9"/>
  <c r="AM922" i="9" s="1"/>
  <c r="AO906" i="9"/>
  <c r="AM906" i="9" s="1"/>
  <c r="AO890" i="9"/>
  <c r="AM890" i="9" s="1"/>
  <c r="AO844" i="9"/>
  <c r="AM844" i="9" s="1"/>
  <c r="AO836" i="9"/>
  <c r="AM836" i="9" s="1"/>
  <c r="AO780" i="9"/>
  <c r="AM780" i="9" s="1"/>
  <c r="AO772" i="9"/>
  <c r="AM772" i="9" s="1"/>
  <c r="AO716" i="9"/>
  <c r="AM716" i="9" s="1"/>
  <c r="AO684" i="9"/>
  <c r="AM684" i="9" s="1"/>
  <c r="AO652" i="9"/>
  <c r="AM652" i="9" s="1"/>
  <c r="AO620" i="9"/>
  <c r="AM620" i="9" s="1"/>
  <c r="AO588" i="9"/>
  <c r="AM588" i="9" s="1"/>
  <c r="AO556" i="9"/>
  <c r="AM556" i="9" s="1"/>
  <c r="AO524" i="9"/>
  <c r="AM524" i="9" s="1"/>
  <c r="AO492" i="9"/>
  <c r="AM492" i="9" s="1"/>
  <c r="AO460" i="9"/>
  <c r="AM460" i="9" s="1"/>
  <c r="AO444" i="9"/>
  <c r="AM444" i="9" s="1"/>
  <c r="AO380" i="9"/>
  <c r="AM380" i="9" s="1"/>
  <c r="AO134" i="9"/>
  <c r="AM134" i="9" s="1"/>
  <c r="AO106" i="9"/>
  <c r="AM106" i="9" s="1"/>
  <c r="AO27" i="9"/>
  <c r="AM27" i="9" s="1"/>
  <c r="AN123" i="9"/>
  <c r="AO123" i="9"/>
  <c r="AN119" i="9"/>
  <c r="AO119" i="9"/>
  <c r="AN111" i="9"/>
  <c r="AO111" i="9"/>
  <c r="AN103" i="9"/>
  <c r="AO103" i="9"/>
  <c r="AN95" i="9"/>
  <c r="AO95" i="9"/>
  <c r="AN87" i="9"/>
  <c r="AO87" i="9"/>
  <c r="AN79" i="9"/>
  <c r="AO79" i="9"/>
  <c r="AN75" i="9"/>
  <c r="AO75" i="9"/>
  <c r="AN67" i="9"/>
  <c r="AO67" i="9"/>
  <c r="AN55" i="9"/>
  <c r="AO55" i="9"/>
  <c r="AN47" i="9"/>
  <c r="AO47" i="9"/>
  <c r="AN43" i="9"/>
  <c r="AO43" i="9"/>
  <c r="AN35" i="9"/>
  <c r="AO35" i="9"/>
  <c r="AN23" i="9"/>
  <c r="AO23" i="9"/>
  <c r="AN15" i="9"/>
  <c r="AO15" i="9"/>
  <c r="AN11" i="9"/>
  <c r="AO11" i="9"/>
  <c r="AO115" i="9"/>
  <c r="AM115" i="9" s="1"/>
  <c r="AO83" i="9"/>
  <c r="AM83" i="9" s="1"/>
  <c r="AO63" i="9"/>
  <c r="AM63" i="9" s="1"/>
  <c r="AO19" i="9"/>
  <c r="AM19" i="9" s="1"/>
  <c r="AO99" i="9"/>
  <c r="AM99" i="9" s="1"/>
  <c r="AO59" i="9"/>
  <c r="AM59" i="9" s="1"/>
  <c r="AO39" i="9"/>
  <c r="AM39" i="9" s="1"/>
  <c r="AR107" i="9" l="1"/>
  <c r="AQ107" i="9"/>
  <c r="AM11" i="9"/>
  <c r="AM23" i="9"/>
  <c r="AM43" i="9"/>
  <c r="AM55" i="9"/>
  <c r="AM75" i="9"/>
  <c r="AM87" i="9"/>
  <c r="AM103" i="9"/>
  <c r="AM119" i="9"/>
  <c r="AM12" i="9"/>
  <c r="AM20" i="9"/>
  <c r="AM32" i="9"/>
  <c r="AM44" i="9"/>
  <c r="AM52" i="9"/>
  <c r="AM64" i="9"/>
  <c r="AM76" i="9"/>
  <c r="AM84" i="9"/>
  <c r="AM96" i="9"/>
  <c r="AM108" i="9"/>
  <c r="AM116" i="9"/>
  <c r="AM128" i="9"/>
  <c r="AM140" i="9"/>
  <c r="AM148" i="9"/>
  <c r="AM160" i="9"/>
  <c r="AM168" i="9"/>
  <c r="AM176" i="9"/>
  <c r="AM184" i="9"/>
  <c r="AM192" i="9"/>
  <c r="AM200" i="9"/>
  <c r="AM208" i="9"/>
  <c r="AM216" i="9"/>
  <c r="AM224" i="9"/>
  <c r="AM232" i="9"/>
  <c r="AM240" i="9"/>
  <c r="AM248" i="9"/>
  <c r="AM256" i="9"/>
  <c r="AM264" i="9"/>
  <c r="AM272" i="9"/>
  <c r="AM280" i="9"/>
  <c r="AM288" i="9"/>
  <c r="AM296" i="9"/>
  <c r="AM304" i="9"/>
  <c r="AM312" i="9"/>
  <c r="AM320" i="9"/>
  <c r="AM328" i="9"/>
  <c r="AM336" i="9"/>
  <c r="AM344" i="9"/>
  <c r="AM352" i="9"/>
  <c r="AM364" i="9"/>
  <c r="AM372" i="9"/>
  <c r="AM384" i="9"/>
  <c r="AM396" i="9"/>
  <c r="AM404" i="9"/>
  <c r="AM420" i="9"/>
  <c r="AM436" i="9"/>
  <c r="AM468" i="9"/>
  <c r="AM500" i="9"/>
  <c r="AM532" i="9"/>
  <c r="AM564" i="9"/>
  <c r="AM596" i="9"/>
  <c r="AM628" i="9"/>
  <c r="AM660" i="9"/>
  <c r="AM692" i="9"/>
  <c r="AM724" i="9"/>
  <c r="AM14" i="9"/>
  <c r="AM22" i="9"/>
  <c r="AM34" i="9"/>
  <c r="AM42" i="9"/>
  <c r="AM50" i="9"/>
  <c r="AM58" i="9"/>
  <c r="AM70" i="9"/>
  <c r="AM78" i="9"/>
  <c r="AM86" i="9"/>
  <c r="AM98" i="9"/>
  <c r="AM110" i="9"/>
  <c r="AM118" i="9"/>
  <c r="AM138" i="9"/>
  <c r="AM146" i="9"/>
  <c r="AM166" i="9"/>
  <c r="AM198" i="9"/>
  <c r="AM230" i="9"/>
  <c r="AM294" i="9"/>
  <c r="AM326" i="9"/>
  <c r="AM358" i="9"/>
  <c r="AM390" i="9"/>
  <c r="AM418" i="9"/>
  <c r="AM426" i="9"/>
  <c r="AM442" i="9"/>
  <c r="AM454" i="9"/>
  <c r="AM466" i="9"/>
  <c r="AM474" i="9"/>
  <c r="AM486" i="9"/>
  <c r="AM498" i="9"/>
  <c r="AM506" i="9"/>
  <c r="AM518" i="9"/>
  <c r="AM530" i="9"/>
  <c r="AM538" i="9"/>
  <c r="AM550" i="9"/>
  <c r="AM562" i="9"/>
  <c r="AM570" i="9"/>
  <c r="AM582" i="9"/>
  <c r="AM594" i="9"/>
  <c r="AM602" i="9"/>
  <c r="AM614" i="9"/>
  <c r="AM626" i="9"/>
  <c r="AM634" i="9"/>
  <c r="AM646" i="9"/>
  <c r="AM658" i="9"/>
  <c r="AM666" i="9"/>
  <c r="AM678" i="9"/>
  <c r="AM690" i="9"/>
  <c r="AM698" i="9"/>
  <c r="AM710" i="9"/>
  <c r="AM722" i="9"/>
  <c r="AM730" i="9"/>
  <c r="AM742" i="9"/>
  <c r="AM754" i="9"/>
  <c r="AM762" i="9"/>
  <c r="AM774" i="9"/>
  <c r="AM786" i="9"/>
  <c r="AM794" i="9"/>
  <c r="AM806" i="9"/>
  <c r="AM818" i="9"/>
  <c r="AM826" i="9"/>
  <c r="AM838" i="9"/>
  <c r="AM850" i="9"/>
  <c r="AM858" i="9"/>
  <c r="AM866" i="9"/>
  <c r="AM874" i="9"/>
  <c r="AM151" i="9"/>
  <c r="AM159" i="9"/>
  <c r="AM167" i="9"/>
  <c r="AM175" i="9"/>
  <c r="AM183" i="9"/>
  <c r="AM191" i="9"/>
  <c r="AM199" i="9"/>
  <c r="AM207" i="9"/>
  <c r="AM215" i="9"/>
  <c r="AM223" i="9"/>
  <c r="AM231" i="9"/>
  <c r="AM243" i="9"/>
  <c r="AM251" i="9"/>
  <c r="AM259" i="9"/>
  <c r="AM267" i="9"/>
  <c r="AM275" i="9"/>
  <c r="AM283" i="9"/>
  <c r="AM291" i="9"/>
  <c r="AM299" i="9"/>
  <c r="AM311" i="9"/>
  <c r="AM319" i="9"/>
  <c r="AM327" i="9"/>
  <c r="AM339" i="9"/>
  <c r="AM347" i="9"/>
  <c r="AM355" i="9"/>
  <c r="AM363" i="9"/>
  <c r="AM375" i="9"/>
  <c r="AM383" i="9"/>
  <c r="AM391" i="9"/>
  <c r="AM399" i="9"/>
  <c r="AM411" i="9"/>
  <c r="AM419" i="9"/>
  <c r="AM427" i="9"/>
  <c r="AM439" i="9"/>
  <c r="AM447" i="9"/>
  <c r="AM455" i="9"/>
  <c r="AM463" i="9"/>
  <c r="AM475" i="9"/>
  <c r="AM487" i="9"/>
  <c r="AM495" i="9"/>
  <c r="AM507" i="9"/>
  <c r="AM519" i="9"/>
  <c r="AM527" i="9"/>
  <c r="AM539" i="9"/>
  <c r="AM551" i="9"/>
  <c r="AM559" i="9"/>
  <c r="AM571" i="9"/>
  <c r="AM583" i="9"/>
  <c r="AM591" i="9"/>
  <c r="AM603" i="9"/>
  <c r="AM615" i="9"/>
  <c r="AM623" i="9"/>
  <c r="AM635" i="9"/>
  <c r="AM647" i="9"/>
  <c r="AM655" i="9"/>
  <c r="AM667" i="9"/>
  <c r="AM679" i="9"/>
  <c r="AM687" i="9"/>
  <c r="AM699" i="9"/>
  <c r="AM711" i="9"/>
  <c r="AM719" i="9"/>
  <c r="AM731" i="9"/>
  <c r="AM747" i="9"/>
  <c r="AM755" i="9"/>
  <c r="AM763" i="9"/>
  <c r="AM783" i="9"/>
  <c r="AM791" i="9"/>
  <c r="AM811" i="9"/>
  <c r="AM819" i="9"/>
  <c r="AM827" i="9"/>
  <c r="AM847" i="9"/>
  <c r="AM855" i="9"/>
  <c r="AM875" i="9"/>
  <c r="AM887" i="9"/>
  <c r="AM903" i="9"/>
  <c r="AM919" i="9"/>
  <c r="AM935" i="9"/>
  <c r="AM951" i="9"/>
  <c r="AM967" i="9"/>
  <c r="AM983" i="9"/>
  <c r="AM999" i="9"/>
  <c r="AM989" i="9"/>
  <c r="AM94" i="9"/>
  <c r="AM210" i="9"/>
  <c r="AM298" i="9"/>
  <c r="AM464" i="9"/>
  <c r="AM592" i="9"/>
  <c r="AM720" i="9"/>
  <c r="AM808" i="9"/>
  <c r="AM24" i="9"/>
  <c r="AM88" i="9"/>
  <c r="AM152" i="9"/>
  <c r="AM440" i="9"/>
  <c r="AM480" i="9"/>
  <c r="AM544" i="9"/>
  <c r="AM608" i="9"/>
  <c r="AM672" i="9"/>
  <c r="AM736" i="9"/>
  <c r="AM800" i="9"/>
  <c r="AM864" i="9"/>
  <c r="AM872" i="9"/>
  <c r="AM880" i="9"/>
  <c r="AM888" i="9"/>
  <c r="AM896" i="9"/>
  <c r="AM904" i="9"/>
  <c r="AM912" i="9"/>
  <c r="AM920" i="9"/>
  <c r="AM928" i="9"/>
  <c r="AM936" i="9"/>
  <c r="AM944" i="9"/>
  <c r="AM952" i="9"/>
  <c r="AM960" i="9"/>
  <c r="AM968" i="9"/>
  <c r="AM976" i="9"/>
  <c r="AM984" i="9"/>
  <c r="AM992" i="9"/>
  <c r="AM1000" i="9"/>
  <c r="AM1008" i="9"/>
  <c r="AM15" i="9"/>
  <c r="AM35" i="9"/>
  <c r="AM47" i="9"/>
  <c r="AM67" i="9"/>
  <c r="AM79" i="9"/>
  <c r="AM95" i="9"/>
  <c r="AM111" i="9"/>
  <c r="AM123" i="9"/>
  <c r="AM62" i="9"/>
  <c r="AR62" i="9" s="1"/>
  <c r="AM16" i="9"/>
  <c r="AM28" i="9"/>
  <c r="AM36" i="9"/>
  <c r="AM48" i="9"/>
  <c r="AM60" i="9"/>
  <c r="AM68" i="9"/>
  <c r="AM80" i="9"/>
  <c r="AM92" i="9"/>
  <c r="AM100" i="9"/>
  <c r="AM112" i="9"/>
  <c r="AM124" i="9"/>
  <c r="AM132" i="9"/>
  <c r="AQ132" i="9" s="1"/>
  <c r="AM144" i="9"/>
  <c r="AM156" i="9"/>
  <c r="AM164" i="9"/>
  <c r="AM172" i="9"/>
  <c r="AM180" i="9"/>
  <c r="AM188" i="9"/>
  <c r="AM196" i="9"/>
  <c r="AM204" i="9"/>
  <c r="AM212" i="9"/>
  <c r="AM220" i="9"/>
  <c r="AM228" i="9"/>
  <c r="AM236" i="9"/>
  <c r="AM244" i="9"/>
  <c r="AM252" i="9"/>
  <c r="AM260" i="9"/>
  <c r="AM268" i="9"/>
  <c r="AM276" i="9"/>
  <c r="AM284" i="9"/>
  <c r="AM292" i="9"/>
  <c r="AM300" i="9"/>
  <c r="AQ300" i="9" s="1"/>
  <c r="AM308" i="9"/>
  <c r="AM316" i="9"/>
  <c r="AM324" i="9"/>
  <c r="AM332" i="9"/>
  <c r="AM340" i="9"/>
  <c r="AM348" i="9"/>
  <c r="AM356" i="9"/>
  <c r="AM368" i="9"/>
  <c r="AM376" i="9"/>
  <c r="AM388" i="9"/>
  <c r="AM400" i="9"/>
  <c r="AM408" i="9"/>
  <c r="AR408" i="9" s="1"/>
  <c r="AM428" i="9"/>
  <c r="AM452" i="9"/>
  <c r="AM484" i="9"/>
  <c r="AM516" i="9"/>
  <c r="AM548" i="9"/>
  <c r="AM580" i="9"/>
  <c r="AM612" i="9"/>
  <c r="AM644" i="9"/>
  <c r="AM676" i="9"/>
  <c r="AM708" i="9"/>
  <c r="AM10" i="9"/>
  <c r="AM18" i="9"/>
  <c r="AM26" i="9"/>
  <c r="AM38" i="9"/>
  <c r="AR38" i="9" s="1"/>
  <c r="AM46" i="9"/>
  <c r="AM54" i="9"/>
  <c r="AM66" i="9"/>
  <c r="AM74" i="9"/>
  <c r="AM82" i="9"/>
  <c r="AM90" i="9"/>
  <c r="AM102" i="9"/>
  <c r="AM114" i="9"/>
  <c r="AM130" i="9"/>
  <c r="AM142" i="9"/>
  <c r="AM154" i="9"/>
  <c r="AM182" i="9"/>
  <c r="AM214" i="9"/>
  <c r="AM246" i="9"/>
  <c r="AM310" i="9"/>
  <c r="AM342" i="9"/>
  <c r="AM374" i="9"/>
  <c r="AM406" i="9"/>
  <c r="AM422" i="9"/>
  <c r="AM438" i="9"/>
  <c r="AM450" i="9"/>
  <c r="AM458" i="9"/>
  <c r="AM470" i="9"/>
  <c r="AM482" i="9"/>
  <c r="AM490" i="9"/>
  <c r="AM502" i="9"/>
  <c r="AM514" i="9"/>
  <c r="AM522" i="9"/>
  <c r="AM534" i="9"/>
  <c r="AM546" i="9"/>
  <c r="AM554" i="9"/>
  <c r="AM566" i="9"/>
  <c r="AM578" i="9"/>
  <c r="AM586" i="9"/>
  <c r="AM598" i="9"/>
  <c r="AM610" i="9"/>
  <c r="AM618" i="9"/>
  <c r="AM630" i="9"/>
  <c r="AM642" i="9"/>
  <c r="AM650" i="9"/>
  <c r="AM662" i="9"/>
  <c r="AM674" i="9"/>
  <c r="AM682" i="9"/>
  <c r="AM694" i="9"/>
  <c r="AM706" i="9"/>
  <c r="AM714" i="9"/>
  <c r="AM726" i="9"/>
  <c r="AM738" i="9"/>
  <c r="AM746" i="9"/>
  <c r="AM758" i="9"/>
  <c r="AM770" i="9"/>
  <c r="AM778" i="9"/>
  <c r="AM790" i="9"/>
  <c r="AM802" i="9"/>
  <c r="AM810" i="9"/>
  <c r="AM822" i="9"/>
  <c r="AM834" i="9"/>
  <c r="AM842" i="9"/>
  <c r="AM854" i="9"/>
  <c r="AM862" i="9"/>
  <c r="AM870" i="9"/>
  <c r="AM878" i="9"/>
  <c r="AM155" i="9"/>
  <c r="AM163" i="9"/>
  <c r="AM171" i="9"/>
  <c r="AM179" i="9"/>
  <c r="AM187" i="9"/>
  <c r="AM195" i="9"/>
  <c r="AM203" i="9"/>
  <c r="AM211" i="9"/>
  <c r="AM219" i="9"/>
  <c r="AM227" i="9"/>
  <c r="AM239" i="9"/>
  <c r="AM247" i="9"/>
  <c r="AM255" i="9"/>
  <c r="AM263" i="9"/>
  <c r="AM271" i="9"/>
  <c r="AM279" i="9"/>
  <c r="AM287" i="9"/>
  <c r="AM295" i="9"/>
  <c r="AM303" i="9"/>
  <c r="AM315" i="9"/>
  <c r="AM323" i="9"/>
  <c r="AM331" i="9"/>
  <c r="AM343" i="9"/>
  <c r="AM351" i="9"/>
  <c r="AM359" i="9"/>
  <c r="AM367" i="9"/>
  <c r="AM379" i="9"/>
  <c r="AM387" i="9"/>
  <c r="AM395" i="9"/>
  <c r="AM407" i="9"/>
  <c r="AM415" i="9"/>
  <c r="AM423" i="9"/>
  <c r="AM431" i="9"/>
  <c r="AM443" i="9"/>
  <c r="AM451" i="9"/>
  <c r="AM459" i="9"/>
  <c r="AM471" i="9"/>
  <c r="AM479" i="9"/>
  <c r="AM491" i="9"/>
  <c r="AM503" i="9"/>
  <c r="AM511" i="9"/>
  <c r="AM523" i="9"/>
  <c r="AM535" i="9"/>
  <c r="AM543" i="9"/>
  <c r="AM555" i="9"/>
  <c r="AM567" i="9"/>
  <c r="AM575" i="9"/>
  <c r="AM587" i="9"/>
  <c r="AM599" i="9"/>
  <c r="AM607" i="9"/>
  <c r="AM619" i="9"/>
  <c r="AM631" i="9"/>
  <c r="AM639" i="9"/>
  <c r="AM651" i="9"/>
  <c r="AM663" i="9"/>
  <c r="AM671" i="9"/>
  <c r="AM683" i="9"/>
  <c r="AM695" i="9"/>
  <c r="AM703" i="9"/>
  <c r="AM715" i="9"/>
  <c r="AM727" i="9"/>
  <c r="AM735" i="9"/>
  <c r="AM751" i="9"/>
  <c r="AM759" i="9"/>
  <c r="AM779" i="9"/>
  <c r="AM787" i="9"/>
  <c r="AM795" i="9"/>
  <c r="AM815" i="9"/>
  <c r="AM823" i="9"/>
  <c r="AM843" i="9"/>
  <c r="AM851" i="9"/>
  <c r="AM859" i="9"/>
  <c r="AM879" i="9"/>
  <c r="AM895" i="9"/>
  <c r="AM911" i="9"/>
  <c r="AM927" i="9"/>
  <c r="AM943" i="9"/>
  <c r="AM959" i="9"/>
  <c r="AM975" i="9"/>
  <c r="AM991" i="9"/>
  <c r="AM1007" i="9"/>
  <c r="AM997" i="9"/>
  <c r="AM30" i="9"/>
  <c r="AM170" i="9"/>
  <c r="AM254" i="9"/>
  <c r="AM338" i="9"/>
  <c r="AM510" i="9"/>
  <c r="AM638" i="9"/>
  <c r="AM766" i="9"/>
  <c r="AM848" i="9"/>
  <c r="AM40" i="9"/>
  <c r="AM104" i="9"/>
  <c r="AM416" i="9"/>
  <c r="AM448" i="9"/>
  <c r="AM512" i="9"/>
  <c r="AM576" i="9"/>
  <c r="AM640" i="9"/>
  <c r="AM704" i="9"/>
  <c r="AM768" i="9"/>
  <c r="AM832" i="9"/>
  <c r="AM868" i="9"/>
  <c r="AM876" i="9"/>
  <c r="AM884" i="9"/>
  <c r="AM892" i="9"/>
  <c r="AM900" i="9"/>
  <c r="AM908" i="9"/>
  <c r="AM916" i="9"/>
  <c r="AM924" i="9"/>
  <c r="AM932" i="9"/>
  <c r="AM940" i="9"/>
  <c r="AM948" i="9"/>
  <c r="AM956" i="9"/>
  <c r="AM964" i="9"/>
  <c r="AM972" i="9"/>
  <c r="AM980" i="9"/>
  <c r="AM988" i="9"/>
  <c r="AM996" i="9"/>
  <c r="AM1004" i="9"/>
  <c r="AM561" i="9"/>
  <c r="AM569" i="9"/>
  <c r="AM581" i="9"/>
  <c r="AM593" i="9"/>
  <c r="AR593" i="9" s="1"/>
  <c r="AM601" i="9"/>
  <c r="AR601" i="9" s="1"/>
  <c r="AM613" i="9"/>
  <c r="AM625" i="9"/>
  <c r="AM633" i="9"/>
  <c r="AM645" i="9"/>
  <c r="AQ645" i="9" s="1"/>
  <c r="AM657" i="9"/>
  <c r="AM665" i="9"/>
  <c r="AM677" i="9"/>
  <c r="AM689" i="9"/>
  <c r="AQ689" i="9" s="1"/>
  <c r="AM697" i="9"/>
  <c r="AM709" i="9"/>
  <c r="AM721" i="9"/>
  <c r="AM729" i="9"/>
  <c r="AQ729" i="9" s="1"/>
  <c r="AM741" i="9"/>
  <c r="AM761" i="9"/>
  <c r="AM769" i="9"/>
  <c r="AR769" i="9" s="1"/>
  <c r="AM789" i="9"/>
  <c r="AR789" i="9" s="1"/>
  <c r="AM797" i="9"/>
  <c r="AM805" i="9"/>
  <c r="AM825" i="9"/>
  <c r="AM833" i="9"/>
  <c r="AQ833" i="9" s="1"/>
  <c r="AM853" i="9"/>
  <c r="AM861" i="9"/>
  <c r="AM869" i="9"/>
  <c r="AM893" i="9"/>
  <c r="AR893" i="9" s="1"/>
  <c r="AM909" i="9"/>
  <c r="AM925" i="9"/>
  <c r="AM941" i="9"/>
  <c r="AR941" i="9" s="1"/>
  <c r="AM957" i="9"/>
  <c r="AR957" i="9" s="1"/>
  <c r="AM973" i="9"/>
  <c r="AM1005" i="9"/>
  <c r="AQ67" i="9"/>
  <c r="AR123" i="9"/>
  <c r="AR28" i="9"/>
  <c r="AR36" i="9"/>
  <c r="AR68" i="9"/>
  <c r="AR80" i="9"/>
  <c r="AR112" i="9"/>
  <c r="AR124" i="9"/>
  <c r="AQ156" i="9"/>
  <c r="AQ164" i="9"/>
  <c r="AQ188" i="9"/>
  <c r="AQ196" i="9"/>
  <c r="AQ220" i="9"/>
  <c r="AQ228" i="9"/>
  <c r="AR252" i="9"/>
  <c r="AR260" i="9"/>
  <c r="AR284" i="9"/>
  <c r="AQ292" i="9"/>
  <c r="AR316" i="9"/>
  <c r="AR324" i="9"/>
  <c r="AR348" i="9"/>
  <c r="AR356" i="9"/>
  <c r="AR388" i="9"/>
  <c r="AQ400" i="9"/>
  <c r="AR452" i="9"/>
  <c r="AR484" i="9"/>
  <c r="AQ580" i="9"/>
  <c r="AR612" i="9"/>
  <c r="AR708" i="9"/>
  <c r="AR10" i="9"/>
  <c r="AQ46" i="9"/>
  <c r="AR675" i="9"/>
  <c r="AQ675" i="9"/>
  <c r="AQ867" i="9"/>
  <c r="AR867" i="9"/>
  <c r="AR955" i="9"/>
  <c r="AQ955" i="9"/>
  <c r="AR467" i="9"/>
  <c r="AQ467" i="9"/>
  <c r="AP467" i="9" s="1"/>
  <c r="AR552" i="9"/>
  <c r="AQ552" i="9"/>
  <c r="AQ723" i="9"/>
  <c r="AR723" i="9"/>
  <c r="AR841" i="9"/>
  <c r="AQ841" i="9"/>
  <c r="AR150" i="9"/>
  <c r="AQ150" i="9"/>
  <c r="AP150" i="9" s="1"/>
  <c r="AQ472" i="9"/>
  <c r="AR472" i="9"/>
  <c r="AR728" i="9"/>
  <c r="AQ728" i="9"/>
  <c r="AQ845" i="9"/>
  <c r="AR845" i="9"/>
  <c r="AR971" i="9"/>
  <c r="AQ971" i="9"/>
  <c r="AP971" i="9" s="1"/>
  <c r="AR456" i="9"/>
  <c r="AQ456" i="9"/>
  <c r="AR541" i="9"/>
  <c r="AQ541" i="9"/>
  <c r="AP541" i="9" s="1"/>
  <c r="AQ627" i="9"/>
  <c r="AR627" i="9"/>
  <c r="AR712" i="9"/>
  <c r="AQ712" i="9"/>
  <c r="AQ777" i="9"/>
  <c r="AR777" i="9"/>
  <c r="AQ835" i="9"/>
  <c r="AR835" i="9"/>
  <c r="AQ889" i="9"/>
  <c r="AR889" i="9"/>
  <c r="AQ942" i="9"/>
  <c r="AR942" i="9"/>
  <c r="AQ836" i="9"/>
  <c r="AR836" i="9"/>
  <c r="AQ922" i="9"/>
  <c r="AR922" i="9"/>
  <c r="AR986" i="9"/>
  <c r="AQ986" i="9"/>
  <c r="AQ434" i="9"/>
  <c r="AR434" i="9"/>
  <c r="AP434" i="9" s="1"/>
  <c r="AQ804" i="9"/>
  <c r="AR804" i="9"/>
  <c r="AR914" i="9"/>
  <c r="AQ914" i="9"/>
  <c r="AR978" i="9"/>
  <c r="AQ978" i="9"/>
  <c r="AR424" i="9"/>
  <c r="AQ424" i="9"/>
  <c r="AP424" i="9" s="1"/>
  <c r="AR525" i="9"/>
  <c r="AQ525" i="9"/>
  <c r="AR611" i="9"/>
  <c r="AQ611" i="9"/>
  <c r="AP611" i="9" s="1"/>
  <c r="AQ696" i="9"/>
  <c r="AR696" i="9"/>
  <c r="AQ767" i="9"/>
  <c r="AR767" i="9"/>
  <c r="AR824" i="9"/>
  <c r="AQ824" i="9"/>
  <c r="AR966" i="9"/>
  <c r="AQ966" i="9"/>
  <c r="AP966" i="9" s="1"/>
  <c r="AR488" i="9"/>
  <c r="AQ488" i="9"/>
  <c r="AQ573" i="9"/>
  <c r="AR573" i="9"/>
  <c r="AQ659" i="9"/>
  <c r="AR659" i="9"/>
  <c r="AQ799" i="9"/>
  <c r="AR799" i="9"/>
  <c r="AQ856" i="9"/>
  <c r="AR856" i="9"/>
  <c r="AR905" i="9"/>
  <c r="AQ905" i="9"/>
  <c r="AP905" i="9" s="1"/>
  <c r="AR947" i="9"/>
  <c r="AQ947" i="9"/>
  <c r="AQ990" i="9"/>
  <c r="AR990" i="9"/>
  <c r="AR360" i="9"/>
  <c r="AQ360" i="9"/>
  <c r="AQ493" i="9"/>
  <c r="AR493" i="9"/>
  <c r="AR579" i="9"/>
  <c r="AQ579" i="9"/>
  <c r="AQ664" i="9"/>
  <c r="AR664" i="9"/>
  <c r="AP664" i="9" s="1"/>
  <c r="AQ745" i="9"/>
  <c r="AR745" i="9"/>
  <c r="AR803" i="9"/>
  <c r="AQ803" i="9"/>
  <c r="AP803" i="9" s="1"/>
  <c r="AQ321" i="9"/>
  <c r="AR321" i="9"/>
  <c r="AR477" i="9"/>
  <c r="AQ477" i="9"/>
  <c r="AP477" i="9" s="1"/>
  <c r="AR563" i="9"/>
  <c r="AQ563" i="9"/>
  <c r="AR648" i="9"/>
  <c r="AQ648" i="9"/>
  <c r="AQ733" i="9"/>
  <c r="AR733" i="9"/>
  <c r="AQ792" i="9"/>
  <c r="AR792" i="9"/>
  <c r="AP792" i="9" s="1"/>
  <c r="AQ899" i="9"/>
  <c r="AR899" i="9"/>
  <c r="AR963" i="9"/>
  <c r="AQ963" i="9"/>
  <c r="AP963" i="9" s="1"/>
  <c r="AR886" i="9"/>
  <c r="AQ886" i="9"/>
  <c r="AR950" i="9"/>
  <c r="AQ950" i="9"/>
  <c r="AP950" i="9" s="1"/>
  <c r="AQ63" i="9"/>
  <c r="AR63" i="9"/>
  <c r="AQ106" i="9"/>
  <c r="AR106" i="9"/>
  <c r="AR938" i="9"/>
  <c r="AQ938" i="9"/>
  <c r="AR1002" i="9"/>
  <c r="AQ1002" i="9"/>
  <c r="AP1002" i="9" s="1"/>
  <c r="AR994" i="9"/>
  <c r="AQ994" i="9"/>
  <c r="AQ278" i="9"/>
  <c r="AR278" i="9"/>
  <c r="AQ461" i="9"/>
  <c r="AR461" i="9"/>
  <c r="AQ547" i="9"/>
  <c r="AR547" i="9"/>
  <c r="AQ632" i="9"/>
  <c r="AR632" i="9"/>
  <c r="AQ717" i="9"/>
  <c r="AR717" i="9"/>
  <c r="AR781" i="9"/>
  <c r="AQ781" i="9"/>
  <c r="AQ934" i="9"/>
  <c r="AR934" i="9"/>
  <c r="AR392" i="9"/>
  <c r="AQ392" i="9"/>
  <c r="AQ509" i="9"/>
  <c r="AR509" i="9"/>
  <c r="AR595" i="9"/>
  <c r="AQ595" i="9"/>
  <c r="AR756" i="9"/>
  <c r="AQ756" i="9"/>
  <c r="AQ813" i="9"/>
  <c r="AR813" i="9"/>
  <c r="AQ915" i="9"/>
  <c r="AR915" i="9"/>
  <c r="AQ958" i="9"/>
  <c r="AR958" i="9"/>
  <c r="AR403" i="9"/>
  <c r="AQ403" i="9"/>
  <c r="AP403" i="9" s="1"/>
  <c r="AR600" i="9"/>
  <c r="AQ600" i="9"/>
  <c r="AQ760" i="9"/>
  <c r="AR760" i="9"/>
  <c r="AP760" i="9" s="1"/>
  <c r="AQ1003" i="9"/>
  <c r="AR1003" i="9"/>
  <c r="AQ669" i="9"/>
  <c r="AR669" i="9"/>
  <c r="AR749" i="9"/>
  <c r="AQ749" i="9"/>
  <c r="AQ863" i="9"/>
  <c r="AR863" i="9"/>
  <c r="AQ910" i="9"/>
  <c r="AR910" i="9"/>
  <c r="AQ974" i="9"/>
  <c r="AR974" i="9"/>
  <c r="AR412" i="9"/>
  <c r="AQ412" i="9"/>
  <c r="AR382" i="9"/>
  <c r="AQ382" i="9"/>
  <c r="AQ589" i="9"/>
  <c r="AR589" i="9"/>
  <c r="AR772" i="9"/>
  <c r="AQ772" i="9"/>
  <c r="AQ890" i="9"/>
  <c r="AR890" i="9"/>
  <c r="AR954" i="9"/>
  <c r="AQ954" i="9"/>
  <c r="AP954" i="9" s="1"/>
  <c r="AQ946" i="9"/>
  <c r="AR946" i="9"/>
  <c r="AR335" i="9"/>
  <c r="AQ335" i="9"/>
  <c r="AP335" i="9" s="1"/>
  <c r="AR483" i="9"/>
  <c r="AQ483" i="9"/>
  <c r="AR568" i="9"/>
  <c r="AQ568" i="9"/>
  <c r="AP568" i="9" s="1"/>
  <c r="AR653" i="9"/>
  <c r="AQ653" i="9"/>
  <c r="AR739" i="9"/>
  <c r="AQ739" i="9"/>
  <c r="AP739" i="9" s="1"/>
  <c r="AR852" i="9"/>
  <c r="AQ852" i="9"/>
  <c r="AQ902" i="9"/>
  <c r="AR902" i="9"/>
  <c r="AR435" i="9"/>
  <c r="AQ435" i="9"/>
  <c r="AQ616" i="9"/>
  <c r="AR616" i="9"/>
  <c r="AQ71" i="9"/>
  <c r="AR71" i="9"/>
  <c r="AQ250" i="9"/>
  <c r="AR250" i="9"/>
  <c r="AR446" i="9"/>
  <c r="AQ446" i="9"/>
  <c r="AQ707" i="9"/>
  <c r="AR707" i="9"/>
  <c r="AR831" i="9"/>
  <c r="AQ831" i="9"/>
  <c r="AR414" i="9"/>
  <c r="AQ414" i="9"/>
  <c r="AR520" i="9"/>
  <c r="AQ520" i="9"/>
  <c r="AQ605" i="9"/>
  <c r="AR605" i="9"/>
  <c r="AQ820" i="9"/>
  <c r="AR820" i="9"/>
  <c r="AQ982" i="9"/>
  <c r="AR982" i="9"/>
  <c r="AR19" i="9"/>
  <c r="AQ19" i="9"/>
  <c r="AR444" i="9"/>
  <c r="AQ444" i="9"/>
  <c r="AP444" i="9" s="1"/>
  <c r="AR684" i="9"/>
  <c r="AQ684" i="9"/>
  <c r="AR700" i="9"/>
  <c r="AQ700" i="9"/>
  <c r="AP700" i="9" s="1"/>
  <c r="AR881" i="9"/>
  <c r="AQ881" i="9"/>
  <c r="AR274" i="9"/>
  <c r="AQ274" i="9"/>
  <c r="AR528" i="9"/>
  <c r="AQ528" i="9"/>
  <c r="AP528" i="9" s="1"/>
  <c r="AR744" i="9"/>
  <c r="AQ744" i="9"/>
  <c r="AQ162" i="9"/>
  <c r="AR162" i="9"/>
  <c r="AR206" i="9"/>
  <c r="AQ206" i="9"/>
  <c r="AQ258" i="9"/>
  <c r="AR258" i="9"/>
  <c r="AQ302" i="9"/>
  <c r="AR302" i="9"/>
  <c r="AQ346" i="9"/>
  <c r="AR346" i="9"/>
  <c r="AQ366" i="9"/>
  <c r="AR366" i="9"/>
  <c r="AQ410" i="9"/>
  <c r="AR410" i="9"/>
  <c r="AP410" i="9" s="1"/>
  <c r="AQ526" i="9"/>
  <c r="AR526" i="9"/>
  <c r="AR654" i="9"/>
  <c r="AQ654" i="9"/>
  <c r="AP654" i="9" s="1"/>
  <c r="AR782" i="9"/>
  <c r="AQ782" i="9"/>
  <c r="AR350" i="9"/>
  <c r="AQ350" i="9"/>
  <c r="AR72" i="9"/>
  <c r="AQ72" i="9"/>
  <c r="AR286" i="9"/>
  <c r="AQ286" i="9"/>
  <c r="AP286" i="9" s="1"/>
  <c r="AQ542" i="9"/>
  <c r="AR542" i="9"/>
  <c r="AQ798" i="9"/>
  <c r="AR798" i="9"/>
  <c r="AR143" i="9"/>
  <c r="AQ143" i="9"/>
  <c r="AR860" i="9"/>
  <c r="AQ860" i="9"/>
  <c r="AP860" i="9" s="1"/>
  <c r="AR993" i="9"/>
  <c r="AQ993" i="9"/>
  <c r="AQ56" i="9"/>
  <c r="AR56" i="9"/>
  <c r="AR306" i="9"/>
  <c r="AQ306" i="9"/>
  <c r="AR560" i="9"/>
  <c r="AQ560" i="9"/>
  <c r="AP560" i="9" s="1"/>
  <c r="AQ776" i="9"/>
  <c r="AR776" i="9"/>
  <c r="AQ25" i="9"/>
  <c r="AR25" i="9"/>
  <c r="AQ41" i="9"/>
  <c r="AR41" i="9"/>
  <c r="AR57" i="9"/>
  <c r="AQ57" i="9"/>
  <c r="AP57" i="9" s="1"/>
  <c r="AQ77" i="9"/>
  <c r="AR77" i="9"/>
  <c r="AR93" i="9"/>
  <c r="AQ93" i="9"/>
  <c r="AP93" i="9" s="1"/>
  <c r="AQ109" i="9"/>
  <c r="AR109" i="9"/>
  <c r="AR125" i="9"/>
  <c r="AQ125" i="9"/>
  <c r="AP125" i="9" s="1"/>
  <c r="AR145" i="9"/>
  <c r="AQ145" i="9"/>
  <c r="AR161" i="9"/>
  <c r="AQ161" i="9"/>
  <c r="AQ181" i="9"/>
  <c r="AR181" i="9"/>
  <c r="AQ189" i="9"/>
  <c r="AR189" i="9"/>
  <c r="AQ209" i="9"/>
  <c r="AR209" i="9"/>
  <c r="AR225" i="9"/>
  <c r="AQ225" i="9"/>
  <c r="AQ241" i="9"/>
  <c r="AR241" i="9"/>
  <c r="AQ257" i="9"/>
  <c r="AR257" i="9"/>
  <c r="AP257" i="9" s="1"/>
  <c r="AR277" i="9"/>
  <c r="AQ277" i="9"/>
  <c r="AQ297" i="9"/>
  <c r="AR297" i="9"/>
  <c r="AR313" i="9"/>
  <c r="AQ313" i="9"/>
  <c r="AQ333" i="9"/>
  <c r="AR333" i="9"/>
  <c r="AR349" i="9"/>
  <c r="AQ349" i="9"/>
  <c r="AQ365" i="9"/>
  <c r="AR365" i="9"/>
  <c r="AR381" i="9"/>
  <c r="AQ381" i="9"/>
  <c r="AQ397" i="9"/>
  <c r="AR397" i="9"/>
  <c r="AR413" i="9"/>
  <c r="AQ413" i="9"/>
  <c r="AQ429" i="9"/>
  <c r="AR429" i="9"/>
  <c r="AR445" i="9"/>
  <c r="AQ445" i="9"/>
  <c r="AR453" i="9"/>
  <c r="AQ453" i="9"/>
  <c r="AP453" i="9" s="1"/>
  <c r="AQ473" i="9"/>
  <c r="AR473" i="9"/>
  <c r="AQ497" i="9"/>
  <c r="AR497" i="9"/>
  <c r="AR517" i="9"/>
  <c r="AQ517" i="9"/>
  <c r="AQ537" i="9"/>
  <c r="AR537" i="9"/>
  <c r="AR561" i="9"/>
  <c r="AQ561" i="9"/>
  <c r="AQ581" i="9"/>
  <c r="AR581" i="9"/>
  <c r="AQ601" i="9"/>
  <c r="AQ625" i="9"/>
  <c r="AR625" i="9"/>
  <c r="AR645" i="9"/>
  <c r="AR665" i="9"/>
  <c r="AQ665" i="9"/>
  <c r="AP665" i="9" s="1"/>
  <c r="AR689" i="9"/>
  <c r="AQ709" i="9"/>
  <c r="AR709" i="9"/>
  <c r="AR729" i="9"/>
  <c r="AR761" i="9"/>
  <c r="AQ761" i="9"/>
  <c r="AP761" i="9" s="1"/>
  <c r="AQ789" i="9"/>
  <c r="AQ805" i="9"/>
  <c r="AR805" i="9"/>
  <c r="AR833" i="9"/>
  <c r="AQ861" i="9"/>
  <c r="AR861" i="9"/>
  <c r="AQ893" i="9"/>
  <c r="AQ925" i="9"/>
  <c r="AR925" i="9"/>
  <c r="AQ957" i="9"/>
  <c r="AQ1005" i="9"/>
  <c r="AR1005" i="9"/>
  <c r="AQ39" i="9"/>
  <c r="AR39" i="9"/>
  <c r="AQ584" i="9"/>
  <c r="AR584" i="9"/>
  <c r="AR740" i="9"/>
  <c r="AQ740" i="9"/>
  <c r="AR621" i="9"/>
  <c r="AQ621" i="9"/>
  <c r="AP621" i="9" s="1"/>
  <c r="AQ873" i="9"/>
  <c r="AR873" i="9"/>
  <c r="AQ898" i="9"/>
  <c r="AR898" i="9"/>
  <c r="AP898" i="9" s="1"/>
  <c r="AR962" i="9"/>
  <c r="AQ962" i="9"/>
  <c r="AQ99" i="9"/>
  <c r="AR99" i="9"/>
  <c r="AP99" i="9" s="1"/>
  <c r="AQ122" i="9"/>
  <c r="AR122" i="9"/>
  <c r="AR499" i="9"/>
  <c r="AQ499" i="9"/>
  <c r="AP499" i="9" s="1"/>
  <c r="AQ979" i="9"/>
  <c r="AR979" i="9"/>
  <c r="AQ588" i="9"/>
  <c r="AR588" i="9"/>
  <c r="AQ844" i="9"/>
  <c r="AR844" i="9"/>
  <c r="AR476" i="9"/>
  <c r="AQ476" i="9"/>
  <c r="AQ732" i="9"/>
  <c r="AR732" i="9"/>
  <c r="AQ891" i="9"/>
  <c r="AR891" i="9"/>
  <c r="AQ137" i="9"/>
  <c r="AR137" i="9"/>
  <c r="AQ1001" i="9"/>
  <c r="AR1001" i="9"/>
  <c r="AQ939" i="9"/>
  <c r="AR939" i="9"/>
  <c r="AR371" i="9"/>
  <c r="AQ371" i="9"/>
  <c r="AQ807" i="9"/>
  <c r="AR807" i="9"/>
  <c r="AR985" i="9"/>
  <c r="AQ985" i="9"/>
  <c r="AQ293" i="9"/>
  <c r="AR293" i="9"/>
  <c r="AR380" i="9"/>
  <c r="AQ380" i="9"/>
  <c r="AQ536" i="9"/>
  <c r="AR536" i="9"/>
  <c r="AQ637" i="9"/>
  <c r="AR637" i="9"/>
  <c r="AQ701" i="9"/>
  <c r="AR701" i="9"/>
  <c r="AQ877" i="9"/>
  <c r="AR877" i="9"/>
  <c r="AQ937" i="9"/>
  <c r="AR937" i="9"/>
  <c r="AQ906" i="9"/>
  <c r="AR906" i="9"/>
  <c r="AQ970" i="9"/>
  <c r="AR970" i="9"/>
  <c r="AR1006" i="9"/>
  <c r="AQ1006" i="9"/>
  <c r="AR235" i="9"/>
  <c r="AQ235" i="9"/>
  <c r="AQ531" i="9"/>
  <c r="AR531" i="9"/>
  <c r="AR643" i="9"/>
  <c r="AQ643" i="9"/>
  <c r="AQ134" i="9"/>
  <c r="AR134" i="9"/>
  <c r="AQ894" i="9"/>
  <c r="AR894" i="9"/>
  <c r="AR926" i="9"/>
  <c r="AQ926" i="9"/>
  <c r="AQ691" i="9"/>
  <c r="AR691" i="9"/>
  <c r="AQ995" i="9"/>
  <c r="AR995" i="9"/>
  <c r="AQ59" i="9"/>
  <c r="AR59" i="9"/>
  <c r="AR83" i="9"/>
  <c r="AQ83" i="9"/>
  <c r="AQ492" i="9"/>
  <c r="AR492" i="9"/>
  <c r="AR620" i="9"/>
  <c r="AQ620" i="9"/>
  <c r="AR508" i="9"/>
  <c r="AQ508" i="9"/>
  <c r="AQ636" i="9"/>
  <c r="AR636" i="9"/>
  <c r="AQ796" i="9"/>
  <c r="AR796" i="9"/>
  <c r="AR945" i="9"/>
  <c r="AQ945" i="9"/>
  <c r="AQ828" i="9"/>
  <c r="AR828" i="9"/>
  <c r="AQ969" i="9"/>
  <c r="AR969" i="9"/>
  <c r="AR775" i="9"/>
  <c r="AQ775" i="9"/>
  <c r="AQ897" i="9"/>
  <c r="AR897" i="9"/>
  <c r="AR961" i="9"/>
  <c r="AQ961" i="9"/>
  <c r="AQ764" i="9"/>
  <c r="AR764" i="9"/>
  <c r="AR51" i="9"/>
  <c r="AQ51" i="9"/>
  <c r="AR27" i="9"/>
  <c r="AQ27" i="9"/>
  <c r="AP27" i="9" s="1"/>
  <c r="AQ556" i="9"/>
  <c r="AR556" i="9"/>
  <c r="AQ572" i="9"/>
  <c r="AR572" i="9"/>
  <c r="AQ222" i="9"/>
  <c r="AR222" i="9"/>
  <c r="AQ923" i="9"/>
  <c r="AR923" i="9"/>
  <c r="AQ190" i="9"/>
  <c r="AR190" i="9"/>
  <c r="AR362" i="9"/>
  <c r="AQ362" i="9"/>
  <c r="AR656" i="9"/>
  <c r="AQ656" i="9"/>
  <c r="AQ830" i="9"/>
  <c r="AR830" i="9"/>
  <c r="AQ186" i="9"/>
  <c r="AR186" i="9"/>
  <c r="AQ226" i="9"/>
  <c r="AR226" i="9"/>
  <c r="AR282" i="9"/>
  <c r="AQ282" i="9"/>
  <c r="AQ322" i="9"/>
  <c r="AR322" i="9"/>
  <c r="AQ386" i="9"/>
  <c r="AR386" i="9"/>
  <c r="AQ462" i="9"/>
  <c r="AR462" i="9"/>
  <c r="AP462" i="9" s="1"/>
  <c r="AR590" i="9"/>
  <c r="AQ590" i="9"/>
  <c r="AR718" i="9"/>
  <c r="AQ718" i="9"/>
  <c r="AP718" i="9" s="1"/>
  <c r="AQ846" i="9"/>
  <c r="AR846" i="9"/>
  <c r="AQ743" i="9"/>
  <c r="AR743" i="9"/>
  <c r="AQ202" i="9"/>
  <c r="AR202" i="9"/>
  <c r="AQ370" i="9"/>
  <c r="AR370" i="9"/>
  <c r="AP370" i="9" s="1"/>
  <c r="AR670" i="9"/>
  <c r="AQ670" i="9"/>
  <c r="AQ127" i="9"/>
  <c r="AR127" i="9"/>
  <c r="AQ135" i="9"/>
  <c r="AR135" i="9"/>
  <c r="AR73" i="9"/>
  <c r="AQ73" i="9"/>
  <c r="AP73" i="9" s="1"/>
  <c r="AQ929" i="9"/>
  <c r="AR929" i="9"/>
  <c r="AQ849" i="9"/>
  <c r="AR849" i="9"/>
  <c r="AQ178" i="9"/>
  <c r="AR178" i="9"/>
  <c r="AQ432" i="9"/>
  <c r="AR432" i="9"/>
  <c r="AQ688" i="9"/>
  <c r="AR688" i="9"/>
  <c r="AQ9" i="9"/>
  <c r="AR9" i="9"/>
  <c r="AR17" i="9"/>
  <c r="AQ17" i="9"/>
  <c r="AQ33" i="9"/>
  <c r="AR33" i="9"/>
  <c r="AP33" i="9" s="1"/>
  <c r="AR49" i="9"/>
  <c r="AQ49" i="9"/>
  <c r="AQ65" i="9"/>
  <c r="AR65" i="9"/>
  <c r="AP65" i="9" s="1"/>
  <c r="AR85" i="9"/>
  <c r="AQ85" i="9"/>
  <c r="AQ101" i="9"/>
  <c r="AR101" i="9"/>
  <c r="AR117" i="9"/>
  <c r="AQ117" i="9"/>
  <c r="AQ133" i="9"/>
  <c r="AR133" i="9"/>
  <c r="AQ153" i="9"/>
  <c r="AR153" i="9"/>
  <c r="AQ173" i="9"/>
  <c r="AR173" i="9"/>
  <c r="AQ201" i="9"/>
  <c r="AR201" i="9"/>
  <c r="AQ217" i="9"/>
  <c r="AR217" i="9"/>
  <c r="AQ233" i="9"/>
  <c r="AR233" i="9"/>
  <c r="AQ249" i="9"/>
  <c r="AR249" i="9"/>
  <c r="AQ269" i="9"/>
  <c r="AR269" i="9"/>
  <c r="AR285" i="9"/>
  <c r="AQ285" i="9"/>
  <c r="AP285" i="9" s="1"/>
  <c r="AQ305" i="9"/>
  <c r="AR305" i="9"/>
  <c r="AQ325" i="9"/>
  <c r="AR325" i="9"/>
  <c r="AR341" i="9"/>
  <c r="AQ341" i="9"/>
  <c r="AR357" i="9"/>
  <c r="AQ357" i="9"/>
  <c r="AP357" i="9" s="1"/>
  <c r="AR373" i="9"/>
  <c r="AQ373" i="9"/>
  <c r="AR389" i="9"/>
  <c r="AQ389" i="9"/>
  <c r="AP389" i="9" s="1"/>
  <c r="AR405" i="9"/>
  <c r="AQ405" i="9"/>
  <c r="AR421" i="9"/>
  <c r="AQ421" i="9"/>
  <c r="AP421" i="9" s="1"/>
  <c r="AR437" i="9"/>
  <c r="AQ437" i="9"/>
  <c r="AQ465" i="9"/>
  <c r="AR465" i="9"/>
  <c r="AR485" i="9"/>
  <c r="AQ485" i="9"/>
  <c r="AQ505" i="9"/>
  <c r="AR505" i="9"/>
  <c r="AR529" i="9"/>
  <c r="AQ529" i="9"/>
  <c r="AQ549" i="9"/>
  <c r="AR549" i="9"/>
  <c r="AR569" i="9"/>
  <c r="AQ569" i="9"/>
  <c r="AR613" i="9"/>
  <c r="AQ613" i="9"/>
  <c r="AQ657" i="9"/>
  <c r="AR657" i="9"/>
  <c r="AR697" i="9"/>
  <c r="AQ697" i="9"/>
  <c r="AQ741" i="9"/>
  <c r="AR741" i="9"/>
  <c r="AR797" i="9"/>
  <c r="AQ797" i="9"/>
  <c r="AQ853" i="9"/>
  <c r="AR853" i="9"/>
  <c r="AQ909" i="9"/>
  <c r="AR909" i="9"/>
  <c r="AR973" i="9"/>
  <c r="AQ973" i="9"/>
  <c r="AQ165" i="9"/>
  <c r="AR165" i="9"/>
  <c r="AQ504" i="9"/>
  <c r="AR504" i="9"/>
  <c r="AR680" i="9"/>
  <c r="AQ680" i="9"/>
  <c r="AQ788" i="9"/>
  <c r="AR788" i="9"/>
  <c r="AQ193" i="9"/>
  <c r="AR193" i="9"/>
  <c r="AP193" i="9" s="1"/>
  <c r="AQ557" i="9"/>
  <c r="AR557" i="9"/>
  <c r="AR685" i="9"/>
  <c r="AQ685" i="9"/>
  <c r="AP685" i="9" s="1"/>
  <c r="AQ809" i="9"/>
  <c r="AR809" i="9"/>
  <c r="AQ921" i="9"/>
  <c r="AR921" i="9"/>
  <c r="AQ930" i="9"/>
  <c r="AR930" i="9"/>
  <c r="AQ998" i="9"/>
  <c r="AR998" i="9"/>
  <c r="AR515" i="9"/>
  <c r="AQ515" i="9"/>
  <c r="AQ771" i="9"/>
  <c r="AR771" i="9"/>
  <c r="AR987" i="9"/>
  <c r="AQ987" i="9"/>
  <c r="AQ262" i="9"/>
  <c r="AR262" i="9"/>
  <c r="AQ882" i="9"/>
  <c r="AR882" i="9"/>
  <c r="AQ918" i="9"/>
  <c r="AR918" i="9"/>
  <c r="AR883" i="9"/>
  <c r="AQ883" i="9"/>
  <c r="AQ460" i="9"/>
  <c r="AR460" i="9"/>
  <c r="AR716" i="9"/>
  <c r="AQ716" i="9"/>
  <c r="AQ604" i="9"/>
  <c r="AR604" i="9"/>
  <c r="AQ812" i="9"/>
  <c r="AR812" i="9"/>
  <c r="AQ839" i="9"/>
  <c r="AR839" i="9"/>
  <c r="AQ977" i="9"/>
  <c r="AR977" i="9"/>
  <c r="AQ871" i="9"/>
  <c r="AR871" i="9"/>
  <c r="AR817" i="9"/>
  <c r="AQ817" i="9"/>
  <c r="AQ931" i="9"/>
  <c r="AR931" i="9"/>
  <c r="AR115" i="9"/>
  <c r="AQ115" i="9"/>
  <c r="AR15" i="9"/>
  <c r="AQ15" i="9"/>
  <c r="AR35" i="9"/>
  <c r="AR47" i="9"/>
  <c r="AQ47" i="9"/>
  <c r="AR79" i="9"/>
  <c r="AQ79" i="9"/>
  <c r="AR111" i="9"/>
  <c r="AQ111" i="9"/>
  <c r="AR524" i="9"/>
  <c r="AQ524" i="9"/>
  <c r="AR652" i="9"/>
  <c r="AQ652" i="9"/>
  <c r="AR780" i="9"/>
  <c r="AQ780" i="9"/>
  <c r="AQ62" i="9"/>
  <c r="AR16" i="9"/>
  <c r="AQ16" i="9"/>
  <c r="AQ36" i="9"/>
  <c r="AR48" i="9"/>
  <c r="AR60" i="9"/>
  <c r="AQ60" i="9"/>
  <c r="AQ80" i="9"/>
  <c r="AR100" i="9"/>
  <c r="AQ100" i="9"/>
  <c r="AQ124" i="9"/>
  <c r="AR144" i="9"/>
  <c r="AQ144" i="9"/>
  <c r="AR164" i="9"/>
  <c r="AQ172" i="9"/>
  <c r="AQ180" i="9"/>
  <c r="AR180" i="9"/>
  <c r="AR196" i="9"/>
  <c r="AR204" i="9"/>
  <c r="AQ212" i="9"/>
  <c r="AR212" i="9"/>
  <c r="AR228" i="9"/>
  <c r="AQ244" i="9"/>
  <c r="AR244" i="9"/>
  <c r="AQ260" i="9"/>
  <c r="AQ276" i="9"/>
  <c r="AR276" i="9"/>
  <c r="AR292" i="9"/>
  <c r="AR300" i="9"/>
  <c r="AQ308" i="9"/>
  <c r="AR308" i="9"/>
  <c r="AQ324" i="9"/>
  <c r="AQ332" i="9"/>
  <c r="AQ340" i="9"/>
  <c r="AR340" i="9"/>
  <c r="AQ356" i="9"/>
  <c r="AQ376" i="9"/>
  <c r="AR376" i="9"/>
  <c r="AR400" i="9"/>
  <c r="AQ428" i="9"/>
  <c r="AR428" i="9"/>
  <c r="AQ484" i="9"/>
  <c r="AQ516" i="9"/>
  <c r="AQ548" i="9"/>
  <c r="AR548" i="9"/>
  <c r="AQ612" i="9"/>
  <c r="AR644" i="9"/>
  <c r="AQ676" i="9"/>
  <c r="AR676" i="9"/>
  <c r="AR540" i="9"/>
  <c r="AQ540" i="9"/>
  <c r="AQ668" i="9"/>
  <c r="AR668" i="9"/>
  <c r="AQ748" i="9"/>
  <c r="AR748" i="9"/>
  <c r="AR18" i="9"/>
  <c r="AQ18" i="9"/>
  <c r="AQ26" i="9"/>
  <c r="AR26" i="9"/>
  <c r="AR54" i="9"/>
  <c r="AQ54" i="9"/>
  <c r="AQ66" i="9"/>
  <c r="AR66" i="9"/>
  <c r="AR74" i="9"/>
  <c r="AQ753" i="9"/>
  <c r="AR753" i="9"/>
  <c r="AQ913" i="9"/>
  <c r="AR913" i="9"/>
  <c r="AQ785" i="9"/>
  <c r="AR785" i="9"/>
  <c r="AQ307" i="9"/>
  <c r="AR307" i="9"/>
  <c r="AR907" i="9"/>
  <c r="AQ907" i="9"/>
  <c r="AR265" i="9"/>
  <c r="AQ265" i="9"/>
  <c r="AQ953" i="9"/>
  <c r="AR953" i="9"/>
  <c r="AQ31" i="9"/>
  <c r="AR31" i="9"/>
  <c r="AR91" i="9"/>
  <c r="AQ91" i="9"/>
  <c r="AR516" i="9" l="1"/>
  <c r="AQ268" i="9"/>
  <c r="AR172" i="9"/>
  <c r="AP172" i="9" s="1"/>
  <c r="AQ35" i="9"/>
  <c r="AQ38" i="9"/>
  <c r="AQ408" i="9"/>
  <c r="AQ92" i="9"/>
  <c r="AR95" i="9"/>
  <c r="AQ869" i="9"/>
  <c r="AR825" i="9"/>
  <c r="AR677" i="9"/>
  <c r="AQ633" i="9"/>
  <c r="AR368" i="9"/>
  <c r="AR268" i="9"/>
  <c r="AR236" i="9"/>
  <c r="AR132" i="9"/>
  <c r="AP132" i="9" s="1"/>
  <c r="AQ721" i="9"/>
  <c r="AP721" i="9" s="1"/>
  <c r="AQ74" i="9"/>
  <c r="AQ644" i="9"/>
  <c r="AQ368" i="9"/>
  <c r="AP368" i="9" s="1"/>
  <c r="AR332" i="9"/>
  <c r="AQ236" i="9"/>
  <c r="AQ204" i="9"/>
  <c r="AR92" i="9"/>
  <c r="AP92" i="9" s="1"/>
  <c r="AQ48" i="9"/>
  <c r="AQ95" i="9"/>
  <c r="AQ941" i="9"/>
  <c r="AR869" i="9"/>
  <c r="AQ825" i="9"/>
  <c r="AQ769" i="9"/>
  <c r="AR721" i="9"/>
  <c r="AQ677" i="9"/>
  <c r="AP677" i="9" s="1"/>
  <c r="AR633" i="9"/>
  <c r="AQ593" i="9"/>
  <c r="AP107" i="9"/>
  <c r="AP871" i="9"/>
  <c r="AP839" i="9"/>
  <c r="AP1001" i="9"/>
  <c r="AP891" i="9"/>
  <c r="AP292" i="9"/>
  <c r="AP228" i="9"/>
  <c r="AP164" i="9"/>
  <c r="AP809" i="9"/>
  <c r="AP557" i="9"/>
  <c r="AP504" i="9"/>
  <c r="AP909" i="9"/>
  <c r="AP853" i="9"/>
  <c r="AP741" i="9"/>
  <c r="AP657" i="9"/>
  <c r="AP269" i="9"/>
  <c r="AP233" i="9"/>
  <c r="AP201" i="9"/>
  <c r="AP153" i="9"/>
  <c r="AP49" i="9"/>
  <c r="AP17" i="9"/>
  <c r="AP688" i="9"/>
  <c r="AP178" i="9"/>
  <c r="AP929" i="9"/>
  <c r="AP202" i="9"/>
  <c r="AP846" i="9"/>
  <c r="AP186" i="9"/>
  <c r="AP190" i="9"/>
  <c r="AP222" i="9"/>
  <c r="AP556" i="9"/>
  <c r="AP51" i="9"/>
  <c r="AP979" i="9"/>
  <c r="AP122" i="9"/>
  <c r="AP962" i="9"/>
  <c r="AP873" i="9"/>
  <c r="AP740" i="9"/>
  <c r="AP833" i="9"/>
  <c r="AP729" i="9"/>
  <c r="AP689" i="9"/>
  <c r="AP645" i="9"/>
  <c r="AP473" i="9"/>
  <c r="AP181" i="9"/>
  <c r="AP145" i="9"/>
  <c r="AP109" i="9"/>
  <c r="AP77" i="9"/>
  <c r="AP41" i="9"/>
  <c r="AP542" i="9"/>
  <c r="AP526" i="9"/>
  <c r="AP302" i="9"/>
  <c r="AP744" i="9"/>
  <c r="AP19" i="9"/>
  <c r="AP446" i="9"/>
  <c r="AP852" i="9"/>
  <c r="AP890" i="9"/>
  <c r="AP589" i="9"/>
  <c r="AP910" i="9"/>
  <c r="AP1003" i="9"/>
  <c r="AP958" i="9"/>
  <c r="AP813" i="9"/>
  <c r="AP461" i="9"/>
  <c r="AP994" i="9"/>
  <c r="AP63" i="9"/>
  <c r="AP899" i="9"/>
  <c r="AP733" i="9"/>
  <c r="AP745" i="9"/>
  <c r="AP659" i="9"/>
  <c r="AP824" i="9"/>
  <c r="AP978" i="9"/>
  <c r="AP889" i="9"/>
  <c r="AP777" i="9"/>
  <c r="AP627" i="9"/>
  <c r="AP845" i="9"/>
  <c r="AP472" i="9"/>
  <c r="AP612" i="9"/>
  <c r="AP400" i="9"/>
  <c r="AP196" i="9"/>
  <c r="AP753" i="9"/>
  <c r="AP540" i="9"/>
  <c r="AP376" i="9"/>
  <c r="AP340" i="9"/>
  <c r="AP308" i="9"/>
  <c r="AP276" i="9"/>
  <c r="AP244" i="9"/>
  <c r="AP180" i="9"/>
  <c r="AP931" i="9"/>
  <c r="AP460" i="9"/>
  <c r="AP897" i="9"/>
  <c r="AP828" i="9"/>
  <c r="AP636" i="9"/>
  <c r="AP83" i="9"/>
  <c r="AP531" i="9"/>
  <c r="AP906" i="9"/>
  <c r="AP877" i="9"/>
  <c r="AP939" i="9"/>
  <c r="AP844" i="9"/>
  <c r="AP91" i="9"/>
  <c r="AP907" i="9"/>
  <c r="AR46" i="9"/>
  <c r="AP46" i="9" s="1"/>
  <c r="AQ10" i="9"/>
  <c r="AP10" i="9" s="1"/>
  <c r="AQ708" i="9"/>
  <c r="AP708" i="9" s="1"/>
  <c r="AR580" i="9"/>
  <c r="AP580" i="9" s="1"/>
  <c r="AP516" i="9"/>
  <c r="AQ452" i="9"/>
  <c r="AP452" i="9" s="1"/>
  <c r="AQ388" i="9"/>
  <c r="AP388" i="9" s="1"/>
  <c r="AQ348" i="9"/>
  <c r="AP348" i="9" s="1"/>
  <c r="AQ316" i="9"/>
  <c r="AP316" i="9" s="1"/>
  <c r="AQ284" i="9"/>
  <c r="AP284" i="9" s="1"/>
  <c r="AP268" i="9"/>
  <c r="AQ252" i="9"/>
  <c r="AP252" i="9" s="1"/>
  <c r="AR220" i="9"/>
  <c r="AP220" i="9" s="1"/>
  <c r="AP204" i="9"/>
  <c r="AR188" i="9"/>
  <c r="AP188" i="9" s="1"/>
  <c r="AR156" i="9"/>
  <c r="AP156" i="9" s="1"/>
  <c r="AQ112" i="9"/>
  <c r="AP112" i="9" s="1"/>
  <c r="AQ68" i="9"/>
  <c r="AP68" i="9" s="1"/>
  <c r="AP48" i="9"/>
  <c r="AQ28" i="9"/>
  <c r="AP28" i="9" s="1"/>
  <c r="AP62" i="9"/>
  <c r="AP652" i="9"/>
  <c r="AQ123" i="9"/>
  <c r="AP123" i="9" s="1"/>
  <c r="AR67" i="9"/>
  <c r="AP67" i="9" s="1"/>
  <c r="AP35" i="9"/>
  <c r="AP716" i="9"/>
  <c r="AP961" i="9"/>
  <c r="AP775" i="9"/>
  <c r="AP508" i="9"/>
  <c r="AP643" i="9"/>
  <c r="AP235" i="9"/>
  <c r="AP31" i="9"/>
  <c r="AP785" i="9"/>
  <c r="AP38" i="9"/>
  <c r="AP748" i="9"/>
  <c r="AP428" i="9"/>
  <c r="AP212" i="9"/>
  <c r="AP764" i="9"/>
  <c r="AP995" i="9"/>
  <c r="AP134" i="9"/>
  <c r="AP637" i="9"/>
  <c r="AR916" i="9"/>
  <c r="AQ916" i="9"/>
  <c r="AQ512" i="9"/>
  <c r="AR512" i="9"/>
  <c r="AR510" i="9"/>
  <c r="AQ510" i="9"/>
  <c r="AR975" i="9"/>
  <c r="AQ975" i="9"/>
  <c r="AQ851" i="9"/>
  <c r="AR851" i="9"/>
  <c r="AR795" i="9"/>
  <c r="AQ795" i="9"/>
  <c r="AQ703" i="9"/>
  <c r="AR703" i="9"/>
  <c r="AR663" i="9"/>
  <c r="AQ663" i="9"/>
  <c r="AR575" i="9"/>
  <c r="AQ575" i="9"/>
  <c r="AQ491" i="9"/>
  <c r="AR491" i="9"/>
  <c r="AR451" i="9"/>
  <c r="AQ451" i="9"/>
  <c r="AR379" i="9"/>
  <c r="AQ379" i="9"/>
  <c r="AR303" i="9"/>
  <c r="AQ303" i="9"/>
  <c r="AQ239" i="9"/>
  <c r="AR239" i="9"/>
  <c r="AQ171" i="9"/>
  <c r="AR171" i="9"/>
  <c r="AR770" i="9"/>
  <c r="AQ770" i="9"/>
  <c r="AQ682" i="9"/>
  <c r="AR682" i="9"/>
  <c r="AQ554" i="9"/>
  <c r="AR554" i="9"/>
  <c r="AR470" i="9"/>
  <c r="AQ470" i="9"/>
  <c r="AR310" i="9"/>
  <c r="AQ310" i="9"/>
  <c r="AR154" i="9"/>
  <c r="AQ154" i="9"/>
  <c r="AQ896" i="9"/>
  <c r="AR896" i="9"/>
  <c r="AQ592" i="9"/>
  <c r="AR592" i="9"/>
  <c r="AQ903" i="9"/>
  <c r="AR903" i="9"/>
  <c r="AR699" i="9"/>
  <c r="AQ699" i="9"/>
  <c r="AR527" i="9"/>
  <c r="AQ527" i="9"/>
  <c r="AQ375" i="9"/>
  <c r="AR375" i="9"/>
  <c r="AR243" i="9"/>
  <c r="AQ243" i="9"/>
  <c r="AQ690" i="9"/>
  <c r="AR690" i="9"/>
  <c r="AR426" i="9"/>
  <c r="AQ426" i="9"/>
  <c r="AQ70" i="9"/>
  <c r="AR70" i="9"/>
  <c r="AQ724" i="9"/>
  <c r="AR724" i="9"/>
  <c r="AQ364" i="9"/>
  <c r="AR364" i="9"/>
  <c r="AQ224" i="9"/>
  <c r="AR224" i="9"/>
  <c r="AQ148" i="9"/>
  <c r="AR148" i="9"/>
  <c r="AQ52" i="9"/>
  <c r="AR52" i="9"/>
  <c r="AR43" i="9"/>
  <c r="AQ43" i="9"/>
  <c r="AQ981" i="9"/>
  <c r="AR981" i="9"/>
  <c r="AQ857" i="9"/>
  <c r="AR857" i="9"/>
  <c r="AQ757" i="9"/>
  <c r="AR757" i="9"/>
  <c r="AR705" i="9"/>
  <c r="AQ705" i="9"/>
  <c r="AQ617" i="9"/>
  <c r="AR617" i="9"/>
  <c r="AR533" i="9"/>
  <c r="AQ533" i="9"/>
  <c r="AR489" i="9"/>
  <c r="AQ489" i="9"/>
  <c r="AQ417" i="9"/>
  <c r="AR417" i="9"/>
  <c r="AQ353" i="9"/>
  <c r="AR353" i="9"/>
  <c r="AR317" i="9"/>
  <c r="AQ317" i="9"/>
  <c r="AR245" i="9"/>
  <c r="AQ245" i="9"/>
  <c r="AQ177" i="9"/>
  <c r="AR177" i="9"/>
  <c r="AQ141" i="9"/>
  <c r="AR141" i="9"/>
  <c r="AQ69" i="9"/>
  <c r="AR69" i="9"/>
  <c r="AQ816" i="9"/>
  <c r="AR816" i="9"/>
  <c r="AR139" i="9"/>
  <c r="AQ139" i="9"/>
  <c r="AQ624" i="9"/>
  <c r="AR624" i="9"/>
  <c r="AQ158" i="9"/>
  <c r="AR158" i="9"/>
  <c r="AQ622" i="9"/>
  <c r="AR622" i="9"/>
  <c r="AR218" i="9"/>
  <c r="AQ218" i="9"/>
  <c r="AQ318" i="9"/>
  <c r="AR318" i="9"/>
  <c r="AR888" i="9"/>
  <c r="AQ888" i="9"/>
  <c r="AQ811" i="9"/>
  <c r="AR811" i="9"/>
  <c r="AQ623" i="9"/>
  <c r="AR623" i="9"/>
  <c r="AQ455" i="9"/>
  <c r="AR455" i="9"/>
  <c r="AR311" i="9"/>
  <c r="AQ311" i="9"/>
  <c r="AQ167" i="9"/>
  <c r="AR167" i="9"/>
  <c r="AR874" i="9"/>
  <c r="AQ874" i="9"/>
  <c r="AQ722" i="9"/>
  <c r="AR722" i="9"/>
  <c r="AQ466" i="9"/>
  <c r="AR466" i="9"/>
  <c r="AQ98" i="9"/>
  <c r="AR98" i="9"/>
  <c r="AQ352" i="9"/>
  <c r="AR352" i="9"/>
  <c r="AQ176" i="9"/>
  <c r="AR176" i="9"/>
  <c r="AQ940" i="9"/>
  <c r="AR940" i="9"/>
  <c r="AQ876" i="9"/>
  <c r="AR876" i="9"/>
  <c r="AQ959" i="9"/>
  <c r="AR959" i="9"/>
  <c r="AR843" i="9"/>
  <c r="AQ843" i="9"/>
  <c r="AQ695" i="9"/>
  <c r="AR695" i="9"/>
  <c r="AQ607" i="9"/>
  <c r="AR607" i="9"/>
  <c r="AQ479" i="9"/>
  <c r="AR479" i="9"/>
  <c r="AQ407" i="9"/>
  <c r="AR407" i="9"/>
  <c r="AQ295" i="9"/>
  <c r="AR295" i="9"/>
  <c r="AR227" i="9"/>
  <c r="AQ227" i="9"/>
  <c r="AQ842" i="9"/>
  <c r="AR842" i="9"/>
  <c r="AQ758" i="9"/>
  <c r="AR758" i="9"/>
  <c r="AR714" i="9"/>
  <c r="AQ714" i="9"/>
  <c r="AQ630" i="9"/>
  <c r="AR630" i="9"/>
  <c r="AQ546" i="9"/>
  <c r="AR546" i="9"/>
  <c r="AR458" i="9"/>
  <c r="AQ458" i="9"/>
  <c r="AR246" i="9"/>
  <c r="AQ246" i="9"/>
  <c r="AQ90" i="9"/>
  <c r="AR90" i="9"/>
  <c r="AQ880" i="9"/>
  <c r="AR880" i="9"/>
  <c r="AQ298" i="9"/>
  <c r="AR298" i="9"/>
  <c r="AQ875" i="9"/>
  <c r="AR875" i="9"/>
  <c r="AQ679" i="9"/>
  <c r="AR679" i="9"/>
  <c r="AR507" i="9"/>
  <c r="AQ507" i="9"/>
  <c r="AR283" i="9"/>
  <c r="AQ283" i="9"/>
  <c r="AP977" i="9"/>
  <c r="AQ762" i="9"/>
  <c r="AR762" i="9"/>
  <c r="AQ498" i="9"/>
  <c r="AR498" i="9"/>
  <c r="AR50" i="9"/>
  <c r="AQ50" i="9"/>
  <c r="AR420" i="9"/>
  <c r="AQ420" i="9"/>
  <c r="AP918" i="9"/>
  <c r="AP572" i="9"/>
  <c r="AQ901" i="9"/>
  <c r="AR901" i="9"/>
  <c r="AQ793" i="9"/>
  <c r="AR793" i="9"/>
  <c r="AQ649" i="9"/>
  <c r="AR649" i="9"/>
  <c r="AR565" i="9"/>
  <c r="AQ565" i="9"/>
  <c r="AR521" i="9"/>
  <c r="AQ521" i="9"/>
  <c r="AQ441" i="9"/>
  <c r="AR441" i="9"/>
  <c r="AQ409" i="9"/>
  <c r="AR409" i="9"/>
  <c r="AQ345" i="9"/>
  <c r="AR345" i="9"/>
  <c r="AR273" i="9"/>
  <c r="AQ273" i="9"/>
  <c r="AQ205" i="9"/>
  <c r="AR205" i="9"/>
  <c r="AR169" i="9"/>
  <c r="AQ169" i="9"/>
  <c r="AQ97" i="9"/>
  <c r="AR97" i="9"/>
  <c r="AR29" i="9"/>
  <c r="AQ29" i="9"/>
  <c r="AQ266" i="9"/>
  <c r="AR266" i="9"/>
  <c r="AQ496" i="9"/>
  <c r="AR496" i="9"/>
  <c r="AQ814" i="9"/>
  <c r="AR814" i="9"/>
  <c r="AR558" i="9"/>
  <c r="AQ558" i="9"/>
  <c r="AQ290" i="9"/>
  <c r="AR290" i="9"/>
  <c r="AQ702" i="9"/>
  <c r="AR702" i="9"/>
  <c r="AQ234" i="9"/>
  <c r="AR234" i="9"/>
  <c r="AR1000" i="9"/>
  <c r="AQ1000" i="9"/>
  <c r="AQ944" i="9"/>
  <c r="AR944" i="9"/>
  <c r="AQ872" i="9"/>
  <c r="AR872" i="9"/>
  <c r="AQ480" i="9"/>
  <c r="AR480" i="9"/>
  <c r="AQ464" i="9"/>
  <c r="AR464" i="9"/>
  <c r="AR999" i="9"/>
  <c r="AQ999" i="9"/>
  <c r="AQ887" i="9"/>
  <c r="AR887" i="9"/>
  <c r="AQ783" i="9"/>
  <c r="AR783" i="9"/>
  <c r="AR687" i="9"/>
  <c r="AQ687" i="9"/>
  <c r="AQ603" i="9"/>
  <c r="AR603" i="9"/>
  <c r="AQ519" i="9"/>
  <c r="AR519" i="9"/>
  <c r="AQ439" i="9"/>
  <c r="AR439" i="9"/>
  <c r="AQ363" i="9"/>
  <c r="AR363" i="9"/>
  <c r="AQ291" i="9"/>
  <c r="AR291" i="9"/>
  <c r="AQ215" i="9"/>
  <c r="AR215" i="9"/>
  <c r="AR151" i="9"/>
  <c r="AQ151" i="9"/>
  <c r="AP137" i="9"/>
  <c r="AQ858" i="9"/>
  <c r="AR858" i="9"/>
  <c r="AR774" i="9"/>
  <c r="AQ774" i="9"/>
  <c r="AR614" i="9"/>
  <c r="AQ614" i="9"/>
  <c r="AQ530" i="9"/>
  <c r="AR530" i="9"/>
  <c r="AQ442" i="9"/>
  <c r="AR442" i="9"/>
  <c r="AQ198" i="9"/>
  <c r="AR198" i="9"/>
  <c r="AQ78" i="9"/>
  <c r="AR78" i="9"/>
  <c r="AQ692" i="9"/>
  <c r="AR692" i="9"/>
  <c r="AR436" i="9"/>
  <c r="AQ436" i="9"/>
  <c r="AR344" i="9"/>
  <c r="AQ344" i="9"/>
  <c r="AQ288" i="9"/>
  <c r="AR288" i="9"/>
  <c r="AR216" i="9"/>
  <c r="AQ216" i="9"/>
  <c r="AQ160" i="9"/>
  <c r="AR160" i="9"/>
  <c r="AQ76" i="9"/>
  <c r="AR76" i="9"/>
  <c r="AQ20" i="9"/>
  <c r="AR20" i="9"/>
  <c r="AR23" i="9"/>
  <c r="AQ23" i="9"/>
  <c r="AP584" i="9"/>
  <c r="AP1005" i="9"/>
  <c r="AP925" i="9"/>
  <c r="AP861" i="9"/>
  <c r="AP805" i="9"/>
  <c r="AP709" i="9"/>
  <c r="AP625" i="9"/>
  <c r="AP581" i="9"/>
  <c r="AP537" i="9"/>
  <c r="AP497" i="9"/>
  <c r="AP429" i="9"/>
  <c r="AP397" i="9"/>
  <c r="AP365" i="9"/>
  <c r="AP333" i="9"/>
  <c r="AP297" i="9"/>
  <c r="AP225" i="9"/>
  <c r="AP189" i="9"/>
  <c r="AP161" i="9"/>
  <c r="AP25" i="9"/>
  <c r="AP56" i="9"/>
  <c r="AP798" i="9"/>
  <c r="AP350" i="9"/>
  <c r="AP346" i="9"/>
  <c r="AP258" i="9"/>
  <c r="AP162" i="9"/>
  <c r="AP982" i="9"/>
  <c r="AP605" i="9"/>
  <c r="AP414" i="9"/>
  <c r="AP707" i="9"/>
  <c r="AP250" i="9"/>
  <c r="AP616" i="9"/>
  <c r="AP902" i="9"/>
  <c r="AP772" i="9"/>
  <c r="AP382" i="9"/>
  <c r="AP974" i="9"/>
  <c r="AP863" i="9"/>
  <c r="AP669" i="9"/>
  <c r="AP915" i="9"/>
  <c r="AP756" i="9"/>
  <c r="AP509" i="9"/>
  <c r="AP934" i="9"/>
  <c r="AP717" i="9"/>
  <c r="AP547" i="9"/>
  <c r="AP278" i="9"/>
  <c r="AP106" i="9"/>
  <c r="AP648" i="9"/>
  <c r="AP493" i="9"/>
  <c r="AP990" i="9"/>
  <c r="AP799" i="9"/>
  <c r="AP573" i="9"/>
  <c r="AP767" i="9"/>
  <c r="AP914" i="9"/>
  <c r="AP922" i="9"/>
  <c r="AP942" i="9"/>
  <c r="AP835" i="9"/>
  <c r="AP712" i="9"/>
  <c r="AP728" i="9"/>
  <c r="AP723" i="9"/>
  <c r="AP867" i="9"/>
  <c r="AP953" i="9"/>
  <c r="AR996" i="9"/>
  <c r="AQ996" i="9"/>
  <c r="AQ964" i="9"/>
  <c r="AR964" i="9"/>
  <c r="AQ932" i="9"/>
  <c r="AR932" i="9"/>
  <c r="AQ900" i="9"/>
  <c r="AR900" i="9"/>
  <c r="AQ868" i="9"/>
  <c r="AR868" i="9"/>
  <c r="AR640" i="9"/>
  <c r="AQ640" i="9"/>
  <c r="AQ416" i="9"/>
  <c r="AR416" i="9"/>
  <c r="AQ766" i="9"/>
  <c r="AR766" i="9"/>
  <c r="AR254" i="9"/>
  <c r="AQ254" i="9"/>
  <c r="AR1007" i="9"/>
  <c r="AQ1007" i="9"/>
  <c r="AQ943" i="9"/>
  <c r="AR943" i="9"/>
  <c r="AQ879" i="9"/>
  <c r="AR879" i="9"/>
  <c r="AQ823" i="9"/>
  <c r="AR823" i="9"/>
  <c r="AQ779" i="9"/>
  <c r="AR779" i="9"/>
  <c r="AQ727" i="9"/>
  <c r="AR727" i="9"/>
  <c r="AQ683" i="9"/>
  <c r="AR683" i="9"/>
  <c r="AQ639" i="9"/>
  <c r="AR639" i="9"/>
  <c r="AR599" i="9"/>
  <c r="AQ599" i="9"/>
  <c r="AQ555" i="9"/>
  <c r="AR555" i="9"/>
  <c r="AQ511" i="9"/>
  <c r="AR511" i="9"/>
  <c r="AQ471" i="9"/>
  <c r="AR471" i="9"/>
  <c r="AR431" i="9"/>
  <c r="AQ431" i="9"/>
  <c r="AQ395" i="9"/>
  <c r="AR395" i="9"/>
  <c r="AQ359" i="9"/>
  <c r="AR359" i="9"/>
  <c r="AQ323" i="9"/>
  <c r="AR323" i="9"/>
  <c r="AQ287" i="9"/>
  <c r="AR287" i="9"/>
  <c r="AR255" i="9"/>
  <c r="AQ255" i="9"/>
  <c r="AQ219" i="9"/>
  <c r="AR219" i="9"/>
  <c r="AR187" i="9"/>
  <c r="AQ187" i="9"/>
  <c r="AQ155" i="9"/>
  <c r="AR155" i="9"/>
  <c r="AP913" i="9"/>
  <c r="AQ870" i="9"/>
  <c r="AR870" i="9"/>
  <c r="AQ834" i="9"/>
  <c r="AR834" i="9"/>
  <c r="AR790" i="9"/>
  <c r="AQ790" i="9"/>
  <c r="AQ746" i="9"/>
  <c r="AR746" i="9"/>
  <c r="AR706" i="9"/>
  <c r="AQ706" i="9"/>
  <c r="AQ662" i="9"/>
  <c r="AR662" i="9"/>
  <c r="AR618" i="9"/>
  <c r="AQ618" i="9"/>
  <c r="AR578" i="9"/>
  <c r="AQ578" i="9"/>
  <c r="AR534" i="9"/>
  <c r="AQ534" i="9"/>
  <c r="AR490" i="9"/>
  <c r="AQ490" i="9"/>
  <c r="AQ450" i="9"/>
  <c r="AR450" i="9"/>
  <c r="AR374" i="9"/>
  <c r="AQ374" i="9"/>
  <c r="AR214" i="9"/>
  <c r="AQ214" i="9"/>
  <c r="AQ130" i="9"/>
  <c r="AR130" i="9"/>
  <c r="AR82" i="9"/>
  <c r="AQ82" i="9"/>
  <c r="AP66" i="9"/>
  <c r="AP26" i="9"/>
  <c r="AP668" i="9"/>
  <c r="AP644" i="9"/>
  <c r="AP408" i="9"/>
  <c r="AP332" i="9"/>
  <c r="AP300" i="9"/>
  <c r="AP236" i="9"/>
  <c r="AP95" i="9"/>
  <c r="AP115" i="9"/>
  <c r="AR992" i="9"/>
  <c r="AQ992" i="9"/>
  <c r="AQ920" i="9"/>
  <c r="AR920" i="9"/>
  <c r="AQ864" i="9"/>
  <c r="AR864" i="9"/>
  <c r="AQ88" i="9"/>
  <c r="AR88" i="9"/>
  <c r="AQ210" i="9"/>
  <c r="AR210" i="9"/>
  <c r="AQ967" i="9"/>
  <c r="AR967" i="9"/>
  <c r="AQ847" i="9"/>
  <c r="AR847" i="9"/>
  <c r="AQ747" i="9"/>
  <c r="AR747" i="9"/>
  <c r="AR655" i="9"/>
  <c r="AQ655" i="9"/>
  <c r="AQ571" i="9"/>
  <c r="AR571" i="9"/>
  <c r="AQ487" i="9"/>
  <c r="AR487" i="9"/>
  <c r="AR411" i="9"/>
  <c r="AQ411" i="9"/>
  <c r="AR339" i="9"/>
  <c r="AQ339" i="9"/>
  <c r="AR267" i="9"/>
  <c r="AQ267" i="9"/>
  <c r="AR207" i="9"/>
  <c r="AQ207" i="9"/>
  <c r="AQ826" i="9"/>
  <c r="AR826" i="9"/>
  <c r="AR742" i="9"/>
  <c r="AQ742" i="9"/>
  <c r="AR646" i="9"/>
  <c r="AQ646" i="9"/>
  <c r="AR562" i="9"/>
  <c r="AQ562" i="9"/>
  <c r="AQ474" i="9"/>
  <c r="AR474" i="9"/>
  <c r="AQ326" i="9"/>
  <c r="AR326" i="9"/>
  <c r="AQ110" i="9"/>
  <c r="AR110" i="9"/>
  <c r="AQ34" i="9"/>
  <c r="AR34" i="9"/>
  <c r="AP604" i="9"/>
  <c r="AQ596" i="9"/>
  <c r="AR596" i="9"/>
  <c r="AR404" i="9"/>
  <c r="AQ404" i="9"/>
  <c r="AR320" i="9"/>
  <c r="AQ320" i="9"/>
  <c r="AQ248" i="9"/>
  <c r="AR248" i="9"/>
  <c r="AR192" i="9"/>
  <c r="AQ192" i="9"/>
  <c r="AQ108" i="9"/>
  <c r="AR108" i="9"/>
  <c r="AQ103" i="9"/>
  <c r="AR103" i="9"/>
  <c r="AP883" i="9"/>
  <c r="AP882" i="9"/>
  <c r="AP987" i="9"/>
  <c r="AP515" i="9"/>
  <c r="AP930" i="9"/>
  <c r="AP788" i="9"/>
  <c r="AP973" i="9"/>
  <c r="AP797" i="9"/>
  <c r="AP697" i="9"/>
  <c r="AP613" i="9"/>
  <c r="AP569" i="9"/>
  <c r="AP529" i="9"/>
  <c r="AP485" i="9"/>
  <c r="AP437" i="9"/>
  <c r="AP405" i="9"/>
  <c r="AP373" i="9"/>
  <c r="AP341" i="9"/>
  <c r="AP305" i="9"/>
  <c r="AP117" i="9"/>
  <c r="AP85" i="9"/>
  <c r="AP135" i="9"/>
  <c r="AP670" i="9"/>
  <c r="AP590" i="9"/>
  <c r="AP386" i="9"/>
  <c r="AP282" i="9"/>
  <c r="AP656" i="9"/>
  <c r="AQ949" i="9"/>
  <c r="AR949" i="9"/>
  <c r="AQ885" i="9"/>
  <c r="AR885" i="9"/>
  <c r="AR829" i="9"/>
  <c r="AQ829" i="9"/>
  <c r="AQ773" i="9"/>
  <c r="AR773" i="9"/>
  <c r="AR725" i="9"/>
  <c r="AQ725" i="9"/>
  <c r="AQ681" i="9"/>
  <c r="AR681" i="9"/>
  <c r="AR641" i="9"/>
  <c r="AQ641" i="9"/>
  <c r="AQ597" i="9"/>
  <c r="AR597" i="9"/>
  <c r="AR553" i="9"/>
  <c r="AQ553" i="9"/>
  <c r="AQ513" i="9"/>
  <c r="AR513" i="9"/>
  <c r="AR469" i="9"/>
  <c r="AQ469" i="9"/>
  <c r="AQ433" i="9"/>
  <c r="AR433" i="9"/>
  <c r="AQ401" i="9"/>
  <c r="AR401" i="9"/>
  <c r="AQ369" i="9"/>
  <c r="AR369" i="9"/>
  <c r="AQ337" i="9"/>
  <c r="AR337" i="9"/>
  <c r="AQ301" i="9"/>
  <c r="AR301" i="9"/>
  <c r="AQ261" i="9"/>
  <c r="AR261" i="9"/>
  <c r="AQ229" i="9"/>
  <c r="AR229" i="9"/>
  <c r="AR197" i="9"/>
  <c r="AQ197" i="9"/>
  <c r="AQ157" i="9"/>
  <c r="AR157" i="9"/>
  <c r="AQ121" i="9"/>
  <c r="AR121" i="9"/>
  <c r="AQ89" i="9"/>
  <c r="AR89" i="9"/>
  <c r="AR53" i="9"/>
  <c r="AQ53" i="9"/>
  <c r="AR21" i="9"/>
  <c r="AQ21" i="9"/>
  <c r="AR606" i="9"/>
  <c r="AQ606" i="9"/>
  <c r="AQ120" i="9"/>
  <c r="AR120" i="9"/>
  <c r="AQ840" i="9"/>
  <c r="AR840" i="9"/>
  <c r="AQ330" i="9"/>
  <c r="AR330" i="9"/>
  <c r="AP969" i="9"/>
  <c r="AQ750" i="9"/>
  <c r="AR750" i="9"/>
  <c r="AQ494" i="9"/>
  <c r="AR494" i="9"/>
  <c r="AQ354" i="9"/>
  <c r="AR354" i="9"/>
  <c r="AQ270" i="9"/>
  <c r="AR270" i="9"/>
  <c r="AR174" i="9"/>
  <c r="AQ174" i="9"/>
  <c r="AR574" i="9"/>
  <c r="AQ574" i="9"/>
  <c r="AR136" i="9"/>
  <c r="AQ136" i="9"/>
  <c r="AP796" i="9"/>
  <c r="AP492" i="9"/>
  <c r="AP59" i="9"/>
  <c r="AP691" i="9"/>
  <c r="AP894" i="9"/>
  <c r="AP970" i="9"/>
  <c r="AP937" i="9"/>
  <c r="AP701" i="9"/>
  <c r="AP536" i="9"/>
  <c r="AP293" i="9"/>
  <c r="AP807" i="9"/>
  <c r="AQ984" i="9"/>
  <c r="AR984" i="9"/>
  <c r="AQ928" i="9"/>
  <c r="AR928" i="9"/>
  <c r="AQ800" i="9"/>
  <c r="AR800" i="9"/>
  <c r="AQ152" i="9"/>
  <c r="AR152" i="9"/>
  <c r="AR94" i="9"/>
  <c r="AQ94" i="9"/>
  <c r="AQ983" i="9"/>
  <c r="AR983" i="9"/>
  <c r="AR855" i="9"/>
  <c r="AQ855" i="9"/>
  <c r="AQ755" i="9"/>
  <c r="AR755" i="9"/>
  <c r="AR667" i="9"/>
  <c r="AQ667" i="9"/>
  <c r="AR583" i="9"/>
  <c r="AQ583" i="9"/>
  <c r="AR495" i="9"/>
  <c r="AQ495" i="9"/>
  <c r="AR419" i="9"/>
  <c r="AQ419" i="9"/>
  <c r="AQ347" i="9"/>
  <c r="AR347" i="9"/>
  <c r="AQ275" i="9"/>
  <c r="AR275" i="9"/>
  <c r="AR199" i="9"/>
  <c r="AQ199" i="9"/>
  <c r="AQ838" i="9"/>
  <c r="AR838" i="9"/>
  <c r="AQ754" i="9"/>
  <c r="AR754" i="9"/>
  <c r="AR678" i="9"/>
  <c r="AQ678" i="9"/>
  <c r="AR594" i="9"/>
  <c r="AQ594" i="9"/>
  <c r="AQ506" i="9"/>
  <c r="AR506" i="9"/>
  <c r="AQ418" i="9"/>
  <c r="AR418" i="9"/>
  <c r="AR146" i="9"/>
  <c r="AQ146" i="9"/>
  <c r="AR58" i="9"/>
  <c r="AQ58" i="9"/>
  <c r="AP732" i="9"/>
  <c r="AR660" i="9"/>
  <c r="AQ660" i="9"/>
  <c r="AQ396" i="9"/>
  <c r="AR396" i="9"/>
  <c r="AR328" i="9"/>
  <c r="AQ328" i="9"/>
  <c r="AR272" i="9"/>
  <c r="AQ272" i="9"/>
  <c r="AR200" i="9"/>
  <c r="AQ200" i="9"/>
  <c r="AQ140" i="9"/>
  <c r="AR140" i="9"/>
  <c r="AQ64" i="9"/>
  <c r="AR64" i="9"/>
  <c r="AQ12" i="9"/>
  <c r="AR12" i="9"/>
  <c r="AP588" i="9"/>
  <c r="AP39" i="9"/>
  <c r="AP957" i="9"/>
  <c r="AP893" i="9"/>
  <c r="AP789" i="9"/>
  <c r="AP601" i="9"/>
  <c r="AP561" i="9"/>
  <c r="AP517" i="9"/>
  <c r="AP445" i="9"/>
  <c r="AP413" i="9"/>
  <c r="AP381" i="9"/>
  <c r="AP349" i="9"/>
  <c r="AP313" i="9"/>
  <c r="AP277" i="9"/>
  <c r="AP241" i="9"/>
  <c r="AP209" i="9"/>
  <c r="AP776" i="9"/>
  <c r="AP306" i="9"/>
  <c r="AP993" i="9"/>
  <c r="AP143" i="9"/>
  <c r="AP72" i="9"/>
  <c r="AP782" i="9"/>
  <c r="AP366" i="9"/>
  <c r="AP206" i="9"/>
  <c r="AP274" i="9"/>
  <c r="AP881" i="9"/>
  <c r="AP684" i="9"/>
  <c r="AP820" i="9"/>
  <c r="AP520" i="9"/>
  <c r="AP831" i="9"/>
  <c r="AP71" i="9"/>
  <c r="AP435" i="9"/>
  <c r="AP653" i="9"/>
  <c r="AP483" i="9"/>
  <c r="AP946" i="9"/>
  <c r="AP412" i="9"/>
  <c r="AP749" i="9"/>
  <c r="AP600" i="9"/>
  <c r="AP595" i="9"/>
  <c r="AP392" i="9"/>
  <c r="AP781" i="9"/>
  <c r="AP632" i="9"/>
  <c r="AP938" i="9"/>
  <c r="AP886" i="9"/>
  <c r="AP563" i="9"/>
  <c r="AP321" i="9"/>
  <c r="AP579" i="9"/>
  <c r="AP360" i="9"/>
  <c r="AP947" i="9"/>
  <c r="AP856" i="9"/>
  <c r="AP488" i="9"/>
  <c r="AP696" i="9"/>
  <c r="AP525" i="9"/>
  <c r="AP804" i="9"/>
  <c r="AP986" i="9"/>
  <c r="AP836" i="9"/>
  <c r="AP456" i="9"/>
  <c r="AP841" i="9"/>
  <c r="AP552" i="9"/>
  <c r="AP955" i="9"/>
  <c r="AP675" i="9"/>
  <c r="AQ980" i="9"/>
  <c r="AR980" i="9"/>
  <c r="AQ948" i="9"/>
  <c r="AR948" i="9"/>
  <c r="AQ884" i="9"/>
  <c r="AR884" i="9"/>
  <c r="AR768" i="9"/>
  <c r="AQ768" i="9"/>
  <c r="AR40" i="9"/>
  <c r="AQ40" i="9"/>
  <c r="AR30" i="9"/>
  <c r="AQ30" i="9"/>
  <c r="AQ911" i="9"/>
  <c r="AR911" i="9"/>
  <c r="AR751" i="9"/>
  <c r="AQ751" i="9"/>
  <c r="AR619" i="9"/>
  <c r="AQ619" i="9"/>
  <c r="AQ535" i="9"/>
  <c r="AR535" i="9"/>
  <c r="AQ415" i="9"/>
  <c r="AR415" i="9"/>
  <c r="AR343" i="9"/>
  <c r="AQ343" i="9"/>
  <c r="AR271" i="9"/>
  <c r="AQ271" i="9"/>
  <c r="AQ203" i="9"/>
  <c r="AR203" i="9"/>
  <c r="AQ854" i="9"/>
  <c r="AR854" i="9"/>
  <c r="AR810" i="9"/>
  <c r="AQ810" i="9"/>
  <c r="AQ726" i="9"/>
  <c r="AR726" i="9"/>
  <c r="AR642" i="9"/>
  <c r="AQ642" i="9"/>
  <c r="AQ598" i="9"/>
  <c r="AR598" i="9"/>
  <c r="AQ514" i="9"/>
  <c r="AR514" i="9"/>
  <c r="AR422" i="9"/>
  <c r="AQ422" i="9"/>
  <c r="AQ102" i="9"/>
  <c r="AR102" i="9"/>
  <c r="AR952" i="9"/>
  <c r="AQ952" i="9"/>
  <c r="AR544" i="9"/>
  <c r="AQ544" i="9"/>
  <c r="AQ791" i="9"/>
  <c r="AR791" i="9"/>
  <c r="AQ615" i="9"/>
  <c r="AR615" i="9"/>
  <c r="AQ447" i="9"/>
  <c r="AR447" i="9"/>
  <c r="AR299" i="9"/>
  <c r="AQ299" i="9"/>
  <c r="AQ175" i="9"/>
  <c r="AR175" i="9"/>
  <c r="AQ866" i="9"/>
  <c r="AR866" i="9"/>
  <c r="AQ786" i="9"/>
  <c r="AR786" i="9"/>
  <c r="AQ602" i="9"/>
  <c r="AR602" i="9"/>
  <c r="AR518" i="9"/>
  <c r="AQ518" i="9"/>
  <c r="AR166" i="9"/>
  <c r="AQ166" i="9"/>
  <c r="AR468" i="9"/>
  <c r="AQ468" i="9"/>
  <c r="AR280" i="9"/>
  <c r="AQ280" i="9"/>
  <c r="AQ917" i="9"/>
  <c r="AR917" i="9"/>
  <c r="AR801" i="9"/>
  <c r="AQ801" i="9"/>
  <c r="AR661" i="9"/>
  <c r="AQ661" i="9"/>
  <c r="AR577" i="9"/>
  <c r="AQ577" i="9"/>
  <c r="AQ449" i="9"/>
  <c r="AR449" i="9"/>
  <c r="AQ385" i="9"/>
  <c r="AR385" i="9"/>
  <c r="AQ281" i="9"/>
  <c r="AR281" i="9"/>
  <c r="AQ213" i="9"/>
  <c r="AR213" i="9"/>
  <c r="AQ105" i="9"/>
  <c r="AR105" i="9"/>
  <c r="AQ37" i="9"/>
  <c r="AR37" i="9"/>
  <c r="AR394" i="9"/>
  <c r="AQ394" i="9"/>
  <c r="AQ398" i="9"/>
  <c r="AR398" i="9"/>
  <c r="AR314" i="9"/>
  <c r="AQ314" i="9"/>
  <c r="AQ784" i="9"/>
  <c r="AR784" i="9"/>
  <c r="AQ960" i="9"/>
  <c r="AR960" i="9"/>
  <c r="AQ608" i="9"/>
  <c r="AR608" i="9"/>
  <c r="AQ720" i="9"/>
  <c r="AR720" i="9"/>
  <c r="AR919" i="9"/>
  <c r="AQ919" i="9"/>
  <c r="AR711" i="9"/>
  <c r="AQ711" i="9"/>
  <c r="AR539" i="9"/>
  <c r="AQ539" i="9"/>
  <c r="AQ383" i="9"/>
  <c r="AR383" i="9"/>
  <c r="AQ231" i="9"/>
  <c r="AR231" i="9"/>
  <c r="AR794" i="9"/>
  <c r="AQ794" i="9"/>
  <c r="AR634" i="9"/>
  <c r="AQ634" i="9"/>
  <c r="AQ550" i="9"/>
  <c r="AR550" i="9"/>
  <c r="AR294" i="9"/>
  <c r="AQ294" i="9"/>
  <c r="AR22" i="9"/>
  <c r="AQ22" i="9"/>
  <c r="AR500" i="9"/>
  <c r="AQ500" i="9"/>
  <c r="AR296" i="9"/>
  <c r="AQ296" i="9"/>
  <c r="AR232" i="9"/>
  <c r="AQ232" i="9"/>
  <c r="AQ96" i="9"/>
  <c r="AR96" i="9"/>
  <c r="AQ32" i="9"/>
  <c r="AR32" i="9"/>
  <c r="AR55" i="9"/>
  <c r="AQ55" i="9"/>
  <c r="AR1004" i="9"/>
  <c r="AQ1004" i="9"/>
  <c r="AR972" i="9"/>
  <c r="AQ972" i="9"/>
  <c r="AQ908" i="9"/>
  <c r="AR908" i="9"/>
  <c r="AR704" i="9"/>
  <c r="AQ704" i="9"/>
  <c r="AQ448" i="9"/>
  <c r="AR448" i="9"/>
  <c r="AR848" i="9"/>
  <c r="AQ848" i="9"/>
  <c r="AR338" i="9"/>
  <c r="AQ338" i="9"/>
  <c r="AQ997" i="9"/>
  <c r="AR997" i="9"/>
  <c r="AR895" i="9"/>
  <c r="AQ895" i="9"/>
  <c r="AQ787" i="9"/>
  <c r="AR787" i="9"/>
  <c r="AR735" i="9"/>
  <c r="AQ735" i="9"/>
  <c r="AQ651" i="9"/>
  <c r="AR651" i="9"/>
  <c r="AQ567" i="9"/>
  <c r="AR567" i="9"/>
  <c r="AQ523" i="9"/>
  <c r="AR523" i="9"/>
  <c r="AR443" i="9"/>
  <c r="AQ443" i="9"/>
  <c r="AR367" i="9"/>
  <c r="AQ367" i="9"/>
  <c r="AQ331" i="9"/>
  <c r="AR331" i="9"/>
  <c r="AQ263" i="9"/>
  <c r="AR263" i="9"/>
  <c r="AQ195" i="9"/>
  <c r="AR195" i="9"/>
  <c r="AR163" i="9"/>
  <c r="AQ163" i="9"/>
  <c r="AQ878" i="9"/>
  <c r="AR878" i="9"/>
  <c r="AR802" i="9"/>
  <c r="AQ802" i="9"/>
  <c r="AR674" i="9"/>
  <c r="AQ674" i="9"/>
  <c r="AQ586" i="9"/>
  <c r="AR586" i="9"/>
  <c r="AR502" i="9"/>
  <c r="AQ502" i="9"/>
  <c r="AR406" i="9"/>
  <c r="AQ406" i="9"/>
  <c r="AQ142" i="9"/>
  <c r="AR142" i="9"/>
  <c r="AQ1008" i="9"/>
  <c r="AR1008" i="9"/>
  <c r="AQ936" i="9"/>
  <c r="AR936" i="9"/>
  <c r="AQ440" i="9"/>
  <c r="AR440" i="9"/>
  <c r="AQ989" i="9"/>
  <c r="AR989" i="9"/>
  <c r="AR763" i="9"/>
  <c r="AQ763" i="9"/>
  <c r="AQ591" i="9"/>
  <c r="AR591" i="9"/>
  <c r="AQ427" i="9"/>
  <c r="AR427" i="9"/>
  <c r="AR355" i="9"/>
  <c r="AQ355" i="9"/>
  <c r="AR223" i="9"/>
  <c r="AQ223" i="9"/>
  <c r="AR159" i="9"/>
  <c r="AQ159" i="9"/>
  <c r="AR850" i="9"/>
  <c r="AQ850" i="9"/>
  <c r="AQ666" i="9"/>
  <c r="AR666" i="9"/>
  <c r="AQ582" i="9"/>
  <c r="AR582" i="9"/>
  <c r="AR390" i="9"/>
  <c r="AQ390" i="9"/>
  <c r="AQ138" i="9"/>
  <c r="AR138" i="9"/>
  <c r="AP812" i="9"/>
  <c r="AQ628" i="9"/>
  <c r="AR628" i="9"/>
  <c r="AR336" i="9"/>
  <c r="AQ336" i="9"/>
  <c r="AR264" i="9"/>
  <c r="AQ264" i="9"/>
  <c r="AQ208" i="9"/>
  <c r="AR208" i="9"/>
  <c r="AQ128" i="9"/>
  <c r="AR128" i="9"/>
  <c r="AR119" i="9"/>
  <c r="AQ119" i="9"/>
  <c r="AQ11" i="9"/>
  <c r="AR11" i="9"/>
  <c r="AP262" i="9"/>
  <c r="AP771" i="9"/>
  <c r="AP998" i="9"/>
  <c r="AP921" i="9"/>
  <c r="AP680" i="9"/>
  <c r="AP165" i="9"/>
  <c r="AP941" i="9"/>
  <c r="AP825" i="9"/>
  <c r="AP769" i="9"/>
  <c r="AP593" i="9"/>
  <c r="AP549" i="9"/>
  <c r="AP505" i="9"/>
  <c r="AP465" i="9"/>
  <c r="AP325" i="9"/>
  <c r="AP249" i="9"/>
  <c r="AP217" i="9"/>
  <c r="AP173" i="9"/>
  <c r="AP133" i="9"/>
  <c r="AP101" i="9"/>
  <c r="AP9" i="9"/>
  <c r="AP432" i="9"/>
  <c r="AP849" i="9"/>
  <c r="AP127" i="9"/>
  <c r="AP743" i="9"/>
  <c r="AP322" i="9"/>
  <c r="AP226" i="9"/>
  <c r="AP830" i="9"/>
  <c r="AP362" i="9"/>
  <c r="AP923" i="9"/>
  <c r="AQ965" i="9"/>
  <c r="AR965" i="9"/>
  <c r="AQ837" i="9"/>
  <c r="AR837" i="9"/>
  <c r="AR737" i="9"/>
  <c r="AQ737" i="9"/>
  <c r="AQ693" i="9"/>
  <c r="AR693" i="9"/>
  <c r="AQ609" i="9"/>
  <c r="AR609" i="9"/>
  <c r="AQ481" i="9"/>
  <c r="AR481" i="9"/>
  <c r="AQ377" i="9"/>
  <c r="AR377" i="9"/>
  <c r="AR309" i="9"/>
  <c r="AQ309" i="9"/>
  <c r="AQ237" i="9"/>
  <c r="AR237" i="9"/>
  <c r="AQ129" i="9"/>
  <c r="AR129" i="9"/>
  <c r="AR61" i="9"/>
  <c r="AQ61" i="9"/>
  <c r="AQ734" i="9"/>
  <c r="AR734" i="9"/>
  <c r="AQ131" i="9"/>
  <c r="AR131" i="9"/>
  <c r="AQ378" i="9"/>
  <c r="AR378" i="9"/>
  <c r="AR194" i="9"/>
  <c r="AQ194" i="9"/>
  <c r="AR698" i="9"/>
  <c r="AQ698" i="9"/>
  <c r="AP265" i="9"/>
  <c r="AR988" i="9"/>
  <c r="AQ988" i="9"/>
  <c r="AQ956" i="9"/>
  <c r="AR956" i="9"/>
  <c r="AR924" i="9"/>
  <c r="AQ924" i="9"/>
  <c r="AQ892" i="9"/>
  <c r="AR892" i="9"/>
  <c r="AQ832" i="9"/>
  <c r="AR832" i="9"/>
  <c r="AR576" i="9"/>
  <c r="AQ576" i="9"/>
  <c r="AR104" i="9"/>
  <c r="AQ104" i="9"/>
  <c r="AQ638" i="9"/>
  <c r="AR638" i="9"/>
  <c r="AQ170" i="9"/>
  <c r="AR170" i="9"/>
  <c r="AP307" i="9"/>
  <c r="AQ991" i="9"/>
  <c r="AR991" i="9"/>
  <c r="AQ927" i="9"/>
  <c r="AR927" i="9"/>
  <c r="AQ859" i="9"/>
  <c r="AR859" i="9"/>
  <c r="AQ815" i="9"/>
  <c r="AR815" i="9"/>
  <c r="AQ759" i="9"/>
  <c r="AR759" i="9"/>
  <c r="AQ715" i="9"/>
  <c r="AR715" i="9"/>
  <c r="AQ671" i="9"/>
  <c r="AR671" i="9"/>
  <c r="AQ631" i="9"/>
  <c r="AR631" i="9"/>
  <c r="AR587" i="9"/>
  <c r="AQ587" i="9"/>
  <c r="AR543" i="9"/>
  <c r="AQ543" i="9"/>
  <c r="AQ503" i="9"/>
  <c r="AR503" i="9"/>
  <c r="AQ459" i="9"/>
  <c r="AR459" i="9"/>
  <c r="AQ423" i="9"/>
  <c r="AR423" i="9"/>
  <c r="AR387" i="9"/>
  <c r="AQ387" i="9"/>
  <c r="AQ351" i="9"/>
  <c r="AR351" i="9"/>
  <c r="AQ315" i="9"/>
  <c r="AR315" i="9"/>
  <c r="AR279" i="9"/>
  <c r="AQ279" i="9"/>
  <c r="AR247" i="9"/>
  <c r="AQ247" i="9"/>
  <c r="AQ211" i="9"/>
  <c r="AR211" i="9"/>
  <c r="AQ179" i="9"/>
  <c r="AR179" i="9"/>
  <c r="AR862" i="9"/>
  <c r="AQ862" i="9"/>
  <c r="AR822" i="9"/>
  <c r="AQ822" i="9"/>
  <c r="AQ778" i="9"/>
  <c r="AR778" i="9"/>
  <c r="AQ738" i="9"/>
  <c r="AR738" i="9"/>
  <c r="AQ694" i="9"/>
  <c r="AR694" i="9"/>
  <c r="AQ650" i="9"/>
  <c r="AR650" i="9"/>
  <c r="AR610" i="9"/>
  <c r="AQ610" i="9"/>
  <c r="AR566" i="9"/>
  <c r="AQ566" i="9"/>
  <c r="AR522" i="9"/>
  <c r="AQ522" i="9"/>
  <c r="AQ482" i="9"/>
  <c r="AR482" i="9"/>
  <c r="AR438" i="9"/>
  <c r="AQ438" i="9"/>
  <c r="AR342" i="9"/>
  <c r="AQ342" i="9"/>
  <c r="AQ182" i="9"/>
  <c r="AR182" i="9"/>
  <c r="AR114" i="9"/>
  <c r="AQ114" i="9"/>
  <c r="AP74" i="9"/>
  <c r="AP54" i="9"/>
  <c r="AP18" i="9"/>
  <c r="AP676" i="9"/>
  <c r="AP548" i="9"/>
  <c r="AP484" i="9"/>
  <c r="AP356" i="9"/>
  <c r="AP324" i="9"/>
  <c r="AP260" i="9"/>
  <c r="AP144" i="9"/>
  <c r="AP124" i="9"/>
  <c r="AP100" i="9"/>
  <c r="AP80" i="9"/>
  <c r="AP60" i="9"/>
  <c r="AP36" i="9"/>
  <c r="AP16" i="9"/>
  <c r="AP780" i="9"/>
  <c r="AP524" i="9"/>
  <c r="AP111" i="9"/>
  <c r="AP79" i="9"/>
  <c r="AP47" i="9"/>
  <c r="AP15" i="9"/>
  <c r="AR968" i="9"/>
  <c r="AQ968" i="9"/>
  <c r="AQ904" i="9"/>
  <c r="AR904" i="9"/>
  <c r="AQ736" i="9"/>
  <c r="AR736" i="9"/>
  <c r="AQ808" i="9"/>
  <c r="AR808" i="9"/>
  <c r="AP817" i="9"/>
  <c r="AQ935" i="9"/>
  <c r="AR935" i="9"/>
  <c r="AR819" i="9"/>
  <c r="AQ819" i="9"/>
  <c r="AR719" i="9"/>
  <c r="AQ719" i="9"/>
  <c r="AR635" i="9"/>
  <c r="AQ635" i="9"/>
  <c r="AR551" i="9"/>
  <c r="AQ551" i="9"/>
  <c r="AR463" i="9"/>
  <c r="AQ463" i="9"/>
  <c r="AQ391" i="9"/>
  <c r="AR391" i="9"/>
  <c r="AQ319" i="9"/>
  <c r="AR319" i="9"/>
  <c r="AR259" i="9"/>
  <c r="AQ259" i="9"/>
  <c r="AQ191" i="9"/>
  <c r="AR191" i="9"/>
  <c r="AR806" i="9"/>
  <c r="AQ806" i="9"/>
  <c r="AQ710" i="9"/>
  <c r="AR710" i="9"/>
  <c r="AQ626" i="9"/>
  <c r="AR626" i="9"/>
  <c r="AR538" i="9"/>
  <c r="AQ538" i="9"/>
  <c r="AR454" i="9"/>
  <c r="AQ454" i="9"/>
  <c r="AQ230" i="9"/>
  <c r="AR230" i="9"/>
  <c r="AR86" i="9"/>
  <c r="AQ86" i="9"/>
  <c r="AQ14" i="9"/>
  <c r="AR14" i="9"/>
  <c r="AR532" i="9"/>
  <c r="AQ532" i="9"/>
  <c r="AQ384" i="9"/>
  <c r="AR384" i="9"/>
  <c r="AR304" i="9"/>
  <c r="AQ304" i="9"/>
  <c r="AR240" i="9"/>
  <c r="AQ240" i="9"/>
  <c r="AQ168" i="9"/>
  <c r="AR168" i="9"/>
  <c r="AQ84" i="9"/>
  <c r="AR84" i="9"/>
  <c r="AQ75" i="9"/>
  <c r="AR75" i="9"/>
  <c r="AR933" i="9"/>
  <c r="AQ933" i="9"/>
  <c r="AQ865" i="9"/>
  <c r="AR865" i="9"/>
  <c r="AQ821" i="9"/>
  <c r="AR821" i="9"/>
  <c r="AQ765" i="9"/>
  <c r="AR765" i="9"/>
  <c r="AQ713" i="9"/>
  <c r="AR713" i="9"/>
  <c r="AQ673" i="9"/>
  <c r="AR673" i="9"/>
  <c r="AR629" i="9"/>
  <c r="AQ629" i="9"/>
  <c r="AQ585" i="9"/>
  <c r="AR585" i="9"/>
  <c r="AR545" i="9"/>
  <c r="AQ545" i="9"/>
  <c r="AR501" i="9"/>
  <c r="AQ501" i="9"/>
  <c r="AR457" i="9"/>
  <c r="AQ457" i="9"/>
  <c r="AR425" i="9"/>
  <c r="AQ425" i="9"/>
  <c r="AR393" i="9"/>
  <c r="AQ393" i="9"/>
  <c r="AR361" i="9"/>
  <c r="AQ361" i="9"/>
  <c r="AR329" i="9"/>
  <c r="AQ329" i="9"/>
  <c r="AQ289" i="9"/>
  <c r="AR289" i="9"/>
  <c r="AQ253" i="9"/>
  <c r="AR253" i="9"/>
  <c r="AR221" i="9"/>
  <c r="AQ221" i="9"/>
  <c r="AQ185" i="9"/>
  <c r="AR185" i="9"/>
  <c r="AR149" i="9"/>
  <c r="AQ149" i="9"/>
  <c r="AR113" i="9"/>
  <c r="AQ113" i="9"/>
  <c r="AR81" i="9"/>
  <c r="AQ81" i="9"/>
  <c r="AQ45" i="9"/>
  <c r="AR45" i="9"/>
  <c r="AQ13" i="9"/>
  <c r="AR13" i="9"/>
  <c r="AR478" i="9"/>
  <c r="AQ478" i="9"/>
  <c r="AR147" i="9"/>
  <c r="AQ147" i="9"/>
  <c r="AQ752" i="9"/>
  <c r="AR752" i="9"/>
  <c r="AR242" i="9"/>
  <c r="AQ242" i="9"/>
  <c r="AQ686" i="9"/>
  <c r="AR686" i="9"/>
  <c r="AQ430" i="9"/>
  <c r="AR430" i="9"/>
  <c r="AR334" i="9"/>
  <c r="AQ334" i="9"/>
  <c r="AR238" i="9"/>
  <c r="AQ238" i="9"/>
  <c r="AR126" i="9"/>
  <c r="AQ126" i="9"/>
  <c r="AQ402" i="9"/>
  <c r="AR402" i="9"/>
  <c r="AP945" i="9"/>
  <c r="AP620" i="9"/>
  <c r="AP926" i="9"/>
  <c r="AP1006" i="9"/>
  <c r="AP380" i="9"/>
  <c r="AP985" i="9"/>
  <c r="AP371" i="9"/>
  <c r="AQ976" i="9"/>
  <c r="AR976" i="9"/>
  <c r="AR912" i="9"/>
  <c r="AQ912" i="9"/>
  <c r="AR672" i="9"/>
  <c r="AQ672" i="9"/>
  <c r="AQ24" i="9"/>
  <c r="AR24" i="9"/>
  <c r="AQ951" i="9"/>
  <c r="AR951" i="9"/>
  <c r="AQ827" i="9"/>
  <c r="AR827" i="9"/>
  <c r="AQ731" i="9"/>
  <c r="AR731" i="9"/>
  <c r="AR647" i="9"/>
  <c r="AQ647" i="9"/>
  <c r="AR559" i="9"/>
  <c r="AQ559" i="9"/>
  <c r="AR475" i="9"/>
  <c r="AQ475" i="9"/>
  <c r="AR399" i="9"/>
  <c r="AQ399" i="9"/>
  <c r="AR327" i="9"/>
  <c r="AQ327" i="9"/>
  <c r="AQ251" i="9"/>
  <c r="AR251" i="9"/>
  <c r="AQ183" i="9"/>
  <c r="AR183" i="9"/>
  <c r="AQ818" i="9"/>
  <c r="AR818" i="9"/>
  <c r="AR730" i="9"/>
  <c r="AQ730" i="9"/>
  <c r="AQ658" i="9"/>
  <c r="AR658" i="9"/>
  <c r="AR570" i="9"/>
  <c r="AQ570" i="9"/>
  <c r="AR486" i="9"/>
  <c r="AQ486" i="9"/>
  <c r="AR358" i="9"/>
  <c r="AQ358" i="9"/>
  <c r="AR118" i="9"/>
  <c r="AQ118" i="9"/>
  <c r="AQ42" i="9"/>
  <c r="AR42" i="9"/>
  <c r="AP476" i="9"/>
  <c r="AR564" i="9"/>
  <c r="AQ564" i="9"/>
  <c r="AR372" i="9"/>
  <c r="AQ372" i="9"/>
  <c r="AR312" i="9"/>
  <c r="AQ312" i="9"/>
  <c r="AQ256" i="9"/>
  <c r="AR256" i="9"/>
  <c r="AR184" i="9"/>
  <c r="AQ184" i="9"/>
  <c r="AQ116" i="9"/>
  <c r="AR116" i="9"/>
  <c r="AQ44" i="9"/>
  <c r="AR44" i="9"/>
  <c r="AR87" i="9"/>
  <c r="AQ87" i="9"/>
  <c r="AP869" i="9" l="1"/>
  <c r="AP633" i="9"/>
  <c r="AS14" i="9"/>
  <c r="AS11" i="9"/>
  <c r="AS10" i="9"/>
  <c r="K14" i="9"/>
  <c r="K11" i="9"/>
  <c r="K10" i="9"/>
  <c r="AP87" i="9"/>
  <c r="AP116" i="9"/>
  <c r="AP256" i="9"/>
  <c r="AP730" i="9"/>
  <c r="AP183" i="9"/>
  <c r="AP475" i="9"/>
  <c r="AP647" i="9"/>
  <c r="AP912" i="9"/>
  <c r="AP147" i="9"/>
  <c r="AP13" i="9"/>
  <c r="AP81" i="9"/>
  <c r="AP585" i="9"/>
  <c r="AP673" i="9"/>
  <c r="AP765" i="9"/>
  <c r="AP865" i="9"/>
  <c r="AP75" i="9"/>
  <c r="AP168" i="9"/>
  <c r="AP454" i="9"/>
  <c r="AP259" i="9"/>
  <c r="AP391" i="9"/>
  <c r="AP935" i="9"/>
  <c r="AP114" i="9"/>
  <c r="AP342" i="9"/>
  <c r="AP482" i="9"/>
  <c r="AP738" i="9"/>
  <c r="AP822" i="9"/>
  <c r="AP179" i="9"/>
  <c r="AP387" i="9"/>
  <c r="AP543" i="9"/>
  <c r="AP638" i="9"/>
  <c r="AP892" i="9"/>
  <c r="AP956" i="9"/>
  <c r="AP698" i="9"/>
  <c r="AP44" i="9"/>
  <c r="AP564" i="9"/>
  <c r="AP118" i="9"/>
  <c r="AP658" i="9"/>
  <c r="AP818" i="9"/>
  <c r="AP399" i="9"/>
  <c r="AP559" i="9"/>
  <c r="AP672" i="9"/>
  <c r="AP686" i="9"/>
  <c r="AP752" i="9"/>
  <c r="AP478" i="9"/>
  <c r="AP45" i="9"/>
  <c r="AP113" i="9"/>
  <c r="AP185" i="9"/>
  <c r="AP253" i="9"/>
  <c r="AP713" i="9"/>
  <c r="AP821" i="9"/>
  <c r="AP84" i="9"/>
  <c r="AP384" i="9"/>
  <c r="AP14" i="9"/>
  <c r="K122" i="9" s="1"/>
  <c r="AP230" i="9"/>
  <c r="AP710" i="9"/>
  <c r="AP191" i="9"/>
  <c r="AP319" i="9"/>
  <c r="AP808" i="9"/>
  <c r="AP904" i="9"/>
  <c r="AP610" i="9"/>
  <c r="AP862" i="9"/>
  <c r="AP211" i="9"/>
  <c r="AP587" i="9"/>
  <c r="AP170" i="9"/>
  <c r="AP832" i="9"/>
  <c r="AP194" i="9"/>
  <c r="AP131" i="9"/>
  <c r="AP61" i="9"/>
  <c r="AP737" i="9"/>
  <c r="AP11" i="9"/>
  <c r="AP128" i="9"/>
  <c r="AP159" i="9"/>
  <c r="AP355" i="9"/>
  <c r="AP936" i="9"/>
  <c r="AP195" i="9"/>
  <c r="AP443" i="9"/>
  <c r="AP735" i="9"/>
  <c r="AP895" i="9"/>
  <c r="AP338" i="9"/>
  <c r="AP1004" i="9"/>
  <c r="AP232" i="9"/>
  <c r="AP500" i="9"/>
  <c r="AP294" i="9"/>
  <c r="AP634" i="9"/>
  <c r="AP231" i="9"/>
  <c r="AP539" i="9"/>
  <c r="AP919" i="9"/>
  <c r="AP398" i="9"/>
  <c r="AP577" i="9"/>
  <c r="AP801" i="9"/>
  <c r="AP280" i="9"/>
  <c r="AP166" i="9"/>
  <c r="AP866" i="9"/>
  <c r="AP299" i="9"/>
  <c r="AP544" i="9"/>
  <c r="AP514" i="9"/>
  <c r="AP810" i="9"/>
  <c r="AP751" i="9"/>
  <c r="AP30" i="9"/>
  <c r="AP768" i="9"/>
  <c r="AP948" i="9"/>
  <c r="AP64" i="9"/>
  <c r="AP660" i="9"/>
  <c r="AP146" i="9"/>
  <c r="AP506" i="9"/>
  <c r="AP678" i="9"/>
  <c r="AP275" i="9"/>
  <c r="AP419" i="9"/>
  <c r="AP583" i="9"/>
  <c r="AP750" i="9"/>
  <c r="AP840" i="9"/>
  <c r="AP606" i="9"/>
  <c r="AP53" i="9"/>
  <c r="AP197" i="9"/>
  <c r="AP337" i="9"/>
  <c r="AP469" i="9"/>
  <c r="AP553" i="9"/>
  <c r="AP641" i="9"/>
  <c r="AP725" i="9"/>
  <c r="AP829" i="9"/>
  <c r="AP103" i="9"/>
  <c r="AP192" i="9"/>
  <c r="AP320" i="9"/>
  <c r="AP34" i="9"/>
  <c r="AP326" i="9"/>
  <c r="AP562" i="9"/>
  <c r="AP339" i="9"/>
  <c r="AP487" i="9"/>
  <c r="AP847" i="9"/>
  <c r="AP210" i="9"/>
  <c r="AP864" i="9"/>
  <c r="AP834" i="9"/>
  <c r="AP395" i="9"/>
  <c r="AP471" i="9"/>
  <c r="AP555" i="9"/>
  <c r="AP639" i="9"/>
  <c r="AP727" i="9"/>
  <c r="AP823" i="9"/>
  <c r="AP943" i="9"/>
  <c r="AP416" i="9"/>
  <c r="AP996" i="9"/>
  <c r="AP20" i="9"/>
  <c r="AP160" i="9"/>
  <c r="AP288" i="9"/>
  <c r="AP78" i="9"/>
  <c r="AP614" i="9"/>
  <c r="AP858" i="9"/>
  <c r="AP215" i="9"/>
  <c r="AP687" i="9"/>
  <c r="AP872" i="9"/>
  <c r="AP558" i="9"/>
  <c r="AP29" i="9"/>
  <c r="AP169" i="9"/>
  <c r="AP521" i="9"/>
  <c r="AP762" i="9"/>
  <c r="AP507" i="9"/>
  <c r="AP246" i="9"/>
  <c r="AP714" i="9"/>
  <c r="AP295" i="9"/>
  <c r="AP466" i="9"/>
  <c r="AP874" i="9"/>
  <c r="AP218" i="9"/>
  <c r="AP139" i="9"/>
  <c r="AP177" i="9"/>
  <c r="AP317" i="9"/>
  <c r="AP533" i="9"/>
  <c r="AP705" i="9"/>
  <c r="AP43" i="9"/>
  <c r="AP690" i="9"/>
  <c r="AP699" i="9"/>
  <c r="AP154" i="9"/>
  <c r="AP303" i="9"/>
  <c r="AP451" i="9"/>
  <c r="AP575" i="9"/>
  <c r="AP378" i="9"/>
  <c r="AP129" i="9"/>
  <c r="AP309" i="9"/>
  <c r="AP119" i="9"/>
  <c r="AP208" i="9"/>
  <c r="AP582" i="9"/>
  <c r="AP223" i="9"/>
  <c r="AP763" i="9"/>
  <c r="AP586" i="9"/>
  <c r="AP263" i="9"/>
  <c r="AP367" i="9"/>
  <c r="AP848" i="9"/>
  <c r="AP704" i="9"/>
  <c r="AP972" i="9"/>
  <c r="AP296" i="9"/>
  <c r="AP22" i="9"/>
  <c r="AP550" i="9"/>
  <c r="AP794" i="9"/>
  <c r="AP711" i="9"/>
  <c r="AP314" i="9"/>
  <c r="AP661" i="9"/>
  <c r="AP468" i="9"/>
  <c r="AP786" i="9"/>
  <c r="AP598" i="9"/>
  <c r="AP271" i="9"/>
  <c r="AP619" i="9"/>
  <c r="AP40" i="9"/>
  <c r="AP884" i="9"/>
  <c r="AP980" i="9"/>
  <c r="AP12" i="9"/>
  <c r="AP140" i="9"/>
  <c r="AP396" i="9"/>
  <c r="AP58" i="9"/>
  <c r="AP418" i="9"/>
  <c r="AP594" i="9"/>
  <c r="AP754" i="9"/>
  <c r="AP495" i="9"/>
  <c r="AP667" i="9"/>
  <c r="AP855" i="9"/>
  <c r="AP94" i="9"/>
  <c r="AP984" i="9"/>
  <c r="AP270" i="9"/>
  <c r="AP21" i="9"/>
  <c r="K59" i="9" s="1"/>
  <c r="AP404" i="9"/>
  <c r="AP110" i="9"/>
  <c r="AP826" i="9"/>
  <c r="AP571" i="9"/>
  <c r="AP747" i="9"/>
  <c r="AP967" i="9"/>
  <c r="AP88" i="9"/>
  <c r="AP82" i="9"/>
  <c r="AP214" i="9"/>
  <c r="AP450" i="9"/>
  <c r="AP618" i="9"/>
  <c r="AP790" i="9"/>
  <c r="AP155" i="9"/>
  <c r="AP219" i="9"/>
  <c r="AP287" i="9"/>
  <c r="AP359" i="9"/>
  <c r="AP511" i="9"/>
  <c r="AP683" i="9"/>
  <c r="AP779" i="9"/>
  <c r="AP879" i="9"/>
  <c r="AP766" i="9"/>
  <c r="AP23" i="9"/>
  <c r="AP76" i="9"/>
  <c r="AP198" i="9"/>
  <c r="AP530" i="9"/>
  <c r="AP291" i="9"/>
  <c r="AP999" i="9"/>
  <c r="AP97" i="9"/>
  <c r="AP565" i="9"/>
  <c r="AP283" i="9"/>
  <c r="AP843" i="9"/>
  <c r="AP722" i="9"/>
  <c r="AP167" i="9"/>
  <c r="AP245" i="9"/>
  <c r="AP489" i="9"/>
  <c r="AP724" i="9"/>
  <c r="AP527" i="9"/>
  <c r="AP310" i="9"/>
  <c r="AP379" i="9"/>
  <c r="AP663" i="9"/>
  <c r="AP795" i="9"/>
  <c r="AP975" i="9"/>
  <c r="AP184" i="9"/>
  <c r="AP312" i="9"/>
  <c r="AP42" i="9"/>
  <c r="AP358" i="9"/>
  <c r="AP570" i="9"/>
  <c r="AP327" i="9"/>
  <c r="AP827" i="9"/>
  <c r="AP24" i="9"/>
  <c r="AP126" i="9"/>
  <c r="AP334" i="9"/>
  <c r="AP329" i="9"/>
  <c r="AP393" i="9"/>
  <c r="AP457" i="9"/>
  <c r="AP545" i="9"/>
  <c r="AP629" i="9"/>
  <c r="AP933" i="9"/>
  <c r="AP240" i="9"/>
  <c r="AP538" i="9"/>
  <c r="AP463" i="9"/>
  <c r="AP635" i="9"/>
  <c r="AP819" i="9"/>
  <c r="AP736" i="9"/>
  <c r="AP968" i="9"/>
  <c r="AP566" i="9"/>
  <c r="AP650" i="9"/>
  <c r="AP247" i="9"/>
  <c r="AP315" i="9"/>
  <c r="AP459" i="9"/>
  <c r="AP631" i="9"/>
  <c r="AP715" i="9"/>
  <c r="AP815" i="9"/>
  <c r="AP927" i="9"/>
  <c r="AP104" i="9"/>
  <c r="AP924" i="9"/>
  <c r="AP988" i="9"/>
  <c r="AP734" i="9"/>
  <c r="AP481" i="9"/>
  <c r="AP693" i="9"/>
  <c r="AP837" i="9"/>
  <c r="AP264" i="9"/>
  <c r="AP628" i="9"/>
  <c r="AP138" i="9"/>
  <c r="AP850" i="9"/>
  <c r="AP427" i="9"/>
  <c r="AP440" i="9"/>
  <c r="AP1008" i="9"/>
  <c r="AP406" i="9"/>
  <c r="AP802" i="9"/>
  <c r="AP163" i="9"/>
  <c r="AP523" i="9"/>
  <c r="AP651" i="9"/>
  <c r="AP787" i="9"/>
  <c r="AP997" i="9"/>
  <c r="AP55" i="9"/>
  <c r="AP96" i="9"/>
  <c r="AP383" i="9"/>
  <c r="AP720" i="9"/>
  <c r="AP960" i="9"/>
  <c r="AP394" i="9"/>
  <c r="AP105" i="9"/>
  <c r="AP281" i="9"/>
  <c r="AP449" i="9"/>
  <c r="AP917" i="9"/>
  <c r="AP518" i="9"/>
  <c r="AP175" i="9"/>
  <c r="AP447" i="9"/>
  <c r="AP791" i="9"/>
  <c r="AP952" i="9"/>
  <c r="AP422" i="9"/>
  <c r="AP726" i="9"/>
  <c r="AP854" i="9"/>
  <c r="AP415" i="9"/>
  <c r="AP911" i="9"/>
  <c r="AP200" i="9"/>
  <c r="AP328" i="9"/>
  <c r="AP199" i="9"/>
  <c r="AP347" i="9"/>
  <c r="AP800" i="9"/>
  <c r="AP136" i="9"/>
  <c r="AP174" i="9"/>
  <c r="AP354" i="9"/>
  <c r="AP330" i="9"/>
  <c r="AP120" i="9"/>
  <c r="AP89" i="9"/>
  <c r="AP157" i="9"/>
  <c r="AP229" i="9"/>
  <c r="AP301" i="9"/>
  <c r="AP369" i="9"/>
  <c r="AP433" i="9"/>
  <c r="AP513" i="9"/>
  <c r="AP597" i="9"/>
  <c r="AP681" i="9"/>
  <c r="AP773" i="9"/>
  <c r="AP885" i="9"/>
  <c r="AP108" i="9"/>
  <c r="AP248" i="9"/>
  <c r="AP742" i="9"/>
  <c r="AP207" i="9"/>
  <c r="AP655" i="9"/>
  <c r="AP992" i="9"/>
  <c r="AP534" i="9"/>
  <c r="AP706" i="9"/>
  <c r="AP870" i="9"/>
  <c r="AP187" i="9"/>
  <c r="AP255" i="9"/>
  <c r="AP323" i="9"/>
  <c r="AP254" i="9"/>
  <c r="AP868" i="9"/>
  <c r="AP932" i="9"/>
  <c r="AP436" i="9"/>
  <c r="AP442" i="9"/>
  <c r="AP151" i="9"/>
  <c r="AP439" i="9"/>
  <c r="AP603" i="9"/>
  <c r="AP783" i="9"/>
  <c r="AP480" i="9"/>
  <c r="AP944" i="9"/>
  <c r="AP234" i="9"/>
  <c r="AP290" i="9"/>
  <c r="AP814" i="9"/>
  <c r="AP266" i="9"/>
  <c r="AP205" i="9"/>
  <c r="AP345" i="9"/>
  <c r="AP441" i="9"/>
  <c r="AP793" i="9"/>
  <c r="AP50" i="9"/>
  <c r="AP679" i="9"/>
  <c r="AP298" i="9"/>
  <c r="AP90" i="9"/>
  <c r="AP458" i="9"/>
  <c r="AP630" i="9"/>
  <c r="AP758" i="9"/>
  <c r="AP227" i="9"/>
  <c r="AP407" i="9"/>
  <c r="AP607" i="9"/>
  <c r="AP876" i="9"/>
  <c r="AP176" i="9"/>
  <c r="AP98" i="9"/>
  <c r="AP455" i="9"/>
  <c r="AP811" i="9"/>
  <c r="AP318" i="9"/>
  <c r="AP622" i="9"/>
  <c r="AP624" i="9"/>
  <c r="AP816" i="9"/>
  <c r="AP141" i="9"/>
  <c r="AP353" i="9"/>
  <c r="AP617" i="9"/>
  <c r="AP757" i="9"/>
  <c r="AP981" i="9"/>
  <c r="AP52" i="9"/>
  <c r="AP224" i="9"/>
  <c r="AP426" i="9"/>
  <c r="AP243" i="9"/>
  <c r="AP903" i="9"/>
  <c r="AP896" i="9"/>
  <c r="AP554" i="9"/>
  <c r="AP770" i="9"/>
  <c r="AP239" i="9"/>
  <c r="AP491" i="9"/>
  <c r="AP512" i="9"/>
  <c r="AP372" i="9"/>
  <c r="AP486" i="9"/>
  <c r="AP251" i="9"/>
  <c r="AP731" i="9"/>
  <c r="AP951" i="9"/>
  <c r="AP976" i="9"/>
  <c r="AP402" i="9"/>
  <c r="AP238" i="9"/>
  <c r="AP430" i="9"/>
  <c r="AP242" i="9"/>
  <c r="AP149" i="9"/>
  <c r="AP221" i="9"/>
  <c r="AP289" i="9"/>
  <c r="AP361" i="9"/>
  <c r="AP425" i="9"/>
  <c r="AP501" i="9"/>
  <c r="AP304" i="9"/>
  <c r="AP532" i="9"/>
  <c r="AP86" i="9"/>
  <c r="AP626" i="9"/>
  <c r="AP806" i="9"/>
  <c r="AP551" i="9"/>
  <c r="AP719" i="9"/>
  <c r="AP182" i="9"/>
  <c r="AP438" i="9"/>
  <c r="AP522" i="9"/>
  <c r="AP694" i="9"/>
  <c r="AP778" i="9"/>
  <c r="AP279" i="9"/>
  <c r="AP351" i="9"/>
  <c r="AP423" i="9"/>
  <c r="AP503" i="9"/>
  <c r="AP671" i="9"/>
  <c r="AP759" i="9"/>
  <c r="AP859" i="9"/>
  <c r="AP991" i="9"/>
  <c r="AP576" i="9"/>
  <c r="AP237" i="9"/>
  <c r="AP377" i="9"/>
  <c r="AP609" i="9"/>
  <c r="AP965" i="9"/>
  <c r="AP336" i="9"/>
  <c r="AP390" i="9"/>
  <c r="AP666" i="9"/>
  <c r="AP591" i="9"/>
  <c r="AP989" i="9"/>
  <c r="AP142" i="9"/>
  <c r="AP502" i="9"/>
  <c r="AP674" i="9"/>
  <c r="AP878" i="9"/>
  <c r="AP331" i="9"/>
  <c r="AP567" i="9"/>
  <c r="AP448" i="9"/>
  <c r="AP908" i="9"/>
  <c r="AP32" i="9"/>
  <c r="AP608" i="9"/>
  <c r="AP784" i="9"/>
  <c r="AP37" i="9"/>
  <c r="K427" i="9" s="1"/>
  <c r="AP213" i="9"/>
  <c r="AP385" i="9"/>
  <c r="AP602" i="9"/>
  <c r="AP615" i="9"/>
  <c r="AP102" i="9"/>
  <c r="AP642" i="9"/>
  <c r="AP203" i="9"/>
  <c r="AP343" i="9"/>
  <c r="AP535" i="9"/>
  <c r="AP272" i="9"/>
  <c r="AP838" i="9"/>
  <c r="AP755" i="9"/>
  <c r="AP983" i="9"/>
  <c r="AP152" i="9"/>
  <c r="AP928" i="9"/>
  <c r="AP574" i="9"/>
  <c r="AP494" i="9"/>
  <c r="AP121" i="9"/>
  <c r="AP261" i="9"/>
  <c r="AP401" i="9"/>
  <c r="AP949" i="9"/>
  <c r="AP596" i="9"/>
  <c r="AP474" i="9"/>
  <c r="AP646" i="9"/>
  <c r="AP267" i="9"/>
  <c r="AP411" i="9"/>
  <c r="AP920" i="9"/>
  <c r="AP130" i="9"/>
  <c r="AP374" i="9"/>
  <c r="AP490" i="9"/>
  <c r="AP578" i="9"/>
  <c r="AP662" i="9"/>
  <c r="AP746" i="9"/>
  <c r="AP431" i="9"/>
  <c r="AP599" i="9"/>
  <c r="AP1007" i="9"/>
  <c r="AP640" i="9"/>
  <c r="AP900" i="9"/>
  <c r="AP964" i="9"/>
  <c r="AP216" i="9"/>
  <c r="AP344" i="9"/>
  <c r="AP692" i="9"/>
  <c r="AP774" i="9"/>
  <c r="AP363" i="9"/>
  <c r="AP519" i="9"/>
  <c r="AP887" i="9"/>
  <c r="AP464" i="9"/>
  <c r="AP1000" i="9"/>
  <c r="AP702" i="9"/>
  <c r="AP496" i="9"/>
  <c r="AP273" i="9"/>
  <c r="AP409" i="9"/>
  <c r="AP649" i="9"/>
  <c r="AP901" i="9"/>
  <c r="AP420" i="9"/>
  <c r="AP498" i="9"/>
  <c r="AP875" i="9"/>
  <c r="AP880" i="9"/>
  <c r="AP546" i="9"/>
  <c r="AP842" i="9"/>
  <c r="AP479" i="9"/>
  <c r="AP695" i="9"/>
  <c r="AP959" i="9"/>
  <c r="AP940" i="9"/>
  <c r="AP352" i="9"/>
  <c r="AP311" i="9"/>
  <c r="AP623" i="9"/>
  <c r="AP888" i="9"/>
  <c r="AP158" i="9"/>
  <c r="AP69" i="9"/>
  <c r="AP417" i="9"/>
  <c r="AP857" i="9"/>
  <c r="AP148" i="9"/>
  <c r="AP364" i="9"/>
  <c r="AP70" i="9"/>
  <c r="AP375" i="9"/>
  <c r="AP592" i="9"/>
  <c r="AP470" i="9"/>
  <c r="AP682" i="9"/>
  <c r="AP171" i="9"/>
  <c r="AP703" i="9"/>
  <c r="AP851" i="9"/>
  <c r="AP510" i="9"/>
  <c r="AP916" i="9"/>
  <c r="K852" i="9" l="1"/>
  <c r="K732" i="9"/>
  <c r="K69" i="9"/>
  <c r="K648" i="9"/>
  <c r="AS416" i="9"/>
  <c r="K53" i="9"/>
  <c r="K539" i="9"/>
  <c r="K994" i="9"/>
  <c r="K866" i="9"/>
  <c r="K738" i="9"/>
  <c r="K521" i="9"/>
  <c r="K350" i="9"/>
  <c r="K179" i="9"/>
  <c r="K81" i="9"/>
  <c r="K989" i="9"/>
  <c r="K797" i="9"/>
  <c r="K669" i="9"/>
  <c r="K514" i="9"/>
  <c r="K343" i="9"/>
  <c r="K173" i="9"/>
  <c r="AS754" i="9"/>
  <c r="K919" i="9"/>
  <c r="K791" i="9"/>
  <c r="K663" i="9"/>
  <c r="K421" i="9"/>
  <c r="K335" i="9"/>
  <c r="K165" i="9"/>
  <c r="K676" i="9"/>
  <c r="K924" i="9"/>
  <c r="K668" i="9"/>
  <c r="K342" i="9"/>
  <c r="AS744" i="9"/>
  <c r="K840" i="9"/>
  <c r="K571" i="9"/>
  <c r="K230" i="9"/>
  <c r="K916" i="9"/>
  <c r="K395" i="9"/>
  <c r="K1008" i="9"/>
  <c r="K752" i="9"/>
  <c r="K454" i="9"/>
  <c r="K109" i="9"/>
  <c r="K978" i="9"/>
  <c r="K914" i="9"/>
  <c r="K850" i="9"/>
  <c r="K786" i="9"/>
  <c r="K722" i="9"/>
  <c r="K658" i="9"/>
  <c r="K585" i="9"/>
  <c r="K499" i="9"/>
  <c r="K414" i="9"/>
  <c r="K329" i="9"/>
  <c r="K243" i="9"/>
  <c r="K158" i="9"/>
  <c r="K49" i="9"/>
  <c r="AS629" i="9"/>
  <c r="K973" i="9"/>
  <c r="K909" i="9"/>
  <c r="K845" i="9"/>
  <c r="K781" i="9"/>
  <c r="K717" i="9"/>
  <c r="K653" i="9"/>
  <c r="K578" i="9"/>
  <c r="K493" i="9"/>
  <c r="K407" i="9"/>
  <c r="K322" i="9"/>
  <c r="K237" i="9"/>
  <c r="K151" i="9"/>
  <c r="K39" i="9"/>
  <c r="AS522" i="9"/>
  <c r="K967" i="9"/>
  <c r="K903" i="9"/>
  <c r="K839" i="9"/>
  <c r="K775" i="9"/>
  <c r="K711" i="9"/>
  <c r="K647" i="9"/>
  <c r="K570" i="9"/>
  <c r="K485" i="9"/>
  <c r="K399" i="9"/>
  <c r="K314" i="9"/>
  <c r="K229" i="9"/>
  <c r="K143" i="9"/>
  <c r="K988" i="9"/>
  <c r="K904" i="9"/>
  <c r="K315" i="9"/>
  <c r="K545" i="9"/>
  <c r="K816" i="9"/>
  <c r="K198" i="9"/>
  <c r="K930" i="9"/>
  <c r="K802" i="9"/>
  <c r="K674" i="9"/>
  <c r="K606" i="9"/>
  <c r="K435" i="9"/>
  <c r="K265" i="9"/>
  <c r="AS800" i="9"/>
  <c r="K925" i="9"/>
  <c r="K861" i="9"/>
  <c r="K733" i="9"/>
  <c r="K599" i="9"/>
  <c r="K429" i="9"/>
  <c r="K258" i="9"/>
  <c r="K71" i="9"/>
  <c r="K983" i="9"/>
  <c r="K855" i="9"/>
  <c r="K727" i="9"/>
  <c r="K591" i="9"/>
  <c r="K506" i="9"/>
  <c r="K250" i="9"/>
  <c r="AS22" i="9"/>
  <c r="K523" i="9"/>
  <c r="K860" i="9"/>
  <c r="K598" i="9"/>
  <c r="K257" i="9"/>
  <c r="K868" i="9"/>
  <c r="K776" i="9"/>
  <c r="K486" i="9"/>
  <c r="K145" i="9"/>
  <c r="K804" i="9"/>
  <c r="K246" i="9"/>
  <c r="K944" i="9"/>
  <c r="K688" i="9"/>
  <c r="K369" i="9"/>
  <c r="AS898" i="9"/>
  <c r="K962" i="9"/>
  <c r="K898" i="9"/>
  <c r="K834" i="9"/>
  <c r="K770" i="9"/>
  <c r="K706" i="9"/>
  <c r="K642" i="9"/>
  <c r="K563" i="9"/>
  <c r="K478" i="9"/>
  <c r="K393" i="9"/>
  <c r="K307" i="9"/>
  <c r="K222" i="9"/>
  <c r="K137" i="9"/>
  <c r="K17" i="9"/>
  <c r="AS288" i="9"/>
  <c r="K957" i="9"/>
  <c r="K893" i="9"/>
  <c r="K829" i="9"/>
  <c r="K765" i="9"/>
  <c r="K701" i="9"/>
  <c r="K637" i="9"/>
  <c r="K557" i="9"/>
  <c r="K471" i="9"/>
  <c r="K386" i="9"/>
  <c r="K301" i="9"/>
  <c r="K215" i="9"/>
  <c r="K130" i="9"/>
  <c r="AS992" i="9"/>
  <c r="AS161" i="9"/>
  <c r="K951" i="9"/>
  <c r="K887" i="9"/>
  <c r="K823" i="9"/>
  <c r="K759" i="9"/>
  <c r="K695" i="9"/>
  <c r="K631" i="9"/>
  <c r="K549" i="9"/>
  <c r="K463" i="9"/>
  <c r="K378" i="9"/>
  <c r="K293" i="9"/>
  <c r="K207" i="9"/>
  <c r="AS78" i="9"/>
  <c r="AS110" i="9"/>
  <c r="AS126" i="9"/>
  <c r="AS158" i="9"/>
  <c r="AS174" i="9"/>
  <c r="AS206" i="9"/>
  <c r="AS222" i="9"/>
  <c r="AS31" i="9"/>
  <c r="AS52" i="9"/>
  <c r="AS95" i="9"/>
  <c r="AS137" i="9"/>
  <c r="AS159" i="9"/>
  <c r="AS201" i="9"/>
  <c r="AS223" i="9"/>
  <c r="AS259" i="9"/>
  <c r="AS275" i="9"/>
  <c r="AS307" i="9"/>
  <c r="AS323" i="9"/>
  <c r="AS355" i="9"/>
  <c r="AS387" i="9"/>
  <c r="AS403" i="9"/>
  <c r="AS435" i="9"/>
  <c r="AS451" i="9"/>
  <c r="AS483" i="9"/>
  <c r="AS499" i="9"/>
  <c r="AS531" i="9"/>
  <c r="AS547" i="9"/>
  <c r="AS579" i="9"/>
  <c r="AS611" i="9"/>
  <c r="AS627" i="9"/>
  <c r="AS659" i="9"/>
  <c r="AS675" i="9"/>
  <c r="AS707" i="9"/>
  <c r="AS739" i="9"/>
  <c r="AS755" i="9"/>
  <c r="AS787" i="9"/>
  <c r="AS819" i="9"/>
  <c r="AS851" i="9"/>
  <c r="AS867" i="9"/>
  <c r="AS899" i="9"/>
  <c r="AS915" i="9"/>
  <c r="AS947" i="9"/>
  <c r="AS963" i="9"/>
  <c r="AS995" i="9"/>
  <c r="AS44" i="9"/>
  <c r="AS72" i="9"/>
  <c r="AS129" i="9"/>
  <c r="AS157" i="9"/>
  <c r="AS215" i="9"/>
  <c r="AS242" i="9"/>
  <c r="AS285" i="9"/>
  <c r="AS306" i="9"/>
  <c r="AS349" i="9"/>
  <c r="AS392" i="9"/>
  <c r="AS413" i="9"/>
  <c r="AS456" i="9"/>
  <c r="AS477" i="9"/>
  <c r="AS520" i="9"/>
  <c r="AS541" i="9"/>
  <c r="AS584" i="9"/>
  <c r="AS605" i="9"/>
  <c r="AS67" i="9"/>
  <c r="AS96" i="9"/>
  <c r="AS152" i="9"/>
  <c r="AS181" i="9"/>
  <c r="AS237" i="9"/>
  <c r="AS281" i="9"/>
  <c r="AS302" i="9"/>
  <c r="AS345" i="9"/>
  <c r="AS366" i="9"/>
  <c r="AS409" i="9"/>
  <c r="AS430" i="9"/>
  <c r="AS473" i="9"/>
  <c r="AS516" i="9"/>
  <c r="AS537" i="9"/>
  <c r="AS580" i="9"/>
  <c r="AS601" i="9"/>
  <c r="AS644" i="9"/>
  <c r="AS686" i="9"/>
  <c r="AS708" i="9"/>
  <c r="AS750" i="9"/>
  <c r="AS772" i="9"/>
  <c r="AS814" i="9"/>
  <c r="AS836" i="9"/>
  <c r="AS878" i="9"/>
  <c r="AS900" i="9"/>
  <c r="AS942" i="9"/>
  <c r="AS985" i="9"/>
  <c r="AS1006" i="9"/>
  <c r="AS64" i="9"/>
  <c r="AS92" i="9"/>
  <c r="AS149" i="9"/>
  <c r="AS177" i="9"/>
  <c r="AS235" i="9"/>
  <c r="AS278" i="9"/>
  <c r="AS300" i="9"/>
  <c r="AS342" i="9"/>
  <c r="AS364" i="9"/>
  <c r="AS406" i="9"/>
  <c r="AS428" i="9"/>
  <c r="AS470" i="9"/>
  <c r="AS492" i="9"/>
  <c r="AS534" i="9"/>
  <c r="AS577" i="9"/>
  <c r="AS598" i="9"/>
  <c r="AS641" i="9"/>
  <c r="AS662" i="9"/>
  <c r="AS705" i="9"/>
  <c r="AS748" i="9"/>
  <c r="AS769" i="9"/>
  <c r="AS155" i="9"/>
  <c r="AS346" i="9"/>
  <c r="AS432" i="9"/>
  <c r="AS602" i="9"/>
  <c r="AS666" i="9"/>
  <c r="AS752" i="9"/>
  <c r="AS790" i="9"/>
  <c r="AS848" i="9"/>
  <c r="AS904" i="9"/>
  <c r="AS961" i="9"/>
  <c r="K62" i="9"/>
  <c r="K78" i="9"/>
  <c r="K110" i="9"/>
  <c r="AS55" i="9"/>
  <c r="AS272" i="9"/>
  <c r="AS357" i="9"/>
  <c r="AS442" i="9"/>
  <c r="AS613" i="9"/>
  <c r="AS672" i="9"/>
  <c r="AS714" i="9"/>
  <c r="AS794" i="9"/>
  <c r="AS822" i="9"/>
  <c r="AS850" i="9"/>
  <c r="AS908" i="9"/>
  <c r="AS936" i="9"/>
  <c r="AS965" i="9"/>
  <c r="K16" i="9"/>
  <c r="K32" i="9"/>
  <c r="K48" i="9"/>
  <c r="K80" i="9"/>
  <c r="K96" i="9"/>
  <c r="K112" i="9"/>
  <c r="K144" i="9"/>
  <c r="K160" i="9"/>
  <c r="K192" i="9"/>
  <c r="K208" i="9"/>
  <c r="K224" i="9"/>
  <c r="K256" i="9"/>
  <c r="K272" i="9"/>
  <c r="K288" i="9"/>
  <c r="K320" i="9"/>
  <c r="K336" i="9"/>
  <c r="K352" i="9"/>
  <c r="K384" i="9"/>
  <c r="K400" i="9"/>
  <c r="K432" i="9"/>
  <c r="K448" i="9"/>
  <c r="K464" i="9"/>
  <c r="K496" i="9"/>
  <c r="K512" i="9"/>
  <c r="K528" i="9"/>
  <c r="K560" i="9"/>
  <c r="K576" i="9"/>
  <c r="K608" i="9"/>
  <c r="AS33" i="9"/>
  <c r="AS147" i="9"/>
  <c r="AS341" i="9"/>
  <c r="AS426" i="9"/>
  <c r="AS597" i="9"/>
  <c r="AS664" i="9"/>
  <c r="AS706" i="9"/>
  <c r="AS789" i="9"/>
  <c r="AS817" i="9"/>
  <c r="AS874" i="9"/>
  <c r="AS902" i="9"/>
  <c r="AS930" i="9"/>
  <c r="AS988" i="9"/>
  <c r="AS104" i="9"/>
  <c r="AS480" i="9"/>
  <c r="AS864" i="9"/>
  <c r="AS977" i="9"/>
  <c r="AS30" i="9"/>
  <c r="AS46" i="9"/>
  <c r="AS62" i="9"/>
  <c r="AS94" i="9"/>
  <c r="AS142" i="9"/>
  <c r="AS190" i="9"/>
  <c r="AS238" i="9"/>
  <c r="AS73" i="9"/>
  <c r="AS116" i="9"/>
  <c r="AS180" i="9"/>
  <c r="AS243" i="9"/>
  <c r="AS291" i="9"/>
  <c r="AS339" i="9"/>
  <c r="AS371" i="9"/>
  <c r="AS419" i="9"/>
  <c r="AS467" i="9"/>
  <c r="AS515" i="9"/>
  <c r="AS563" i="9"/>
  <c r="AS595" i="9"/>
  <c r="AS643" i="9"/>
  <c r="AS691" i="9"/>
  <c r="AS723" i="9"/>
  <c r="AS771" i="9"/>
  <c r="AS803" i="9"/>
  <c r="AS835" i="9"/>
  <c r="AS883" i="9"/>
  <c r="AS931" i="9"/>
  <c r="AS979" i="9"/>
  <c r="AS16" i="9"/>
  <c r="AS101" i="9"/>
  <c r="AS187" i="9"/>
  <c r="AS264" i="9"/>
  <c r="AS328" i="9"/>
  <c r="AS370" i="9"/>
  <c r="AS434" i="9"/>
  <c r="AS498" i="9"/>
  <c r="AS562" i="9"/>
  <c r="AS626" i="9"/>
  <c r="AS39" i="9"/>
  <c r="AS124" i="9"/>
  <c r="AS209" i="9"/>
  <c r="AS260" i="9"/>
  <c r="AS324" i="9"/>
  <c r="AS388" i="9"/>
  <c r="AS452" i="9"/>
  <c r="AS494" i="9"/>
  <c r="AS558" i="9"/>
  <c r="AS622" i="9"/>
  <c r="AS665" i="9"/>
  <c r="AS729" i="9"/>
  <c r="AS793" i="9"/>
  <c r="AS857" i="9"/>
  <c r="AS921" i="9"/>
  <c r="AS964" i="9"/>
  <c r="AS35" i="9"/>
  <c r="AS120" i="9"/>
  <c r="AS205" i="9"/>
  <c r="AS257" i="9"/>
  <c r="AS321" i="9"/>
  <c r="AS385" i="9"/>
  <c r="AS449" i="9"/>
  <c r="AS513" i="9"/>
  <c r="AS556" i="9"/>
  <c r="AS620" i="9"/>
  <c r="AS684" i="9"/>
  <c r="AS726" i="9"/>
  <c r="AS40" i="9"/>
  <c r="AS261" i="9"/>
  <c r="AS517" i="9"/>
  <c r="AS709" i="9"/>
  <c r="AS818" i="9"/>
  <c r="AS876" i="9"/>
  <c r="AS989" i="9"/>
  <c r="K30" i="9"/>
  <c r="K46" i="9"/>
  <c r="K94" i="9"/>
  <c r="AS168" i="9"/>
  <c r="AS528" i="9"/>
  <c r="AS757" i="9"/>
  <c r="AS880" i="9"/>
  <c r="AS993" i="9"/>
  <c r="K64" i="9"/>
  <c r="K128" i="9"/>
  <c r="K176" i="9"/>
  <c r="K240" i="9"/>
  <c r="K304" i="9"/>
  <c r="K368" i="9"/>
  <c r="K416" i="9"/>
  <c r="K480" i="9"/>
  <c r="K544" i="9"/>
  <c r="K592" i="9"/>
  <c r="AS256" i="9"/>
  <c r="AS512" i="9"/>
  <c r="AS749" i="9"/>
  <c r="AS845" i="9"/>
  <c r="AS960" i="9"/>
  <c r="AS733" i="9"/>
  <c r="K27" i="9"/>
  <c r="AS933" i="9"/>
  <c r="K331" i="9"/>
  <c r="K796" i="9"/>
  <c r="K513" i="9"/>
  <c r="K171" i="9"/>
  <c r="K968" i="9"/>
  <c r="K712" i="9"/>
  <c r="K401" i="9"/>
  <c r="K29" i="9"/>
  <c r="K692" i="9"/>
  <c r="K161" i="9"/>
  <c r="K880" i="9"/>
  <c r="K624" i="9"/>
  <c r="K283" i="9"/>
  <c r="K946" i="9"/>
  <c r="K882" i="9"/>
  <c r="K818" i="9"/>
  <c r="K754" i="9"/>
  <c r="K690" i="9"/>
  <c r="K626" i="9"/>
  <c r="K542" i="9"/>
  <c r="K457" i="9"/>
  <c r="K371" i="9"/>
  <c r="K286" i="9"/>
  <c r="K201" i="9"/>
  <c r="K113" i="9"/>
  <c r="AS913" i="9"/>
  <c r="K1005" i="9"/>
  <c r="K941" i="9"/>
  <c r="K877" i="9"/>
  <c r="K813" i="9"/>
  <c r="K749" i="9"/>
  <c r="K685" i="9"/>
  <c r="K621" i="9"/>
  <c r="K535" i="9"/>
  <c r="K450" i="9"/>
  <c r="K365" i="9"/>
  <c r="K279" i="9"/>
  <c r="K194" i="9"/>
  <c r="K103" i="9"/>
  <c r="AS877" i="9"/>
  <c r="K999" i="9"/>
  <c r="K935" i="9"/>
  <c r="K871" i="9"/>
  <c r="K807" i="9"/>
  <c r="K743" i="9"/>
  <c r="K679" i="9"/>
  <c r="K613" i="9"/>
  <c r="K527" i="9"/>
  <c r="K442" i="9"/>
  <c r="K357" i="9"/>
  <c r="K271" i="9"/>
  <c r="K186" i="9"/>
  <c r="K91" i="9"/>
  <c r="K900" i="9"/>
  <c r="K708" i="9"/>
  <c r="K566" i="9"/>
  <c r="K374" i="9"/>
  <c r="K1004" i="9"/>
  <c r="K940" i="9"/>
  <c r="K876" i="9"/>
  <c r="K812" i="9"/>
  <c r="K748" i="9"/>
  <c r="K684" i="9"/>
  <c r="K619" i="9"/>
  <c r="K534" i="9"/>
  <c r="K449" i="9"/>
  <c r="K363" i="9"/>
  <c r="K278" i="9"/>
  <c r="K193" i="9"/>
  <c r="K101" i="9"/>
  <c r="AS870" i="9"/>
  <c r="K996" i="9"/>
  <c r="K984" i="9"/>
  <c r="K920" i="9"/>
  <c r="K856" i="9"/>
  <c r="K792" i="9"/>
  <c r="K728" i="9"/>
  <c r="K664" i="9"/>
  <c r="K593" i="9"/>
  <c r="K507" i="9"/>
  <c r="K422" i="9"/>
  <c r="K337" i="9"/>
  <c r="K251" i="9"/>
  <c r="K166" i="9"/>
  <c r="K61" i="9"/>
  <c r="AS701" i="9"/>
  <c r="K948" i="9"/>
  <c r="K820" i="9"/>
  <c r="K724" i="9"/>
  <c r="K587" i="9"/>
  <c r="K438" i="9"/>
  <c r="K289" i="9"/>
  <c r="K182" i="9"/>
  <c r="K85" i="9"/>
  <c r="AS813" i="9"/>
  <c r="K960" i="9"/>
  <c r="K896" i="9"/>
  <c r="K832" i="9"/>
  <c r="K768" i="9"/>
  <c r="K704" i="9"/>
  <c r="K640" i="9"/>
  <c r="K561" i="9"/>
  <c r="K475" i="9"/>
  <c r="K390" i="9"/>
  <c r="K305" i="9"/>
  <c r="K219" i="9"/>
  <c r="K134" i="9"/>
  <c r="K13" i="9"/>
  <c r="AS245" i="9"/>
  <c r="K998" i="9"/>
  <c r="K982" i="9"/>
  <c r="K966" i="9"/>
  <c r="K950" i="9"/>
  <c r="K934" i="9"/>
  <c r="K918" i="9"/>
  <c r="K902" i="9"/>
  <c r="K886" i="9"/>
  <c r="K870" i="9"/>
  <c r="K854" i="9"/>
  <c r="K838" i="9"/>
  <c r="K822" i="9"/>
  <c r="K806" i="9"/>
  <c r="K790" i="9"/>
  <c r="K774" i="9"/>
  <c r="K758" i="9"/>
  <c r="K742" i="9"/>
  <c r="K726" i="9"/>
  <c r="K710" i="9"/>
  <c r="K694" i="9"/>
  <c r="K678" i="9"/>
  <c r="K662" i="9"/>
  <c r="K646" i="9"/>
  <c r="K630" i="9"/>
  <c r="K611" i="9"/>
  <c r="K590" i="9"/>
  <c r="K569" i="9"/>
  <c r="K547" i="9"/>
  <c r="K526" i="9"/>
  <c r="K505" i="9"/>
  <c r="K483" i="9"/>
  <c r="K462" i="9"/>
  <c r="K441" i="9"/>
  <c r="K419" i="9"/>
  <c r="K398" i="9"/>
  <c r="K377" i="9"/>
  <c r="K355" i="9"/>
  <c r="K334" i="9"/>
  <c r="K313" i="9"/>
  <c r="K291" i="9"/>
  <c r="K270" i="9"/>
  <c r="K249" i="9"/>
  <c r="K227" i="9"/>
  <c r="K206" i="9"/>
  <c r="K185" i="9"/>
  <c r="K163" i="9"/>
  <c r="K142" i="9"/>
  <c r="K121" i="9"/>
  <c r="K89" i="9"/>
  <c r="K57" i="9"/>
  <c r="K25" i="9"/>
  <c r="AS941" i="9"/>
  <c r="AS828" i="9"/>
  <c r="AS680" i="9"/>
  <c r="AS373" i="9"/>
  <c r="K1009" i="9"/>
  <c r="K993" i="9"/>
  <c r="K977" i="9"/>
  <c r="K961" i="9"/>
  <c r="K945" i="9"/>
  <c r="K929" i="9"/>
  <c r="K913" i="9"/>
  <c r="K897" i="9"/>
  <c r="K881" i="9"/>
  <c r="K865" i="9"/>
  <c r="K849" i="9"/>
  <c r="K833" i="9"/>
  <c r="K817" i="9"/>
  <c r="K801" i="9"/>
  <c r="K785" i="9"/>
  <c r="K769" i="9"/>
  <c r="K753" i="9"/>
  <c r="K737" i="9"/>
  <c r="K721" i="9"/>
  <c r="K705" i="9"/>
  <c r="K689" i="9"/>
  <c r="K673" i="9"/>
  <c r="K657" i="9"/>
  <c r="K641" i="9"/>
  <c r="K625" i="9"/>
  <c r="K605" i="9"/>
  <c r="K583" i="9"/>
  <c r="K562" i="9"/>
  <c r="K541" i="9"/>
  <c r="K519" i="9"/>
  <c r="K498" i="9"/>
  <c r="K477" i="9"/>
  <c r="K455" i="9"/>
  <c r="K434" i="9"/>
  <c r="K413" i="9"/>
  <c r="K391" i="9"/>
  <c r="K370" i="9"/>
  <c r="K349" i="9"/>
  <c r="K327" i="9"/>
  <c r="K306" i="9"/>
  <c r="K285" i="9"/>
  <c r="K263" i="9"/>
  <c r="K242" i="9"/>
  <c r="K221" i="9"/>
  <c r="K199" i="9"/>
  <c r="K178" i="9"/>
  <c r="K157" i="9"/>
  <c r="K135" i="9"/>
  <c r="K111" i="9"/>
  <c r="K79" i="9"/>
  <c r="K47" i="9"/>
  <c r="K15" i="9"/>
  <c r="AS906" i="9"/>
  <c r="AS792" i="9"/>
  <c r="AS608" i="9"/>
  <c r="AS266" i="9"/>
  <c r="K1003" i="9"/>
  <c r="K987" i="9"/>
  <c r="K971" i="9"/>
  <c r="K955" i="9"/>
  <c r="K939" i="9"/>
  <c r="K923" i="9"/>
  <c r="K907" i="9"/>
  <c r="K891" i="9"/>
  <c r="K875" i="9"/>
  <c r="K859" i="9"/>
  <c r="K843" i="9"/>
  <c r="K827" i="9"/>
  <c r="K811" i="9"/>
  <c r="K795" i="9"/>
  <c r="K779" i="9"/>
  <c r="K763" i="9"/>
  <c r="K747" i="9"/>
  <c r="K731" i="9"/>
  <c r="K715" i="9"/>
  <c r="K699" i="9"/>
  <c r="K683" i="9"/>
  <c r="K667" i="9"/>
  <c r="K651" i="9"/>
  <c r="K635" i="9"/>
  <c r="K618" i="9"/>
  <c r="K597" i="9"/>
  <c r="K575" i="9"/>
  <c r="K554" i="9"/>
  <c r="K533" i="9"/>
  <c r="K511" i="9"/>
  <c r="K490" i="9"/>
  <c r="K469" i="9"/>
  <c r="K447" i="9"/>
  <c r="K426" i="9"/>
  <c r="K405" i="9"/>
  <c r="K383" i="9"/>
  <c r="K362" i="9"/>
  <c r="K341" i="9"/>
  <c r="K319" i="9"/>
  <c r="K298" i="9"/>
  <c r="K277" i="9"/>
  <c r="K255" i="9"/>
  <c r="K234" i="9"/>
  <c r="K213" i="9"/>
  <c r="K191" i="9"/>
  <c r="K170" i="9"/>
  <c r="K149" i="9"/>
  <c r="K127" i="9"/>
  <c r="K99" i="9"/>
  <c r="K67" i="9"/>
  <c r="K35" i="9"/>
  <c r="AS1005" i="9"/>
  <c r="AS892" i="9"/>
  <c r="AS776" i="9"/>
  <c r="AS565" i="9"/>
  <c r="AS219" i="9"/>
  <c r="AS994" i="9"/>
  <c r="AS966" i="9"/>
  <c r="AS938" i="9"/>
  <c r="AS909" i="9"/>
  <c r="AS881" i="9"/>
  <c r="AS853" i="9"/>
  <c r="AS824" i="9"/>
  <c r="AS796" i="9"/>
  <c r="AS760" i="9"/>
  <c r="AS717" i="9"/>
  <c r="AS674" i="9"/>
  <c r="AS618" i="9"/>
  <c r="AS533" i="9"/>
  <c r="AS448" i="9"/>
  <c r="AS362" i="9"/>
  <c r="AS277" i="9"/>
  <c r="AS176" i="9"/>
  <c r="AS61" i="9"/>
  <c r="K612" i="9"/>
  <c r="K596" i="9"/>
  <c r="K580" i="9"/>
  <c r="K564" i="9"/>
  <c r="K548" i="9"/>
  <c r="K532" i="9"/>
  <c r="K516" i="9"/>
  <c r="K500" i="9"/>
  <c r="K484" i="9"/>
  <c r="K468" i="9"/>
  <c r="K452" i="9"/>
  <c r="K436" i="9"/>
  <c r="K420" i="9"/>
  <c r="K404" i="9"/>
  <c r="K388" i="9"/>
  <c r="K372" i="9"/>
  <c r="K356" i="9"/>
  <c r="K340" i="9"/>
  <c r="K324" i="9"/>
  <c r="K308" i="9"/>
  <c r="K292" i="9"/>
  <c r="K276" i="9"/>
  <c r="K260" i="9"/>
  <c r="K244" i="9"/>
  <c r="K228" i="9"/>
  <c r="K212" i="9"/>
  <c r="K196" i="9"/>
  <c r="K180" i="9"/>
  <c r="K164" i="9"/>
  <c r="K148" i="9"/>
  <c r="K132" i="9"/>
  <c r="K116" i="9"/>
  <c r="K100" i="9"/>
  <c r="K84" i="9"/>
  <c r="K68" i="9"/>
  <c r="K52" i="9"/>
  <c r="K36" i="9"/>
  <c r="K20" i="9"/>
  <c r="AS1000" i="9"/>
  <c r="AS972" i="9"/>
  <c r="AS944" i="9"/>
  <c r="AS914" i="9"/>
  <c r="AS886" i="9"/>
  <c r="AS858" i="9"/>
  <c r="AS829" i="9"/>
  <c r="AS801" i="9"/>
  <c r="AS768" i="9"/>
  <c r="AS725" i="9"/>
  <c r="AS682" i="9"/>
  <c r="AS634" i="9"/>
  <c r="AS549" i="9"/>
  <c r="AS464" i="9"/>
  <c r="AS378" i="9"/>
  <c r="AS293" i="9"/>
  <c r="AS197" i="9"/>
  <c r="AS83" i="9"/>
  <c r="K114" i="9"/>
  <c r="K98" i="9"/>
  <c r="K82" i="9"/>
  <c r="K66" i="9"/>
  <c r="K50" i="9"/>
  <c r="K34" i="9"/>
  <c r="K18" i="9"/>
  <c r="AS997" i="9"/>
  <c r="AS968" i="9"/>
  <c r="AS940" i="9"/>
  <c r="AS912" i="9"/>
  <c r="AS882" i="9"/>
  <c r="AS854" i="9"/>
  <c r="AS826" i="9"/>
  <c r="AS797" i="9"/>
  <c r="AS762" i="9"/>
  <c r="AS720" i="9"/>
  <c r="AS677" i="9"/>
  <c r="AS624" i="9"/>
  <c r="AS538" i="9"/>
  <c r="AS453" i="9"/>
  <c r="AS368" i="9"/>
  <c r="AS282" i="9"/>
  <c r="AS183" i="9"/>
  <c r="AS69" i="9"/>
  <c r="AS774" i="9"/>
  <c r="AS753" i="9"/>
  <c r="AS732" i="9"/>
  <c r="AS710" i="9"/>
  <c r="AS689" i="9"/>
  <c r="AS668" i="9"/>
  <c r="AS646" i="9"/>
  <c r="AS625" i="9"/>
  <c r="AS604" i="9"/>
  <c r="AS582" i="9"/>
  <c r="AS561" i="9"/>
  <c r="AS540" i="9"/>
  <c r="AS518" i="9"/>
  <c r="AS497" i="9"/>
  <c r="AS476" i="9"/>
  <c r="AS454" i="9"/>
  <c r="AS433" i="9"/>
  <c r="AS412" i="9"/>
  <c r="AS390" i="9"/>
  <c r="AS369" i="9"/>
  <c r="AS348" i="9"/>
  <c r="AS326" i="9"/>
  <c r="AS305" i="9"/>
  <c r="AS284" i="9"/>
  <c r="AS262" i="9"/>
  <c r="AS241" i="9"/>
  <c r="AS213" i="9"/>
  <c r="AS184" i="9"/>
  <c r="AS156" i="9"/>
  <c r="AS128" i="9"/>
  <c r="AS99" i="9"/>
  <c r="AS71" i="9"/>
  <c r="AS43" i="9"/>
  <c r="AS13" i="9"/>
  <c r="AS990" i="9"/>
  <c r="AS969" i="9"/>
  <c r="AS948" i="9"/>
  <c r="AS926" i="9"/>
  <c r="AS905" i="9"/>
  <c r="AS884" i="9"/>
  <c r="AS862" i="9"/>
  <c r="AS841" i="9"/>
  <c r="AS820" i="9"/>
  <c r="AS798" i="9"/>
  <c r="AS777" i="9"/>
  <c r="AS756" i="9"/>
  <c r="AS734" i="9"/>
  <c r="AS713" i="9"/>
  <c r="AS692" i="9"/>
  <c r="AS670" i="9"/>
  <c r="AS649" i="9"/>
  <c r="AS628" i="9"/>
  <c r="AS606" i="9"/>
  <c r="AS585" i="9"/>
  <c r="AS564" i="9"/>
  <c r="AS542" i="9"/>
  <c r="AS521" i="9"/>
  <c r="AS500" i="9"/>
  <c r="AS478" i="9"/>
  <c r="AS457" i="9"/>
  <c r="AS436" i="9"/>
  <c r="AS414" i="9"/>
  <c r="AS393" i="9"/>
  <c r="AS372" i="9"/>
  <c r="AS350" i="9"/>
  <c r="AS329" i="9"/>
  <c r="AS308" i="9"/>
  <c r="AS286" i="9"/>
  <c r="AS265" i="9"/>
  <c r="AS244" i="9"/>
  <c r="AS216" i="9"/>
  <c r="AS188" i="9"/>
  <c r="AS160" i="9"/>
  <c r="AS131" i="9"/>
  <c r="AS103" i="9"/>
  <c r="AS75" i="9"/>
  <c r="AS45" i="9"/>
  <c r="AS17" i="9"/>
  <c r="AS632" i="9"/>
  <c r="AS610" i="9"/>
  <c r="AS589" i="9"/>
  <c r="AS568" i="9"/>
  <c r="AS546" i="9"/>
  <c r="AS525" i="9"/>
  <c r="AS504" i="9"/>
  <c r="AS482" i="9"/>
  <c r="AS461" i="9"/>
  <c r="AS440" i="9"/>
  <c r="AS418" i="9"/>
  <c r="AS397" i="9"/>
  <c r="AS376" i="9"/>
  <c r="AS354" i="9"/>
  <c r="AS333" i="9"/>
  <c r="AS312" i="9"/>
  <c r="AS290" i="9"/>
  <c r="AS269" i="9"/>
  <c r="AS248" i="9"/>
  <c r="AS221" i="9"/>
  <c r="AS193" i="9"/>
  <c r="AS165" i="9"/>
  <c r="AS136" i="9"/>
  <c r="AS108" i="9"/>
  <c r="AS80" i="9"/>
  <c r="AS51" i="9"/>
  <c r="AS23" i="9"/>
  <c r="AS999" i="9"/>
  <c r="AS983" i="9"/>
  <c r="AS967" i="9"/>
  <c r="AS951" i="9"/>
  <c r="AS935" i="9"/>
  <c r="AS919" i="9"/>
  <c r="AS903" i="9"/>
  <c r="AS887" i="9"/>
  <c r="AS871" i="9"/>
  <c r="AS855" i="9"/>
  <c r="AS839" i="9"/>
  <c r="AS823" i="9"/>
  <c r="AS807" i="9"/>
  <c r="AS791" i="9"/>
  <c r="AS775" i="9"/>
  <c r="AS759" i="9"/>
  <c r="AS743" i="9"/>
  <c r="AS727" i="9"/>
  <c r="AS711" i="9"/>
  <c r="AS695" i="9"/>
  <c r="AS679" i="9"/>
  <c r="AS663" i="9"/>
  <c r="AS647" i="9"/>
  <c r="AS631" i="9"/>
  <c r="AS615" i="9"/>
  <c r="AS599" i="9"/>
  <c r="AS583" i="9"/>
  <c r="AS567" i="9"/>
  <c r="AS551" i="9"/>
  <c r="AS535" i="9"/>
  <c r="AS519" i="9"/>
  <c r="AS503" i="9"/>
  <c r="AS487" i="9"/>
  <c r="AS471" i="9"/>
  <c r="AS455" i="9"/>
  <c r="AS439" i="9"/>
  <c r="AS423" i="9"/>
  <c r="AS407" i="9"/>
  <c r="AS391" i="9"/>
  <c r="AS375" i="9"/>
  <c r="AS359" i="9"/>
  <c r="AS343" i="9"/>
  <c r="AS327" i="9"/>
  <c r="AS311" i="9"/>
  <c r="AS295" i="9"/>
  <c r="AS279" i="9"/>
  <c r="AS263" i="9"/>
  <c r="AS247" i="9"/>
  <c r="AS228" i="9"/>
  <c r="AS207" i="9"/>
  <c r="AS185" i="9"/>
  <c r="AS164" i="9"/>
  <c r="AS143" i="9"/>
  <c r="AS121" i="9"/>
  <c r="AS100" i="9"/>
  <c r="AS79" i="9"/>
  <c r="AS57" i="9"/>
  <c r="AS36" i="9"/>
  <c r="AS15" i="9"/>
  <c r="AS226" i="9"/>
  <c r="AS210" i="9"/>
  <c r="AS194" i="9"/>
  <c r="AS178" i="9"/>
  <c r="AS162" i="9"/>
  <c r="AS146" i="9"/>
  <c r="AS130" i="9"/>
  <c r="AS114" i="9"/>
  <c r="AS98" i="9"/>
  <c r="AS82" i="9"/>
  <c r="AS66" i="9"/>
  <c r="AS50" i="9"/>
  <c r="AS34" i="9"/>
  <c r="AS18" i="9"/>
  <c r="K964" i="9"/>
  <c r="K772" i="9"/>
  <c r="K644" i="9"/>
  <c r="K459" i="9"/>
  <c r="K267" i="9"/>
  <c r="K972" i="9"/>
  <c r="K908" i="9"/>
  <c r="K844" i="9"/>
  <c r="K780" i="9"/>
  <c r="K716" i="9"/>
  <c r="K652" i="9"/>
  <c r="K577" i="9"/>
  <c r="K491" i="9"/>
  <c r="K406" i="9"/>
  <c r="K321" i="9"/>
  <c r="K235" i="9"/>
  <c r="K150" i="9"/>
  <c r="K37" i="9"/>
  <c r="AS501" i="9"/>
  <c r="AS330" i="9"/>
  <c r="K952" i="9"/>
  <c r="K888" i="9"/>
  <c r="K824" i="9"/>
  <c r="K760" i="9"/>
  <c r="K696" i="9"/>
  <c r="K632" i="9"/>
  <c r="K550" i="9"/>
  <c r="K465" i="9"/>
  <c r="K379" i="9"/>
  <c r="K294" i="9"/>
  <c r="K209" i="9"/>
  <c r="K123" i="9"/>
  <c r="AS956" i="9"/>
  <c r="AS19" i="9"/>
  <c r="K884" i="9"/>
  <c r="K788" i="9"/>
  <c r="K660" i="9"/>
  <c r="K502" i="9"/>
  <c r="K353" i="9"/>
  <c r="K225" i="9"/>
  <c r="K139" i="9"/>
  <c r="K21" i="9"/>
  <c r="K992" i="9"/>
  <c r="K928" i="9"/>
  <c r="K864" i="9"/>
  <c r="K800" i="9"/>
  <c r="K736" i="9"/>
  <c r="K672" i="9"/>
  <c r="K603" i="9"/>
  <c r="K518" i="9"/>
  <c r="K433" i="9"/>
  <c r="K347" i="9"/>
  <c r="K262" i="9"/>
  <c r="K177" i="9"/>
  <c r="K77" i="9"/>
  <c r="AS785" i="9"/>
  <c r="K1006" i="9"/>
  <c r="K990" i="9"/>
  <c r="K974" i="9"/>
  <c r="K958" i="9"/>
  <c r="K942" i="9"/>
  <c r="K926" i="9"/>
  <c r="K910" i="9"/>
  <c r="K894" i="9"/>
  <c r="K878" i="9"/>
  <c r="K862" i="9"/>
  <c r="K846" i="9"/>
  <c r="K830" i="9"/>
  <c r="K814" i="9"/>
  <c r="K798" i="9"/>
  <c r="K782" i="9"/>
  <c r="K766" i="9"/>
  <c r="K750" i="9"/>
  <c r="K734" i="9"/>
  <c r="K718" i="9"/>
  <c r="K702" i="9"/>
  <c r="K686" i="9"/>
  <c r="K670" i="9"/>
  <c r="K654" i="9"/>
  <c r="K638" i="9"/>
  <c r="K622" i="9"/>
  <c r="K601" i="9"/>
  <c r="K579" i="9"/>
  <c r="K558" i="9"/>
  <c r="K537" i="9"/>
  <c r="K515" i="9"/>
  <c r="K494" i="9"/>
  <c r="K473" i="9"/>
  <c r="K451" i="9"/>
  <c r="K430" i="9"/>
  <c r="K409" i="9"/>
  <c r="K387" i="9"/>
  <c r="K366" i="9"/>
  <c r="K345" i="9"/>
  <c r="K323" i="9"/>
  <c r="K302" i="9"/>
  <c r="K281" i="9"/>
  <c r="K259" i="9"/>
  <c r="K238" i="9"/>
  <c r="K217" i="9"/>
  <c r="K195" i="9"/>
  <c r="K174" i="9"/>
  <c r="K153" i="9"/>
  <c r="K131" i="9"/>
  <c r="K105" i="9"/>
  <c r="K73" i="9"/>
  <c r="K41" i="9"/>
  <c r="AS998" i="9"/>
  <c r="AS885" i="9"/>
  <c r="AS765" i="9"/>
  <c r="AS544" i="9"/>
  <c r="AS189" i="9"/>
  <c r="K1001" i="9"/>
  <c r="K985" i="9"/>
  <c r="K969" i="9"/>
  <c r="K953" i="9"/>
  <c r="K937" i="9"/>
  <c r="K921" i="9"/>
  <c r="K905" i="9"/>
  <c r="K889" i="9"/>
  <c r="K873" i="9"/>
  <c r="K857" i="9"/>
  <c r="K841" i="9"/>
  <c r="K825" i="9"/>
  <c r="K809" i="9"/>
  <c r="K793" i="9"/>
  <c r="K777" i="9"/>
  <c r="K761" i="9"/>
  <c r="K745" i="9"/>
  <c r="K729" i="9"/>
  <c r="K713" i="9"/>
  <c r="K697" i="9"/>
  <c r="K681" i="9"/>
  <c r="K665" i="9"/>
  <c r="K649" i="9"/>
  <c r="K633" i="9"/>
  <c r="K615" i="9"/>
  <c r="K594" i="9"/>
  <c r="K573" i="9"/>
  <c r="K551" i="9"/>
  <c r="K530" i="9"/>
  <c r="K509" i="9"/>
  <c r="K487" i="9"/>
  <c r="K466" i="9"/>
  <c r="K445" i="9"/>
  <c r="K423" i="9"/>
  <c r="K402" i="9"/>
  <c r="K381" i="9"/>
  <c r="K359" i="9"/>
  <c r="K338" i="9"/>
  <c r="K317" i="9"/>
  <c r="K295" i="9"/>
  <c r="K274" i="9"/>
  <c r="K253" i="9"/>
  <c r="K231" i="9"/>
  <c r="K210" i="9"/>
  <c r="K189" i="9"/>
  <c r="K167" i="9"/>
  <c r="K146" i="9"/>
  <c r="K125" i="9"/>
  <c r="K95" i="9"/>
  <c r="K63" i="9"/>
  <c r="K31" i="9"/>
  <c r="AS962" i="9"/>
  <c r="AS849" i="9"/>
  <c r="AS712" i="9"/>
  <c r="AS437" i="9"/>
  <c r="AS48" i="9"/>
  <c r="K995" i="9"/>
  <c r="K979" i="9"/>
  <c r="K963" i="9"/>
  <c r="K947" i="9"/>
  <c r="K931" i="9"/>
  <c r="K915" i="9"/>
  <c r="K899" i="9"/>
  <c r="K883" i="9"/>
  <c r="K867" i="9"/>
  <c r="K851" i="9"/>
  <c r="K835" i="9"/>
  <c r="K819" i="9"/>
  <c r="K803" i="9"/>
  <c r="K787" i="9"/>
  <c r="K771" i="9"/>
  <c r="K755" i="9"/>
  <c r="K739" i="9"/>
  <c r="K723" i="9"/>
  <c r="K707" i="9"/>
  <c r="K691" i="9"/>
  <c r="K675" i="9"/>
  <c r="K659" i="9"/>
  <c r="K643" i="9"/>
  <c r="K627" i="9"/>
  <c r="K607" i="9"/>
  <c r="K586" i="9"/>
  <c r="K565" i="9"/>
  <c r="K543" i="9"/>
  <c r="K522" i="9"/>
  <c r="K501" i="9"/>
  <c r="K479" i="9"/>
  <c r="K458" i="9"/>
  <c r="K437" i="9"/>
  <c r="K415" i="9"/>
  <c r="K394" i="9"/>
  <c r="K373" i="9"/>
  <c r="K351" i="9"/>
  <c r="K330" i="9"/>
  <c r="K309" i="9"/>
  <c r="K287" i="9"/>
  <c r="K266" i="9"/>
  <c r="K245" i="9"/>
  <c r="K223" i="9"/>
  <c r="K202" i="9"/>
  <c r="K181" i="9"/>
  <c r="K159" i="9"/>
  <c r="K138" i="9"/>
  <c r="K115" i="9"/>
  <c r="K83" i="9"/>
  <c r="K51" i="9"/>
  <c r="K19" i="9"/>
  <c r="AS949" i="9"/>
  <c r="AS834" i="9"/>
  <c r="AS690" i="9"/>
  <c r="AS394" i="9"/>
  <c r="AS1009" i="9"/>
  <c r="AS981" i="9"/>
  <c r="AS952" i="9"/>
  <c r="AS924" i="9"/>
  <c r="AS896" i="9"/>
  <c r="AS866" i="9"/>
  <c r="AS838" i="9"/>
  <c r="AS810" i="9"/>
  <c r="AS781" i="9"/>
  <c r="AS738" i="9"/>
  <c r="AS696" i="9"/>
  <c r="AS653" i="9"/>
  <c r="AS576" i="9"/>
  <c r="AS490" i="9"/>
  <c r="AS405" i="9"/>
  <c r="AS320" i="9"/>
  <c r="AS232" i="9"/>
  <c r="AS119" i="9"/>
  <c r="K620" i="9"/>
  <c r="K604" i="9"/>
  <c r="K588" i="9"/>
  <c r="K572" i="9"/>
  <c r="K556" i="9"/>
  <c r="K540" i="9"/>
  <c r="K524" i="9"/>
  <c r="K508" i="9"/>
  <c r="K492" i="9"/>
  <c r="K476" i="9"/>
  <c r="K460" i="9"/>
  <c r="K444" i="9"/>
  <c r="K428" i="9"/>
  <c r="K412" i="9"/>
  <c r="K396" i="9"/>
  <c r="K380" i="9"/>
  <c r="K364" i="9"/>
  <c r="K348" i="9"/>
  <c r="K332" i="9"/>
  <c r="K316" i="9"/>
  <c r="K300" i="9"/>
  <c r="K284" i="9"/>
  <c r="K268" i="9"/>
  <c r="K252" i="9"/>
  <c r="K236" i="9"/>
  <c r="K220" i="9"/>
  <c r="K204" i="9"/>
  <c r="K188" i="9"/>
  <c r="K172" i="9"/>
  <c r="K156" i="9"/>
  <c r="K140" i="9"/>
  <c r="K124" i="9"/>
  <c r="K108" i="9"/>
  <c r="K92" i="9"/>
  <c r="K76" i="9"/>
  <c r="K60" i="9"/>
  <c r="K44" i="9"/>
  <c r="K28" i="9"/>
  <c r="K12" i="9"/>
  <c r="AS986" i="9"/>
  <c r="AS957" i="9"/>
  <c r="AS929" i="9"/>
  <c r="AS901" i="9"/>
  <c r="AS872" i="9"/>
  <c r="AS844" i="9"/>
  <c r="AS816" i="9"/>
  <c r="AS786" i="9"/>
  <c r="AS746" i="9"/>
  <c r="AS704" i="9"/>
  <c r="AS661" i="9"/>
  <c r="AS592" i="9"/>
  <c r="AS506" i="9"/>
  <c r="AS421" i="9"/>
  <c r="AS336" i="9"/>
  <c r="AS250" i="9"/>
  <c r="AS140" i="9"/>
  <c r="AS27" i="9"/>
  <c r="K106" i="9"/>
  <c r="K90" i="9"/>
  <c r="K74" i="9"/>
  <c r="K58" i="9"/>
  <c r="K42" i="9"/>
  <c r="K26" i="9"/>
  <c r="AS982" i="9"/>
  <c r="AS954" i="9"/>
  <c r="AS925" i="9"/>
  <c r="AS897" i="9"/>
  <c r="AS869" i="9"/>
  <c r="AS840" i="9"/>
  <c r="AS812" i="9"/>
  <c r="AS784" i="9"/>
  <c r="AS741" i="9"/>
  <c r="AS698" i="9"/>
  <c r="AS656" i="9"/>
  <c r="AS581" i="9"/>
  <c r="AS496" i="9"/>
  <c r="AS410" i="9"/>
  <c r="AS325" i="9"/>
  <c r="AS240" i="9"/>
  <c r="AS125" i="9"/>
  <c r="AS12" i="9"/>
  <c r="AS764" i="9"/>
  <c r="AS742" i="9"/>
  <c r="AS721" i="9"/>
  <c r="AS700" i="9"/>
  <c r="AS678" i="9"/>
  <c r="AS657" i="9"/>
  <c r="AS636" i="9"/>
  <c r="AS614" i="9"/>
  <c r="AS593" i="9"/>
  <c r="AS572" i="9"/>
  <c r="AS550" i="9"/>
  <c r="AS529" i="9"/>
  <c r="AS508" i="9"/>
  <c r="AS486" i="9"/>
  <c r="AS465" i="9"/>
  <c r="AS444" i="9"/>
  <c r="AS422" i="9"/>
  <c r="AS401" i="9"/>
  <c r="AS380" i="9"/>
  <c r="AS358" i="9"/>
  <c r="AS337" i="9"/>
  <c r="AS316" i="9"/>
  <c r="AS294" i="9"/>
  <c r="AS273" i="9"/>
  <c r="AS252" i="9"/>
  <c r="AS227" i="9"/>
  <c r="AS199" i="9"/>
  <c r="AS171" i="9"/>
  <c r="AS141" i="9"/>
  <c r="AS113" i="9"/>
  <c r="AS85" i="9"/>
  <c r="AS56" i="9"/>
  <c r="AS28" i="9"/>
  <c r="AS1001" i="9"/>
  <c r="AS980" i="9"/>
  <c r="AS958" i="9"/>
  <c r="AS937" i="9"/>
  <c r="AS916" i="9"/>
  <c r="AS894" i="9"/>
  <c r="AS873" i="9"/>
  <c r="AS852" i="9"/>
  <c r="AS830" i="9"/>
  <c r="AS809" i="9"/>
  <c r="AS788" i="9"/>
  <c r="AS766" i="9"/>
  <c r="AS745" i="9"/>
  <c r="AS724" i="9"/>
  <c r="AS702" i="9"/>
  <c r="AS681" i="9"/>
  <c r="AS660" i="9"/>
  <c r="AS638" i="9"/>
  <c r="AS617" i="9"/>
  <c r="AS596" i="9"/>
  <c r="AS574" i="9"/>
  <c r="AS553" i="9"/>
  <c r="AS532" i="9"/>
  <c r="AS510" i="9"/>
  <c r="AS489" i="9"/>
  <c r="AS468" i="9"/>
  <c r="AS446" i="9"/>
  <c r="AS425" i="9"/>
  <c r="AS404" i="9"/>
  <c r="AS382" i="9"/>
  <c r="AS361" i="9"/>
  <c r="AS340" i="9"/>
  <c r="AS318" i="9"/>
  <c r="AS297" i="9"/>
  <c r="AS276" i="9"/>
  <c r="AS254" i="9"/>
  <c r="AS231" i="9"/>
  <c r="AS203" i="9"/>
  <c r="AS173" i="9"/>
  <c r="AS145" i="9"/>
  <c r="AS117" i="9"/>
  <c r="AS88" i="9"/>
  <c r="AS60" i="9"/>
  <c r="AS32" i="9"/>
  <c r="AS642" i="9"/>
  <c r="AS621" i="9"/>
  <c r="AS600" i="9"/>
  <c r="AS578" i="9"/>
  <c r="AS557" i="9"/>
  <c r="AS536" i="9"/>
  <c r="AS514" i="9"/>
  <c r="AS493" i="9"/>
  <c r="AS472" i="9"/>
  <c r="AS450" i="9"/>
  <c r="AS429" i="9"/>
  <c r="AS408" i="9"/>
  <c r="AS386" i="9"/>
  <c r="AS365" i="9"/>
  <c r="AS344" i="9"/>
  <c r="AS322" i="9"/>
  <c r="AS301" i="9"/>
  <c r="AS280" i="9"/>
  <c r="AS258" i="9"/>
  <c r="AS236" i="9"/>
  <c r="AS208" i="9"/>
  <c r="AS179" i="9"/>
  <c r="AS151" i="9"/>
  <c r="AS123" i="9"/>
  <c r="AS93" i="9"/>
  <c r="AS65" i="9"/>
  <c r="AS37" i="9"/>
  <c r="AS1007" i="9"/>
  <c r="AS991" i="9"/>
  <c r="AS975" i="9"/>
  <c r="AS959" i="9"/>
  <c r="AS943" i="9"/>
  <c r="AS927" i="9"/>
  <c r="AS911" i="9"/>
  <c r="AS895" i="9"/>
  <c r="AS879" i="9"/>
  <c r="AS863" i="9"/>
  <c r="AS847" i="9"/>
  <c r="AS831" i="9"/>
  <c r="AS815" i="9"/>
  <c r="AS799" i="9"/>
  <c r="AS783" i="9"/>
  <c r="AS767" i="9"/>
  <c r="AS751" i="9"/>
  <c r="AS735" i="9"/>
  <c r="AS719" i="9"/>
  <c r="AS703" i="9"/>
  <c r="AS687" i="9"/>
  <c r="AS671" i="9"/>
  <c r="AS655" i="9"/>
  <c r="AS639" i="9"/>
  <c r="AS623" i="9"/>
  <c r="AS607" i="9"/>
  <c r="AS591" i="9"/>
  <c r="AS575" i="9"/>
  <c r="AS559" i="9"/>
  <c r="AS543" i="9"/>
  <c r="AS527" i="9"/>
  <c r="AS511" i="9"/>
  <c r="AS495" i="9"/>
  <c r="AS479" i="9"/>
  <c r="AS463" i="9"/>
  <c r="AS447" i="9"/>
  <c r="AS431" i="9"/>
  <c r="AS415" i="9"/>
  <c r="AS399" i="9"/>
  <c r="AS383" i="9"/>
  <c r="AS367" i="9"/>
  <c r="AS351" i="9"/>
  <c r="AS335" i="9"/>
  <c r="AS319" i="9"/>
  <c r="AS303" i="9"/>
  <c r="AS287" i="9"/>
  <c r="AS271" i="9"/>
  <c r="AS255" i="9"/>
  <c r="AS239" i="9"/>
  <c r="AS217" i="9"/>
  <c r="AS196" i="9"/>
  <c r="AS175" i="9"/>
  <c r="AS153" i="9"/>
  <c r="AS132" i="9"/>
  <c r="AS111" i="9"/>
  <c r="AS89" i="9"/>
  <c r="AS68" i="9"/>
  <c r="AS47" i="9"/>
  <c r="AS25" i="9"/>
  <c r="AS234" i="9"/>
  <c r="AS218" i="9"/>
  <c r="AS202" i="9"/>
  <c r="AS186" i="9"/>
  <c r="AS170" i="9"/>
  <c r="AS154" i="9"/>
  <c r="AS138" i="9"/>
  <c r="AS122" i="9"/>
  <c r="AS106" i="9"/>
  <c r="AS90" i="9"/>
  <c r="AS74" i="9"/>
  <c r="AS58" i="9"/>
  <c r="AS42" i="9"/>
  <c r="AS26" i="9"/>
  <c r="K932" i="9"/>
  <c r="K740" i="9"/>
  <c r="K609" i="9"/>
  <c r="K417" i="9"/>
  <c r="AS658" i="9"/>
  <c r="K956" i="9"/>
  <c r="K892" i="9"/>
  <c r="K828" i="9"/>
  <c r="K764" i="9"/>
  <c r="K700" i="9"/>
  <c r="K636" i="9"/>
  <c r="K555" i="9"/>
  <c r="K470" i="9"/>
  <c r="K385" i="9"/>
  <c r="K299" i="9"/>
  <c r="K214" i="9"/>
  <c r="K129" i="9"/>
  <c r="AS984" i="9"/>
  <c r="AS133" i="9"/>
  <c r="K1000" i="9"/>
  <c r="K936" i="9"/>
  <c r="K872" i="9"/>
  <c r="K808" i="9"/>
  <c r="K744" i="9"/>
  <c r="K680" i="9"/>
  <c r="K614" i="9"/>
  <c r="K529" i="9"/>
  <c r="K443" i="9"/>
  <c r="K358" i="9"/>
  <c r="K273" i="9"/>
  <c r="K187" i="9"/>
  <c r="K93" i="9"/>
  <c r="AS842" i="9"/>
  <c r="K980" i="9"/>
  <c r="K836" i="9"/>
  <c r="K756" i="9"/>
  <c r="K628" i="9"/>
  <c r="K481" i="9"/>
  <c r="K310" i="9"/>
  <c r="K203" i="9"/>
  <c r="K117" i="9"/>
  <c r="AS928" i="9"/>
  <c r="K976" i="9"/>
  <c r="K912" i="9"/>
  <c r="K848" i="9"/>
  <c r="K784" i="9"/>
  <c r="K720" i="9"/>
  <c r="K656" i="9"/>
  <c r="K582" i="9"/>
  <c r="K497" i="9"/>
  <c r="K411" i="9"/>
  <c r="K326" i="9"/>
  <c r="K241" i="9"/>
  <c r="K155" i="9"/>
  <c r="K45" i="9"/>
  <c r="AS586" i="9"/>
  <c r="K1002" i="9"/>
  <c r="K986" i="9"/>
  <c r="K970" i="9"/>
  <c r="K954" i="9"/>
  <c r="K938" i="9"/>
  <c r="K922" i="9"/>
  <c r="K906" i="9"/>
  <c r="K890" i="9"/>
  <c r="K874" i="9"/>
  <c r="K858" i="9"/>
  <c r="K842" i="9"/>
  <c r="K826" i="9"/>
  <c r="K810" i="9"/>
  <c r="K794" i="9"/>
  <c r="K778" i="9"/>
  <c r="K762" i="9"/>
  <c r="K746" i="9"/>
  <c r="K730" i="9"/>
  <c r="K714" i="9"/>
  <c r="K698" i="9"/>
  <c r="K682" i="9"/>
  <c r="K666" i="9"/>
  <c r="K650" i="9"/>
  <c r="K634" i="9"/>
  <c r="K617" i="9"/>
  <c r="K595" i="9"/>
  <c r="K574" i="9"/>
  <c r="K553" i="9"/>
  <c r="K531" i="9"/>
  <c r="K510" i="9"/>
  <c r="K489" i="9"/>
  <c r="K467" i="9"/>
  <c r="K446" i="9"/>
  <c r="K425" i="9"/>
  <c r="K403" i="9"/>
  <c r="K382" i="9"/>
  <c r="K361" i="9"/>
  <c r="K339" i="9"/>
  <c r="K318" i="9"/>
  <c r="K297" i="9"/>
  <c r="K275" i="9"/>
  <c r="K254" i="9"/>
  <c r="K233" i="9"/>
  <c r="K211" i="9"/>
  <c r="K190" i="9"/>
  <c r="K169" i="9"/>
  <c r="K147" i="9"/>
  <c r="K126" i="9"/>
  <c r="K97" i="9"/>
  <c r="K65" i="9"/>
  <c r="K33" i="9"/>
  <c r="AS970" i="9"/>
  <c r="AS856" i="9"/>
  <c r="AS722" i="9"/>
  <c r="AS458" i="9"/>
  <c r="AS76" i="9"/>
  <c r="K997" i="9"/>
  <c r="K981" i="9"/>
  <c r="K965" i="9"/>
  <c r="K949" i="9"/>
  <c r="K933" i="9"/>
  <c r="K917" i="9"/>
  <c r="K901" i="9"/>
  <c r="K885" i="9"/>
  <c r="K869" i="9"/>
  <c r="K853" i="9"/>
  <c r="K837" i="9"/>
  <c r="K821" i="9"/>
  <c r="K805" i="9"/>
  <c r="K789" i="9"/>
  <c r="K773" i="9"/>
  <c r="K757" i="9"/>
  <c r="K741" i="9"/>
  <c r="K725" i="9"/>
  <c r="K709" i="9"/>
  <c r="K693" i="9"/>
  <c r="K677" i="9"/>
  <c r="K661" i="9"/>
  <c r="K645" i="9"/>
  <c r="K629" i="9"/>
  <c r="K610" i="9"/>
  <c r="K589" i="9"/>
  <c r="K567" i="9"/>
  <c r="K546" i="9"/>
  <c r="K525" i="9"/>
  <c r="K503" i="9"/>
  <c r="K482" i="9"/>
  <c r="K461" i="9"/>
  <c r="K439" i="9"/>
  <c r="K418" i="9"/>
  <c r="K397" i="9"/>
  <c r="K375" i="9"/>
  <c r="K354" i="9"/>
  <c r="K333" i="9"/>
  <c r="K311" i="9"/>
  <c r="K290" i="9"/>
  <c r="K269" i="9"/>
  <c r="K247" i="9"/>
  <c r="K226" i="9"/>
  <c r="K205" i="9"/>
  <c r="K183" i="9"/>
  <c r="K162" i="9"/>
  <c r="K141" i="9"/>
  <c r="K119" i="9"/>
  <c r="K87" i="9"/>
  <c r="K55" i="9"/>
  <c r="K23" i="9"/>
  <c r="AS934" i="9"/>
  <c r="AS821" i="9"/>
  <c r="AS669" i="9"/>
  <c r="AS352" i="9"/>
  <c r="K1007" i="9"/>
  <c r="K991" i="9"/>
  <c r="K975" i="9"/>
  <c r="K959" i="9"/>
  <c r="K943" i="9"/>
  <c r="K927" i="9"/>
  <c r="K911" i="9"/>
  <c r="K895" i="9"/>
  <c r="K879" i="9"/>
  <c r="K863" i="9"/>
  <c r="K847" i="9"/>
  <c r="K831" i="9"/>
  <c r="K815" i="9"/>
  <c r="K799" i="9"/>
  <c r="K783" i="9"/>
  <c r="K767" i="9"/>
  <c r="K751" i="9"/>
  <c r="K735" i="9"/>
  <c r="K719" i="9"/>
  <c r="K703" i="9"/>
  <c r="K687" i="9"/>
  <c r="K671" i="9"/>
  <c r="K655" i="9"/>
  <c r="K639" i="9"/>
  <c r="K623" i="9"/>
  <c r="K602" i="9"/>
  <c r="K581" i="9"/>
  <c r="K559" i="9"/>
  <c r="K538" i="9"/>
  <c r="K517" i="9"/>
  <c r="K495" i="9"/>
  <c r="K474" i="9"/>
  <c r="K453" i="9"/>
  <c r="K431" i="9"/>
  <c r="K410" i="9"/>
  <c r="K389" i="9"/>
  <c r="K367" i="9"/>
  <c r="K346" i="9"/>
  <c r="K325" i="9"/>
  <c r="K303" i="9"/>
  <c r="K282" i="9"/>
  <c r="K261" i="9"/>
  <c r="K239" i="9"/>
  <c r="K218" i="9"/>
  <c r="K197" i="9"/>
  <c r="K175" i="9"/>
  <c r="K154" i="9"/>
  <c r="K133" i="9"/>
  <c r="K107" i="9"/>
  <c r="K75" i="9"/>
  <c r="K43" i="9"/>
  <c r="AS920" i="9"/>
  <c r="AS806" i="9"/>
  <c r="AS648" i="9"/>
  <c r="AS309" i="9"/>
  <c r="AS1002" i="9"/>
  <c r="AS973" i="9"/>
  <c r="AS945" i="9"/>
  <c r="AS917" i="9"/>
  <c r="AS888" i="9"/>
  <c r="AS860" i="9"/>
  <c r="AS832" i="9"/>
  <c r="AS802" i="9"/>
  <c r="AS770" i="9"/>
  <c r="AS728" i="9"/>
  <c r="AS685" i="9"/>
  <c r="AS640" i="9"/>
  <c r="AS554" i="9"/>
  <c r="AS469" i="9"/>
  <c r="AS384" i="9"/>
  <c r="AS298" i="9"/>
  <c r="AS204" i="9"/>
  <c r="AS91" i="9"/>
  <c r="K616" i="9"/>
  <c r="K600" i="9"/>
  <c r="K584" i="9"/>
  <c r="K568" i="9"/>
  <c r="K552" i="9"/>
  <c r="K536" i="9"/>
  <c r="K520" i="9"/>
  <c r="K504" i="9"/>
  <c r="K488" i="9"/>
  <c r="K472" i="9"/>
  <c r="K456" i="9"/>
  <c r="K440" i="9"/>
  <c r="K424" i="9"/>
  <c r="K408" i="9"/>
  <c r="K392" i="9"/>
  <c r="K376" i="9"/>
  <c r="K360" i="9"/>
  <c r="K344" i="9"/>
  <c r="K328" i="9"/>
  <c r="K312" i="9"/>
  <c r="K296" i="9"/>
  <c r="K280" i="9"/>
  <c r="K264" i="9"/>
  <c r="K248" i="9"/>
  <c r="K232" i="9"/>
  <c r="K216" i="9"/>
  <c r="K200" i="9"/>
  <c r="K184" i="9"/>
  <c r="K168" i="9"/>
  <c r="K152" i="9"/>
  <c r="K136" i="9"/>
  <c r="K120" i="9"/>
  <c r="K104" i="9"/>
  <c r="K88" i="9"/>
  <c r="K72" i="9"/>
  <c r="K56" i="9"/>
  <c r="K40" i="9"/>
  <c r="K24" i="9"/>
  <c r="AS1008" i="9"/>
  <c r="AS978" i="9"/>
  <c r="AS950" i="9"/>
  <c r="AS922" i="9"/>
  <c r="AS893" i="9"/>
  <c r="AS865" i="9"/>
  <c r="AS837" i="9"/>
  <c r="AS808" i="9"/>
  <c r="AS778" i="9"/>
  <c r="AS736" i="9"/>
  <c r="AS693" i="9"/>
  <c r="AS650" i="9"/>
  <c r="AS570" i="9"/>
  <c r="AS485" i="9"/>
  <c r="AS400" i="9"/>
  <c r="AS314" i="9"/>
  <c r="AS225" i="9"/>
  <c r="AS112" i="9"/>
  <c r="K118" i="9"/>
  <c r="K102" i="9"/>
  <c r="K86" i="9"/>
  <c r="K70" i="9"/>
  <c r="K54" i="9"/>
  <c r="K38" i="9"/>
  <c r="K22" i="9"/>
  <c r="AS1004" i="9"/>
  <c r="AS976" i="9"/>
  <c r="AS946" i="9"/>
  <c r="AS918" i="9"/>
  <c r="AS890" i="9"/>
  <c r="AS861" i="9"/>
  <c r="AS833" i="9"/>
  <c r="AS805" i="9"/>
  <c r="AS773" i="9"/>
  <c r="AS730" i="9"/>
  <c r="AS688" i="9"/>
  <c r="AS645" i="9"/>
  <c r="AS560" i="9"/>
  <c r="AS474" i="9"/>
  <c r="AS389" i="9"/>
  <c r="AS304" i="9"/>
  <c r="AS211" i="9"/>
  <c r="AS97" i="9"/>
  <c r="AS780" i="9"/>
  <c r="AS758" i="9"/>
  <c r="AS737" i="9"/>
  <c r="AS716" i="9"/>
  <c r="AS694" i="9"/>
  <c r="AS673" i="9"/>
  <c r="AS652" i="9"/>
  <c r="AS630" i="9"/>
  <c r="AS609" i="9"/>
  <c r="AS588" i="9"/>
  <c r="AS566" i="9"/>
  <c r="AS545" i="9"/>
  <c r="AS524" i="9"/>
  <c r="AS502" i="9"/>
  <c r="AS481" i="9"/>
  <c r="AS460" i="9"/>
  <c r="AS438" i="9"/>
  <c r="AS417" i="9"/>
  <c r="AS396" i="9"/>
  <c r="AS374" i="9"/>
  <c r="AS353" i="9"/>
  <c r="AS332" i="9"/>
  <c r="AS310" i="9"/>
  <c r="AS289" i="9"/>
  <c r="AS268" i="9"/>
  <c r="AS246" i="9"/>
  <c r="AS220" i="9"/>
  <c r="AS192" i="9"/>
  <c r="AS163" i="9"/>
  <c r="AS135" i="9"/>
  <c r="AS107" i="9"/>
  <c r="AS77" i="9"/>
  <c r="AS49" i="9"/>
  <c r="AS21" i="9"/>
  <c r="AS996" i="9"/>
  <c r="AS974" i="9"/>
  <c r="AS953" i="9"/>
  <c r="AS932" i="9"/>
  <c r="AS910" i="9"/>
  <c r="AS889" i="9"/>
  <c r="AS868" i="9"/>
  <c r="AS846" i="9"/>
  <c r="AS825" i="9"/>
  <c r="AS804" i="9"/>
  <c r="AS782" i="9"/>
  <c r="AS761" i="9"/>
  <c r="AS740" i="9"/>
  <c r="AS718" i="9"/>
  <c r="AS697" i="9"/>
  <c r="AS676" i="9"/>
  <c r="AS654" i="9"/>
  <c r="AS633" i="9"/>
  <c r="AS612" i="9"/>
  <c r="AS590" i="9"/>
  <c r="AS569" i="9"/>
  <c r="AS548" i="9"/>
  <c r="AS526" i="9"/>
  <c r="AS505" i="9"/>
  <c r="AS484" i="9"/>
  <c r="AS462" i="9"/>
  <c r="AS441" i="9"/>
  <c r="AS420" i="9"/>
  <c r="AS398" i="9"/>
  <c r="AS377" i="9"/>
  <c r="AS356" i="9"/>
  <c r="AS334" i="9"/>
  <c r="AS313" i="9"/>
  <c r="AS292" i="9"/>
  <c r="AS270" i="9"/>
  <c r="AS249" i="9"/>
  <c r="AS224" i="9"/>
  <c r="AS195" i="9"/>
  <c r="AS167" i="9"/>
  <c r="AS139" i="9"/>
  <c r="AS109" i="9"/>
  <c r="AS81" i="9"/>
  <c r="AS53" i="9"/>
  <c r="AS24" i="9"/>
  <c r="AS637" i="9"/>
  <c r="AS616" i="9"/>
  <c r="AS594" i="9"/>
  <c r="AS573" i="9"/>
  <c r="AS552" i="9"/>
  <c r="AS530" i="9"/>
  <c r="AS509" i="9"/>
  <c r="AS488" i="9"/>
  <c r="AS466" i="9"/>
  <c r="AS445" i="9"/>
  <c r="AS424" i="9"/>
  <c r="AS402" i="9"/>
  <c r="AS381" i="9"/>
  <c r="AS360" i="9"/>
  <c r="AS338" i="9"/>
  <c r="AS317" i="9"/>
  <c r="AS296" i="9"/>
  <c r="AS274" i="9"/>
  <c r="AS253" i="9"/>
  <c r="AS229" i="9"/>
  <c r="AS200" i="9"/>
  <c r="AS172" i="9"/>
  <c r="AS144" i="9"/>
  <c r="AS115" i="9"/>
  <c r="AS87" i="9"/>
  <c r="AS59" i="9"/>
  <c r="AS29" i="9"/>
  <c r="AS1003" i="9"/>
  <c r="AS987" i="9"/>
  <c r="AS971" i="9"/>
  <c r="AS955" i="9"/>
  <c r="AS939" i="9"/>
  <c r="AS923" i="9"/>
  <c r="AS907" i="9"/>
  <c r="AS891" i="9"/>
  <c r="AS875" i="9"/>
  <c r="AS859" i="9"/>
  <c r="AS843" i="9"/>
  <c r="AS827" i="9"/>
  <c r="AS811" i="9"/>
  <c r="AS795" i="9"/>
  <c r="AS779" i="9"/>
  <c r="AS763" i="9"/>
  <c r="AS747" i="9"/>
  <c r="AS731" i="9"/>
  <c r="AS715" i="9"/>
  <c r="AS699" i="9"/>
  <c r="AS683" i="9"/>
  <c r="AS667" i="9"/>
  <c r="AS651" i="9"/>
  <c r="AS635" i="9"/>
  <c r="AS619" i="9"/>
  <c r="AS603" i="9"/>
  <c r="AS587" i="9"/>
  <c r="AS571" i="9"/>
  <c r="AS555" i="9"/>
  <c r="AS539" i="9"/>
  <c r="AS523" i="9"/>
  <c r="AS507" i="9"/>
  <c r="AS491" i="9"/>
  <c r="AS475" i="9"/>
  <c r="AS459" i="9"/>
  <c r="AS443" i="9"/>
  <c r="AS427" i="9"/>
  <c r="AS411" i="9"/>
  <c r="AS395" i="9"/>
  <c r="AS379" i="9"/>
  <c r="AS363" i="9"/>
  <c r="AS347" i="9"/>
  <c r="AS331" i="9"/>
  <c r="AS315" i="9"/>
  <c r="AS299" i="9"/>
  <c r="AS283" i="9"/>
  <c r="AS267" i="9"/>
  <c r="AS251" i="9"/>
  <c r="AS233" i="9"/>
  <c r="AS212" i="9"/>
  <c r="AS191" i="9"/>
  <c r="AS169" i="9"/>
  <c r="AS148" i="9"/>
  <c r="AS127" i="9"/>
  <c r="AS105" i="9"/>
  <c r="AS84" i="9"/>
  <c r="AS63" i="9"/>
  <c r="AS41" i="9"/>
  <c r="AS20" i="9"/>
  <c r="AS230" i="9"/>
  <c r="AS214" i="9"/>
  <c r="AS198" i="9"/>
  <c r="AS182" i="9"/>
  <c r="AS166" i="9"/>
  <c r="AS150" i="9"/>
  <c r="AS134" i="9"/>
  <c r="AS118" i="9"/>
  <c r="AS102" i="9"/>
  <c r="AS86" i="9"/>
  <c r="AS70" i="9"/>
  <c r="AS54" i="9"/>
  <c r="AS38" i="9"/>
  <c r="AE10" i="9" l="1"/>
  <c r="AG10" i="9" s="1"/>
  <c r="AE11" i="9"/>
  <c r="AG11" i="9" s="1"/>
  <c r="AE12" i="9"/>
  <c r="AG12" i="9" s="1"/>
  <c r="AE13" i="9"/>
  <c r="AG13" i="9" s="1"/>
  <c r="AE14" i="9"/>
  <c r="AG14" i="9" s="1"/>
  <c r="AE15" i="9"/>
  <c r="AG15" i="9" s="1"/>
  <c r="AE16" i="9"/>
  <c r="AG16" i="9" s="1"/>
  <c r="AE17" i="9"/>
  <c r="AG17" i="9" s="1"/>
  <c r="AE18" i="9"/>
  <c r="AG18" i="9" s="1"/>
  <c r="AE19" i="9"/>
  <c r="AG19" i="9" s="1"/>
  <c r="AE20" i="9"/>
  <c r="AG20" i="9" s="1"/>
  <c r="AE21" i="9"/>
  <c r="AG21" i="9" s="1"/>
  <c r="AE22" i="9"/>
  <c r="AG22" i="9" s="1"/>
  <c r="AE23" i="9"/>
  <c r="AG23" i="9" s="1"/>
  <c r="AE24" i="9"/>
  <c r="AG24" i="9" s="1"/>
  <c r="AE25" i="9"/>
  <c r="AG25" i="9" s="1"/>
  <c r="AE26" i="9"/>
  <c r="AG26" i="9" s="1"/>
  <c r="AE27" i="9"/>
  <c r="AG27" i="9" s="1"/>
  <c r="AE28" i="9"/>
  <c r="AG28" i="9" s="1"/>
  <c r="AE29" i="9"/>
  <c r="AG29" i="9" s="1"/>
  <c r="AE30" i="9"/>
  <c r="AG30" i="9" s="1"/>
  <c r="AE31" i="9"/>
  <c r="AG31" i="9" s="1"/>
  <c r="AE32" i="9"/>
  <c r="AG32" i="9" s="1"/>
  <c r="AE33" i="9"/>
  <c r="AG33" i="9" s="1"/>
  <c r="AE34" i="9"/>
  <c r="AG34" i="9" s="1"/>
  <c r="AE35" i="9"/>
  <c r="AG35" i="9" s="1"/>
  <c r="AE36" i="9"/>
  <c r="AG36" i="9" s="1"/>
  <c r="AE37" i="9"/>
  <c r="AG37" i="9" s="1"/>
  <c r="AE38" i="9"/>
  <c r="AG38" i="9" s="1"/>
  <c r="AE39" i="9"/>
  <c r="AG39" i="9" s="1"/>
  <c r="AE40" i="9"/>
  <c r="AG40" i="9" s="1"/>
  <c r="AE41" i="9"/>
  <c r="AG41" i="9" s="1"/>
  <c r="AE42" i="9"/>
  <c r="AG42" i="9" s="1"/>
  <c r="AE43" i="9"/>
  <c r="AG43" i="9" s="1"/>
  <c r="AE44" i="9"/>
  <c r="AG44" i="9" s="1"/>
  <c r="AE45" i="9"/>
  <c r="AG45" i="9" s="1"/>
  <c r="AE46" i="9"/>
  <c r="AG46" i="9" s="1"/>
  <c r="AE47" i="9"/>
  <c r="AG47" i="9" s="1"/>
  <c r="AE48" i="9"/>
  <c r="AG48" i="9" s="1"/>
  <c r="AE49" i="9"/>
  <c r="AG49" i="9" s="1"/>
  <c r="AE50" i="9"/>
  <c r="AG50" i="9" s="1"/>
  <c r="AE51" i="9"/>
  <c r="AG51" i="9" s="1"/>
  <c r="AE52" i="9"/>
  <c r="AG52" i="9" s="1"/>
  <c r="AE53" i="9"/>
  <c r="AG53" i="9" s="1"/>
  <c r="AE54" i="9"/>
  <c r="AG54" i="9" s="1"/>
  <c r="AE55" i="9"/>
  <c r="AG55" i="9" s="1"/>
  <c r="AE56" i="9"/>
  <c r="AG56" i="9" s="1"/>
  <c r="AE57" i="9"/>
  <c r="AG57" i="9" s="1"/>
  <c r="AE58" i="9"/>
  <c r="AG58" i="9" s="1"/>
  <c r="AE59" i="9"/>
  <c r="AG59" i="9" s="1"/>
  <c r="AE60" i="9"/>
  <c r="AG60" i="9" s="1"/>
  <c r="AE61" i="9"/>
  <c r="AG61" i="9" s="1"/>
  <c r="AE62" i="9"/>
  <c r="AG62" i="9" s="1"/>
  <c r="AE63" i="9"/>
  <c r="AG63" i="9" s="1"/>
  <c r="AE64" i="9"/>
  <c r="AG64" i="9" s="1"/>
  <c r="AE65" i="9"/>
  <c r="AG65" i="9" s="1"/>
  <c r="AE66" i="9"/>
  <c r="AG66" i="9" s="1"/>
  <c r="AE67" i="9"/>
  <c r="AG67" i="9" s="1"/>
  <c r="AE68" i="9"/>
  <c r="AG68" i="9" s="1"/>
  <c r="AE69" i="9"/>
  <c r="AG69" i="9" s="1"/>
  <c r="AE70" i="9"/>
  <c r="AG70" i="9" s="1"/>
  <c r="AE71" i="9"/>
  <c r="AG71" i="9" s="1"/>
  <c r="AE72" i="9"/>
  <c r="AG72" i="9" s="1"/>
  <c r="AE73" i="9"/>
  <c r="AG73" i="9" s="1"/>
  <c r="AE74" i="9"/>
  <c r="AG74" i="9" s="1"/>
  <c r="AE75" i="9"/>
  <c r="AG75" i="9" s="1"/>
  <c r="AE76" i="9"/>
  <c r="AG76" i="9" s="1"/>
  <c r="AE77" i="9"/>
  <c r="AG77" i="9" s="1"/>
  <c r="AE78" i="9"/>
  <c r="AG78" i="9" s="1"/>
  <c r="AE79" i="9"/>
  <c r="AG79" i="9" s="1"/>
  <c r="AE80" i="9"/>
  <c r="AG80" i="9" s="1"/>
  <c r="AE81" i="9"/>
  <c r="AG81" i="9" s="1"/>
  <c r="AE82" i="9"/>
  <c r="AG82" i="9" s="1"/>
  <c r="AE83" i="9"/>
  <c r="AG83" i="9" s="1"/>
  <c r="AE84" i="9"/>
  <c r="AG84" i="9" s="1"/>
  <c r="AE85" i="9"/>
  <c r="AG85" i="9" s="1"/>
  <c r="AE86" i="9"/>
  <c r="AG86" i="9" s="1"/>
  <c r="AE87" i="9"/>
  <c r="AG87" i="9" s="1"/>
  <c r="AE88" i="9"/>
  <c r="AG88" i="9" s="1"/>
  <c r="AE89" i="9"/>
  <c r="AG89" i="9" s="1"/>
  <c r="AE90" i="9"/>
  <c r="AG90" i="9" s="1"/>
  <c r="AE91" i="9"/>
  <c r="AG91" i="9" s="1"/>
  <c r="AE92" i="9"/>
  <c r="AG92" i="9" s="1"/>
  <c r="AE93" i="9"/>
  <c r="AG93" i="9" s="1"/>
  <c r="AE94" i="9"/>
  <c r="AG94" i="9" s="1"/>
  <c r="AE95" i="9"/>
  <c r="AG95" i="9" s="1"/>
  <c r="AE96" i="9"/>
  <c r="AG96" i="9" s="1"/>
  <c r="AE97" i="9"/>
  <c r="AG97" i="9" s="1"/>
  <c r="AE98" i="9"/>
  <c r="AG98" i="9" s="1"/>
  <c r="AE99" i="9"/>
  <c r="AG99" i="9" s="1"/>
  <c r="AE100" i="9"/>
  <c r="AG100" i="9" s="1"/>
  <c r="AE101" i="9"/>
  <c r="AG101" i="9" s="1"/>
  <c r="AE102" i="9"/>
  <c r="AG102" i="9" s="1"/>
  <c r="AE103" i="9"/>
  <c r="AG103" i="9" s="1"/>
  <c r="AE104" i="9"/>
  <c r="AG104" i="9" s="1"/>
  <c r="AE105" i="9"/>
  <c r="AG105" i="9" s="1"/>
  <c r="AE106" i="9"/>
  <c r="AG106" i="9" s="1"/>
  <c r="AE107" i="9"/>
  <c r="AG107" i="9" s="1"/>
  <c r="AE108" i="9"/>
  <c r="AG108" i="9" s="1"/>
  <c r="AE109" i="9"/>
  <c r="AG109" i="9" s="1"/>
  <c r="AE110" i="9"/>
  <c r="AG110" i="9" s="1"/>
  <c r="AE111" i="9"/>
  <c r="AG111" i="9" s="1"/>
  <c r="AE112" i="9"/>
  <c r="AG112" i="9" s="1"/>
  <c r="AE113" i="9"/>
  <c r="AG113" i="9" s="1"/>
  <c r="AE114" i="9"/>
  <c r="AG114" i="9" s="1"/>
  <c r="AE115" i="9"/>
  <c r="AG115" i="9" s="1"/>
  <c r="AE116" i="9"/>
  <c r="AG116" i="9" s="1"/>
  <c r="AE117" i="9"/>
  <c r="AG117" i="9" s="1"/>
  <c r="AE118" i="9"/>
  <c r="AG118" i="9" s="1"/>
  <c r="AE119" i="9"/>
  <c r="AG119" i="9" s="1"/>
  <c r="AE120" i="9"/>
  <c r="AG120" i="9" s="1"/>
  <c r="AE121" i="9"/>
  <c r="AG121" i="9" s="1"/>
  <c r="AE122" i="9"/>
  <c r="AG122" i="9" s="1"/>
  <c r="AE123" i="9"/>
  <c r="AG123" i="9" s="1"/>
  <c r="AE124" i="9"/>
  <c r="AG124" i="9" s="1"/>
  <c r="AE125" i="9"/>
  <c r="AG125" i="9" s="1"/>
  <c r="AE126" i="9"/>
  <c r="AG126" i="9" s="1"/>
  <c r="AE127" i="9"/>
  <c r="AG127" i="9" s="1"/>
  <c r="AE128" i="9"/>
  <c r="AG128" i="9" s="1"/>
  <c r="AE129" i="9"/>
  <c r="AG129" i="9" s="1"/>
  <c r="AE130" i="9"/>
  <c r="AG130" i="9" s="1"/>
  <c r="AE131" i="9"/>
  <c r="AG131" i="9" s="1"/>
  <c r="AE132" i="9"/>
  <c r="AG132" i="9" s="1"/>
  <c r="AE133" i="9"/>
  <c r="AG133" i="9" s="1"/>
  <c r="AE134" i="9"/>
  <c r="AG134" i="9" s="1"/>
  <c r="AE135" i="9"/>
  <c r="AG135" i="9" s="1"/>
  <c r="AE136" i="9"/>
  <c r="AG136" i="9" s="1"/>
  <c r="AE137" i="9"/>
  <c r="AG137" i="9" s="1"/>
  <c r="AE138" i="9"/>
  <c r="AG138" i="9" s="1"/>
  <c r="AE139" i="9"/>
  <c r="AG139" i="9" s="1"/>
  <c r="AE140" i="9"/>
  <c r="AG140" i="9" s="1"/>
  <c r="AE141" i="9"/>
  <c r="AG141" i="9" s="1"/>
  <c r="AE142" i="9"/>
  <c r="AG142" i="9" s="1"/>
  <c r="AE143" i="9"/>
  <c r="AG143" i="9" s="1"/>
  <c r="AE144" i="9"/>
  <c r="AG144" i="9" s="1"/>
  <c r="AE145" i="9"/>
  <c r="AG145" i="9" s="1"/>
  <c r="AE146" i="9"/>
  <c r="AG146" i="9" s="1"/>
  <c r="AE147" i="9"/>
  <c r="AG147" i="9" s="1"/>
  <c r="AE148" i="9"/>
  <c r="AG148" i="9" s="1"/>
  <c r="AE149" i="9"/>
  <c r="AG149" i="9" s="1"/>
  <c r="AE150" i="9"/>
  <c r="AG150" i="9" s="1"/>
  <c r="AE151" i="9"/>
  <c r="AG151" i="9" s="1"/>
  <c r="AE152" i="9"/>
  <c r="AG152" i="9" s="1"/>
  <c r="AE153" i="9"/>
  <c r="AG153" i="9" s="1"/>
  <c r="AE154" i="9"/>
  <c r="AG154" i="9" s="1"/>
  <c r="AE155" i="9"/>
  <c r="AG155" i="9" s="1"/>
  <c r="AE156" i="9"/>
  <c r="AG156" i="9" s="1"/>
  <c r="AE157" i="9"/>
  <c r="AG157" i="9" s="1"/>
  <c r="AE158" i="9"/>
  <c r="AG158" i="9" s="1"/>
  <c r="AE159" i="9"/>
  <c r="AG159" i="9" s="1"/>
  <c r="AE160" i="9"/>
  <c r="AG160" i="9" s="1"/>
  <c r="AE161" i="9"/>
  <c r="AG161" i="9" s="1"/>
  <c r="AE162" i="9"/>
  <c r="AG162" i="9" s="1"/>
  <c r="AE163" i="9"/>
  <c r="AG163" i="9" s="1"/>
  <c r="AE164" i="9"/>
  <c r="AG164" i="9" s="1"/>
  <c r="AE165" i="9"/>
  <c r="AG165" i="9" s="1"/>
  <c r="AE166" i="9"/>
  <c r="AG166" i="9" s="1"/>
  <c r="AE167" i="9"/>
  <c r="AG167" i="9" s="1"/>
  <c r="AE168" i="9"/>
  <c r="AG168" i="9" s="1"/>
  <c r="AE169" i="9"/>
  <c r="AG169" i="9" s="1"/>
  <c r="AE170" i="9"/>
  <c r="AG170" i="9" s="1"/>
  <c r="AE171" i="9"/>
  <c r="AG171" i="9" s="1"/>
  <c r="AE172" i="9"/>
  <c r="AG172" i="9" s="1"/>
  <c r="AE173" i="9"/>
  <c r="AG173" i="9" s="1"/>
  <c r="AE174" i="9"/>
  <c r="AG174" i="9" s="1"/>
  <c r="AE175" i="9"/>
  <c r="AG175" i="9" s="1"/>
  <c r="AE176" i="9"/>
  <c r="AG176" i="9" s="1"/>
  <c r="AE177" i="9"/>
  <c r="AG177" i="9" s="1"/>
  <c r="AE178" i="9"/>
  <c r="AG178" i="9" s="1"/>
  <c r="AE179" i="9"/>
  <c r="AG179" i="9" s="1"/>
  <c r="AE180" i="9"/>
  <c r="AG180" i="9" s="1"/>
  <c r="AE181" i="9"/>
  <c r="AG181" i="9" s="1"/>
  <c r="AE182" i="9"/>
  <c r="AG182" i="9" s="1"/>
  <c r="AE183" i="9"/>
  <c r="AG183" i="9" s="1"/>
  <c r="AE184" i="9"/>
  <c r="AG184" i="9" s="1"/>
  <c r="AE185" i="9"/>
  <c r="AG185" i="9" s="1"/>
  <c r="AE186" i="9"/>
  <c r="AG186" i="9" s="1"/>
  <c r="AE187" i="9"/>
  <c r="AG187" i="9" s="1"/>
  <c r="AE188" i="9"/>
  <c r="AG188" i="9" s="1"/>
  <c r="AE189" i="9"/>
  <c r="AG189" i="9" s="1"/>
  <c r="AE190" i="9"/>
  <c r="AG190" i="9" s="1"/>
  <c r="AE191" i="9"/>
  <c r="AG191" i="9" s="1"/>
  <c r="AE192" i="9"/>
  <c r="AG192" i="9" s="1"/>
  <c r="AE193" i="9"/>
  <c r="AG193" i="9" s="1"/>
  <c r="AE194" i="9"/>
  <c r="AG194" i="9" s="1"/>
  <c r="AE195" i="9"/>
  <c r="AG195" i="9" s="1"/>
  <c r="AE196" i="9"/>
  <c r="AG196" i="9" s="1"/>
  <c r="AE197" i="9"/>
  <c r="AG197" i="9" s="1"/>
  <c r="AE198" i="9"/>
  <c r="AG198" i="9" s="1"/>
  <c r="AE199" i="9"/>
  <c r="AG199" i="9" s="1"/>
  <c r="AE200" i="9"/>
  <c r="AG200" i="9" s="1"/>
  <c r="AE201" i="9"/>
  <c r="AG201" i="9" s="1"/>
  <c r="AE202" i="9"/>
  <c r="AG202" i="9" s="1"/>
  <c r="AE203" i="9"/>
  <c r="AG203" i="9" s="1"/>
  <c r="AE204" i="9"/>
  <c r="AG204" i="9" s="1"/>
  <c r="AE205" i="9"/>
  <c r="AG205" i="9" s="1"/>
  <c r="AE206" i="9"/>
  <c r="AG206" i="9" s="1"/>
  <c r="AE207" i="9"/>
  <c r="AG207" i="9" s="1"/>
  <c r="AE208" i="9"/>
  <c r="AG208" i="9" s="1"/>
  <c r="AE209" i="9"/>
  <c r="AG209" i="9" s="1"/>
  <c r="AE210" i="9"/>
  <c r="AG210" i="9" s="1"/>
  <c r="AE211" i="9"/>
  <c r="AG211" i="9" s="1"/>
  <c r="AE212" i="9"/>
  <c r="AG212" i="9" s="1"/>
  <c r="AE213" i="9"/>
  <c r="AG213" i="9" s="1"/>
  <c r="AE214" i="9"/>
  <c r="AG214" i="9" s="1"/>
  <c r="AE215" i="9"/>
  <c r="AG215" i="9" s="1"/>
  <c r="AE216" i="9"/>
  <c r="AG216" i="9" s="1"/>
  <c r="AE217" i="9"/>
  <c r="AG217" i="9" s="1"/>
  <c r="AE218" i="9"/>
  <c r="AG218" i="9" s="1"/>
  <c r="AE219" i="9"/>
  <c r="AG219" i="9" s="1"/>
  <c r="AE220" i="9"/>
  <c r="AG220" i="9" s="1"/>
  <c r="AE221" i="9"/>
  <c r="AG221" i="9" s="1"/>
  <c r="AE222" i="9"/>
  <c r="AG222" i="9" s="1"/>
  <c r="AE223" i="9"/>
  <c r="AG223" i="9" s="1"/>
  <c r="AE224" i="9"/>
  <c r="AG224" i="9" s="1"/>
  <c r="AE225" i="9"/>
  <c r="AG225" i="9" s="1"/>
  <c r="AE226" i="9"/>
  <c r="AG226" i="9" s="1"/>
  <c r="AE227" i="9"/>
  <c r="AG227" i="9" s="1"/>
  <c r="AE228" i="9"/>
  <c r="AG228" i="9" s="1"/>
  <c r="AE229" i="9"/>
  <c r="AG229" i="9" s="1"/>
  <c r="AE230" i="9"/>
  <c r="AG230" i="9" s="1"/>
  <c r="AE231" i="9"/>
  <c r="AG231" i="9" s="1"/>
  <c r="AE232" i="9"/>
  <c r="AG232" i="9" s="1"/>
  <c r="AE233" i="9"/>
  <c r="AG233" i="9" s="1"/>
  <c r="AE234" i="9"/>
  <c r="AG234" i="9" s="1"/>
  <c r="AE235" i="9"/>
  <c r="AG235" i="9" s="1"/>
  <c r="AE236" i="9"/>
  <c r="AG236" i="9" s="1"/>
  <c r="AE237" i="9"/>
  <c r="AG237" i="9" s="1"/>
  <c r="AE238" i="9"/>
  <c r="AG238" i="9" s="1"/>
  <c r="AE239" i="9"/>
  <c r="AG239" i="9" s="1"/>
  <c r="AE240" i="9"/>
  <c r="AG240" i="9" s="1"/>
  <c r="AE241" i="9"/>
  <c r="AG241" i="9" s="1"/>
  <c r="AE242" i="9"/>
  <c r="AG242" i="9" s="1"/>
  <c r="AE243" i="9"/>
  <c r="AG243" i="9" s="1"/>
  <c r="AE244" i="9"/>
  <c r="AG244" i="9" s="1"/>
  <c r="AE245" i="9"/>
  <c r="AG245" i="9" s="1"/>
  <c r="AE246" i="9"/>
  <c r="AG246" i="9" s="1"/>
  <c r="AE247" i="9"/>
  <c r="AG247" i="9" s="1"/>
  <c r="AE248" i="9"/>
  <c r="AG248" i="9" s="1"/>
  <c r="AE249" i="9"/>
  <c r="AG249" i="9" s="1"/>
  <c r="AE250" i="9"/>
  <c r="AG250" i="9" s="1"/>
  <c r="AE251" i="9"/>
  <c r="AG251" i="9" s="1"/>
  <c r="AE252" i="9"/>
  <c r="AG252" i="9" s="1"/>
  <c r="AE253" i="9"/>
  <c r="AG253" i="9" s="1"/>
  <c r="AE254" i="9"/>
  <c r="AG254" i="9" s="1"/>
  <c r="AE255" i="9"/>
  <c r="AG255" i="9" s="1"/>
  <c r="AE256" i="9"/>
  <c r="AG256" i="9" s="1"/>
  <c r="AE257" i="9"/>
  <c r="AG257" i="9" s="1"/>
  <c r="AE258" i="9"/>
  <c r="AG258" i="9" s="1"/>
  <c r="AE259" i="9"/>
  <c r="AG259" i="9" s="1"/>
  <c r="AE260" i="9"/>
  <c r="AG260" i="9" s="1"/>
  <c r="AE261" i="9"/>
  <c r="AG261" i="9" s="1"/>
  <c r="AE262" i="9"/>
  <c r="AG262" i="9" s="1"/>
  <c r="AE263" i="9"/>
  <c r="AG263" i="9" s="1"/>
  <c r="AE264" i="9"/>
  <c r="AG264" i="9" s="1"/>
  <c r="AE265" i="9"/>
  <c r="AG265" i="9" s="1"/>
  <c r="AE266" i="9"/>
  <c r="AG266" i="9" s="1"/>
  <c r="AE267" i="9"/>
  <c r="AG267" i="9" s="1"/>
  <c r="AE268" i="9"/>
  <c r="AG268" i="9" s="1"/>
  <c r="AE269" i="9"/>
  <c r="AG269" i="9" s="1"/>
  <c r="AE270" i="9"/>
  <c r="AG270" i="9" s="1"/>
  <c r="AE271" i="9"/>
  <c r="AG271" i="9" s="1"/>
  <c r="AE272" i="9"/>
  <c r="AG272" i="9" s="1"/>
  <c r="AE273" i="9"/>
  <c r="AG273" i="9" s="1"/>
  <c r="AE274" i="9"/>
  <c r="AG274" i="9" s="1"/>
  <c r="AE275" i="9"/>
  <c r="AG275" i="9" s="1"/>
  <c r="AE276" i="9"/>
  <c r="AG276" i="9" s="1"/>
  <c r="AE277" i="9"/>
  <c r="AG277" i="9" s="1"/>
  <c r="AE278" i="9"/>
  <c r="AG278" i="9" s="1"/>
  <c r="AE279" i="9"/>
  <c r="AG279" i="9" s="1"/>
  <c r="AE280" i="9"/>
  <c r="AG280" i="9" s="1"/>
  <c r="AE281" i="9"/>
  <c r="AG281" i="9" s="1"/>
  <c r="AE282" i="9"/>
  <c r="AG282" i="9" s="1"/>
  <c r="AE283" i="9"/>
  <c r="AG283" i="9" s="1"/>
  <c r="AE284" i="9"/>
  <c r="AG284" i="9" s="1"/>
  <c r="AE285" i="9"/>
  <c r="AG285" i="9" s="1"/>
  <c r="AE286" i="9"/>
  <c r="AG286" i="9" s="1"/>
  <c r="AE287" i="9"/>
  <c r="AG287" i="9" s="1"/>
  <c r="AE288" i="9"/>
  <c r="AG288" i="9" s="1"/>
  <c r="AE289" i="9"/>
  <c r="AG289" i="9" s="1"/>
  <c r="AE290" i="9"/>
  <c r="AG290" i="9" s="1"/>
  <c r="AE291" i="9"/>
  <c r="AG291" i="9" s="1"/>
  <c r="AE292" i="9"/>
  <c r="AG292" i="9" s="1"/>
  <c r="AE293" i="9"/>
  <c r="AG293" i="9" s="1"/>
  <c r="AE294" i="9"/>
  <c r="AG294" i="9" s="1"/>
  <c r="AE295" i="9"/>
  <c r="AG295" i="9" s="1"/>
  <c r="AE296" i="9"/>
  <c r="AG296" i="9" s="1"/>
  <c r="AE297" i="9"/>
  <c r="AG297" i="9" s="1"/>
  <c r="AE298" i="9"/>
  <c r="AG298" i="9" s="1"/>
  <c r="AE299" i="9"/>
  <c r="AG299" i="9" s="1"/>
  <c r="AE300" i="9"/>
  <c r="AG300" i="9" s="1"/>
  <c r="AE301" i="9"/>
  <c r="AG301" i="9" s="1"/>
  <c r="AE302" i="9"/>
  <c r="AG302" i="9" s="1"/>
  <c r="AE303" i="9"/>
  <c r="AG303" i="9" s="1"/>
  <c r="AE304" i="9"/>
  <c r="AG304" i="9" s="1"/>
  <c r="AE305" i="9"/>
  <c r="AG305" i="9" s="1"/>
  <c r="AE306" i="9"/>
  <c r="AG306" i="9" s="1"/>
  <c r="AE307" i="9"/>
  <c r="AG307" i="9" s="1"/>
  <c r="AE308" i="9"/>
  <c r="AG308" i="9" s="1"/>
  <c r="AE309" i="9"/>
  <c r="AG309" i="9" s="1"/>
  <c r="AE310" i="9"/>
  <c r="AG310" i="9" s="1"/>
  <c r="AE311" i="9"/>
  <c r="AG311" i="9" s="1"/>
  <c r="AE312" i="9"/>
  <c r="AG312" i="9" s="1"/>
  <c r="AE313" i="9"/>
  <c r="AG313" i="9" s="1"/>
  <c r="AE314" i="9"/>
  <c r="AG314" i="9" s="1"/>
  <c r="AE315" i="9"/>
  <c r="AG315" i="9" s="1"/>
  <c r="AE316" i="9"/>
  <c r="AG316" i="9" s="1"/>
  <c r="AE317" i="9"/>
  <c r="AG317" i="9" s="1"/>
  <c r="AE318" i="9"/>
  <c r="AG318" i="9" s="1"/>
  <c r="AE319" i="9"/>
  <c r="AG319" i="9" s="1"/>
  <c r="AE320" i="9"/>
  <c r="AG320" i="9" s="1"/>
  <c r="AE321" i="9"/>
  <c r="AG321" i="9" s="1"/>
  <c r="AE322" i="9"/>
  <c r="AG322" i="9" s="1"/>
  <c r="AE323" i="9"/>
  <c r="AG323" i="9" s="1"/>
  <c r="AE324" i="9"/>
  <c r="AG324" i="9" s="1"/>
  <c r="AE325" i="9"/>
  <c r="AG325" i="9" s="1"/>
  <c r="AE326" i="9"/>
  <c r="AG326" i="9" s="1"/>
  <c r="AE327" i="9"/>
  <c r="AG327" i="9" s="1"/>
  <c r="AE328" i="9"/>
  <c r="AG328" i="9" s="1"/>
  <c r="AE329" i="9"/>
  <c r="AG329" i="9" s="1"/>
  <c r="AE330" i="9"/>
  <c r="AG330" i="9" s="1"/>
  <c r="AE331" i="9"/>
  <c r="AG331" i="9" s="1"/>
  <c r="AE332" i="9"/>
  <c r="AG332" i="9" s="1"/>
  <c r="AE333" i="9"/>
  <c r="AG333" i="9" s="1"/>
  <c r="AE334" i="9"/>
  <c r="AG334" i="9" s="1"/>
  <c r="AE335" i="9"/>
  <c r="AG335" i="9" s="1"/>
  <c r="AE336" i="9"/>
  <c r="AG336" i="9" s="1"/>
  <c r="AE337" i="9"/>
  <c r="AG337" i="9" s="1"/>
  <c r="AE338" i="9"/>
  <c r="AG338" i="9" s="1"/>
  <c r="AE339" i="9"/>
  <c r="AG339" i="9" s="1"/>
  <c r="AE340" i="9"/>
  <c r="AG340" i="9" s="1"/>
  <c r="AE341" i="9"/>
  <c r="AG341" i="9" s="1"/>
  <c r="AE342" i="9"/>
  <c r="AG342" i="9" s="1"/>
  <c r="AE343" i="9"/>
  <c r="AG343" i="9" s="1"/>
  <c r="AE344" i="9"/>
  <c r="AG344" i="9" s="1"/>
  <c r="AE345" i="9"/>
  <c r="AG345" i="9" s="1"/>
  <c r="AE346" i="9"/>
  <c r="AG346" i="9" s="1"/>
  <c r="AE347" i="9"/>
  <c r="AG347" i="9" s="1"/>
  <c r="AE348" i="9"/>
  <c r="AG348" i="9" s="1"/>
  <c r="AE349" i="9"/>
  <c r="AG349" i="9" s="1"/>
  <c r="AE350" i="9"/>
  <c r="AG350" i="9" s="1"/>
  <c r="AE351" i="9"/>
  <c r="AG351" i="9" s="1"/>
  <c r="AE352" i="9"/>
  <c r="AG352" i="9" s="1"/>
  <c r="AE353" i="9"/>
  <c r="AG353" i="9" s="1"/>
  <c r="AE354" i="9"/>
  <c r="AG354" i="9" s="1"/>
  <c r="AE355" i="9"/>
  <c r="AG355" i="9" s="1"/>
  <c r="AE356" i="9"/>
  <c r="AG356" i="9" s="1"/>
  <c r="AE357" i="9"/>
  <c r="AG357" i="9" s="1"/>
  <c r="AE358" i="9"/>
  <c r="AG358" i="9" s="1"/>
  <c r="AE359" i="9"/>
  <c r="AG359" i="9" s="1"/>
  <c r="AE360" i="9"/>
  <c r="AG360" i="9" s="1"/>
  <c r="AE361" i="9"/>
  <c r="AG361" i="9" s="1"/>
  <c r="AE362" i="9"/>
  <c r="AG362" i="9" s="1"/>
  <c r="AE363" i="9"/>
  <c r="AG363" i="9" s="1"/>
  <c r="AE364" i="9"/>
  <c r="AG364" i="9" s="1"/>
  <c r="AE365" i="9"/>
  <c r="AG365" i="9" s="1"/>
  <c r="AE366" i="9"/>
  <c r="AG366" i="9" s="1"/>
  <c r="AE367" i="9"/>
  <c r="AG367" i="9" s="1"/>
  <c r="AE368" i="9"/>
  <c r="AG368" i="9" s="1"/>
  <c r="AE369" i="9"/>
  <c r="AG369" i="9" s="1"/>
  <c r="AE370" i="9"/>
  <c r="AG370" i="9" s="1"/>
  <c r="AE371" i="9"/>
  <c r="AG371" i="9" s="1"/>
  <c r="AE372" i="9"/>
  <c r="AG372" i="9" s="1"/>
  <c r="AE373" i="9"/>
  <c r="AG373" i="9" s="1"/>
  <c r="AE374" i="9"/>
  <c r="AG374" i="9" s="1"/>
  <c r="AE375" i="9"/>
  <c r="AG375" i="9" s="1"/>
  <c r="AE376" i="9"/>
  <c r="AG376" i="9" s="1"/>
  <c r="AE377" i="9"/>
  <c r="AG377" i="9" s="1"/>
  <c r="AE378" i="9"/>
  <c r="AG378" i="9" s="1"/>
  <c r="AE379" i="9"/>
  <c r="AG379" i="9" s="1"/>
  <c r="AE380" i="9"/>
  <c r="AG380" i="9" s="1"/>
  <c r="AE381" i="9"/>
  <c r="AG381" i="9" s="1"/>
  <c r="AE382" i="9"/>
  <c r="AG382" i="9" s="1"/>
  <c r="AE383" i="9"/>
  <c r="AG383" i="9" s="1"/>
  <c r="AE384" i="9"/>
  <c r="AG384" i="9" s="1"/>
  <c r="AE385" i="9"/>
  <c r="AG385" i="9" s="1"/>
  <c r="AE386" i="9"/>
  <c r="AG386" i="9" s="1"/>
  <c r="AE387" i="9"/>
  <c r="AG387" i="9" s="1"/>
  <c r="AE388" i="9"/>
  <c r="AG388" i="9" s="1"/>
  <c r="AE389" i="9"/>
  <c r="AG389" i="9" s="1"/>
  <c r="AE390" i="9"/>
  <c r="AG390" i="9" s="1"/>
  <c r="AE391" i="9"/>
  <c r="AG391" i="9" s="1"/>
  <c r="AE392" i="9"/>
  <c r="AG392" i="9" s="1"/>
  <c r="AE393" i="9"/>
  <c r="AG393" i="9" s="1"/>
  <c r="AE394" i="9"/>
  <c r="AG394" i="9" s="1"/>
  <c r="AE395" i="9"/>
  <c r="AG395" i="9" s="1"/>
  <c r="AE396" i="9"/>
  <c r="AG396" i="9" s="1"/>
  <c r="AE397" i="9"/>
  <c r="AG397" i="9" s="1"/>
  <c r="AE398" i="9"/>
  <c r="AG398" i="9" s="1"/>
  <c r="AE399" i="9"/>
  <c r="AG399" i="9" s="1"/>
  <c r="AE400" i="9"/>
  <c r="AG400" i="9" s="1"/>
  <c r="AE401" i="9"/>
  <c r="AG401" i="9" s="1"/>
  <c r="AE402" i="9"/>
  <c r="AG402" i="9" s="1"/>
  <c r="AE403" i="9"/>
  <c r="AG403" i="9" s="1"/>
  <c r="AE404" i="9"/>
  <c r="AG404" i="9" s="1"/>
  <c r="AE405" i="9"/>
  <c r="AG405" i="9" s="1"/>
  <c r="AE406" i="9"/>
  <c r="AG406" i="9" s="1"/>
  <c r="AE407" i="9"/>
  <c r="AG407" i="9" s="1"/>
  <c r="AE408" i="9"/>
  <c r="AG408" i="9" s="1"/>
  <c r="AE409" i="9"/>
  <c r="AG409" i="9" s="1"/>
  <c r="AE410" i="9"/>
  <c r="AG410" i="9" s="1"/>
  <c r="AE411" i="9"/>
  <c r="AG411" i="9" s="1"/>
  <c r="AE412" i="9"/>
  <c r="AG412" i="9" s="1"/>
  <c r="AE413" i="9"/>
  <c r="AG413" i="9" s="1"/>
  <c r="AE414" i="9"/>
  <c r="AG414" i="9" s="1"/>
  <c r="AE415" i="9"/>
  <c r="AG415" i="9" s="1"/>
  <c r="AE416" i="9"/>
  <c r="AG416" i="9" s="1"/>
  <c r="AE417" i="9"/>
  <c r="AG417" i="9" s="1"/>
  <c r="AE418" i="9"/>
  <c r="AG418" i="9" s="1"/>
  <c r="AE419" i="9"/>
  <c r="AG419" i="9" s="1"/>
  <c r="AE420" i="9"/>
  <c r="AG420" i="9" s="1"/>
  <c r="AE421" i="9"/>
  <c r="AG421" i="9" s="1"/>
  <c r="AE422" i="9"/>
  <c r="AG422" i="9" s="1"/>
  <c r="AE423" i="9"/>
  <c r="AG423" i="9" s="1"/>
  <c r="AE424" i="9"/>
  <c r="AG424" i="9" s="1"/>
  <c r="AE425" i="9"/>
  <c r="AG425" i="9" s="1"/>
  <c r="AE426" i="9"/>
  <c r="AG426" i="9" s="1"/>
  <c r="AE427" i="9"/>
  <c r="AG427" i="9" s="1"/>
  <c r="AE428" i="9"/>
  <c r="AG428" i="9" s="1"/>
  <c r="AE429" i="9"/>
  <c r="AG429" i="9" s="1"/>
  <c r="AE430" i="9"/>
  <c r="AG430" i="9" s="1"/>
  <c r="AE431" i="9"/>
  <c r="AG431" i="9" s="1"/>
  <c r="AE432" i="9"/>
  <c r="AG432" i="9" s="1"/>
  <c r="AE433" i="9"/>
  <c r="AG433" i="9" s="1"/>
  <c r="AE434" i="9"/>
  <c r="AG434" i="9" s="1"/>
  <c r="AE435" i="9"/>
  <c r="AG435" i="9" s="1"/>
  <c r="AE436" i="9"/>
  <c r="AG436" i="9" s="1"/>
  <c r="AE437" i="9"/>
  <c r="AG437" i="9" s="1"/>
  <c r="AE438" i="9"/>
  <c r="AG438" i="9" s="1"/>
  <c r="AE439" i="9"/>
  <c r="AG439" i="9" s="1"/>
  <c r="AE440" i="9"/>
  <c r="AG440" i="9" s="1"/>
  <c r="AE441" i="9"/>
  <c r="AG441" i="9" s="1"/>
  <c r="AE442" i="9"/>
  <c r="AG442" i="9" s="1"/>
  <c r="AE443" i="9"/>
  <c r="AG443" i="9" s="1"/>
  <c r="AE444" i="9"/>
  <c r="AG444" i="9" s="1"/>
  <c r="AE445" i="9"/>
  <c r="AG445" i="9" s="1"/>
  <c r="AE446" i="9"/>
  <c r="AG446" i="9" s="1"/>
  <c r="AE447" i="9"/>
  <c r="AG447" i="9" s="1"/>
  <c r="AE448" i="9"/>
  <c r="AG448" i="9" s="1"/>
  <c r="AE449" i="9"/>
  <c r="AG449" i="9" s="1"/>
  <c r="AE450" i="9"/>
  <c r="AG450" i="9" s="1"/>
  <c r="AE451" i="9"/>
  <c r="AG451" i="9" s="1"/>
  <c r="AE452" i="9"/>
  <c r="AG452" i="9" s="1"/>
  <c r="AE453" i="9"/>
  <c r="AG453" i="9" s="1"/>
  <c r="AE454" i="9"/>
  <c r="AG454" i="9" s="1"/>
  <c r="AE455" i="9"/>
  <c r="AG455" i="9" s="1"/>
  <c r="AE456" i="9"/>
  <c r="AG456" i="9" s="1"/>
  <c r="AE457" i="9"/>
  <c r="AG457" i="9" s="1"/>
  <c r="AE458" i="9"/>
  <c r="AG458" i="9" s="1"/>
  <c r="AE459" i="9"/>
  <c r="AG459" i="9" s="1"/>
  <c r="AE460" i="9"/>
  <c r="AG460" i="9" s="1"/>
  <c r="AE461" i="9"/>
  <c r="AG461" i="9" s="1"/>
  <c r="AE462" i="9"/>
  <c r="AG462" i="9" s="1"/>
  <c r="AE463" i="9"/>
  <c r="AG463" i="9" s="1"/>
  <c r="AE464" i="9"/>
  <c r="AG464" i="9" s="1"/>
  <c r="AE465" i="9"/>
  <c r="AG465" i="9" s="1"/>
  <c r="AE466" i="9"/>
  <c r="AG466" i="9" s="1"/>
  <c r="AE467" i="9"/>
  <c r="AG467" i="9" s="1"/>
  <c r="AE468" i="9"/>
  <c r="AG468" i="9" s="1"/>
  <c r="AE469" i="9"/>
  <c r="AG469" i="9" s="1"/>
  <c r="AE470" i="9"/>
  <c r="AG470" i="9" s="1"/>
  <c r="AE471" i="9"/>
  <c r="AG471" i="9" s="1"/>
  <c r="AE472" i="9"/>
  <c r="AG472" i="9" s="1"/>
  <c r="AE473" i="9"/>
  <c r="AG473" i="9" s="1"/>
  <c r="AE474" i="9"/>
  <c r="AG474" i="9" s="1"/>
  <c r="AE475" i="9"/>
  <c r="AG475" i="9" s="1"/>
  <c r="AE476" i="9"/>
  <c r="AG476" i="9" s="1"/>
  <c r="AE477" i="9"/>
  <c r="AG477" i="9" s="1"/>
  <c r="AE478" i="9"/>
  <c r="AG478" i="9" s="1"/>
  <c r="AE479" i="9"/>
  <c r="AG479" i="9" s="1"/>
  <c r="AE480" i="9"/>
  <c r="AG480" i="9" s="1"/>
  <c r="AE481" i="9"/>
  <c r="AG481" i="9" s="1"/>
  <c r="AE482" i="9"/>
  <c r="AG482" i="9" s="1"/>
  <c r="AE483" i="9"/>
  <c r="AG483" i="9" s="1"/>
  <c r="AE484" i="9"/>
  <c r="AG484" i="9" s="1"/>
  <c r="AE485" i="9"/>
  <c r="AG485" i="9" s="1"/>
  <c r="AE486" i="9"/>
  <c r="AG486" i="9" s="1"/>
  <c r="AE487" i="9"/>
  <c r="AG487" i="9" s="1"/>
  <c r="AE488" i="9"/>
  <c r="AG488" i="9" s="1"/>
  <c r="AE489" i="9"/>
  <c r="AG489" i="9" s="1"/>
  <c r="AE490" i="9"/>
  <c r="AG490" i="9" s="1"/>
  <c r="AE491" i="9"/>
  <c r="AG491" i="9" s="1"/>
  <c r="AE492" i="9"/>
  <c r="AG492" i="9" s="1"/>
  <c r="AE493" i="9"/>
  <c r="AG493" i="9" s="1"/>
  <c r="AE494" i="9"/>
  <c r="AG494" i="9" s="1"/>
  <c r="AE495" i="9"/>
  <c r="AG495" i="9" s="1"/>
  <c r="AE496" i="9"/>
  <c r="AG496" i="9" s="1"/>
  <c r="AE497" i="9"/>
  <c r="AG497" i="9" s="1"/>
  <c r="AE498" i="9"/>
  <c r="AG498" i="9" s="1"/>
  <c r="AE499" i="9"/>
  <c r="AG499" i="9" s="1"/>
  <c r="AE500" i="9"/>
  <c r="AG500" i="9" s="1"/>
  <c r="AE501" i="9"/>
  <c r="AG501" i="9" s="1"/>
  <c r="AE502" i="9"/>
  <c r="AG502" i="9" s="1"/>
  <c r="AE503" i="9"/>
  <c r="AG503" i="9" s="1"/>
  <c r="AE504" i="9"/>
  <c r="AG504" i="9" s="1"/>
  <c r="AE505" i="9"/>
  <c r="AG505" i="9" s="1"/>
  <c r="AE506" i="9"/>
  <c r="AG506" i="9" s="1"/>
  <c r="AE507" i="9"/>
  <c r="AG507" i="9" s="1"/>
  <c r="AE508" i="9"/>
  <c r="AG508" i="9" s="1"/>
  <c r="AE509" i="9"/>
  <c r="AG509" i="9" s="1"/>
  <c r="AE510" i="9"/>
  <c r="AG510" i="9" s="1"/>
  <c r="AE511" i="9"/>
  <c r="AG511" i="9" s="1"/>
  <c r="AE512" i="9"/>
  <c r="AG512" i="9" s="1"/>
  <c r="AE513" i="9"/>
  <c r="AG513" i="9" s="1"/>
  <c r="AE514" i="9"/>
  <c r="AG514" i="9" s="1"/>
  <c r="AE515" i="9"/>
  <c r="AG515" i="9" s="1"/>
  <c r="AE516" i="9"/>
  <c r="AG516" i="9" s="1"/>
  <c r="AE517" i="9"/>
  <c r="AG517" i="9" s="1"/>
  <c r="AE518" i="9"/>
  <c r="AG518" i="9" s="1"/>
  <c r="AE519" i="9"/>
  <c r="AG519" i="9" s="1"/>
  <c r="AE520" i="9"/>
  <c r="AG520" i="9" s="1"/>
  <c r="AE521" i="9"/>
  <c r="AG521" i="9" s="1"/>
  <c r="AE522" i="9"/>
  <c r="AG522" i="9" s="1"/>
  <c r="AE523" i="9"/>
  <c r="AG523" i="9" s="1"/>
  <c r="AE524" i="9"/>
  <c r="AG524" i="9" s="1"/>
  <c r="AE525" i="9"/>
  <c r="AG525" i="9" s="1"/>
  <c r="AE526" i="9"/>
  <c r="AG526" i="9" s="1"/>
  <c r="AE527" i="9"/>
  <c r="AG527" i="9" s="1"/>
  <c r="AE528" i="9"/>
  <c r="AG528" i="9" s="1"/>
  <c r="AE529" i="9"/>
  <c r="AG529" i="9" s="1"/>
  <c r="AE530" i="9"/>
  <c r="AG530" i="9" s="1"/>
  <c r="AE531" i="9"/>
  <c r="AG531" i="9" s="1"/>
  <c r="AE532" i="9"/>
  <c r="AG532" i="9" s="1"/>
  <c r="AE533" i="9"/>
  <c r="AG533" i="9" s="1"/>
  <c r="AE534" i="9"/>
  <c r="AG534" i="9" s="1"/>
  <c r="AE535" i="9"/>
  <c r="AG535" i="9" s="1"/>
  <c r="AE536" i="9"/>
  <c r="AG536" i="9" s="1"/>
  <c r="AE537" i="9"/>
  <c r="AG537" i="9" s="1"/>
  <c r="AE538" i="9"/>
  <c r="AG538" i="9" s="1"/>
  <c r="AE539" i="9"/>
  <c r="AG539" i="9" s="1"/>
  <c r="AE540" i="9"/>
  <c r="AG540" i="9" s="1"/>
  <c r="AE541" i="9"/>
  <c r="AG541" i="9" s="1"/>
  <c r="AE542" i="9"/>
  <c r="AG542" i="9" s="1"/>
  <c r="AE543" i="9"/>
  <c r="AG543" i="9" s="1"/>
  <c r="AE544" i="9"/>
  <c r="AG544" i="9" s="1"/>
  <c r="AE545" i="9"/>
  <c r="AG545" i="9" s="1"/>
  <c r="AE546" i="9"/>
  <c r="AG546" i="9" s="1"/>
  <c r="AE547" i="9"/>
  <c r="AG547" i="9" s="1"/>
  <c r="AE548" i="9"/>
  <c r="AG548" i="9" s="1"/>
  <c r="AE549" i="9"/>
  <c r="AG549" i="9" s="1"/>
  <c r="AE550" i="9"/>
  <c r="AG550" i="9" s="1"/>
  <c r="AE551" i="9"/>
  <c r="AG551" i="9" s="1"/>
  <c r="AE552" i="9"/>
  <c r="AG552" i="9" s="1"/>
  <c r="AE553" i="9"/>
  <c r="AG553" i="9" s="1"/>
  <c r="AE554" i="9"/>
  <c r="AG554" i="9" s="1"/>
  <c r="AE555" i="9"/>
  <c r="AG555" i="9" s="1"/>
  <c r="AE556" i="9"/>
  <c r="AG556" i="9" s="1"/>
  <c r="AE557" i="9"/>
  <c r="AG557" i="9" s="1"/>
  <c r="AE558" i="9"/>
  <c r="AG558" i="9" s="1"/>
  <c r="AE559" i="9"/>
  <c r="AG559" i="9" s="1"/>
  <c r="AE560" i="9"/>
  <c r="AG560" i="9" s="1"/>
  <c r="AE561" i="9"/>
  <c r="AG561" i="9" s="1"/>
  <c r="AE562" i="9"/>
  <c r="AG562" i="9" s="1"/>
  <c r="AE563" i="9"/>
  <c r="AG563" i="9" s="1"/>
  <c r="AE564" i="9"/>
  <c r="AG564" i="9" s="1"/>
  <c r="AE565" i="9"/>
  <c r="AG565" i="9" s="1"/>
  <c r="AE566" i="9"/>
  <c r="AG566" i="9" s="1"/>
  <c r="AE567" i="9"/>
  <c r="AG567" i="9" s="1"/>
  <c r="AE568" i="9"/>
  <c r="AG568" i="9" s="1"/>
  <c r="AE569" i="9"/>
  <c r="AG569" i="9" s="1"/>
  <c r="AE570" i="9"/>
  <c r="AG570" i="9" s="1"/>
  <c r="AE571" i="9"/>
  <c r="AG571" i="9" s="1"/>
  <c r="AE572" i="9"/>
  <c r="AG572" i="9" s="1"/>
  <c r="AE573" i="9"/>
  <c r="AG573" i="9" s="1"/>
  <c r="AE574" i="9"/>
  <c r="AG574" i="9" s="1"/>
  <c r="AE575" i="9"/>
  <c r="AG575" i="9" s="1"/>
  <c r="AE576" i="9"/>
  <c r="AG576" i="9" s="1"/>
  <c r="AE577" i="9"/>
  <c r="AG577" i="9" s="1"/>
  <c r="AE578" i="9"/>
  <c r="AG578" i="9" s="1"/>
  <c r="AE579" i="9"/>
  <c r="AG579" i="9" s="1"/>
  <c r="AE580" i="9"/>
  <c r="AG580" i="9" s="1"/>
  <c r="AE581" i="9"/>
  <c r="AG581" i="9" s="1"/>
  <c r="AE582" i="9"/>
  <c r="AG582" i="9" s="1"/>
  <c r="AE583" i="9"/>
  <c r="AG583" i="9" s="1"/>
  <c r="AE584" i="9"/>
  <c r="AG584" i="9" s="1"/>
  <c r="AE585" i="9"/>
  <c r="AG585" i="9" s="1"/>
  <c r="AE586" i="9"/>
  <c r="AG586" i="9" s="1"/>
  <c r="AE587" i="9"/>
  <c r="AG587" i="9" s="1"/>
  <c r="AE588" i="9"/>
  <c r="AG588" i="9" s="1"/>
  <c r="AE589" i="9"/>
  <c r="AG589" i="9" s="1"/>
  <c r="AE590" i="9"/>
  <c r="AG590" i="9" s="1"/>
  <c r="AE591" i="9"/>
  <c r="AG591" i="9" s="1"/>
  <c r="AE592" i="9"/>
  <c r="AG592" i="9" s="1"/>
  <c r="AE593" i="9"/>
  <c r="AG593" i="9" s="1"/>
  <c r="AE594" i="9"/>
  <c r="AG594" i="9" s="1"/>
  <c r="AE595" i="9"/>
  <c r="AG595" i="9" s="1"/>
  <c r="AE596" i="9"/>
  <c r="AG596" i="9" s="1"/>
  <c r="AE597" i="9"/>
  <c r="AG597" i="9" s="1"/>
  <c r="AE598" i="9"/>
  <c r="AG598" i="9" s="1"/>
  <c r="AE599" i="9"/>
  <c r="AG599" i="9" s="1"/>
  <c r="AE600" i="9"/>
  <c r="AG600" i="9" s="1"/>
  <c r="AE601" i="9"/>
  <c r="AG601" i="9" s="1"/>
  <c r="AE602" i="9"/>
  <c r="AG602" i="9" s="1"/>
  <c r="AE603" i="9"/>
  <c r="AG603" i="9" s="1"/>
  <c r="AE604" i="9"/>
  <c r="AG604" i="9" s="1"/>
  <c r="AE605" i="9"/>
  <c r="AG605" i="9" s="1"/>
  <c r="AE606" i="9"/>
  <c r="AG606" i="9" s="1"/>
  <c r="AE607" i="9"/>
  <c r="AG607" i="9" s="1"/>
  <c r="AE608" i="9"/>
  <c r="AG608" i="9" s="1"/>
  <c r="AE609" i="9"/>
  <c r="AG609" i="9" s="1"/>
  <c r="AE610" i="9"/>
  <c r="AG610" i="9" s="1"/>
  <c r="AE611" i="9"/>
  <c r="AG611" i="9" s="1"/>
  <c r="AE612" i="9"/>
  <c r="AG612" i="9" s="1"/>
  <c r="AE613" i="9"/>
  <c r="AG613" i="9" s="1"/>
  <c r="AE614" i="9"/>
  <c r="AG614" i="9" s="1"/>
  <c r="AE615" i="9"/>
  <c r="AG615" i="9" s="1"/>
  <c r="AE616" i="9"/>
  <c r="AG616" i="9" s="1"/>
  <c r="AE617" i="9"/>
  <c r="AG617" i="9" s="1"/>
  <c r="AE618" i="9"/>
  <c r="AG618" i="9" s="1"/>
  <c r="AE619" i="9"/>
  <c r="AG619" i="9" s="1"/>
  <c r="AE620" i="9"/>
  <c r="AG620" i="9" s="1"/>
  <c r="AE621" i="9"/>
  <c r="AG621" i="9" s="1"/>
  <c r="AE622" i="9"/>
  <c r="AG622" i="9" s="1"/>
  <c r="AE623" i="9"/>
  <c r="AG623" i="9" s="1"/>
  <c r="AE624" i="9"/>
  <c r="AG624" i="9" s="1"/>
  <c r="AE625" i="9"/>
  <c r="AG625" i="9" s="1"/>
  <c r="AE626" i="9"/>
  <c r="AG626" i="9" s="1"/>
  <c r="AE627" i="9"/>
  <c r="AG627" i="9" s="1"/>
  <c r="AE628" i="9"/>
  <c r="AG628" i="9" s="1"/>
  <c r="AE629" i="9"/>
  <c r="AG629" i="9" s="1"/>
  <c r="AE630" i="9"/>
  <c r="AG630" i="9" s="1"/>
  <c r="AE631" i="9"/>
  <c r="AG631" i="9" s="1"/>
  <c r="AE632" i="9"/>
  <c r="AG632" i="9" s="1"/>
  <c r="AE633" i="9"/>
  <c r="AG633" i="9" s="1"/>
  <c r="AE634" i="9"/>
  <c r="AG634" i="9" s="1"/>
  <c r="AE635" i="9"/>
  <c r="AG635" i="9" s="1"/>
  <c r="AE636" i="9"/>
  <c r="AG636" i="9" s="1"/>
  <c r="AE637" i="9"/>
  <c r="AG637" i="9" s="1"/>
  <c r="AE638" i="9"/>
  <c r="AG638" i="9" s="1"/>
  <c r="AE639" i="9"/>
  <c r="AG639" i="9" s="1"/>
  <c r="AE640" i="9"/>
  <c r="AG640" i="9" s="1"/>
  <c r="AE641" i="9"/>
  <c r="AG641" i="9" s="1"/>
  <c r="AE642" i="9"/>
  <c r="AG642" i="9" s="1"/>
  <c r="AE643" i="9"/>
  <c r="AG643" i="9" s="1"/>
  <c r="AE644" i="9"/>
  <c r="AG644" i="9" s="1"/>
  <c r="AE645" i="9"/>
  <c r="AG645" i="9" s="1"/>
  <c r="AE646" i="9"/>
  <c r="AG646" i="9" s="1"/>
  <c r="AE647" i="9"/>
  <c r="AG647" i="9" s="1"/>
  <c r="AE648" i="9"/>
  <c r="AG648" i="9" s="1"/>
  <c r="AE649" i="9"/>
  <c r="AG649" i="9" s="1"/>
  <c r="AE650" i="9"/>
  <c r="AG650" i="9" s="1"/>
  <c r="AE651" i="9"/>
  <c r="AG651" i="9" s="1"/>
  <c r="AE652" i="9"/>
  <c r="AG652" i="9" s="1"/>
  <c r="AE653" i="9"/>
  <c r="AG653" i="9" s="1"/>
  <c r="AE654" i="9"/>
  <c r="AG654" i="9" s="1"/>
  <c r="AE655" i="9"/>
  <c r="AG655" i="9" s="1"/>
  <c r="AE656" i="9"/>
  <c r="AG656" i="9" s="1"/>
  <c r="AE657" i="9"/>
  <c r="AG657" i="9" s="1"/>
  <c r="AE658" i="9"/>
  <c r="AG658" i="9" s="1"/>
  <c r="AE659" i="9"/>
  <c r="AG659" i="9" s="1"/>
  <c r="AE660" i="9"/>
  <c r="AG660" i="9" s="1"/>
  <c r="AE661" i="9"/>
  <c r="AG661" i="9" s="1"/>
  <c r="AE662" i="9"/>
  <c r="AG662" i="9" s="1"/>
  <c r="AE663" i="9"/>
  <c r="AG663" i="9" s="1"/>
  <c r="AE664" i="9"/>
  <c r="AG664" i="9" s="1"/>
  <c r="AE665" i="9"/>
  <c r="AG665" i="9" s="1"/>
  <c r="AE666" i="9"/>
  <c r="AG666" i="9" s="1"/>
  <c r="AE667" i="9"/>
  <c r="AG667" i="9" s="1"/>
  <c r="AE668" i="9"/>
  <c r="AG668" i="9" s="1"/>
  <c r="AE669" i="9"/>
  <c r="AG669" i="9" s="1"/>
  <c r="AE670" i="9"/>
  <c r="AG670" i="9" s="1"/>
  <c r="AE671" i="9"/>
  <c r="AG671" i="9" s="1"/>
  <c r="AE672" i="9"/>
  <c r="AG672" i="9" s="1"/>
  <c r="AE673" i="9"/>
  <c r="AG673" i="9" s="1"/>
  <c r="AE674" i="9"/>
  <c r="AG674" i="9" s="1"/>
  <c r="AE675" i="9"/>
  <c r="AG675" i="9" s="1"/>
  <c r="AE676" i="9"/>
  <c r="AG676" i="9" s="1"/>
  <c r="AE677" i="9"/>
  <c r="AG677" i="9" s="1"/>
  <c r="AE678" i="9"/>
  <c r="AG678" i="9" s="1"/>
  <c r="AE679" i="9"/>
  <c r="AG679" i="9" s="1"/>
  <c r="AE680" i="9"/>
  <c r="AG680" i="9" s="1"/>
  <c r="AE681" i="9"/>
  <c r="AG681" i="9" s="1"/>
  <c r="AE682" i="9"/>
  <c r="AG682" i="9" s="1"/>
  <c r="AE683" i="9"/>
  <c r="AG683" i="9" s="1"/>
  <c r="AE684" i="9"/>
  <c r="AG684" i="9" s="1"/>
  <c r="AE685" i="9"/>
  <c r="AG685" i="9" s="1"/>
  <c r="AE686" i="9"/>
  <c r="AG686" i="9" s="1"/>
  <c r="AE687" i="9"/>
  <c r="AG687" i="9" s="1"/>
  <c r="AE688" i="9"/>
  <c r="AG688" i="9" s="1"/>
  <c r="AE689" i="9"/>
  <c r="AG689" i="9" s="1"/>
  <c r="AE690" i="9"/>
  <c r="AG690" i="9" s="1"/>
  <c r="AE691" i="9"/>
  <c r="AG691" i="9" s="1"/>
  <c r="AE692" i="9"/>
  <c r="AG692" i="9" s="1"/>
  <c r="AE693" i="9"/>
  <c r="AG693" i="9" s="1"/>
  <c r="AE694" i="9"/>
  <c r="AG694" i="9" s="1"/>
  <c r="AE695" i="9"/>
  <c r="AG695" i="9" s="1"/>
  <c r="AE696" i="9"/>
  <c r="AG696" i="9" s="1"/>
  <c r="AE697" i="9"/>
  <c r="AG697" i="9" s="1"/>
  <c r="AE698" i="9"/>
  <c r="AG698" i="9" s="1"/>
  <c r="AE699" i="9"/>
  <c r="AG699" i="9" s="1"/>
  <c r="AE700" i="9"/>
  <c r="AG700" i="9" s="1"/>
  <c r="AE701" i="9"/>
  <c r="AG701" i="9" s="1"/>
  <c r="AE702" i="9"/>
  <c r="AG702" i="9" s="1"/>
  <c r="AE703" i="9"/>
  <c r="AG703" i="9" s="1"/>
  <c r="AE704" i="9"/>
  <c r="AG704" i="9" s="1"/>
  <c r="AE705" i="9"/>
  <c r="AG705" i="9" s="1"/>
  <c r="AE706" i="9"/>
  <c r="AG706" i="9" s="1"/>
  <c r="AE707" i="9"/>
  <c r="AG707" i="9" s="1"/>
  <c r="AE708" i="9"/>
  <c r="AG708" i="9" s="1"/>
  <c r="AE709" i="9"/>
  <c r="AG709" i="9" s="1"/>
  <c r="AE710" i="9"/>
  <c r="AG710" i="9" s="1"/>
  <c r="AE711" i="9"/>
  <c r="AG711" i="9" s="1"/>
  <c r="AE712" i="9"/>
  <c r="AG712" i="9" s="1"/>
  <c r="AE713" i="9"/>
  <c r="AG713" i="9" s="1"/>
  <c r="AE714" i="9"/>
  <c r="AG714" i="9" s="1"/>
  <c r="AE715" i="9"/>
  <c r="AG715" i="9" s="1"/>
  <c r="AE716" i="9"/>
  <c r="AG716" i="9" s="1"/>
  <c r="AE717" i="9"/>
  <c r="AG717" i="9" s="1"/>
  <c r="AE718" i="9"/>
  <c r="AG718" i="9" s="1"/>
  <c r="AE719" i="9"/>
  <c r="AG719" i="9" s="1"/>
  <c r="AE720" i="9"/>
  <c r="AG720" i="9" s="1"/>
  <c r="AE721" i="9"/>
  <c r="AG721" i="9" s="1"/>
  <c r="AE722" i="9"/>
  <c r="AG722" i="9" s="1"/>
  <c r="AE723" i="9"/>
  <c r="AG723" i="9" s="1"/>
  <c r="AE724" i="9"/>
  <c r="AG724" i="9" s="1"/>
  <c r="AE725" i="9"/>
  <c r="AG725" i="9" s="1"/>
  <c r="AE726" i="9"/>
  <c r="AG726" i="9" s="1"/>
  <c r="AE727" i="9"/>
  <c r="AG727" i="9" s="1"/>
  <c r="AE728" i="9"/>
  <c r="AG728" i="9" s="1"/>
  <c r="AE729" i="9"/>
  <c r="AG729" i="9" s="1"/>
  <c r="AE730" i="9"/>
  <c r="AG730" i="9" s="1"/>
  <c r="AE731" i="9"/>
  <c r="AG731" i="9" s="1"/>
  <c r="AE732" i="9"/>
  <c r="AG732" i="9" s="1"/>
  <c r="AE733" i="9"/>
  <c r="AG733" i="9" s="1"/>
  <c r="AE734" i="9"/>
  <c r="AG734" i="9" s="1"/>
  <c r="AE735" i="9"/>
  <c r="AG735" i="9" s="1"/>
  <c r="AE736" i="9"/>
  <c r="AG736" i="9" s="1"/>
  <c r="AE737" i="9"/>
  <c r="AG737" i="9" s="1"/>
  <c r="AE738" i="9"/>
  <c r="AG738" i="9" s="1"/>
  <c r="AE739" i="9"/>
  <c r="AG739" i="9" s="1"/>
  <c r="AE740" i="9"/>
  <c r="AG740" i="9" s="1"/>
  <c r="AE741" i="9"/>
  <c r="AG741" i="9" s="1"/>
  <c r="AE742" i="9"/>
  <c r="AG742" i="9" s="1"/>
  <c r="AE743" i="9"/>
  <c r="AG743" i="9" s="1"/>
  <c r="AE744" i="9"/>
  <c r="AG744" i="9" s="1"/>
  <c r="AE745" i="9"/>
  <c r="AG745" i="9" s="1"/>
  <c r="AE746" i="9"/>
  <c r="AG746" i="9" s="1"/>
  <c r="AE747" i="9"/>
  <c r="AG747" i="9" s="1"/>
  <c r="AE748" i="9"/>
  <c r="AG748" i="9" s="1"/>
  <c r="AE749" i="9"/>
  <c r="AG749" i="9" s="1"/>
  <c r="AE750" i="9"/>
  <c r="AG750" i="9" s="1"/>
  <c r="AE751" i="9"/>
  <c r="AG751" i="9" s="1"/>
  <c r="AE752" i="9"/>
  <c r="AG752" i="9" s="1"/>
  <c r="AE753" i="9"/>
  <c r="AG753" i="9" s="1"/>
  <c r="AE754" i="9"/>
  <c r="AG754" i="9" s="1"/>
  <c r="AE755" i="9"/>
  <c r="AG755" i="9" s="1"/>
  <c r="AE756" i="9"/>
  <c r="AG756" i="9" s="1"/>
  <c r="AE757" i="9"/>
  <c r="AG757" i="9" s="1"/>
  <c r="AE758" i="9"/>
  <c r="AG758" i="9" s="1"/>
  <c r="AE759" i="9"/>
  <c r="AG759" i="9" s="1"/>
  <c r="AE760" i="9"/>
  <c r="AG760" i="9" s="1"/>
  <c r="AE761" i="9"/>
  <c r="AG761" i="9" s="1"/>
  <c r="AE762" i="9"/>
  <c r="AG762" i="9" s="1"/>
  <c r="AE763" i="9"/>
  <c r="AG763" i="9" s="1"/>
  <c r="AE764" i="9"/>
  <c r="AG764" i="9" s="1"/>
  <c r="AE765" i="9"/>
  <c r="AG765" i="9" s="1"/>
  <c r="AE766" i="9"/>
  <c r="AG766" i="9" s="1"/>
  <c r="AE767" i="9"/>
  <c r="AG767" i="9" s="1"/>
  <c r="AE768" i="9"/>
  <c r="AG768" i="9" s="1"/>
  <c r="AE769" i="9"/>
  <c r="AG769" i="9" s="1"/>
  <c r="AE770" i="9"/>
  <c r="AG770" i="9" s="1"/>
  <c r="AE771" i="9"/>
  <c r="AG771" i="9" s="1"/>
  <c r="AE772" i="9"/>
  <c r="AG772" i="9" s="1"/>
  <c r="AE773" i="9"/>
  <c r="AG773" i="9" s="1"/>
  <c r="AE774" i="9"/>
  <c r="AG774" i="9" s="1"/>
  <c r="AE775" i="9"/>
  <c r="AG775" i="9" s="1"/>
  <c r="AE776" i="9"/>
  <c r="AG776" i="9" s="1"/>
  <c r="AE777" i="9"/>
  <c r="AG777" i="9" s="1"/>
  <c r="AE778" i="9"/>
  <c r="AG778" i="9" s="1"/>
  <c r="AE779" i="9"/>
  <c r="AG779" i="9" s="1"/>
  <c r="AE780" i="9"/>
  <c r="AG780" i="9" s="1"/>
  <c r="AE781" i="9"/>
  <c r="AG781" i="9" s="1"/>
  <c r="AE782" i="9"/>
  <c r="AG782" i="9" s="1"/>
  <c r="AE783" i="9"/>
  <c r="AG783" i="9" s="1"/>
  <c r="AE784" i="9"/>
  <c r="AG784" i="9" s="1"/>
  <c r="AE785" i="9"/>
  <c r="AG785" i="9" s="1"/>
  <c r="AE786" i="9"/>
  <c r="AG786" i="9" s="1"/>
  <c r="AE787" i="9"/>
  <c r="AG787" i="9" s="1"/>
  <c r="AE788" i="9"/>
  <c r="AG788" i="9" s="1"/>
  <c r="AE789" i="9"/>
  <c r="AG789" i="9" s="1"/>
  <c r="AE790" i="9"/>
  <c r="AG790" i="9" s="1"/>
  <c r="AE791" i="9"/>
  <c r="AG791" i="9" s="1"/>
  <c r="AE792" i="9"/>
  <c r="AG792" i="9" s="1"/>
  <c r="AE793" i="9"/>
  <c r="AG793" i="9" s="1"/>
  <c r="AE794" i="9"/>
  <c r="AG794" i="9" s="1"/>
  <c r="AE795" i="9"/>
  <c r="AG795" i="9" s="1"/>
  <c r="AE796" i="9"/>
  <c r="AG796" i="9" s="1"/>
  <c r="AE797" i="9"/>
  <c r="AG797" i="9" s="1"/>
  <c r="AE798" i="9"/>
  <c r="AG798" i="9" s="1"/>
  <c r="AE799" i="9"/>
  <c r="AG799" i="9" s="1"/>
  <c r="AE800" i="9"/>
  <c r="AG800" i="9" s="1"/>
  <c r="AE801" i="9"/>
  <c r="AG801" i="9" s="1"/>
  <c r="AE802" i="9"/>
  <c r="AG802" i="9" s="1"/>
  <c r="AE803" i="9"/>
  <c r="AG803" i="9" s="1"/>
  <c r="AE804" i="9"/>
  <c r="AG804" i="9" s="1"/>
  <c r="AE805" i="9"/>
  <c r="AG805" i="9" s="1"/>
  <c r="AE806" i="9"/>
  <c r="AG806" i="9" s="1"/>
  <c r="AE807" i="9"/>
  <c r="AG807" i="9" s="1"/>
  <c r="AE808" i="9"/>
  <c r="AG808" i="9" s="1"/>
  <c r="AE809" i="9"/>
  <c r="AG809" i="9" s="1"/>
  <c r="AE810" i="9"/>
  <c r="AG810" i="9" s="1"/>
  <c r="AE811" i="9"/>
  <c r="AG811" i="9" s="1"/>
  <c r="AE812" i="9"/>
  <c r="AG812" i="9" s="1"/>
  <c r="AE813" i="9"/>
  <c r="AG813" i="9" s="1"/>
  <c r="AE814" i="9"/>
  <c r="AG814" i="9" s="1"/>
  <c r="AE815" i="9"/>
  <c r="AG815" i="9" s="1"/>
  <c r="AE816" i="9"/>
  <c r="AG816" i="9" s="1"/>
  <c r="AE817" i="9"/>
  <c r="AG817" i="9" s="1"/>
  <c r="AE818" i="9"/>
  <c r="AG818" i="9" s="1"/>
  <c r="AE819" i="9"/>
  <c r="AG819" i="9" s="1"/>
  <c r="AE820" i="9"/>
  <c r="AG820" i="9" s="1"/>
  <c r="AE821" i="9"/>
  <c r="AG821" i="9" s="1"/>
  <c r="AE822" i="9"/>
  <c r="AG822" i="9" s="1"/>
  <c r="AE823" i="9"/>
  <c r="AG823" i="9" s="1"/>
  <c r="AE824" i="9"/>
  <c r="AG824" i="9" s="1"/>
  <c r="AE825" i="9"/>
  <c r="AG825" i="9" s="1"/>
  <c r="AE826" i="9"/>
  <c r="AG826" i="9" s="1"/>
  <c r="AE827" i="9"/>
  <c r="AG827" i="9" s="1"/>
  <c r="AE828" i="9"/>
  <c r="AG828" i="9" s="1"/>
  <c r="AE829" i="9"/>
  <c r="AG829" i="9" s="1"/>
  <c r="AE830" i="9"/>
  <c r="AG830" i="9" s="1"/>
  <c r="AE831" i="9"/>
  <c r="AG831" i="9" s="1"/>
  <c r="AE832" i="9"/>
  <c r="AG832" i="9" s="1"/>
  <c r="AE833" i="9"/>
  <c r="AG833" i="9" s="1"/>
  <c r="AE834" i="9"/>
  <c r="AG834" i="9" s="1"/>
  <c r="AE835" i="9"/>
  <c r="AG835" i="9" s="1"/>
  <c r="AE836" i="9"/>
  <c r="AG836" i="9" s="1"/>
  <c r="AE837" i="9"/>
  <c r="AG837" i="9" s="1"/>
  <c r="AE838" i="9"/>
  <c r="AG838" i="9" s="1"/>
  <c r="AE839" i="9"/>
  <c r="AG839" i="9" s="1"/>
  <c r="AE840" i="9"/>
  <c r="AG840" i="9" s="1"/>
  <c r="AE841" i="9"/>
  <c r="AG841" i="9" s="1"/>
  <c r="AE842" i="9"/>
  <c r="AG842" i="9" s="1"/>
  <c r="AE843" i="9"/>
  <c r="AG843" i="9" s="1"/>
  <c r="AE844" i="9"/>
  <c r="AG844" i="9" s="1"/>
  <c r="AE845" i="9"/>
  <c r="AG845" i="9" s="1"/>
  <c r="AE846" i="9"/>
  <c r="AG846" i="9" s="1"/>
  <c r="AE847" i="9"/>
  <c r="AG847" i="9" s="1"/>
  <c r="AE848" i="9"/>
  <c r="AG848" i="9" s="1"/>
  <c r="AE849" i="9"/>
  <c r="AG849" i="9" s="1"/>
  <c r="AE850" i="9"/>
  <c r="AG850" i="9" s="1"/>
  <c r="AE851" i="9"/>
  <c r="AG851" i="9" s="1"/>
  <c r="AE852" i="9"/>
  <c r="AG852" i="9" s="1"/>
  <c r="AE853" i="9"/>
  <c r="AG853" i="9" s="1"/>
  <c r="AE854" i="9"/>
  <c r="AG854" i="9" s="1"/>
  <c r="AE855" i="9"/>
  <c r="AG855" i="9" s="1"/>
  <c r="AE856" i="9"/>
  <c r="AG856" i="9" s="1"/>
  <c r="AE857" i="9"/>
  <c r="AG857" i="9" s="1"/>
  <c r="AE858" i="9"/>
  <c r="AG858" i="9" s="1"/>
  <c r="AE859" i="9"/>
  <c r="AG859" i="9" s="1"/>
  <c r="AE860" i="9"/>
  <c r="AG860" i="9" s="1"/>
  <c r="AE861" i="9"/>
  <c r="AG861" i="9" s="1"/>
  <c r="AE862" i="9"/>
  <c r="AG862" i="9" s="1"/>
  <c r="AE863" i="9"/>
  <c r="AG863" i="9" s="1"/>
  <c r="AE864" i="9"/>
  <c r="AG864" i="9" s="1"/>
  <c r="AE865" i="9"/>
  <c r="AG865" i="9" s="1"/>
  <c r="AE866" i="9"/>
  <c r="AG866" i="9" s="1"/>
  <c r="AE867" i="9"/>
  <c r="AG867" i="9" s="1"/>
  <c r="AE868" i="9"/>
  <c r="AG868" i="9" s="1"/>
  <c r="AE869" i="9"/>
  <c r="AG869" i="9" s="1"/>
  <c r="AE870" i="9"/>
  <c r="AG870" i="9" s="1"/>
  <c r="AE871" i="9"/>
  <c r="AG871" i="9" s="1"/>
  <c r="AE872" i="9"/>
  <c r="AG872" i="9" s="1"/>
  <c r="AE873" i="9"/>
  <c r="AG873" i="9" s="1"/>
  <c r="AE874" i="9"/>
  <c r="AG874" i="9" s="1"/>
  <c r="AE875" i="9"/>
  <c r="AG875" i="9" s="1"/>
  <c r="AE876" i="9"/>
  <c r="AG876" i="9" s="1"/>
  <c r="AE877" i="9"/>
  <c r="AG877" i="9" s="1"/>
  <c r="AE878" i="9"/>
  <c r="AG878" i="9" s="1"/>
  <c r="AE879" i="9"/>
  <c r="AG879" i="9" s="1"/>
  <c r="AE880" i="9"/>
  <c r="AG880" i="9" s="1"/>
  <c r="AE881" i="9"/>
  <c r="AG881" i="9" s="1"/>
  <c r="AE882" i="9"/>
  <c r="AG882" i="9" s="1"/>
  <c r="AE883" i="9"/>
  <c r="AG883" i="9" s="1"/>
  <c r="AE884" i="9"/>
  <c r="AG884" i="9" s="1"/>
  <c r="AE885" i="9"/>
  <c r="AG885" i="9" s="1"/>
  <c r="AE886" i="9"/>
  <c r="AG886" i="9" s="1"/>
  <c r="AE887" i="9"/>
  <c r="AG887" i="9" s="1"/>
  <c r="AE888" i="9"/>
  <c r="AG888" i="9" s="1"/>
  <c r="AE889" i="9"/>
  <c r="AG889" i="9" s="1"/>
  <c r="AE890" i="9"/>
  <c r="AG890" i="9" s="1"/>
  <c r="AE891" i="9"/>
  <c r="AG891" i="9" s="1"/>
  <c r="AE892" i="9"/>
  <c r="AG892" i="9" s="1"/>
  <c r="AE893" i="9"/>
  <c r="AG893" i="9" s="1"/>
  <c r="AE894" i="9"/>
  <c r="AG894" i="9" s="1"/>
  <c r="AE895" i="9"/>
  <c r="AG895" i="9" s="1"/>
  <c r="AE896" i="9"/>
  <c r="AG896" i="9" s="1"/>
  <c r="AE897" i="9"/>
  <c r="AG897" i="9" s="1"/>
  <c r="AE898" i="9"/>
  <c r="AG898" i="9" s="1"/>
  <c r="AE899" i="9"/>
  <c r="AG899" i="9" s="1"/>
  <c r="AE900" i="9"/>
  <c r="AG900" i="9" s="1"/>
  <c r="AE901" i="9"/>
  <c r="AG901" i="9" s="1"/>
  <c r="AE902" i="9"/>
  <c r="AG902" i="9" s="1"/>
  <c r="AE903" i="9"/>
  <c r="AG903" i="9" s="1"/>
  <c r="AE904" i="9"/>
  <c r="AG904" i="9" s="1"/>
  <c r="AE905" i="9"/>
  <c r="AG905" i="9" s="1"/>
  <c r="AE906" i="9"/>
  <c r="AG906" i="9" s="1"/>
  <c r="AE907" i="9"/>
  <c r="AG907" i="9" s="1"/>
  <c r="AE908" i="9"/>
  <c r="AG908" i="9" s="1"/>
  <c r="AE909" i="9"/>
  <c r="AG909" i="9" s="1"/>
  <c r="AE910" i="9"/>
  <c r="AG910" i="9" s="1"/>
  <c r="AE911" i="9"/>
  <c r="AG911" i="9" s="1"/>
  <c r="AE912" i="9"/>
  <c r="AG912" i="9" s="1"/>
  <c r="AE913" i="9"/>
  <c r="AG913" i="9" s="1"/>
  <c r="AE914" i="9"/>
  <c r="AG914" i="9" s="1"/>
  <c r="AE915" i="9"/>
  <c r="AG915" i="9" s="1"/>
  <c r="AE916" i="9"/>
  <c r="AG916" i="9" s="1"/>
  <c r="AE917" i="9"/>
  <c r="AG917" i="9" s="1"/>
  <c r="AE918" i="9"/>
  <c r="AG918" i="9" s="1"/>
  <c r="AE919" i="9"/>
  <c r="AG919" i="9" s="1"/>
  <c r="AE920" i="9"/>
  <c r="AG920" i="9" s="1"/>
  <c r="AE921" i="9"/>
  <c r="AG921" i="9" s="1"/>
  <c r="AE922" i="9"/>
  <c r="AG922" i="9" s="1"/>
  <c r="AE923" i="9"/>
  <c r="AG923" i="9" s="1"/>
  <c r="AE924" i="9"/>
  <c r="AG924" i="9" s="1"/>
  <c r="AE925" i="9"/>
  <c r="AG925" i="9" s="1"/>
  <c r="AE926" i="9"/>
  <c r="AG926" i="9" s="1"/>
  <c r="AE927" i="9"/>
  <c r="AG927" i="9" s="1"/>
  <c r="AE928" i="9"/>
  <c r="AG928" i="9" s="1"/>
  <c r="AE929" i="9"/>
  <c r="AG929" i="9" s="1"/>
  <c r="AE930" i="9"/>
  <c r="AG930" i="9" s="1"/>
  <c r="AE931" i="9"/>
  <c r="AG931" i="9" s="1"/>
  <c r="AE932" i="9"/>
  <c r="AG932" i="9" s="1"/>
  <c r="AE933" i="9"/>
  <c r="AG933" i="9" s="1"/>
  <c r="AE934" i="9"/>
  <c r="AG934" i="9" s="1"/>
  <c r="AE935" i="9"/>
  <c r="AG935" i="9" s="1"/>
  <c r="AE936" i="9"/>
  <c r="AG936" i="9" s="1"/>
  <c r="AE937" i="9"/>
  <c r="AG937" i="9" s="1"/>
  <c r="AE938" i="9"/>
  <c r="AG938" i="9" s="1"/>
  <c r="AE939" i="9"/>
  <c r="AG939" i="9" s="1"/>
  <c r="AE940" i="9"/>
  <c r="AG940" i="9" s="1"/>
  <c r="AE941" i="9"/>
  <c r="AG941" i="9" s="1"/>
  <c r="AE942" i="9"/>
  <c r="AG942" i="9" s="1"/>
  <c r="AE943" i="9"/>
  <c r="AG943" i="9" s="1"/>
  <c r="AE944" i="9"/>
  <c r="AG944" i="9" s="1"/>
  <c r="AE945" i="9"/>
  <c r="AG945" i="9" s="1"/>
  <c r="AE946" i="9"/>
  <c r="AG946" i="9" s="1"/>
  <c r="AE947" i="9"/>
  <c r="AG947" i="9" s="1"/>
  <c r="AE948" i="9"/>
  <c r="AG948" i="9" s="1"/>
  <c r="AE949" i="9"/>
  <c r="AG949" i="9" s="1"/>
  <c r="AE950" i="9"/>
  <c r="AG950" i="9" s="1"/>
  <c r="AE951" i="9"/>
  <c r="AG951" i="9" s="1"/>
  <c r="AE952" i="9"/>
  <c r="AG952" i="9" s="1"/>
  <c r="AE953" i="9"/>
  <c r="AG953" i="9" s="1"/>
  <c r="AE954" i="9"/>
  <c r="AG954" i="9" s="1"/>
  <c r="AE955" i="9"/>
  <c r="AG955" i="9" s="1"/>
  <c r="AE956" i="9"/>
  <c r="AG956" i="9" s="1"/>
  <c r="AE957" i="9"/>
  <c r="AG957" i="9" s="1"/>
  <c r="AE958" i="9"/>
  <c r="AG958" i="9" s="1"/>
  <c r="AE959" i="9"/>
  <c r="AG959" i="9" s="1"/>
  <c r="AE960" i="9"/>
  <c r="AG960" i="9" s="1"/>
  <c r="AE961" i="9"/>
  <c r="AG961" i="9" s="1"/>
  <c r="AE962" i="9"/>
  <c r="AG962" i="9" s="1"/>
  <c r="AE963" i="9"/>
  <c r="AG963" i="9" s="1"/>
  <c r="AE964" i="9"/>
  <c r="AG964" i="9" s="1"/>
  <c r="AE965" i="9"/>
  <c r="AG965" i="9" s="1"/>
  <c r="AE966" i="9"/>
  <c r="AG966" i="9" s="1"/>
  <c r="AE967" i="9"/>
  <c r="AG967" i="9" s="1"/>
  <c r="AE968" i="9"/>
  <c r="AG968" i="9" s="1"/>
  <c r="AE969" i="9"/>
  <c r="AG969" i="9" s="1"/>
  <c r="AE970" i="9"/>
  <c r="AG970" i="9" s="1"/>
  <c r="AE971" i="9"/>
  <c r="AG971" i="9" s="1"/>
  <c r="AE972" i="9"/>
  <c r="AG972" i="9" s="1"/>
  <c r="AE973" i="9"/>
  <c r="AG973" i="9" s="1"/>
  <c r="AE974" i="9"/>
  <c r="AG974" i="9" s="1"/>
  <c r="AE975" i="9"/>
  <c r="AG975" i="9" s="1"/>
  <c r="AE976" i="9"/>
  <c r="AG976" i="9" s="1"/>
  <c r="AE977" i="9"/>
  <c r="AG977" i="9" s="1"/>
  <c r="AE978" i="9"/>
  <c r="AG978" i="9" s="1"/>
  <c r="AE979" i="9"/>
  <c r="AG979" i="9" s="1"/>
  <c r="AE980" i="9"/>
  <c r="AG980" i="9" s="1"/>
  <c r="AE981" i="9"/>
  <c r="AG981" i="9" s="1"/>
  <c r="AE982" i="9"/>
  <c r="AG982" i="9" s="1"/>
  <c r="AE983" i="9"/>
  <c r="AG983" i="9" s="1"/>
  <c r="AE984" i="9"/>
  <c r="AG984" i="9" s="1"/>
  <c r="AE985" i="9"/>
  <c r="AG985" i="9" s="1"/>
  <c r="AE986" i="9"/>
  <c r="AG986" i="9" s="1"/>
  <c r="AE987" i="9"/>
  <c r="AG987" i="9" s="1"/>
  <c r="AE988" i="9"/>
  <c r="AG988" i="9" s="1"/>
  <c r="AE989" i="9"/>
  <c r="AG989" i="9" s="1"/>
  <c r="AE990" i="9"/>
  <c r="AG990" i="9" s="1"/>
  <c r="AE991" i="9"/>
  <c r="AG991" i="9" s="1"/>
  <c r="AE992" i="9"/>
  <c r="AG992" i="9" s="1"/>
  <c r="AE993" i="9"/>
  <c r="AG993" i="9" s="1"/>
  <c r="AE994" i="9"/>
  <c r="AG994" i="9" s="1"/>
  <c r="AE995" i="9"/>
  <c r="AG995" i="9" s="1"/>
  <c r="AE996" i="9"/>
  <c r="AG996" i="9" s="1"/>
  <c r="AE997" i="9"/>
  <c r="AG997" i="9" s="1"/>
  <c r="AE998" i="9"/>
  <c r="AG998" i="9" s="1"/>
  <c r="AE999" i="9"/>
  <c r="AG999" i="9" s="1"/>
  <c r="AE1000" i="9"/>
  <c r="AG1000" i="9" s="1"/>
  <c r="AE1001" i="9"/>
  <c r="AG1001" i="9" s="1"/>
  <c r="AE1002" i="9"/>
  <c r="AG1002" i="9" s="1"/>
  <c r="AE1003" i="9"/>
  <c r="AG1003" i="9" s="1"/>
  <c r="AE1004" i="9"/>
  <c r="AG1004" i="9" s="1"/>
  <c r="AE1005" i="9"/>
  <c r="AG1005" i="9" s="1"/>
  <c r="AE1006" i="9"/>
  <c r="AG1006" i="9" s="1"/>
  <c r="AE1007" i="9"/>
  <c r="AG1007" i="9" s="1"/>
  <c r="AE1008" i="9"/>
  <c r="AG1008" i="9" s="1"/>
  <c r="AE1009" i="9"/>
  <c r="AG1009" i="9" s="1"/>
  <c r="AE9" i="9"/>
  <c r="AG9" i="9" s="1"/>
  <c r="AF1009" i="9" l="1"/>
  <c r="AH1009" i="9"/>
  <c r="AF1001" i="9"/>
  <c r="AH1001" i="9"/>
  <c r="AF993" i="9"/>
  <c r="AH993" i="9"/>
  <c r="AF985" i="9"/>
  <c r="AH985" i="9"/>
  <c r="AF973" i="9"/>
  <c r="AH973" i="9"/>
  <c r="AF1007" i="9"/>
  <c r="AH1007" i="9"/>
  <c r="AF1003" i="9"/>
  <c r="AH1003" i="9"/>
  <c r="AF999" i="9"/>
  <c r="AH999" i="9"/>
  <c r="AF995" i="9"/>
  <c r="AH995" i="9"/>
  <c r="AF991" i="9"/>
  <c r="AH991" i="9"/>
  <c r="AF987" i="9"/>
  <c r="AH987" i="9"/>
  <c r="AF983" i="9"/>
  <c r="AH983" i="9"/>
  <c r="AF979" i="9"/>
  <c r="AH979" i="9"/>
  <c r="AF975" i="9"/>
  <c r="AH975" i="9"/>
  <c r="AF971" i="9"/>
  <c r="AH971" i="9"/>
  <c r="AF967" i="9"/>
  <c r="AH967" i="9"/>
  <c r="AF963" i="9"/>
  <c r="AH963" i="9"/>
  <c r="AF959" i="9"/>
  <c r="AH959" i="9"/>
  <c r="AF955" i="9"/>
  <c r="AH955" i="9"/>
  <c r="AH951" i="9"/>
  <c r="AF951" i="9"/>
  <c r="AF947" i="9"/>
  <c r="AH947" i="9"/>
  <c r="AF943" i="9"/>
  <c r="AH943" i="9"/>
  <c r="AF939" i="9"/>
  <c r="AH939" i="9"/>
  <c r="AH935" i="9"/>
  <c r="AF935" i="9"/>
  <c r="AH931" i="9"/>
  <c r="AF931" i="9"/>
  <c r="AF927" i="9"/>
  <c r="AH927" i="9"/>
  <c r="AF923" i="9"/>
  <c r="AH923" i="9"/>
  <c r="AH919" i="9"/>
  <c r="AF919" i="9"/>
  <c r="AF915" i="9"/>
  <c r="AH915" i="9"/>
  <c r="AF911" i="9"/>
  <c r="AH911" i="9"/>
  <c r="AF907" i="9"/>
  <c r="AH907" i="9"/>
  <c r="AH903" i="9"/>
  <c r="AF903" i="9"/>
  <c r="AH899" i="9"/>
  <c r="AF899" i="9"/>
  <c r="AF895" i="9"/>
  <c r="AH895" i="9"/>
  <c r="AF891" i="9"/>
  <c r="AH891" i="9"/>
  <c r="AH887" i="9"/>
  <c r="AF887" i="9"/>
  <c r="AF883" i="9"/>
  <c r="AH883" i="9"/>
  <c r="AF879" i="9"/>
  <c r="AH879" i="9"/>
  <c r="AF875" i="9"/>
  <c r="AH875" i="9"/>
  <c r="AH871" i="9"/>
  <c r="AF871" i="9"/>
  <c r="AH867" i="9"/>
  <c r="AF867" i="9"/>
  <c r="AF863" i="9"/>
  <c r="AH863" i="9"/>
  <c r="AF859" i="9"/>
  <c r="AH859" i="9"/>
  <c r="AH855" i="9"/>
  <c r="AF855" i="9"/>
  <c r="AF851" i="9"/>
  <c r="AH851" i="9"/>
  <c r="AF847" i="9"/>
  <c r="AH847" i="9"/>
  <c r="AF843" i="9"/>
  <c r="AH843" i="9"/>
  <c r="AH839" i="9"/>
  <c r="AF839" i="9"/>
  <c r="AH835" i="9"/>
  <c r="AF835" i="9"/>
  <c r="AF831" i="9"/>
  <c r="AH831" i="9"/>
  <c r="AF827" i="9"/>
  <c r="AH827" i="9"/>
  <c r="AH823" i="9"/>
  <c r="AF823" i="9"/>
  <c r="AF819" i="9"/>
  <c r="AH819" i="9"/>
  <c r="AF815" i="9"/>
  <c r="AH815" i="9"/>
  <c r="AF811" i="9"/>
  <c r="AH811" i="9"/>
  <c r="AH807" i="9"/>
  <c r="AF807" i="9"/>
  <c r="AH803" i="9"/>
  <c r="AF803" i="9"/>
  <c r="AF799" i="9"/>
  <c r="AH799" i="9"/>
  <c r="AF795" i="9"/>
  <c r="AH795" i="9"/>
  <c r="AH791" i="9"/>
  <c r="AF791" i="9"/>
  <c r="AF787" i="9"/>
  <c r="AH787" i="9"/>
  <c r="AF783" i="9"/>
  <c r="AH783" i="9"/>
  <c r="AF779" i="9"/>
  <c r="AH779" i="9"/>
  <c r="AH775" i="9"/>
  <c r="AF775" i="9"/>
  <c r="AH771" i="9"/>
  <c r="AF771" i="9"/>
  <c r="AF767" i="9"/>
  <c r="AH767" i="9"/>
  <c r="AF763" i="9"/>
  <c r="AH763" i="9"/>
  <c r="AH759" i="9"/>
  <c r="AF759" i="9"/>
  <c r="AF755" i="9"/>
  <c r="AH755" i="9"/>
  <c r="AF751" i="9"/>
  <c r="AH751" i="9"/>
  <c r="AF747" i="9"/>
  <c r="AH747" i="9"/>
  <c r="AH743" i="9"/>
  <c r="AF743" i="9"/>
  <c r="AH739" i="9"/>
  <c r="AF739" i="9"/>
  <c r="AF735" i="9"/>
  <c r="AH735" i="9"/>
  <c r="AF731" i="9"/>
  <c r="AH731" i="9"/>
  <c r="AH727" i="9"/>
  <c r="AF727" i="9"/>
  <c r="AF723" i="9"/>
  <c r="AH723" i="9"/>
  <c r="AF719" i="9"/>
  <c r="AH719" i="9"/>
  <c r="AF715" i="9"/>
  <c r="AH715" i="9"/>
  <c r="AH711" i="9"/>
  <c r="AF711" i="9"/>
  <c r="AH707" i="9"/>
  <c r="AF707" i="9"/>
  <c r="AF703" i="9"/>
  <c r="AH703" i="9"/>
  <c r="AF699" i="9"/>
  <c r="AH699" i="9"/>
  <c r="AH695" i="9"/>
  <c r="AF695" i="9"/>
  <c r="AF691" i="9"/>
  <c r="AH691" i="9"/>
  <c r="AF687" i="9"/>
  <c r="AH687" i="9"/>
  <c r="AF683" i="9"/>
  <c r="AH683" i="9"/>
  <c r="AH679" i="9"/>
  <c r="AF679" i="9"/>
  <c r="AF675" i="9"/>
  <c r="AH675" i="9"/>
  <c r="AF671" i="9"/>
  <c r="AH671" i="9"/>
  <c r="AF667" i="9"/>
  <c r="AH667" i="9"/>
  <c r="AH663" i="9"/>
  <c r="AF663" i="9"/>
  <c r="AF659" i="9"/>
  <c r="AH659" i="9"/>
  <c r="AF655" i="9"/>
  <c r="AH655" i="9"/>
  <c r="AF651" i="9"/>
  <c r="AH651" i="9"/>
  <c r="AH647" i="9"/>
  <c r="AF647" i="9"/>
  <c r="AF643" i="9"/>
  <c r="AH643" i="9"/>
  <c r="AF639" i="9"/>
  <c r="AH639" i="9"/>
  <c r="AF635" i="9"/>
  <c r="AH635" i="9"/>
  <c r="AH631" i="9"/>
  <c r="AF631" i="9"/>
  <c r="AF627" i="9"/>
  <c r="AH627" i="9"/>
  <c r="AF623" i="9"/>
  <c r="AH623" i="9"/>
  <c r="AF619" i="9"/>
  <c r="AH619" i="9"/>
  <c r="AH615" i="9"/>
  <c r="AF615" i="9"/>
  <c r="AF611" i="9"/>
  <c r="AH611" i="9"/>
  <c r="AF607" i="9"/>
  <c r="AH607" i="9"/>
  <c r="AF603" i="9"/>
  <c r="AH603" i="9"/>
  <c r="AH599" i="9"/>
  <c r="AF599" i="9"/>
  <c r="AF595" i="9"/>
  <c r="AH595" i="9"/>
  <c r="AF591" i="9"/>
  <c r="AH591" i="9"/>
  <c r="AF587" i="9"/>
  <c r="AH587" i="9"/>
  <c r="AF583" i="9"/>
  <c r="AH583" i="9"/>
  <c r="AF579" i="9"/>
  <c r="AH579" i="9"/>
  <c r="AF575" i="9"/>
  <c r="AH575" i="9"/>
  <c r="AF571" i="9"/>
  <c r="AH571" i="9"/>
  <c r="AF567" i="9"/>
  <c r="AH567" i="9"/>
  <c r="AF563" i="9"/>
  <c r="AH563" i="9"/>
  <c r="AF559" i="9"/>
  <c r="AH559" i="9"/>
  <c r="AF555" i="9"/>
  <c r="AH555" i="9"/>
  <c r="AF551" i="9"/>
  <c r="AH551" i="9"/>
  <c r="AF547" i="9"/>
  <c r="AH547" i="9"/>
  <c r="AF543" i="9"/>
  <c r="AH543" i="9"/>
  <c r="AF539" i="9"/>
  <c r="AH539" i="9"/>
  <c r="AF535" i="9"/>
  <c r="AH535" i="9"/>
  <c r="AF531" i="9"/>
  <c r="AH531" i="9"/>
  <c r="AF527" i="9"/>
  <c r="AH527" i="9"/>
  <c r="AF523" i="9"/>
  <c r="AH523" i="9"/>
  <c r="AF519" i="9"/>
  <c r="AH519" i="9"/>
  <c r="AF515" i="9"/>
  <c r="AH515" i="9"/>
  <c r="AF511" i="9"/>
  <c r="AH511" i="9"/>
  <c r="AF507" i="9"/>
  <c r="AH507" i="9"/>
  <c r="AF503" i="9"/>
  <c r="AH503" i="9"/>
  <c r="AF499" i="9"/>
  <c r="AH499" i="9"/>
  <c r="AF495" i="9"/>
  <c r="AH495" i="9"/>
  <c r="AF491" i="9"/>
  <c r="AH491" i="9"/>
  <c r="AF487" i="9"/>
  <c r="AH487" i="9"/>
  <c r="AF483" i="9"/>
  <c r="AH483" i="9"/>
  <c r="AF479" i="9"/>
  <c r="AH479" i="9"/>
  <c r="AF475" i="9"/>
  <c r="AH475" i="9"/>
  <c r="AF471" i="9"/>
  <c r="AH471" i="9"/>
  <c r="AF467" i="9"/>
  <c r="AH467" i="9"/>
  <c r="AF463" i="9"/>
  <c r="AH463" i="9"/>
  <c r="AF459" i="9"/>
  <c r="AH459" i="9"/>
  <c r="AF455" i="9"/>
  <c r="AH455" i="9"/>
  <c r="AF451" i="9"/>
  <c r="AH451" i="9"/>
  <c r="AF447" i="9"/>
  <c r="AH447" i="9"/>
  <c r="AF443" i="9"/>
  <c r="AH443" i="9"/>
  <c r="AF439" i="9"/>
  <c r="AH439" i="9"/>
  <c r="AF435" i="9"/>
  <c r="AH435" i="9"/>
  <c r="AF431" i="9"/>
  <c r="AH431" i="9"/>
  <c r="AF427" i="9"/>
  <c r="AH427" i="9"/>
  <c r="AF423" i="9"/>
  <c r="AH423" i="9"/>
  <c r="AF419" i="9"/>
  <c r="AH419" i="9"/>
  <c r="AF415" i="9"/>
  <c r="AH415" i="9"/>
  <c r="AF411" i="9"/>
  <c r="AH411" i="9"/>
  <c r="AF407" i="9"/>
  <c r="AH407" i="9"/>
  <c r="AF403" i="9"/>
  <c r="AH403" i="9"/>
  <c r="AF399" i="9"/>
  <c r="AH399" i="9"/>
  <c r="AF395" i="9"/>
  <c r="AH395" i="9"/>
  <c r="AF391" i="9"/>
  <c r="AH391" i="9"/>
  <c r="AF387" i="9"/>
  <c r="AH387" i="9"/>
  <c r="AF383" i="9"/>
  <c r="AH383" i="9"/>
  <c r="AF379" i="9"/>
  <c r="AH379" i="9"/>
  <c r="AF375" i="9"/>
  <c r="AH375" i="9"/>
  <c r="AF371" i="9"/>
  <c r="AH371" i="9"/>
  <c r="AF367" i="9"/>
  <c r="AH367" i="9"/>
  <c r="AF363" i="9"/>
  <c r="AH363" i="9"/>
  <c r="AF359" i="9"/>
  <c r="AH359" i="9"/>
  <c r="AF355" i="9"/>
  <c r="AH355" i="9"/>
  <c r="AF351" i="9"/>
  <c r="AH351" i="9"/>
  <c r="AF347" i="9"/>
  <c r="AH347" i="9"/>
  <c r="AF343" i="9"/>
  <c r="AH343" i="9"/>
  <c r="AF339" i="9"/>
  <c r="AH339" i="9"/>
  <c r="AF335" i="9"/>
  <c r="AH335" i="9"/>
  <c r="AF331" i="9"/>
  <c r="AH331" i="9"/>
  <c r="AF327" i="9"/>
  <c r="AH327" i="9"/>
  <c r="AF323" i="9"/>
  <c r="AH323" i="9"/>
  <c r="AF319" i="9"/>
  <c r="AH319" i="9"/>
  <c r="AF315" i="9"/>
  <c r="AH315" i="9"/>
  <c r="AF311" i="9"/>
  <c r="AH311" i="9"/>
  <c r="AF307" i="9"/>
  <c r="AH307" i="9"/>
  <c r="AF303" i="9"/>
  <c r="AH303" i="9"/>
  <c r="AF299" i="9"/>
  <c r="AH299" i="9"/>
  <c r="AF295" i="9"/>
  <c r="AH295" i="9"/>
  <c r="AF291" i="9"/>
  <c r="AH291" i="9"/>
  <c r="AF287" i="9"/>
  <c r="AH287" i="9"/>
  <c r="AF283" i="9"/>
  <c r="AH283" i="9"/>
  <c r="AF279" i="9"/>
  <c r="AH279" i="9"/>
  <c r="AF275" i="9"/>
  <c r="AH275" i="9"/>
  <c r="AF271" i="9"/>
  <c r="AH271" i="9"/>
  <c r="AH267" i="9"/>
  <c r="AF267" i="9"/>
  <c r="AF263" i="9"/>
  <c r="AH263" i="9"/>
  <c r="AF259" i="9"/>
  <c r="AH259" i="9"/>
  <c r="AF255" i="9"/>
  <c r="AH255" i="9"/>
  <c r="AF251" i="9"/>
  <c r="AH251" i="9"/>
  <c r="AF247" i="9"/>
  <c r="AH247" i="9"/>
  <c r="AF243" i="9"/>
  <c r="AH243" i="9"/>
  <c r="AF239" i="9"/>
  <c r="AH239" i="9"/>
  <c r="AF235" i="9"/>
  <c r="AH235" i="9"/>
  <c r="AF231" i="9"/>
  <c r="AH231" i="9"/>
  <c r="AF227" i="9"/>
  <c r="AH227" i="9"/>
  <c r="AF223" i="9"/>
  <c r="AH223" i="9"/>
  <c r="AF219" i="9"/>
  <c r="AH219" i="9"/>
  <c r="AF215" i="9"/>
  <c r="AH215" i="9"/>
  <c r="AF211" i="9"/>
  <c r="AH211" i="9"/>
  <c r="AF207" i="9"/>
  <c r="AH207" i="9"/>
  <c r="AF203" i="9"/>
  <c r="AH203" i="9"/>
  <c r="AF199" i="9"/>
  <c r="AH199" i="9"/>
  <c r="AF195" i="9"/>
  <c r="AH195" i="9"/>
  <c r="AF191" i="9"/>
  <c r="AH191" i="9"/>
  <c r="AF187" i="9"/>
  <c r="AH187" i="9"/>
  <c r="AF183" i="9"/>
  <c r="AH183" i="9"/>
  <c r="AF179" i="9"/>
  <c r="AH179" i="9"/>
  <c r="AF175" i="9"/>
  <c r="AH175" i="9"/>
  <c r="AF171" i="9"/>
  <c r="AH171" i="9"/>
  <c r="AF167" i="9"/>
  <c r="AH167" i="9"/>
  <c r="AF163" i="9"/>
  <c r="AH163" i="9"/>
  <c r="AF159" i="9"/>
  <c r="AH159" i="9"/>
  <c r="AF155" i="9"/>
  <c r="AH155" i="9"/>
  <c r="AF151" i="9"/>
  <c r="AH151" i="9"/>
  <c r="AF147" i="9"/>
  <c r="AH147" i="9"/>
  <c r="AF143" i="9"/>
  <c r="AH143" i="9"/>
  <c r="AF139" i="9"/>
  <c r="AH139" i="9"/>
  <c r="AF135" i="9"/>
  <c r="AH135" i="9"/>
  <c r="AF131" i="9"/>
  <c r="AH131" i="9"/>
  <c r="AF127" i="9"/>
  <c r="AH127" i="9"/>
  <c r="AF123" i="9"/>
  <c r="AH123" i="9"/>
  <c r="AF119" i="9"/>
  <c r="AH119" i="9"/>
  <c r="AF115" i="9"/>
  <c r="AH115" i="9"/>
  <c r="AF111" i="9"/>
  <c r="AH111" i="9"/>
  <c r="AF107" i="9"/>
  <c r="AH107" i="9"/>
  <c r="AF103" i="9"/>
  <c r="AH103" i="9"/>
  <c r="AF99" i="9"/>
  <c r="AH99" i="9"/>
  <c r="AF95" i="9"/>
  <c r="AH95" i="9"/>
  <c r="AF91" i="9"/>
  <c r="AH91" i="9"/>
  <c r="AF87" i="9"/>
  <c r="AH87" i="9"/>
  <c r="AF83" i="9"/>
  <c r="AH83" i="9"/>
  <c r="AF79" i="9"/>
  <c r="AH79" i="9"/>
  <c r="AF75" i="9"/>
  <c r="AH75" i="9"/>
  <c r="AF71" i="9"/>
  <c r="AH71" i="9"/>
  <c r="AF67" i="9"/>
  <c r="AH67" i="9"/>
  <c r="AF63" i="9"/>
  <c r="AH63" i="9"/>
  <c r="AF59" i="9"/>
  <c r="AH59" i="9"/>
  <c r="AF55" i="9"/>
  <c r="AH55" i="9"/>
  <c r="AF51" i="9"/>
  <c r="AH51" i="9"/>
  <c r="AF47" i="9"/>
  <c r="AH47" i="9"/>
  <c r="AF43" i="9"/>
  <c r="AH43" i="9"/>
  <c r="AF39" i="9"/>
  <c r="AH39" i="9"/>
  <c r="AF35" i="9"/>
  <c r="AH35" i="9"/>
  <c r="AF31" i="9"/>
  <c r="AH31" i="9"/>
  <c r="AH27" i="9"/>
  <c r="AF27" i="9"/>
  <c r="AF23" i="9"/>
  <c r="AH23" i="9"/>
  <c r="AF19" i="9"/>
  <c r="AH19" i="9"/>
  <c r="AF15" i="9"/>
  <c r="AH15" i="9"/>
  <c r="AF11" i="9"/>
  <c r="AH11" i="9"/>
  <c r="AF9" i="9"/>
  <c r="AH9" i="9"/>
  <c r="AF1006" i="9"/>
  <c r="AH1006" i="9"/>
  <c r="AF1002" i="9"/>
  <c r="AH1002" i="9"/>
  <c r="AF998" i="9"/>
  <c r="AH998" i="9"/>
  <c r="AF994" i="9"/>
  <c r="AH994" i="9"/>
  <c r="AF990" i="9"/>
  <c r="AH990" i="9"/>
  <c r="AF986" i="9"/>
  <c r="AH986" i="9"/>
  <c r="AF982" i="9"/>
  <c r="AH982" i="9"/>
  <c r="AF978" i="9"/>
  <c r="AH978" i="9"/>
  <c r="AF974" i="9"/>
  <c r="AH974" i="9"/>
  <c r="AF970" i="9"/>
  <c r="AH970" i="9"/>
  <c r="AF966" i="9"/>
  <c r="AH966" i="9"/>
  <c r="AF962" i="9"/>
  <c r="AH962" i="9"/>
  <c r="AF958" i="9"/>
  <c r="AH958" i="9"/>
  <c r="AF954" i="9"/>
  <c r="AH954" i="9"/>
  <c r="AF950" i="9"/>
  <c r="AH950" i="9"/>
  <c r="AF946" i="9"/>
  <c r="AH946" i="9"/>
  <c r="AF942" i="9"/>
  <c r="AH942" i="9"/>
  <c r="AF938" i="9"/>
  <c r="AH938" i="9"/>
  <c r="AF934" i="9"/>
  <c r="AH934" i="9"/>
  <c r="AH930" i="9"/>
  <c r="AF930" i="9"/>
  <c r="AF926" i="9"/>
  <c r="AH926" i="9"/>
  <c r="AF922" i="9"/>
  <c r="AH922" i="9"/>
  <c r="AF918" i="9"/>
  <c r="AH918" i="9"/>
  <c r="AF914" i="9"/>
  <c r="AH914" i="9"/>
  <c r="AF910" i="9"/>
  <c r="AH910" i="9"/>
  <c r="AF906" i="9"/>
  <c r="AH906" i="9"/>
  <c r="AF902" i="9"/>
  <c r="AH902" i="9"/>
  <c r="AF898" i="9"/>
  <c r="AH898" i="9"/>
  <c r="AF894" i="9"/>
  <c r="AH894" i="9"/>
  <c r="AF890" i="9"/>
  <c r="AH890" i="9"/>
  <c r="AF886" i="9"/>
  <c r="AH886" i="9"/>
  <c r="AF882" i="9"/>
  <c r="AH882" i="9"/>
  <c r="AF878" i="9"/>
  <c r="AH878" i="9"/>
  <c r="AF874" i="9"/>
  <c r="AH874" i="9"/>
  <c r="AF870" i="9"/>
  <c r="AH870" i="9"/>
  <c r="AF866" i="9"/>
  <c r="AH866" i="9"/>
  <c r="AF862" i="9"/>
  <c r="AH862" i="9"/>
  <c r="AF858" i="9"/>
  <c r="AH858" i="9"/>
  <c r="AF854" i="9"/>
  <c r="AH854" i="9"/>
  <c r="AF850" i="9"/>
  <c r="AH850" i="9"/>
  <c r="AF846" i="9"/>
  <c r="AH846" i="9"/>
  <c r="AF842" i="9"/>
  <c r="AH842" i="9"/>
  <c r="AF838" i="9"/>
  <c r="AH838" i="9"/>
  <c r="AH834" i="9"/>
  <c r="AF834" i="9"/>
  <c r="AF830" i="9"/>
  <c r="AH830" i="9"/>
  <c r="AF826" i="9"/>
  <c r="AH826" i="9"/>
  <c r="AF822" i="9"/>
  <c r="AH822" i="9"/>
  <c r="AF818" i="9"/>
  <c r="AH818" i="9"/>
  <c r="AF814" i="9"/>
  <c r="AH814" i="9"/>
  <c r="AF810" i="9"/>
  <c r="AH810" i="9"/>
  <c r="AF806" i="9"/>
  <c r="AH806" i="9"/>
  <c r="AF802" i="9"/>
  <c r="AH802" i="9"/>
  <c r="AF798" i="9"/>
  <c r="AH798" i="9"/>
  <c r="AF794" i="9"/>
  <c r="AH794" i="9"/>
  <c r="AF790" i="9"/>
  <c r="AH790" i="9"/>
  <c r="AF786" i="9"/>
  <c r="AH786" i="9"/>
  <c r="AF782" i="9"/>
  <c r="AH782" i="9"/>
  <c r="AF778" i="9"/>
  <c r="AH778" i="9"/>
  <c r="AF774" i="9"/>
  <c r="AH774" i="9"/>
  <c r="AF770" i="9"/>
  <c r="AH770" i="9"/>
  <c r="AF766" i="9"/>
  <c r="AH766" i="9"/>
  <c r="AF762" i="9"/>
  <c r="AH762" i="9"/>
  <c r="AF758" i="9"/>
  <c r="AH758" i="9"/>
  <c r="AF754" i="9"/>
  <c r="AH754" i="9"/>
  <c r="AF750" i="9"/>
  <c r="AH750" i="9"/>
  <c r="AF746" i="9"/>
  <c r="AH746" i="9"/>
  <c r="AF742" i="9"/>
  <c r="AH742" i="9"/>
  <c r="AF738" i="9"/>
  <c r="AH738" i="9"/>
  <c r="AF734" i="9"/>
  <c r="AH734" i="9"/>
  <c r="AF730" i="9"/>
  <c r="AH730" i="9"/>
  <c r="AF726" i="9"/>
  <c r="AH726" i="9"/>
  <c r="AF722" i="9"/>
  <c r="AH722" i="9"/>
  <c r="AF718" i="9"/>
  <c r="AH718" i="9"/>
  <c r="AF714" i="9"/>
  <c r="AH714" i="9"/>
  <c r="AF710" i="9"/>
  <c r="AH710" i="9"/>
  <c r="AH706" i="9"/>
  <c r="AF706" i="9"/>
  <c r="AF702" i="9"/>
  <c r="AH702" i="9"/>
  <c r="AF698" i="9"/>
  <c r="AH698" i="9"/>
  <c r="AF694" i="9"/>
  <c r="AH694" i="9"/>
  <c r="AF690" i="9"/>
  <c r="AH690" i="9"/>
  <c r="AH686" i="9"/>
  <c r="AF686" i="9"/>
  <c r="AF682" i="9"/>
  <c r="AH682" i="9"/>
  <c r="AF678" i="9"/>
  <c r="AH678" i="9"/>
  <c r="AH674" i="9"/>
  <c r="AF674" i="9"/>
  <c r="AH670" i="9"/>
  <c r="AF670" i="9"/>
  <c r="AF666" i="9"/>
  <c r="AH666" i="9"/>
  <c r="AF662" i="9"/>
  <c r="AH662" i="9"/>
  <c r="AH658" i="9"/>
  <c r="AF658" i="9"/>
  <c r="AH654" i="9"/>
  <c r="AF654" i="9"/>
  <c r="AF650" i="9"/>
  <c r="AH650" i="9"/>
  <c r="AF646" i="9"/>
  <c r="AH646" i="9"/>
  <c r="AH642" i="9"/>
  <c r="AF642" i="9"/>
  <c r="AH638" i="9"/>
  <c r="AF638" i="9"/>
  <c r="AF634" i="9"/>
  <c r="AH634" i="9"/>
  <c r="AF630" i="9"/>
  <c r="AH630" i="9"/>
  <c r="AH626" i="9"/>
  <c r="AF626" i="9"/>
  <c r="AH622" i="9"/>
  <c r="AF622" i="9"/>
  <c r="AF618" i="9"/>
  <c r="AH618" i="9"/>
  <c r="AF614" i="9"/>
  <c r="AH614" i="9"/>
  <c r="AH610" i="9"/>
  <c r="AF610" i="9"/>
  <c r="AH606" i="9"/>
  <c r="AF606" i="9"/>
  <c r="AF602" i="9"/>
  <c r="AH602" i="9"/>
  <c r="AF598" i="9"/>
  <c r="AH598" i="9"/>
  <c r="AH594" i="9"/>
  <c r="AF594" i="9"/>
  <c r="AH590" i="9"/>
  <c r="AF590" i="9"/>
  <c r="AF586" i="9"/>
  <c r="AH586" i="9"/>
  <c r="AF582" i="9"/>
  <c r="AH582" i="9"/>
  <c r="AH578" i="9"/>
  <c r="AF578" i="9"/>
  <c r="AH574" i="9"/>
  <c r="AF574" i="9"/>
  <c r="AF570" i="9"/>
  <c r="AH570" i="9"/>
  <c r="AF566" i="9"/>
  <c r="AH566" i="9"/>
  <c r="AF562" i="9"/>
  <c r="AH562" i="9"/>
  <c r="AF558" i="9"/>
  <c r="AH558" i="9"/>
  <c r="AF554" i="9"/>
  <c r="AH554" i="9"/>
  <c r="AF550" i="9"/>
  <c r="AH550" i="9"/>
  <c r="AF546" i="9"/>
  <c r="AH546" i="9"/>
  <c r="AF542" i="9"/>
  <c r="AH542" i="9"/>
  <c r="AF538" i="9"/>
  <c r="AH538" i="9"/>
  <c r="AF534" i="9"/>
  <c r="AH534" i="9"/>
  <c r="AF530" i="9"/>
  <c r="AH530" i="9"/>
  <c r="AF526" i="9"/>
  <c r="AH526" i="9"/>
  <c r="AF522" i="9"/>
  <c r="AH522" i="9"/>
  <c r="AF518" i="9"/>
  <c r="AH518" i="9"/>
  <c r="AF514" i="9"/>
  <c r="AH514" i="9"/>
  <c r="AF510" i="9"/>
  <c r="AH510" i="9"/>
  <c r="AF506" i="9"/>
  <c r="AH506" i="9"/>
  <c r="AF502" i="9"/>
  <c r="AH502" i="9"/>
  <c r="AF498" i="9"/>
  <c r="AH498" i="9"/>
  <c r="AF494" i="9"/>
  <c r="AH494" i="9"/>
  <c r="AF490" i="9"/>
  <c r="AH490" i="9"/>
  <c r="AF486" i="9"/>
  <c r="AH486" i="9"/>
  <c r="AF482" i="9"/>
  <c r="AH482" i="9"/>
  <c r="AF478" i="9"/>
  <c r="AH478" i="9"/>
  <c r="AF474" i="9"/>
  <c r="AH474" i="9"/>
  <c r="AF470" i="9"/>
  <c r="AH470" i="9"/>
  <c r="AF466" i="9"/>
  <c r="AH466" i="9"/>
  <c r="AF462" i="9"/>
  <c r="AH462" i="9"/>
  <c r="AF458" i="9"/>
  <c r="AH458" i="9"/>
  <c r="AF454" i="9"/>
  <c r="AH454" i="9"/>
  <c r="AF450" i="9"/>
  <c r="AH450" i="9"/>
  <c r="AF446" i="9"/>
  <c r="AH446" i="9"/>
  <c r="AF442" i="9"/>
  <c r="AH442" i="9"/>
  <c r="AF438" i="9"/>
  <c r="AH438" i="9"/>
  <c r="AF434" i="9"/>
  <c r="AH434" i="9"/>
  <c r="AF430" i="9"/>
  <c r="AH430" i="9"/>
  <c r="AF426" i="9"/>
  <c r="AH426" i="9"/>
  <c r="AF422" i="9"/>
  <c r="AH422" i="9"/>
  <c r="AF418" i="9"/>
  <c r="AH418" i="9"/>
  <c r="AF414" i="9"/>
  <c r="AH414" i="9"/>
  <c r="AF410" i="9"/>
  <c r="AH410" i="9"/>
  <c r="AF406" i="9"/>
  <c r="AH406" i="9"/>
  <c r="AF402" i="9"/>
  <c r="AH402" i="9"/>
  <c r="AF398" i="9"/>
  <c r="AH398" i="9"/>
  <c r="AF394" i="9"/>
  <c r="AH394" i="9"/>
  <c r="AF390" i="9"/>
  <c r="AH390" i="9"/>
  <c r="AF386" i="9"/>
  <c r="AH386" i="9"/>
  <c r="AF382" i="9"/>
  <c r="AH382" i="9"/>
  <c r="AF378" i="9"/>
  <c r="AH378" i="9"/>
  <c r="AF374" i="9"/>
  <c r="AH374" i="9"/>
  <c r="AF370" i="9"/>
  <c r="AH370" i="9"/>
  <c r="AF366" i="9"/>
  <c r="AH366" i="9"/>
  <c r="AF362" i="9"/>
  <c r="AH362" i="9"/>
  <c r="AF358" i="9"/>
  <c r="AH358" i="9"/>
  <c r="AF354" i="9"/>
  <c r="AH354" i="9"/>
  <c r="AF350" i="9"/>
  <c r="AH350" i="9"/>
  <c r="AF346" i="9"/>
  <c r="AH346" i="9"/>
  <c r="AF342" i="9"/>
  <c r="AH342" i="9"/>
  <c r="AF338" i="9"/>
  <c r="AH338" i="9"/>
  <c r="AF334" i="9"/>
  <c r="AH334" i="9"/>
  <c r="AF330" i="9"/>
  <c r="AH330" i="9"/>
  <c r="AF326" i="9"/>
  <c r="AH326" i="9"/>
  <c r="AF322" i="9"/>
  <c r="AH322" i="9"/>
  <c r="AF318" i="9"/>
  <c r="AH318" i="9"/>
  <c r="AF314" i="9"/>
  <c r="AH314" i="9"/>
  <c r="AF310" i="9"/>
  <c r="AH310" i="9"/>
  <c r="AF306" i="9"/>
  <c r="AH306" i="9"/>
  <c r="AF302" i="9"/>
  <c r="AH302" i="9"/>
  <c r="AF298" i="9"/>
  <c r="AH298" i="9"/>
  <c r="AF294" i="9"/>
  <c r="AH294" i="9"/>
  <c r="AF290" i="9"/>
  <c r="AH290" i="9"/>
  <c r="AF286" i="9"/>
  <c r="AH286" i="9"/>
  <c r="AF282" i="9"/>
  <c r="AH282" i="9"/>
  <c r="AF278" i="9"/>
  <c r="AH278" i="9"/>
  <c r="AF274" i="9"/>
  <c r="AH274" i="9"/>
  <c r="AF270" i="9"/>
  <c r="AH270" i="9"/>
  <c r="AF266" i="9"/>
  <c r="AH266" i="9"/>
  <c r="AF262" i="9"/>
  <c r="AH262" i="9"/>
  <c r="AF258" i="9"/>
  <c r="AH258" i="9"/>
  <c r="AF254" i="9"/>
  <c r="AH254" i="9"/>
  <c r="AF250" i="9"/>
  <c r="AH250" i="9"/>
  <c r="AF246" i="9"/>
  <c r="AH246" i="9"/>
  <c r="AF242" i="9"/>
  <c r="AH242" i="9"/>
  <c r="AF238" i="9"/>
  <c r="AH238" i="9"/>
  <c r="AF234" i="9"/>
  <c r="AH234" i="9"/>
  <c r="AF230" i="9"/>
  <c r="AH230" i="9"/>
  <c r="AF226" i="9"/>
  <c r="AH226" i="9"/>
  <c r="AF222" i="9"/>
  <c r="AH222" i="9"/>
  <c r="AF218" i="9"/>
  <c r="AH218" i="9"/>
  <c r="AF214" i="9"/>
  <c r="AH214" i="9"/>
  <c r="AF210" i="9"/>
  <c r="AH210" i="9"/>
  <c r="AF206" i="9"/>
  <c r="AH206" i="9"/>
  <c r="AF202" i="9"/>
  <c r="AH202" i="9"/>
  <c r="AF198" i="9"/>
  <c r="AH198" i="9"/>
  <c r="AF194" i="9"/>
  <c r="AH194" i="9"/>
  <c r="AF190" i="9"/>
  <c r="AH190" i="9"/>
  <c r="AF186" i="9"/>
  <c r="AH186" i="9"/>
  <c r="AF182" i="9"/>
  <c r="AH182" i="9"/>
  <c r="AF178" i="9"/>
  <c r="AH178" i="9"/>
  <c r="AF174" i="9"/>
  <c r="AH174" i="9"/>
  <c r="AF170" i="9"/>
  <c r="AH170" i="9"/>
  <c r="AF166" i="9"/>
  <c r="AH166" i="9"/>
  <c r="AF162" i="9"/>
  <c r="AH162" i="9"/>
  <c r="AF158" i="9"/>
  <c r="AH158" i="9"/>
  <c r="AF154" i="9"/>
  <c r="AH154" i="9"/>
  <c r="AF150" i="9"/>
  <c r="AH150" i="9"/>
  <c r="AF146" i="9"/>
  <c r="AH146" i="9"/>
  <c r="AF142" i="9"/>
  <c r="AH142" i="9"/>
  <c r="AF138" i="9"/>
  <c r="AH138" i="9"/>
  <c r="AF134" i="9"/>
  <c r="AH134" i="9"/>
  <c r="AF130" i="9"/>
  <c r="AH130" i="9"/>
  <c r="AF126" i="9"/>
  <c r="AH126" i="9"/>
  <c r="AF122" i="9"/>
  <c r="AH122" i="9"/>
  <c r="AF118" i="9"/>
  <c r="AH118" i="9"/>
  <c r="AF114" i="9"/>
  <c r="AH114" i="9"/>
  <c r="AF110" i="9"/>
  <c r="AH110" i="9"/>
  <c r="AF106" i="9"/>
  <c r="AH106" i="9"/>
  <c r="AF102" i="9"/>
  <c r="AH102" i="9"/>
  <c r="AF98" i="9"/>
  <c r="AH98" i="9"/>
  <c r="AF94" i="9"/>
  <c r="AH94" i="9"/>
  <c r="AF90" i="9"/>
  <c r="AH90" i="9"/>
  <c r="AF86" i="9"/>
  <c r="AH86" i="9"/>
  <c r="AF82" i="9"/>
  <c r="AH82" i="9"/>
  <c r="AF78" i="9"/>
  <c r="AH78" i="9"/>
  <c r="AF74" i="9"/>
  <c r="AH74" i="9"/>
  <c r="AF70" i="9"/>
  <c r="AH70" i="9"/>
  <c r="AF66" i="9"/>
  <c r="AH66" i="9"/>
  <c r="AF62" i="9"/>
  <c r="AH62" i="9"/>
  <c r="AF58" i="9"/>
  <c r="AH58" i="9"/>
  <c r="AF54" i="9"/>
  <c r="AH54" i="9"/>
  <c r="AF50" i="9"/>
  <c r="AH50" i="9"/>
  <c r="AF46" i="9"/>
  <c r="AH46" i="9"/>
  <c r="AF42" i="9"/>
  <c r="AH42" i="9"/>
  <c r="AF38" i="9"/>
  <c r="AH38" i="9"/>
  <c r="AF34" i="9"/>
  <c r="AH34" i="9"/>
  <c r="AF30" i="9"/>
  <c r="AH30" i="9"/>
  <c r="AF26" i="9"/>
  <c r="AH26" i="9"/>
  <c r="AF22" i="9"/>
  <c r="AH22" i="9"/>
  <c r="AF18" i="9"/>
  <c r="AH18" i="9"/>
  <c r="AF14" i="9"/>
  <c r="AH14" i="9"/>
  <c r="AF10" i="9"/>
  <c r="AH10" i="9"/>
  <c r="AF1005" i="9"/>
  <c r="AH1005" i="9"/>
  <c r="AF997" i="9"/>
  <c r="AH997" i="9"/>
  <c r="AF989" i="9"/>
  <c r="AH989" i="9"/>
  <c r="AF981" i="9"/>
  <c r="AH981" i="9"/>
  <c r="AF977" i="9"/>
  <c r="AH977" i="9"/>
  <c r="AF969" i="9"/>
  <c r="AH969" i="9"/>
  <c r="AF965" i="9"/>
  <c r="AH965" i="9"/>
  <c r="AF961" i="9"/>
  <c r="AH961" i="9"/>
  <c r="AF957" i="9"/>
  <c r="AH957" i="9"/>
  <c r="AF953" i="9"/>
  <c r="AH953" i="9"/>
  <c r="AF949" i="9"/>
  <c r="AH949" i="9"/>
  <c r="AF945" i="9"/>
  <c r="AH945" i="9"/>
  <c r="AH941" i="9"/>
  <c r="AF941" i="9"/>
  <c r="AF937" i="9"/>
  <c r="AH937" i="9"/>
  <c r="AF933" i="9"/>
  <c r="AH933" i="9"/>
  <c r="AF929" i="9"/>
  <c r="AH929" i="9"/>
  <c r="AH925" i="9"/>
  <c r="AF925" i="9"/>
  <c r="AF921" i="9"/>
  <c r="AH921" i="9"/>
  <c r="AF917" i="9"/>
  <c r="AH917" i="9"/>
  <c r="AF913" i="9"/>
  <c r="AH913" i="9"/>
  <c r="AH909" i="9"/>
  <c r="AF909" i="9"/>
  <c r="AF905" i="9"/>
  <c r="AH905" i="9"/>
  <c r="AF901" i="9"/>
  <c r="AH901" i="9"/>
  <c r="AF897" i="9"/>
  <c r="AH897" i="9"/>
  <c r="AH893" i="9"/>
  <c r="AF893" i="9"/>
  <c r="AF889" i="9"/>
  <c r="AH889" i="9"/>
  <c r="AF885" i="9"/>
  <c r="AH885" i="9"/>
  <c r="AF881" i="9"/>
  <c r="AH881" i="9"/>
  <c r="AH877" i="9"/>
  <c r="AF877" i="9"/>
  <c r="AF873" i="9"/>
  <c r="AH873" i="9"/>
  <c r="AF869" i="9"/>
  <c r="AH869" i="9"/>
  <c r="AF865" i="9"/>
  <c r="AH865" i="9"/>
  <c r="AH861" i="9"/>
  <c r="AF861" i="9"/>
  <c r="AF857" i="9"/>
  <c r="AH857" i="9"/>
  <c r="AF853" i="9"/>
  <c r="AH853" i="9"/>
  <c r="AF849" i="9"/>
  <c r="AH849" i="9"/>
  <c r="AH845" i="9"/>
  <c r="AF845" i="9"/>
  <c r="AF841" i="9"/>
  <c r="AH841" i="9"/>
  <c r="AF837" i="9"/>
  <c r="AH837" i="9"/>
  <c r="AF833" i="9"/>
  <c r="AH833" i="9"/>
  <c r="AH829" i="9"/>
  <c r="AF829" i="9"/>
  <c r="AF825" i="9"/>
  <c r="AH825" i="9"/>
  <c r="AF821" i="9"/>
  <c r="AH821" i="9"/>
  <c r="AF817" i="9"/>
  <c r="AH817" i="9"/>
  <c r="AH813" i="9"/>
  <c r="AF813" i="9"/>
  <c r="AF809" i="9"/>
  <c r="AH809" i="9"/>
  <c r="AF805" i="9"/>
  <c r="AH805" i="9"/>
  <c r="AF801" i="9"/>
  <c r="AH801" i="9"/>
  <c r="AH797" i="9"/>
  <c r="AF797" i="9"/>
  <c r="AF793" i="9"/>
  <c r="AH793" i="9"/>
  <c r="AF789" i="9"/>
  <c r="AH789" i="9"/>
  <c r="AF785" i="9"/>
  <c r="AH785" i="9"/>
  <c r="AH781" i="9"/>
  <c r="AF781" i="9"/>
  <c r="AF777" i="9"/>
  <c r="AH777" i="9"/>
  <c r="AF773" i="9"/>
  <c r="AH773" i="9"/>
  <c r="AF769" i="9"/>
  <c r="AH769" i="9"/>
  <c r="AH765" i="9"/>
  <c r="AF765" i="9"/>
  <c r="AF761" i="9"/>
  <c r="AH761" i="9"/>
  <c r="AF757" i="9"/>
  <c r="AH757" i="9"/>
  <c r="AF753" i="9"/>
  <c r="AH753" i="9"/>
  <c r="AH749" i="9"/>
  <c r="AF749" i="9"/>
  <c r="AF745" i="9"/>
  <c r="AH745" i="9"/>
  <c r="AF741" i="9"/>
  <c r="AH741" i="9"/>
  <c r="AF737" i="9"/>
  <c r="AH737" i="9"/>
  <c r="AH733" i="9"/>
  <c r="AF733" i="9"/>
  <c r="AF729" i="9"/>
  <c r="AH729" i="9"/>
  <c r="AF725" i="9"/>
  <c r="AH725" i="9"/>
  <c r="AF721" i="9"/>
  <c r="AH721" i="9"/>
  <c r="AH717" i="9"/>
  <c r="AF717" i="9"/>
  <c r="AF713" i="9"/>
  <c r="AH713" i="9"/>
  <c r="AF709" i="9"/>
  <c r="AH709" i="9"/>
  <c r="AF705" i="9"/>
  <c r="AH705" i="9"/>
  <c r="AH701" i="9"/>
  <c r="AF701" i="9"/>
  <c r="AF697" i="9"/>
  <c r="AH697" i="9"/>
  <c r="AF693" i="9"/>
  <c r="AH693" i="9"/>
  <c r="AF689" i="9"/>
  <c r="AH689" i="9"/>
  <c r="AH685" i="9"/>
  <c r="AF685" i="9"/>
  <c r="AF681" i="9"/>
  <c r="AH681" i="9"/>
  <c r="AF677" i="9"/>
  <c r="AH677" i="9"/>
  <c r="AF673" i="9"/>
  <c r="AH673" i="9"/>
  <c r="AF669" i="9"/>
  <c r="AH669" i="9"/>
  <c r="AH665" i="9"/>
  <c r="AF665" i="9"/>
  <c r="AF661" i="9"/>
  <c r="AH661" i="9"/>
  <c r="AF657" i="9"/>
  <c r="AH657" i="9"/>
  <c r="AF653" i="9"/>
  <c r="AH653" i="9"/>
  <c r="AF649" i="9"/>
  <c r="AH649" i="9"/>
  <c r="AF645" i="9"/>
  <c r="AH645" i="9"/>
  <c r="AF641" i="9"/>
  <c r="AH641" i="9"/>
  <c r="AF637" i="9"/>
  <c r="AH637" i="9"/>
  <c r="AH633" i="9"/>
  <c r="AF633" i="9"/>
  <c r="AF629" i="9"/>
  <c r="AH629" i="9"/>
  <c r="AF625" i="9"/>
  <c r="AH625" i="9"/>
  <c r="AF621" i="9"/>
  <c r="AH621" i="9"/>
  <c r="AF617" i="9"/>
  <c r="AH617" i="9"/>
  <c r="AF613" i="9"/>
  <c r="AH613" i="9"/>
  <c r="AF609" i="9"/>
  <c r="AH609" i="9"/>
  <c r="AF605" i="9"/>
  <c r="AH605" i="9"/>
  <c r="AH601" i="9"/>
  <c r="AF601" i="9"/>
  <c r="AF597" i="9"/>
  <c r="AH597" i="9"/>
  <c r="AH593" i="9"/>
  <c r="AF593" i="9"/>
  <c r="AH589" i="9"/>
  <c r="AF589" i="9"/>
  <c r="AH585" i="9"/>
  <c r="AF585" i="9"/>
  <c r="AF581" i="9"/>
  <c r="AH581" i="9"/>
  <c r="AH577" i="9"/>
  <c r="AF577" i="9"/>
  <c r="AH573" i="9"/>
  <c r="AF573" i="9"/>
  <c r="AF569" i="9"/>
  <c r="AH569" i="9"/>
  <c r="AH565" i="9"/>
  <c r="AF565" i="9"/>
  <c r="AF561" i="9"/>
  <c r="AH561" i="9"/>
  <c r="AH557" i="9"/>
  <c r="AF557" i="9"/>
  <c r="AF553" i="9"/>
  <c r="AH553" i="9"/>
  <c r="AH549" i="9"/>
  <c r="AF549" i="9"/>
  <c r="AF545" i="9"/>
  <c r="AH545" i="9"/>
  <c r="AH541" i="9"/>
  <c r="AF541" i="9"/>
  <c r="AF537" i="9"/>
  <c r="AH537" i="9"/>
  <c r="AH533" i="9"/>
  <c r="AF533" i="9"/>
  <c r="AF529" i="9"/>
  <c r="AH529" i="9"/>
  <c r="AH525" i="9"/>
  <c r="AF525" i="9"/>
  <c r="AF521" i="9"/>
  <c r="AH521" i="9"/>
  <c r="AH517" i="9"/>
  <c r="AF517" i="9"/>
  <c r="AF513" i="9"/>
  <c r="AH513" i="9"/>
  <c r="AH509" i="9"/>
  <c r="AF509" i="9"/>
  <c r="AF505" i="9"/>
  <c r="AH505" i="9"/>
  <c r="AH501" i="9"/>
  <c r="AF501" i="9"/>
  <c r="AF497" i="9"/>
  <c r="AH497" i="9"/>
  <c r="AH493" i="9"/>
  <c r="AF493" i="9"/>
  <c r="AF489" i="9"/>
  <c r="AH489" i="9"/>
  <c r="AH485" i="9"/>
  <c r="AF485" i="9"/>
  <c r="AF481" i="9"/>
  <c r="AH481" i="9"/>
  <c r="AH477" i="9"/>
  <c r="AF477" i="9"/>
  <c r="AF473" i="9"/>
  <c r="AH473" i="9"/>
  <c r="AH469" i="9"/>
  <c r="AF469" i="9"/>
  <c r="AF465" i="9"/>
  <c r="AH465" i="9"/>
  <c r="AH461" i="9"/>
  <c r="AF461" i="9"/>
  <c r="AF457" i="9"/>
  <c r="AH457" i="9"/>
  <c r="AH453" i="9"/>
  <c r="AF453" i="9"/>
  <c r="AF449" i="9"/>
  <c r="AH449" i="9"/>
  <c r="AH445" i="9"/>
  <c r="AF445" i="9"/>
  <c r="AF441" i="9"/>
  <c r="AH441" i="9"/>
  <c r="AH437" i="9"/>
  <c r="AF437" i="9"/>
  <c r="AF433" i="9"/>
  <c r="AH433" i="9"/>
  <c r="AH429" i="9"/>
  <c r="AF429" i="9"/>
  <c r="AF425" i="9"/>
  <c r="AH425" i="9"/>
  <c r="AH421" i="9"/>
  <c r="AF421" i="9"/>
  <c r="AF417" i="9"/>
  <c r="AH417" i="9"/>
  <c r="AH413" i="9"/>
  <c r="AF413" i="9"/>
  <c r="AF409" i="9"/>
  <c r="AH409" i="9"/>
  <c r="AH405" i="9"/>
  <c r="AF405" i="9"/>
  <c r="AF401" i="9"/>
  <c r="AH401" i="9"/>
  <c r="AH397" i="9"/>
  <c r="AF397" i="9"/>
  <c r="AF393" i="9"/>
  <c r="AH393" i="9"/>
  <c r="AH389" i="9"/>
  <c r="AF389" i="9"/>
  <c r="AF385" i="9"/>
  <c r="AH385" i="9"/>
  <c r="AH381" i="9"/>
  <c r="AF381" i="9"/>
  <c r="AF377" i="9"/>
  <c r="AH377" i="9"/>
  <c r="AH373" i="9"/>
  <c r="AF373" i="9"/>
  <c r="AF369" i="9"/>
  <c r="AH369" i="9"/>
  <c r="AH365" i="9"/>
  <c r="AF365" i="9"/>
  <c r="AF361" i="9"/>
  <c r="AH361" i="9"/>
  <c r="AH357" i="9"/>
  <c r="AF357" i="9"/>
  <c r="AF353" i="9"/>
  <c r="AH353" i="9"/>
  <c r="AH349" i="9"/>
  <c r="AF349" i="9"/>
  <c r="AF345" i="9"/>
  <c r="AH345" i="9"/>
  <c r="AH341" i="9"/>
  <c r="AF341" i="9"/>
  <c r="AF337" i="9"/>
  <c r="AH337" i="9"/>
  <c r="AH333" i="9"/>
  <c r="AF333" i="9"/>
  <c r="AF329" i="9"/>
  <c r="AH329" i="9"/>
  <c r="AH325" i="9"/>
  <c r="AF325" i="9"/>
  <c r="AF321" i="9"/>
  <c r="AH321" i="9"/>
  <c r="AH317" i="9"/>
  <c r="AF317" i="9"/>
  <c r="AF313" i="9"/>
  <c r="AH313" i="9"/>
  <c r="AH309" i="9"/>
  <c r="AF309" i="9"/>
  <c r="AF305" i="9"/>
  <c r="AH305" i="9"/>
  <c r="AH301" i="9"/>
  <c r="AF301" i="9"/>
  <c r="AF297" i="9"/>
  <c r="AH297" i="9"/>
  <c r="AF293" i="9"/>
  <c r="AH293" i="9"/>
  <c r="AF289" i="9"/>
  <c r="AH289" i="9"/>
  <c r="AH285" i="9"/>
  <c r="AF285" i="9"/>
  <c r="AF281" i="9"/>
  <c r="AH281" i="9"/>
  <c r="AH277" i="9"/>
  <c r="AF277" i="9"/>
  <c r="AF273" i="9"/>
  <c r="AH273" i="9"/>
  <c r="AH269" i="9"/>
  <c r="AF269" i="9"/>
  <c r="AF265" i="9"/>
  <c r="AH265" i="9"/>
  <c r="AF261" i="9"/>
  <c r="AH261" i="9"/>
  <c r="AF257" i="9"/>
  <c r="AH257" i="9"/>
  <c r="AH253" i="9"/>
  <c r="AF253" i="9"/>
  <c r="AF249" i="9"/>
  <c r="AH249" i="9"/>
  <c r="AH245" i="9"/>
  <c r="AF245" i="9"/>
  <c r="AF241" i="9"/>
  <c r="AH241" i="9"/>
  <c r="AH237" i="9"/>
  <c r="AF237" i="9"/>
  <c r="AF233" i="9"/>
  <c r="AH233" i="9"/>
  <c r="AF229" i="9"/>
  <c r="AH229" i="9"/>
  <c r="AF225" i="9"/>
  <c r="AH225" i="9"/>
  <c r="AH221" i="9"/>
  <c r="AF221" i="9"/>
  <c r="AF217" i="9"/>
  <c r="AH217" i="9"/>
  <c r="AH213" i="9"/>
  <c r="AF213" i="9"/>
  <c r="AF209" i="9"/>
  <c r="AH209" i="9"/>
  <c r="AH205" i="9"/>
  <c r="AF205" i="9"/>
  <c r="AF201" i="9"/>
  <c r="AH201" i="9"/>
  <c r="AF197" i="9"/>
  <c r="AH197" i="9"/>
  <c r="AF193" i="9"/>
  <c r="AH193" i="9"/>
  <c r="AH189" i="9"/>
  <c r="AF189" i="9"/>
  <c r="AF185" i="9"/>
  <c r="AH185" i="9"/>
  <c r="AH181" i="9"/>
  <c r="AF181" i="9"/>
  <c r="AF177" i="9"/>
  <c r="AH177" i="9"/>
  <c r="AH173" i="9"/>
  <c r="AF173" i="9"/>
  <c r="AF169" i="9"/>
  <c r="AH169" i="9"/>
  <c r="AF165" i="9"/>
  <c r="AH165" i="9"/>
  <c r="AF161" i="9"/>
  <c r="AH161" i="9"/>
  <c r="AH157" i="9"/>
  <c r="AF157" i="9"/>
  <c r="AF153" i="9"/>
  <c r="AH153" i="9"/>
  <c r="AH149" i="9"/>
  <c r="AF149" i="9"/>
  <c r="AF145" i="9"/>
  <c r="AH145" i="9"/>
  <c r="AH141" i="9"/>
  <c r="AF141" i="9"/>
  <c r="AF137" i="9"/>
  <c r="AH137" i="9"/>
  <c r="AF133" i="9"/>
  <c r="AH133" i="9"/>
  <c r="AF129" i="9"/>
  <c r="AH129" i="9"/>
  <c r="AH125" i="9"/>
  <c r="AF125" i="9"/>
  <c r="AF121" i="9"/>
  <c r="AH121" i="9"/>
  <c r="AH117" i="9"/>
  <c r="AF117" i="9"/>
  <c r="AF113" i="9"/>
  <c r="AH113" i="9"/>
  <c r="AH109" i="9"/>
  <c r="AF109" i="9"/>
  <c r="AF105" i="9"/>
  <c r="AH105" i="9"/>
  <c r="AF101" i="9"/>
  <c r="AH101" i="9"/>
  <c r="AF97" i="9"/>
  <c r="AH97" i="9"/>
  <c r="AH93" i="9"/>
  <c r="AF93" i="9"/>
  <c r="AF89" i="9"/>
  <c r="AH89" i="9"/>
  <c r="AH85" i="9"/>
  <c r="AF85" i="9"/>
  <c r="AF81" i="9"/>
  <c r="AH81" i="9"/>
  <c r="AH77" i="9"/>
  <c r="AF77" i="9"/>
  <c r="AF73" i="9"/>
  <c r="AH73" i="9"/>
  <c r="AF69" i="9"/>
  <c r="AH69" i="9"/>
  <c r="AF65" i="9"/>
  <c r="AH65" i="9"/>
  <c r="AH61" i="9"/>
  <c r="AF61" i="9"/>
  <c r="AF57" i="9"/>
  <c r="AH57" i="9"/>
  <c r="AH53" i="9"/>
  <c r="AF53" i="9"/>
  <c r="AF49" i="9"/>
  <c r="AH49" i="9"/>
  <c r="AF45" i="9"/>
  <c r="AH45" i="9"/>
  <c r="AH41" i="9"/>
  <c r="AF41" i="9"/>
  <c r="AH37" i="9"/>
  <c r="AF37" i="9"/>
  <c r="AF33" i="9"/>
  <c r="AH33" i="9"/>
  <c r="AF29" i="9"/>
  <c r="AH29" i="9"/>
  <c r="AF25" i="9"/>
  <c r="AH25" i="9"/>
  <c r="AF21" i="9"/>
  <c r="AH21" i="9"/>
  <c r="AF17" i="9"/>
  <c r="AH17" i="9"/>
  <c r="AF13" i="9"/>
  <c r="AH13" i="9"/>
  <c r="AF1008" i="9"/>
  <c r="AH1008" i="9"/>
  <c r="AH1004" i="9"/>
  <c r="AF1004" i="9"/>
  <c r="AH1000" i="9"/>
  <c r="AF1000" i="9"/>
  <c r="AF996" i="9"/>
  <c r="AH996" i="9"/>
  <c r="AF992" i="9"/>
  <c r="AH992" i="9"/>
  <c r="AF988" i="9"/>
  <c r="AH988" i="9"/>
  <c r="AF984" i="9"/>
  <c r="AH984" i="9"/>
  <c r="AF980" i="9"/>
  <c r="AH980" i="9"/>
  <c r="AF976" i="9"/>
  <c r="AH976" i="9"/>
  <c r="AF972" i="9"/>
  <c r="AH972" i="9"/>
  <c r="AF968" i="9"/>
  <c r="AH968" i="9"/>
  <c r="AF964" i="9"/>
  <c r="AH964" i="9"/>
  <c r="AF960" i="9"/>
  <c r="AH960" i="9"/>
  <c r="AF956" i="9"/>
  <c r="AH956" i="9"/>
  <c r="AF952" i="9"/>
  <c r="AH952" i="9"/>
  <c r="AF948" i="9"/>
  <c r="AH948" i="9"/>
  <c r="AF944" i="9"/>
  <c r="AH944" i="9"/>
  <c r="AF940" i="9"/>
  <c r="AH940" i="9"/>
  <c r="AF936" i="9"/>
  <c r="AH936" i="9"/>
  <c r="AF932" i="9"/>
  <c r="AH932" i="9"/>
  <c r="AF928" i="9"/>
  <c r="AH928" i="9"/>
  <c r="AF924" i="9"/>
  <c r="AH924" i="9"/>
  <c r="AF920" i="9"/>
  <c r="AH920" i="9"/>
  <c r="AF916" i="9"/>
  <c r="AH916" i="9"/>
  <c r="AF912" i="9"/>
  <c r="AH912" i="9"/>
  <c r="AF908" i="9"/>
  <c r="AH908" i="9"/>
  <c r="AF904" i="9"/>
  <c r="AH904" i="9"/>
  <c r="AF900" i="9"/>
  <c r="AH900" i="9"/>
  <c r="AF896" i="9"/>
  <c r="AH896" i="9"/>
  <c r="AF892" i="9"/>
  <c r="AH892" i="9"/>
  <c r="AF888" i="9"/>
  <c r="AH888" i="9"/>
  <c r="AF884" i="9"/>
  <c r="AH884" i="9"/>
  <c r="AF880" i="9"/>
  <c r="AH880" i="9"/>
  <c r="AF876" i="9"/>
  <c r="AH876" i="9"/>
  <c r="AF872" i="9"/>
  <c r="AH872" i="9"/>
  <c r="AF868" i="9"/>
  <c r="AH868" i="9"/>
  <c r="AF864" i="9"/>
  <c r="AH864" i="9"/>
  <c r="AF860" i="9"/>
  <c r="AH860" i="9"/>
  <c r="AF856" i="9"/>
  <c r="AH856" i="9"/>
  <c r="AF852" i="9"/>
  <c r="AH852" i="9"/>
  <c r="AF848" i="9"/>
  <c r="AH848" i="9"/>
  <c r="AF844" i="9"/>
  <c r="AH844" i="9"/>
  <c r="AF840" i="9"/>
  <c r="AH840" i="9"/>
  <c r="AF836" i="9"/>
  <c r="AH836" i="9"/>
  <c r="AF832" i="9"/>
  <c r="AH832" i="9"/>
  <c r="AF828" i="9"/>
  <c r="AH828" i="9"/>
  <c r="AF824" i="9"/>
  <c r="AH824" i="9"/>
  <c r="AF820" i="9"/>
  <c r="AH820" i="9"/>
  <c r="AF816" i="9"/>
  <c r="AH816" i="9"/>
  <c r="AF812" i="9"/>
  <c r="AH812" i="9"/>
  <c r="AF808" i="9"/>
  <c r="AH808" i="9"/>
  <c r="AF804" i="9"/>
  <c r="AH804" i="9"/>
  <c r="AF800" i="9"/>
  <c r="AH800" i="9"/>
  <c r="AF796" i="9"/>
  <c r="AH796" i="9"/>
  <c r="AF792" i="9"/>
  <c r="AH792" i="9"/>
  <c r="AF788" i="9"/>
  <c r="AH788" i="9"/>
  <c r="AF784" i="9"/>
  <c r="AH784" i="9"/>
  <c r="AF780" i="9"/>
  <c r="AH780" i="9"/>
  <c r="AF776" i="9"/>
  <c r="AH776" i="9"/>
  <c r="AF772" i="9"/>
  <c r="AH772" i="9"/>
  <c r="AF768" i="9"/>
  <c r="AH768" i="9"/>
  <c r="AF764" i="9"/>
  <c r="AH764" i="9"/>
  <c r="AF760" i="9"/>
  <c r="AH760" i="9"/>
  <c r="AF756" i="9"/>
  <c r="AH756" i="9"/>
  <c r="AF752" i="9"/>
  <c r="AH752" i="9"/>
  <c r="AF748" i="9"/>
  <c r="AH748" i="9"/>
  <c r="AF744" i="9"/>
  <c r="AH744" i="9"/>
  <c r="AF740" i="9"/>
  <c r="AH740" i="9"/>
  <c r="AF736" i="9"/>
  <c r="AH736" i="9"/>
  <c r="AF732" i="9"/>
  <c r="AH732" i="9"/>
  <c r="AF728" i="9"/>
  <c r="AH728" i="9"/>
  <c r="AF724" i="9"/>
  <c r="AH724" i="9"/>
  <c r="AF720" i="9"/>
  <c r="AH720" i="9"/>
  <c r="AF716" i="9"/>
  <c r="AH716" i="9"/>
  <c r="AF712" i="9"/>
  <c r="AH712" i="9"/>
  <c r="AF708" i="9"/>
  <c r="AH708" i="9"/>
  <c r="AF704" i="9"/>
  <c r="AH704" i="9"/>
  <c r="AF700" i="9"/>
  <c r="AH700" i="9"/>
  <c r="AF696" i="9"/>
  <c r="AH696" i="9"/>
  <c r="AF692" i="9"/>
  <c r="AH692" i="9"/>
  <c r="AF688" i="9"/>
  <c r="AH688" i="9"/>
  <c r="AF684" i="9"/>
  <c r="AH684" i="9"/>
  <c r="AF680" i="9"/>
  <c r="AH680" i="9"/>
  <c r="AF676" i="9"/>
  <c r="AH676" i="9"/>
  <c r="AF672" i="9"/>
  <c r="AH672" i="9"/>
  <c r="AF668" i="9"/>
  <c r="AH668" i="9"/>
  <c r="AF664" i="9"/>
  <c r="AH664" i="9"/>
  <c r="AF660" i="9"/>
  <c r="AH660" i="9"/>
  <c r="AF656" i="9"/>
  <c r="AH656" i="9"/>
  <c r="AF652" i="9"/>
  <c r="AH652" i="9"/>
  <c r="AF648" i="9"/>
  <c r="AH648" i="9"/>
  <c r="AF644" i="9"/>
  <c r="AH644" i="9"/>
  <c r="AF640" i="9"/>
  <c r="AH640" i="9"/>
  <c r="AF636" i="9"/>
  <c r="AH636" i="9"/>
  <c r="AF632" i="9"/>
  <c r="AH632" i="9"/>
  <c r="AF628" i="9"/>
  <c r="AH628" i="9"/>
  <c r="AF624" i="9"/>
  <c r="AH624" i="9"/>
  <c r="AF620" i="9"/>
  <c r="AH620" i="9"/>
  <c r="AF616" i="9"/>
  <c r="AH616" i="9"/>
  <c r="AF612" i="9"/>
  <c r="AH612" i="9"/>
  <c r="AF608" i="9"/>
  <c r="AH608" i="9"/>
  <c r="AF604" i="9"/>
  <c r="AH604" i="9"/>
  <c r="AF600" i="9"/>
  <c r="AH600" i="9"/>
  <c r="AF596" i="9"/>
  <c r="AH596" i="9"/>
  <c r="AF592" i="9"/>
  <c r="AH592" i="9"/>
  <c r="AF588" i="9"/>
  <c r="AH588" i="9"/>
  <c r="AF584" i="9"/>
  <c r="AH584" i="9"/>
  <c r="AF580" i="9"/>
  <c r="AH580" i="9"/>
  <c r="AF576" i="9"/>
  <c r="AH576" i="9"/>
  <c r="AF572" i="9"/>
  <c r="AH572" i="9"/>
  <c r="AF568" i="9"/>
  <c r="AH568" i="9"/>
  <c r="AF564" i="9"/>
  <c r="AH564" i="9"/>
  <c r="AF560" i="9"/>
  <c r="AH560" i="9"/>
  <c r="AF556" i="9"/>
  <c r="AH556" i="9"/>
  <c r="AF552" i="9"/>
  <c r="AH552" i="9"/>
  <c r="AF548" i="9"/>
  <c r="AH548" i="9"/>
  <c r="AF544" i="9"/>
  <c r="AH544" i="9"/>
  <c r="AF540" i="9"/>
  <c r="AH540" i="9"/>
  <c r="AF536" i="9"/>
  <c r="AH536" i="9"/>
  <c r="AF532" i="9"/>
  <c r="AH532" i="9"/>
  <c r="AF528" i="9"/>
  <c r="AH528" i="9"/>
  <c r="AF524" i="9"/>
  <c r="AH524" i="9"/>
  <c r="AF520" i="9"/>
  <c r="AH520" i="9"/>
  <c r="AF516" i="9"/>
  <c r="AH516" i="9"/>
  <c r="AF512" i="9"/>
  <c r="AH512" i="9"/>
  <c r="AF508" i="9"/>
  <c r="AH508" i="9"/>
  <c r="AF504" i="9"/>
  <c r="AH504" i="9"/>
  <c r="AF500" i="9"/>
  <c r="AH500" i="9"/>
  <c r="AF496" i="9"/>
  <c r="AH496" i="9"/>
  <c r="AF492" i="9"/>
  <c r="AH492" i="9"/>
  <c r="AF488" i="9"/>
  <c r="AH488" i="9"/>
  <c r="AF484" i="9"/>
  <c r="AH484" i="9"/>
  <c r="AF480" i="9"/>
  <c r="AH480" i="9"/>
  <c r="AF476" i="9"/>
  <c r="AH476" i="9"/>
  <c r="AF472" i="9"/>
  <c r="AH472" i="9"/>
  <c r="AF468" i="9"/>
  <c r="AH468" i="9"/>
  <c r="AF464" i="9"/>
  <c r="AH464" i="9"/>
  <c r="AF460" i="9"/>
  <c r="AH460" i="9"/>
  <c r="AF456" i="9"/>
  <c r="AH456" i="9"/>
  <c r="AF452" i="9"/>
  <c r="AH452" i="9"/>
  <c r="AF448" i="9"/>
  <c r="AH448" i="9"/>
  <c r="AF444" i="9"/>
  <c r="AH444" i="9"/>
  <c r="AF440" i="9"/>
  <c r="AH440" i="9"/>
  <c r="AF436" i="9"/>
  <c r="AH436" i="9"/>
  <c r="AF432" i="9"/>
  <c r="AH432" i="9"/>
  <c r="AF428" i="9"/>
  <c r="AH428" i="9"/>
  <c r="AF424" i="9"/>
  <c r="AH424" i="9"/>
  <c r="AF420" i="9"/>
  <c r="AH420" i="9"/>
  <c r="AF416" i="9"/>
  <c r="AH416" i="9"/>
  <c r="AF412" i="9"/>
  <c r="AH412" i="9"/>
  <c r="AF408" i="9"/>
  <c r="AH408" i="9"/>
  <c r="AF404" i="9"/>
  <c r="AH404" i="9"/>
  <c r="AF400" i="9"/>
  <c r="AH400" i="9"/>
  <c r="AF396" i="9"/>
  <c r="AH396" i="9"/>
  <c r="AF392" i="9"/>
  <c r="AH392" i="9"/>
  <c r="AF388" i="9"/>
  <c r="AH388" i="9"/>
  <c r="AF384" i="9"/>
  <c r="AH384" i="9"/>
  <c r="AF380" i="9"/>
  <c r="AH380" i="9"/>
  <c r="AF376" i="9"/>
  <c r="AH376" i="9"/>
  <c r="AF372" i="9"/>
  <c r="AH372" i="9"/>
  <c r="AF368" i="9"/>
  <c r="AH368" i="9"/>
  <c r="AF364" i="9"/>
  <c r="AH364" i="9"/>
  <c r="AF360" i="9"/>
  <c r="AH360" i="9"/>
  <c r="AF356" i="9"/>
  <c r="AH356" i="9"/>
  <c r="AF352" i="9"/>
  <c r="AH352" i="9"/>
  <c r="AF348" i="9"/>
  <c r="AH348" i="9"/>
  <c r="AF344" i="9"/>
  <c r="AH344" i="9"/>
  <c r="AF340" i="9"/>
  <c r="AH340" i="9"/>
  <c r="AF336" i="9"/>
  <c r="AH336" i="9"/>
  <c r="AF332" i="9"/>
  <c r="AH332" i="9"/>
  <c r="AF328" i="9"/>
  <c r="AH328" i="9"/>
  <c r="AF324" i="9"/>
  <c r="AH324" i="9"/>
  <c r="AF320" i="9"/>
  <c r="AH320" i="9"/>
  <c r="AF316" i="9"/>
  <c r="AH316" i="9"/>
  <c r="AF312" i="9"/>
  <c r="AH312" i="9"/>
  <c r="AF308" i="9"/>
  <c r="AH308" i="9"/>
  <c r="AF304" i="9"/>
  <c r="AH304" i="9"/>
  <c r="AF300" i="9"/>
  <c r="AH300" i="9"/>
  <c r="AF296" i="9"/>
  <c r="AH296" i="9"/>
  <c r="AF292" i="9"/>
  <c r="AH292" i="9"/>
  <c r="AH288" i="9"/>
  <c r="AF288" i="9"/>
  <c r="AF284" i="9"/>
  <c r="AH284" i="9"/>
  <c r="AF280" i="9"/>
  <c r="AH280" i="9"/>
  <c r="AF276" i="9"/>
  <c r="AH276" i="9"/>
  <c r="AF272" i="9"/>
  <c r="AH272" i="9"/>
  <c r="AF268" i="9"/>
  <c r="AH268" i="9"/>
  <c r="AF264" i="9"/>
  <c r="AH264" i="9"/>
  <c r="AF260" i="9"/>
  <c r="AH260" i="9"/>
  <c r="AH256" i="9"/>
  <c r="AF256" i="9"/>
  <c r="AF252" i="9"/>
  <c r="AH252" i="9"/>
  <c r="AF248" i="9"/>
  <c r="AH248" i="9"/>
  <c r="AF244" i="9"/>
  <c r="AH244" i="9"/>
  <c r="AF240" i="9"/>
  <c r="AH240" i="9"/>
  <c r="AF236" i="9"/>
  <c r="AH236" i="9"/>
  <c r="AF232" i="9"/>
  <c r="AH232" i="9"/>
  <c r="AF228" i="9"/>
  <c r="AH228" i="9"/>
  <c r="AH224" i="9"/>
  <c r="AF224" i="9"/>
  <c r="AF220" i="9"/>
  <c r="AH220" i="9"/>
  <c r="AF216" i="9"/>
  <c r="AH216" i="9"/>
  <c r="AF212" i="9"/>
  <c r="AH212" i="9"/>
  <c r="AF208" i="9"/>
  <c r="AH208" i="9"/>
  <c r="AF204" i="9"/>
  <c r="AH204" i="9"/>
  <c r="AF200" i="9"/>
  <c r="AH200" i="9"/>
  <c r="AF196" i="9"/>
  <c r="AH196" i="9"/>
  <c r="AH192" i="9"/>
  <c r="AF192" i="9"/>
  <c r="AF188" i="9"/>
  <c r="AH188" i="9"/>
  <c r="AF184" i="9"/>
  <c r="AH184" i="9"/>
  <c r="AF180" i="9"/>
  <c r="AH180" i="9"/>
  <c r="AF176" i="9"/>
  <c r="AH176" i="9"/>
  <c r="AF172" i="9"/>
  <c r="AH172" i="9"/>
  <c r="AF168" i="9"/>
  <c r="AH168" i="9"/>
  <c r="AF164" i="9"/>
  <c r="AH164" i="9"/>
  <c r="AH160" i="9"/>
  <c r="AF160" i="9"/>
  <c r="AF156" i="9"/>
  <c r="AH156" i="9"/>
  <c r="AF152" i="9"/>
  <c r="AH152" i="9"/>
  <c r="AF148" i="9"/>
  <c r="AH148" i="9"/>
  <c r="AF144" i="9"/>
  <c r="AH144" i="9"/>
  <c r="AF140" i="9"/>
  <c r="AH140" i="9"/>
  <c r="AF136" i="9"/>
  <c r="AH136" i="9"/>
  <c r="AF132" i="9"/>
  <c r="AH132" i="9"/>
  <c r="AH128" i="9"/>
  <c r="AF128" i="9"/>
  <c r="AF124" i="9"/>
  <c r="AH124" i="9"/>
  <c r="AF120" i="9"/>
  <c r="AH120" i="9"/>
  <c r="AF116" i="9"/>
  <c r="AH116" i="9"/>
  <c r="AF112" i="9"/>
  <c r="AH112" i="9"/>
  <c r="AF108" i="9"/>
  <c r="AH108" i="9"/>
  <c r="AF104" i="9"/>
  <c r="AH104" i="9"/>
  <c r="AF100" i="9"/>
  <c r="AH100" i="9"/>
  <c r="AH96" i="9"/>
  <c r="AF96" i="9"/>
  <c r="AF92" i="9"/>
  <c r="AH92" i="9"/>
  <c r="AF88" i="9"/>
  <c r="AH88" i="9"/>
  <c r="AF84" i="9"/>
  <c r="AH84" i="9"/>
  <c r="AF80" i="9"/>
  <c r="AH80" i="9"/>
  <c r="AF76" i="9"/>
  <c r="AH76" i="9"/>
  <c r="AF72" i="9"/>
  <c r="AH72" i="9"/>
  <c r="AF68" i="9"/>
  <c r="AH68" i="9"/>
  <c r="AH64" i="9"/>
  <c r="AF64" i="9"/>
  <c r="AF60" i="9"/>
  <c r="AH60" i="9"/>
  <c r="AF56" i="9"/>
  <c r="AH56" i="9"/>
  <c r="AF52" i="9"/>
  <c r="AH52" i="9"/>
  <c r="AF48" i="9"/>
  <c r="AH48" i="9"/>
  <c r="AF44" i="9"/>
  <c r="AH44" i="9"/>
  <c r="AF40" i="9"/>
  <c r="AH40" i="9"/>
  <c r="AF36" i="9"/>
  <c r="AH36" i="9"/>
  <c r="AF32" i="9"/>
  <c r="AH32" i="9"/>
  <c r="AF28" i="9"/>
  <c r="AH28" i="9"/>
  <c r="AF24" i="9"/>
  <c r="AH24" i="9"/>
  <c r="AF20" i="9"/>
  <c r="AH20" i="9"/>
  <c r="AF16" i="9"/>
  <c r="AH16" i="9"/>
  <c r="AH12" i="9"/>
  <c r="AF12" i="9"/>
  <c r="W37" i="2"/>
  <c r="W38" i="2"/>
  <c r="W39" i="2"/>
  <c r="W40" i="2"/>
  <c r="W41" i="2"/>
  <c r="W42" i="2"/>
  <c r="W50" i="2"/>
  <c r="W58" i="2"/>
  <c r="W59" i="2"/>
  <c r="W60" i="2"/>
  <c r="W61" i="2"/>
  <c r="W62" i="2"/>
  <c r="W63" i="2"/>
  <c r="W65" i="2"/>
  <c r="W66" i="2"/>
  <c r="W67" i="2"/>
  <c r="W68" i="2"/>
  <c r="W69" i="2"/>
  <c r="W70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6" i="2"/>
  <c r="W87" i="2"/>
  <c r="W88" i="2"/>
  <c r="W89" i="2"/>
  <c r="W90" i="2"/>
  <c r="W91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N4" i="5"/>
  <c r="N5" i="5"/>
  <c r="N6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N1002" i="5"/>
  <c r="N1003" i="5"/>
  <c r="N1004" i="5"/>
  <c r="N7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4" i="5"/>
  <c r="AB1004" i="5"/>
  <c r="M1004" i="5"/>
  <c r="Z8" i="5"/>
  <c r="Z9" i="5"/>
  <c r="Z16" i="5"/>
  <c r="Z17" i="5"/>
  <c r="Z24" i="5"/>
  <c r="Z25" i="5"/>
  <c r="Z32" i="5"/>
  <c r="Z33" i="5"/>
  <c r="Z40" i="5"/>
  <c r="Z41" i="5"/>
  <c r="Z48" i="5"/>
  <c r="Z49" i="5"/>
  <c r="Z56" i="5"/>
  <c r="Z57" i="5"/>
  <c r="Z64" i="5"/>
  <c r="Z65" i="5"/>
  <c r="Z72" i="5"/>
  <c r="Z73" i="5"/>
  <c r="Z80" i="5"/>
  <c r="Z81" i="5"/>
  <c r="Z88" i="5"/>
  <c r="Z89" i="5"/>
  <c r="Z96" i="5"/>
  <c r="Z97" i="5"/>
  <c r="Z104" i="5"/>
  <c r="Z105" i="5"/>
  <c r="Z112" i="5"/>
  <c r="Z113" i="5"/>
  <c r="Z120" i="5"/>
  <c r="Z121" i="5"/>
  <c r="Z128" i="5"/>
  <c r="Z129" i="5"/>
  <c r="Z136" i="5"/>
  <c r="Z137" i="5"/>
  <c r="Z144" i="5"/>
  <c r="Z145" i="5"/>
  <c r="Z152" i="5"/>
  <c r="Z153" i="5"/>
  <c r="Z160" i="5"/>
  <c r="Z161" i="5"/>
  <c r="Z168" i="5"/>
  <c r="Z169" i="5"/>
  <c r="Z176" i="5"/>
  <c r="Z177" i="5"/>
  <c r="Z184" i="5"/>
  <c r="Z185" i="5"/>
  <c r="Z192" i="5"/>
  <c r="Z193" i="5"/>
  <c r="Z200" i="5"/>
  <c r="Z201" i="5"/>
  <c r="Z208" i="5"/>
  <c r="Z209" i="5"/>
  <c r="Z216" i="5"/>
  <c r="Z217" i="5"/>
  <c r="Z224" i="5"/>
  <c r="Z225" i="5"/>
  <c r="Z232" i="5"/>
  <c r="Z233" i="5"/>
  <c r="Z240" i="5"/>
  <c r="Z241" i="5"/>
  <c r="Z248" i="5"/>
  <c r="Z249" i="5"/>
  <c r="Z256" i="5"/>
  <c r="Z257" i="5"/>
  <c r="Z264" i="5"/>
  <c r="Z265" i="5"/>
  <c r="Z272" i="5"/>
  <c r="Z273" i="5"/>
  <c r="Z280" i="5"/>
  <c r="Z281" i="5"/>
  <c r="Z288" i="5"/>
  <c r="Z289" i="5"/>
  <c r="Z296" i="5"/>
  <c r="Z297" i="5"/>
  <c r="Z304" i="5"/>
  <c r="Z305" i="5"/>
  <c r="Z312" i="5"/>
  <c r="Z313" i="5"/>
  <c r="Z320" i="5"/>
  <c r="Z321" i="5"/>
  <c r="Z328" i="5"/>
  <c r="Z329" i="5"/>
  <c r="Z336" i="5"/>
  <c r="Z337" i="5"/>
  <c r="Z344" i="5"/>
  <c r="Z345" i="5"/>
  <c r="Z352" i="5"/>
  <c r="Z353" i="5"/>
  <c r="Z360" i="5"/>
  <c r="Z361" i="5"/>
  <c r="Z368" i="5"/>
  <c r="Z369" i="5"/>
  <c r="Z376" i="5"/>
  <c r="Z377" i="5"/>
  <c r="Z384" i="5"/>
  <c r="Z385" i="5"/>
  <c r="Z392" i="5"/>
  <c r="Z393" i="5"/>
  <c r="Z400" i="5"/>
  <c r="Z401" i="5"/>
  <c r="Z408" i="5"/>
  <c r="Z409" i="5"/>
  <c r="Z416" i="5"/>
  <c r="Z417" i="5"/>
  <c r="Z424" i="5"/>
  <c r="Z425" i="5"/>
  <c r="Z432" i="5"/>
  <c r="Z433" i="5"/>
  <c r="Z440" i="5"/>
  <c r="Z441" i="5"/>
  <c r="Z448" i="5"/>
  <c r="Z449" i="5"/>
  <c r="Z456" i="5"/>
  <c r="Z457" i="5"/>
  <c r="Z464" i="5"/>
  <c r="Z465" i="5"/>
  <c r="Z472" i="5"/>
  <c r="Z473" i="5"/>
  <c r="Z480" i="5"/>
  <c r="Z481" i="5"/>
  <c r="Z488" i="5"/>
  <c r="Z489" i="5"/>
  <c r="Z496" i="5"/>
  <c r="Z497" i="5"/>
  <c r="Z504" i="5"/>
  <c r="Z505" i="5"/>
  <c r="Z512" i="5"/>
  <c r="Z513" i="5"/>
  <c r="Z520" i="5"/>
  <c r="Z521" i="5"/>
  <c r="Z528" i="5"/>
  <c r="Z529" i="5"/>
  <c r="Z536" i="5"/>
  <c r="Z537" i="5"/>
  <c r="Z544" i="5"/>
  <c r="Z545" i="5"/>
  <c r="Z552" i="5"/>
  <c r="Z553" i="5"/>
  <c r="Z560" i="5"/>
  <c r="Z561" i="5"/>
  <c r="Z568" i="5"/>
  <c r="Z569" i="5"/>
  <c r="Z576" i="5"/>
  <c r="Z577" i="5"/>
  <c r="Z584" i="5"/>
  <c r="Z585" i="5"/>
  <c r="Z592" i="5"/>
  <c r="Z593" i="5"/>
  <c r="Z600" i="5"/>
  <c r="Z601" i="5"/>
  <c r="Z608" i="5"/>
  <c r="Z609" i="5"/>
  <c r="Z616" i="5"/>
  <c r="Z617" i="5"/>
  <c r="Z624" i="5"/>
  <c r="Z625" i="5"/>
  <c r="Z632" i="5"/>
  <c r="Z633" i="5"/>
  <c r="Z640" i="5"/>
  <c r="Z641" i="5"/>
  <c r="Z648" i="5"/>
  <c r="Z649" i="5"/>
  <c r="Z656" i="5"/>
  <c r="Z657" i="5"/>
  <c r="Z664" i="5"/>
  <c r="Z665" i="5"/>
  <c r="Z672" i="5"/>
  <c r="Z673" i="5"/>
  <c r="Z680" i="5"/>
  <c r="Z681" i="5"/>
  <c r="Z688" i="5"/>
  <c r="Z689" i="5"/>
  <c r="Z696" i="5"/>
  <c r="Z697" i="5"/>
  <c r="Z704" i="5"/>
  <c r="Z705" i="5"/>
  <c r="Z712" i="5"/>
  <c r="Z713" i="5"/>
  <c r="Z720" i="5"/>
  <c r="Z721" i="5"/>
  <c r="Z728" i="5"/>
  <c r="Z729" i="5"/>
  <c r="Z736" i="5"/>
  <c r="Z737" i="5"/>
  <c r="Z744" i="5"/>
  <c r="Z745" i="5"/>
  <c r="Z752" i="5"/>
  <c r="Z753" i="5"/>
  <c r="Z760" i="5"/>
  <c r="Z761" i="5"/>
  <c r="Z768" i="5"/>
  <c r="Z769" i="5"/>
  <c r="Z776" i="5"/>
  <c r="Z777" i="5"/>
  <c r="Z784" i="5"/>
  <c r="Z785" i="5"/>
  <c r="Z792" i="5"/>
  <c r="Z793" i="5"/>
  <c r="Z800" i="5"/>
  <c r="Z801" i="5"/>
  <c r="Z808" i="5"/>
  <c r="Z809" i="5"/>
  <c r="Z816" i="5"/>
  <c r="Z817" i="5"/>
  <c r="Z824" i="5"/>
  <c r="Z825" i="5"/>
  <c r="Z832" i="5"/>
  <c r="Z833" i="5"/>
  <c r="Z840" i="5"/>
  <c r="Z841" i="5"/>
  <c r="Z848" i="5"/>
  <c r="Z849" i="5"/>
  <c r="Z856" i="5"/>
  <c r="Z857" i="5"/>
  <c r="Z864" i="5"/>
  <c r="Z865" i="5"/>
  <c r="Z872" i="5"/>
  <c r="Z873" i="5"/>
  <c r="Z880" i="5"/>
  <c r="Z881" i="5"/>
  <c r="Z888" i="5"/>
  <c r="Z889" i="5"/>
  <c r="Z896" i="5"/>
  <c r="Z897" i="5"/>
  <c r="Z904" i="5"/>
  <c r="Z905" i="5"/>
  <c r="Z912" i="5"/>
  <c r="Z913" i="5"/>
  <c r="Z920" i="5"/>
  <c r="Z921" i="5"/>
  <c r="Z928" i="5"/>
  <c r="Z929" i="5"/>
  <c r="Z936" i="5"/>
  <c r="Z937" i="5"/>
  <c r="Z944" i="5"/>
  <c r="Z945" i="5"/>
  <c r="Z952" i="5"/>
  <c r="Z953" i="5"/>
  <c r="Z960" i="5"/>
  <c r="Z961" i="5"/>
  <c r="Z967" i="5"/>
  <c r="Z971" i="5"/>
  <c r="Z975" i="5"/>
  <c r="Z979" i="5"/>
  <c r="Z983" i="5"/>
  <c r="Z987" i="5"/>
  <c r="Z991" i="5"/>
  <c r="Z995" i="5"/>
  <c r="Z999" i="5"/>
  <c r="Z1003" i="5"/>
  <c r="Y5" i="5"/>
  <c r="Z5" i="5" s="1"/>
  <c r="Y6" i="5"/>
  <c r="Z6" i="5" s="1"/>
  <c r="Y7" i="5"/>
  <c r="Z7" i="5" s="1"/>
  <c r="Y8" i="5"/>
  <c r="Y9" i="5"/>
  <c r="Y10" i="5"/>
  <c r="Z10" i="5" s="1"/>
  <c r="Y11" i="5"/>
  <c r="Z11" i="5" s="1"/>
  <c r="Y12" i="5"/>
  <c r="Z12" i="5" s="1"/>
  <c r="Y13" i="5"/>
  <c r="Z13" i="5" s="1"/>
  <c r="Y14" i="5"/>
  <c r="Z14" i="5" s="1"/>
  <c r="Y15" i="5"/>
  <c r="Z15" i="5" s="1"/>
  <c r="Y16" i="5"/>
  <c r="Y17" i="5"/>
  <c r="Y18" i="5"/>
  <c r="Z18" i="5" s="1"/>
  <c r="Y19" i="5"/>
  <c r="Z19" i="5" s="1"/>
  <c r="Y20" i="5"/>
  <c r="Z20" i="5" s="1"/>
  <c r="Y21" i="5"/>
  <c r="Z21" i="5" s="1"/>
  <c r="Y22" i="5"/>
  <c r="Z22" i="5" s="1"/>
  <c r="Y23" i="5"/>
  <c r="Z23" i="5" s="1"/>
  <c r="Y24" i="5"/>
  <c r="Y25" i="5"/>
  <c r="Y26" i="5"/>
  <c r="Z26" i="5" s="1"/>
  <c r="Y27" i="5"/>
  <c r="Z27" i="5" s="1"/>
  <c r="Y28" i="5"/>
  <c r="Z28" i="5" s="1"/>
  <c r="Y29" i="5"/>
  <c r="Z29" i="5" s="1"/>
  <c r="Y30" i="5"/>
  <c r="Z30" i="5" s="1"/>
  <c r="Y31" i="5"/>
  <c r="Z31" i="5" s="1"/>
  <c r="Y32" i="5"/>
  <c r="Y33" i="5"/>
  <c r="Y34" i="5"/>
  <c r="Z34" i="5" s="1"/>
  <c r="Y35" i="5"/>
  <c r="Z35" i="5" s="1"/>
  <c r="Y36" i="5"/>
  <c r="Z36" i="5" s="1"/>
  <c r="Y37" i="5"/>
  <c r="Z37" i="5" s="1"/>
  <c r="Y38" i="5"/>
  <c r="Z38" i="5" s="1"/>
  <c r="Y39" i="5"/>
  <c r="Z39" i="5" s="1"/>
  <c r="Y40" i="5"/>
  <c r="Y41" i="5"/>
  <c r="Y42" i="5"/>
  <c r="Z42" i="5" s="1"/>
  <c r="Y43" i="5"/>
  <c r="Z43" i="5" s="1"/>
  <c r="Y44" i="5"/>
  <c r="Z44" i="5" s="1"/>
  <c r="Y45" i="5"/>
  <c r="Z45" i="5" s="1"/>
  <c r="Y46" i="5"/>
  <c r="Z46" i="5" s="1"/>
  <c r="Y47" i="5"/>
  <c r="Z47" i="5" s="1"/>
  <c r="Y48" i="5"/>
  <c r="Y49" i="5"/>
  <c r="Y50" i="5"/>
  <c r="Z50" i="5" s="1"/>
  <c r="Y51" i="5"/>
  <c r="Z51" i="5" s="1"/>
  <c r="Y52" i="5"/>
  <c r="Z52" i="5" s="1"/>
  <c r="Y53" i="5"/>
  <c r="Z53" i="5" s="1"/>
  <c r="Y54" i="5"/>
  <c r="Z54" i="5" s="1"/>
  <c r="Y55" i="5"/>
  <c r="Z55" i="5" s="1"/>
  <c r="Y56" i="5"/>
  <c r="Y57" i="5"/>
  <c r="Y58" i="5"/>
  <c r="Z58" i="5" s="1"/>
  <c r="Y59" i="5"/>
  <c r="Z59" i="5" s="1"/>
  <c r="Y60" i="5"/>
  <c r="Z60" i="5" s="1"/>
  <c r="Y61" i="5"/>
  <c r="Z61" i="5" s="1"/>
  <c r="Y62" i="5"/>
  <c r="Z62" i="5" s="1"/>
  <c r="Y63" i="5"/>
  <c r="Z63" i="5" s="1"/>
  <c r="Y64" i="5"/>
  <c r="Y65" i="5"/>
  <c r="Y66" i="5"/>
  <c r="Z66" i="5" s="1"/>
  <c r="Y67" i="5"/>
  <c r="Z67" i="5" s="1"/>
  <c r="Y68" i="5"/>
  <c r="Z68" i="5" s="1"/>
  <c r="Y69" i="5"/>
  <c r="Z69" i="5" s="1"/>
  <c r="Y70" i="5"/>
  <c r="Z70" i="5" s="1"/>
  <c r="Y71" i="5"/>
  <c r="Z71" i="5" s="1"/>
  <c r="Y72" i="5"/>
  <c r="Y73" i="5"/>
  <c r="Y74" i="5"/>
  <c r="Z74" i="5" s="1"/>
  <c r="Y75" i="5"/>
  <c r="Z75" i="5" s="1"/>
  <c r="Y76" i="5"/>
  <c r="Z76" i="5" s="1"/>
  <c r="Y77" i="5"/>
  <c r="Z77" i="5" s="1"/>
  <c r="Y78" i="5"/>
  <c r="Z78" i="5" s="1"/>
  <c r="Y79" i="5"/>
  <c r="Z79" i="5" s="1"/>
  <c r="Y80" i="5"/>
  <c r="Y81" i="5"/>
  <c r="Y82" i="5"/>
  <c r="Z82" i="5" s="1"/>
  <c r="Y83" i="5"/>
  <c r="Z83" i="5" s="1"/>
  <c r="Y84" i="5"/>
  <c r="Z84" i="5" s="1"/>
  <c r="Y85" i="5"/>
  <c r="Z85" i="5" s="1"/>
  <c r="Y86" i="5"/>
  <c r="Z86" i="5" s="1"/>
  <c r="Y87" i="5"/>
  <c r="Z87" i="5" s="1"/>
  <c r="Y88" i="5"/>
  <c r="Y89" i="5"/>
  <c r="Y90" i="5"/>
  <c r="Z90" i="5" s="1"/>
  <c r="Y91" i="5"/>
  <c r="Z91" i="5" s="1"/>
  <c r="Y92" i="5"/>
  <c r="Z92" i="5" s="1"/>
  <c r="Y93" i="5"/>
  <c r="Z93" i="5" s="1"/>
  <c r="Y94" i="5"/>
  <c r="Z94" i="5" s="1"/>
  <c r="Y95" i="5"/>
  <c r="Z95" i="5" s="1"/>
  <c r="Y96" i="5"/>
  <c r="Y97" i="5"/>
  <c r="Y98" i="5"/>
  <c r="Z98" i="5" s="1"/>
  <c r="Y99" i="5"/>
  <c r="Z99" i="5" s="1"/>
  <c r="Y100" i="5"/>
  <c r="Z100" i="5" s="1"/>
  <c r="Y101" i="5"/>
  <c r="Z101" i="5" s="1"/>
  <c r="Y102" i="5"/>
  <c r="Z102" i="5" s="1"/>
  <c r="Y103" i="5"/>
  <c r="Z103" i="5" s="1"/>
  <c r="Y104" i="5"/>
  <c r="Y105" i="5"/>
  <c r="Y106" i="5"/>
  <c r="Z106" i="5" s="1"/>
  <c r="Y107" i="5"/>
  <c r="Z107" i="5" s="1"/>
  <c r="Y108" i="5"/>
  <c r="Z108" i="5" s="1"/>
  <c r="Y109" i="5"/>
  <c r="Z109" i="5" s="1"/>
  <c r="Y110" i="5"/>
  <c r="Z110" i="5" s="1"/>
  <c r="Y111" i="5"/>
  <c r="Z111" i="5" s="1"/>
  <c r="Y112" i="5"/>
  <c r="Y113" i="5"/>
  <c r="Y114" i="5"/>
  <c r="Z114" i="5" s="1"/>
  <c r="Y115" i="5"/>
  <c r="Z115" i="5" s="1"/>
  <c r="Y116" i="5"/>
  <c r="Z116" i="5" s="1"/>
  <c r="Y117" i="5"/>
  <c r="Z117" i="5" s="1"/>
  <c r="Y118" i="5"/>
  <c r="Z118" i="5" s="1"/>
  <c r="Y119" i="5"/>
  <c r="Z119" i="5" s="1"/>
  <c r="Y120" i="5"/>
  <c r="Y121" i="5"/>
  <c r="Y122" i="5"/>
  <c r="Z122" i="5" s="1"/>
  <c r="Y123" i="5"/>
  <c r="Z123" i="5" s="1"/>
  <c r="Y124" i="5"/>
  <c r="Z124" i="5" s="1"/>
  <c r="Y125" i="5"/>
  <c r="Z125" i="5" s="1"/>
  <c r="Y126" i="5"/>
  <c r="Z126" i="5" s="1"/>
  <c r="Y127" i="5"/>
  <c r="Z127" i="5" s="1"/>
  <c r="Y128" i="5"/>
  <c r="Y129" i="5"/>
  <c r="Y130" i="5"/>
  <c r="Z130" i="5" s="1"/>
  <c r="Y131" i="5"/>
  <c r="Z131" i="5" s="1"/>
  <c r="Y132" i="5"/>
  <c r="Z132" i="5" s="1"/>
  <c r="Y133" i="5"/>
  <c r="Z133" i="5" s="1"/>
  <c r="Y134" i="5"/>
  <c r="Z134" i="5" s="1"/>
  <c r="Y135" i="5"/>
  <c r="Z135" i="5" s="1"/>
  <c r="Y136" i="5"/>
  <c r="Y137" i="5"/>
  <c r="Y138" i="5"/>
  <c r="Z138" i="5" s="1"/>
  <c r="Y139" i="5"/>
  <c r="Z139" i="5" s="1"/>
  <c r="Y140" i="5"/>
  <c r="Z140" i="5" s="1"/>
  <c r="Y141" i="5"/>
  <c r="Z141" i="5" s="1"/>
  <c r="Y142" i="5"/>
  <c r="Z142" i="5" s="1"/>
  <c r="Y143" i="5"/>
  <c r="Z143" i="5" s="1"/>
  <c r="Y144" i="5"/>
  <c r="Y145" i="5"/>
  <c r="Y146" i="5"/>
  <c r="Z146" i="5" s="1"/>
  <c r="Y147" i="5"/>
  <c r="Z147" i="5" s="1"/>
  <c r="Y148" i="5"/>
  <c r="Z148" i="5" s="1"/>
  <c r="Y149" i="5"/>
  <c r="Z149" i="5" s="1"/>
  <c r="Y150" i="5"/>
  <c r="Z150" i="5" s="1"/>
  <c r="Y151" i="5"/>
  <c r="Z151" i="5" s="1"/>
  <c r="Y152" i="5"/>
  <c r="Y153" i="5"/>
  <c r="Y154" i="5"/>
  <c r="Z154" i="5" s="1"/>
  <c r="Y155" i="5"/>
  <c r="Z155" i="5" s="1"/>
  <c r="Y156" i="5"/>
  <c r="Z156" i="5" s="1"/>
  <c r="Y157" i="5"/>
  <c r="Z157" i="5" s="1"/>
  <c r="Y158" i="5"/>
  <c r="Z158" i="5" s="1"/>
  <c r="Y159" i="5"/>
  <c r="Z159" i="5" s="1"/>
  <c r="Y160" i="5"/>
  <c r="Y161" i="5"/>
  <c r="Y162" i="5"/>
  <c r="Z162" i="5" s="1"/>
  <c r="Y163" i="5"/>
  <c r="Z163" i="5" s="1"/>
  <c r="Y164" i="5"/>
  <c r="Z164" i="5" s="1"/>
  <c r="Y165" i="5"/>
  <c r="Z165" i="5" s="1"/>
  <c r="Y166" i="5"/>
  <c r="Z166" i="5" s="1"/>
  <c r="Y167" i="5"/>
  <c r="Z167" i="5" s="1"/>
  <c r="Y168" i="5"/>
  <c r="Y169" i="5"/>
  <c r="Y170" i="5"/>
  <c r="Z170" i="5" s="1"/>
  <c r="Y171" i="5"/>
  <c r="Z171" i="5" s="1"/>
  <c r="Y172" i="5"/>
  <c r="Z172" i="5" s="1"/>
  <c r="Y173" i="5"/>
  <c r="Z173" i="5" s="1"/>
  <c r="Y174" i="5"/>
  <c r="Z174" i="5" s="1"/>
  <c r="Y175" i="5"/>
  <c r="Z175" i="5" s="1"/>
  <c r="Y176" i="5"/>
  <c r="Y177" i="5"/>
  <c r="Y178" i="5"/>
  <c r="Z178" i="5" s="1"/>
  <c r="Y179" i="5"/>
  <c r="Z179" i="5" s="1"/>
  <c r="Y180" i="5"/>
  <c r="Z180" i="5" s="1"/>
  <c r="Y181" i="5"/>
  <c r="Z181" i="5" s="1"/>
  <c r="Y182" i="5"/>
  <c r="Z182" i="5" s="1"/>
  <c r="Y183" i="5"/>
  <c r="Z183" i="5" s="1"/>
  <c r="Y184" i="5"/>
  <c r="Y185" i="5"/>
  <c r="Y186" i="5"/>
  <c r="Z186" i="5" s="1"/>
  <c r="Y187" i="5"/>
  <c r="Z187" i="5" s="1"/>
  <c r="Y188" i="5"/>
  <c r="Z188" i="5" s="1"/>
  <c r="Y189" i="5"/>
  <c r="Z189" i="5" s="1"/>
  <c r="Y190" i="5"/>
  <c r="Z190" i="5" s="1"/>
  <c r="Y191" i="5"/>
  <c r="Z191" i="5" s="1"/>
  <c r="Y192" i="5"/>
  <c r="Y193" i="5"/>
  <c r="Y194" i="5"/>
  <c r="Z194" i="5" s="1"/>
  <c r="Y195" i="5"/>
  <c r="Z195" i="5" s="1"/>
  <c r="Y196" i="5"/>
  <c r="Z196" i="5" s="1"/>
  <c r="Y197" i="5"/>
  <c r="Z197" i="5" s="1"/>
  <c r="Y198" i="5"/>
  <c r="Z198" i="5" s="1"/>
  <c r="Y199" i="5"/>
  <c r="Z199" i="5" s="1"/>
  <c r="Y200" i="5"/>
  <c r="Y201" i="5"/>
  <c r="Y202" i="5"/>
  <c r="Z202" i="5" s="1"/>
  <c r="Y203" i="5"/>
  <c r="Z203" i="5" s="1"/>
  <c r="Y204" i="5"/>
  <c r="Z204" i="5" s="1"/>
  <c r="Y205" i="5"/>
  <c r="Z205" i="5" s="1"/>
  <c r="Y206" i="5"/>
  <c r="Z206" i="5" s="1"/>
  <c r="Y207" i="5"/>
  <c r="Z207" i="5" s="1"/>
  <c r="Y208" i="5"/>
  <c r="Y209" i="5"/>
  <c r="Y210" i="5"/>
  <c r="Z210" i="5" s="1"/>
  <c r="Y211" i="5"/>
  <c r="Z211" i="5" s="1"/>
  <c r="Y212" i="5"/>
  <c r="Z212" i="5" s="1"/>
  <c r="Y213" i="5"/>
  <c r="Z213" i="5" s="1"/>
  <c r="Y214" i="5"/>
  <c r="Z214" i="5" s="1"/>
  <c r="Y215" i="5"/>
  <c r="Z215" i="5" s="1"/>
  <c r="Y216" i="5"/>
  <c r="Y217" i="5"/>
  <c r="Y218" i="5"/>
  <c r="Z218" i="5" s="1"/>
  <c r="Y219" i="5"/>
  <c r="Z219" i="5" s="1"/>
  <c r="Y220" i="5"/>
  <c r="Z220" i="5" s="1"/>
  <c r="Y221" i="5"/>
  <c r="Z221" i="5" s="1"/>
  <c r="Y222" i="5"/>
  <c r="Z222" i="5" s="1"/>
  <c r="Y223" i="5"/>
  <c r="Z223" i="5" s="1"/>
  <c r="Y224" i="5"/>
  <c r="Y225" i="5"/>
  <c r="Y226" i="5"/>
  <c r="Z226" i="5" s="1"/>
  <c r="Y227" i="5"/>
  <c r="Z227" i="5" s="1"/>
  <c r="Y228" i="5"/>
  <c r="Z228" i="5" s="1"/>
  <c r="Y229" i="5"/>
  <c r="Z229" i="5" s="1"/>
  <c r="Y230" i="5"/>
  <c r="Z230" i="5" s="1"/>
  <c r="Y231" i="5"/>
  <c r="Z231" i="5" s="1"/>
  <c r="Y232" i="5"/>
  <c r="Y233" i="5"/>
  <c r="Y234" i="5"/>
  <c r="Z234" i="5" s="1"/>
  <c r="Y235" i="5"/>
  <c r="Z235" i="5" s="1"/>
  <c r="Y236" i="5"/>
  <c r="Z236" i="5" s="1"/>
  <c r="Y237" i="5"/>
  <c r="Z237" i="5" s="1"/>
  <c r="Y238" i="5"/>
  <c r="Z238" i="5" s="1"/>
  <c r="Y239" i="5"/>
  <c r="Z239" i="5" s="1"/>
  <c r="Y240" i="5"/>
  <c r="Y241" i="5"/>
  <c r="Y242" i="5"/>
  <c r="Z242" i="5" s="1"/>
  <c r="Y243" i="5"/>
  <c r="Z243" i="5" s="1"/>
  <c r="Y244" i="5"/>
  <c r="Z244" i="5" s="1"/>
  <c r="Y245" i="5"/>
  <c r="Z245" i="5" s="1"/>
  <c r="Y246" i="5"/>
  <c r="Z246" i="5" s="1"/>
  <c r="Y247" i="5"/>
  <c r="Z247" i="5" s="1"/>
  <c r="Y248" i="5"/>
  <c r="Y249" i="5"/>
  <c r="Y250" i="5"/>
  <c r="Z250" i="5" s="1"/>
  <c r="Y251" i="5"/>
  <c r="Z251" i="5" s="1"/>
  <c r="Y252" i="5"/>
  <c r="Z252" i="5" s="1"/>
  <c r="Y253" i="5"/>
  <c r="Z253" i="5" s="1"/>
  <c r="Y254" i="5"/>
  <c r="Z254" i="5" s="1"/>
  <c r="Y255" i="5"/>
  <c r="Z255" i="5" s="1"/>
  <c r="Y256" i="5"/>
  <c r="Y257" i="5"/>
  <c r="Y258" i="5"/>
  <c r="Z258" i="5" s="1"/>
  <c r="Y259" i="5"/>
  <c r="Z259" i="5" s="1"/>
  <c r="Y260" i="5"/>
  <c r="Z260" i="5" s="1"/>
  <c r="Y261" i="5"/>
  <c r="Z261" i="5" s="1"/>
  <c r="Y262" i="5"/>
  <c r="Z262" i="5" s="1"/>
  <c r="Y263" i="5"/>
  <c r="Z263" i="5" s="1"/>
  <c r="Y264" i="5"/>
  <c r="Y265" i="5"/>
  <c r="Y266" i="5"/>
  <c r="Z266" i="5" s="1"/>
  <c r="Y267" i="5"/>
  <c r="Z267" i="5" s="1"/>
  <c r="Y268" i="5"/>
  <c r="Z268" i="5" s="1"/>
  <c r="Y269" i="5"/>
  <c r="Z269" i="5" s="1"/>
  <c r="Y270" i="5"/>
  <c r="Z270" i="5" s="1"/>
  <c r="Y271" i="5"/>
  <c r="Z271" i="5" s="1"/>
  <c r="Y272" i="5"/>
  <c r="Y273" i="5"/>
  <c r="Y274" i="5"/>
  <c r="Z274" i="5" s="1"/>
  <c r="Y275" i="5"/>
  <c r="Z275" i="5" s="1"/>
  <c r="Y276" i="5"/>
  <c r="Z276" i="5" s="1"/>
  <c r="Y277" i="5"/>
  <c r="Z277" i="5" s="1"/>
  <c r="Y278" i="5"/>
  <c r="Z278" i="5" s="1"/>
  <c r="Y279" i="5"/>
  <c r="Z279" i="5" s="1"/>
  <c r="Y280" i="5"/>
  <c r="Y281" i="5"/>
  <c r="Y282" i="5"/>
  <c r="Z282" i="5" s="1"/>
  <c r="Y283" i="5"/>
  <c r="Z283" i="5" s="1"/>
  <c r="Y284" i="5"/>
  <c r="Z284" i="5" s="1"/>
  <c r="Y285" i="5"/>
  <c r="Z285" i="5" s="1"/>
  <c r="Y286" i="5"/>
  <c r="Z286" i="5" s="1"/>
  <c r="Y287" i="5"/>
  <c r="Z287" i="5" s="1"/>
  <c r="Y288" i="5"/>
  <c r="Y289" i="5"/>
  <c r="Y290" i="5"/>
  <c r="Z290" i="5" s="1"/>
  <c r="Y291" i="5"/>
  <c r="Z291" i="5" s="1"/>
  <c r="Y292" i="5"/>
  <c r="Z292" i="5" s="1"/>
  <c r="Y293" i="5"/>
  <c r="Z293" i="5" s="1"/>
  <c r="Y294" i="5"/>
  <c r="Z294" i="5" s="1"/>
  <c r="Y295" i="5"/>
  <c r="Z295" i="5" s="1"/>
  <c r="Y296" i="5"/>
  <c r="Y297" i="5"/>
  <c r="Y298" i="5"/>
  <c r="Z298" i="5" s="1"/>
  <c r="Y299" i="5"/>
  <c r="Z299" i="5" s="1"/>
  <c r="Y300" i="5"/>
  <c r="Z300" i="5" s="1"/>
  <c r="Y301" i="5"/>
  <c r="Z301" i="5" s="1"/>
  <c r="Y302" i="5"/>
  <c r="Z302" i="5" s="1"/>
  <c r="Y303" i="5"/>
  <c r="Z303" i="5" s="1"/>
  <c r="Y304" i="5"/>
  <c r="Y305" i="5"/>
  <c r="Y306" i="5"/>
  <c r="Z306" i="5" s="1"/>
  <c r="Y307" i="5"/>
  <c r="Z307" i="5" s="1"/>
  <c r="Y308" i="5"/>
  <c r="Z308" i="5" s="1"/>
  <c r="Y309" i="5"/>
  <c r="Z309" i="5" s="1"/>
  <c r="Y310" i="5"/>
  <c r="Z310" i="5" s="1"/>
  <c r="Y311" i="5"/>
  <c r="Z311" i="5" s="1"/>
  <c r="Y312" i="5"/>
  <c r="Y313" i="5"/>
  <c r="Y314" i="5"/>
  <c r="Z314" i="5" s="1"/>
  <c r="Y315" i="5"/>
  <c r="Z315" i="5" s="1"/>
  <c r="Y316" i="5"/>
  <c r="Z316" i="5" s="1"/>
  <c r="Y317" i="5"/>
  <c r="Z317" i="5" s="1"/>
  <c r="Y318" i="5"/>
  <c r="Z318" i="5" s="1"/>
  <c r="Y319" i="5"/>
  <c r="Z319" i="5" s="1"/>
  <c r="Y320" i="5"/>
  <c r="Y321" i="5"/>
  <c r="Y322" i="5"/>
  <c r="Z322" i="5" s="1"/>
  <c r="Y323" i="5"/>
  <c r="Z323" i="5" s="1"/>
  <c r="Y324" i="5"/>
  <c r="Z324" i="5" s="1"/>
  <c r="Y325" i="5"/>
  <c r="Z325" i="5" s="1"/>
  <c r="Y326" i="5"/>
  <c r="Z326" i="5" s="1"/>
  <c r="Y327" i="5"/>
  <c r="Z327" i="5" s="1"/>
  <c r="Y328" i="5"/>
  <c r="Y329" i="5"/>
  <c r="Y330" i="5"/>
  <c r="Z330" i="5" s="1"/>
  <c r="Y331" i="5"/>
  <c r="Z331" i="5" s="1"/>
  <c r="Y332" i="5"/>
  <c r="Z332" i="5" s="1"/>
  <c r="Y333" i="5"/>
  <c r="Z333" i="5" s="1"/>
  <c r="Y334" i="5"/>
  <c r="Z334" i="5" s="1"/>
  <c r="Y335" i="5"/>
  <c r="Z335" i="5" s="1"/>
  <c r="Y336" i="5"/>
  <c r="Y337" i="5"/>
  <c r="Y338" i="5"/>
  <c r="Z338" i="5" s="1"/>
  <c r="Y339" i="5"/>
  <c r="Z339" i="5" s="1"/>
  <c r="Y340" i="5"/>
  <c r="Z340" i="5" s="1"/>
  <c r="Y341" i="5"/>
  <c r="Z341" i="5" s="1"/>
  <c r="Y342" i="5"/>
  <c r="Z342" i="5" s="1"/>
  <c r="Y343" i="5"/>
  <c r="Z343" i="5" s="1"/>
  <c r="Y344" i="5"/>
  <c r="Y345" i="5"/>
  <c r="Y346" i="5"/>
  <c r="Z346" i="5" s="1"/>
  <c r="Y347" i="5"/>
  <c r="Z347" i="5" s="1"/>
  <c r="Y348" i="5"/>
  <c r="Z348" i="5" s="1"/>
  <c r="Y349" i="5"/>
  <c r="Z349" i="5" s="1"/>
  <c r="Y350" i="5"/>
  <c r="Z350" i="5" s="1"/>
  <c r="Y351" i="5"/>
  <c r="Z351" i="5" s="1"/>
  <c r="Y352" i="5"/>
  <c r="Y353" i="5"/>
  <c r="Y354" i="5"/>
  <c r="Z354" i="5" s="1"/>
  <c r="Y355" i="5"/>
  <c r="Z355" i="5" s="1"/>
  <c r="Y356" i="5"/>
  <c r="Z356" i="5" s="1"/>
  <c r="Y357" i="5"/>
  <c r="Z357" i="5" s="1"/>
  <c r="Y358" i="5"/>
  <c r="Z358" i="5" s="1"/>
  <c r="Y359" i="5"/>
  <c r="Z359" i="5" s="1"/>
  <c r="Y360" i="5"/>
  <c r="Y361" i="5"/>
  <c r="Y362" i="5"/>
  <c r="Z362" i="5" s="1"/>
  <c r="Y363" i="5"/>
  <c r="Z363" i="5" s="1"/>
  <c r="Y364" i="5"/>
  <c r="Z364" i="5" s="1"/>
  <c r="Y365" i="5"/>
  <c r="Z365" i="5" s="1"/>
  <c r="Y366" i="5"/>
  <c r="Z366" i="5" s="1"/>
  <c r="Y367" i="5"/>
  <c r="Z367" i="5" s="1"/>
  <c r="Y368" i="5"/>
  <c r="Y369" i="5"/>
  <c r="Y370" i="5"/>
  <c r="Z370" i="5" s="1"/>
  <c r="Y371" i="5"/>
  <c r="Z371" i="5" s="1"/>
  <c r="Y372" i="5"/>
  <c r="Z372" i="5" s="1"/>
  <c r="Y373" i="5"/>
  <c r="Z373" i="5" s="1"/>
  <c r="Y374" i="5"/>
  <c r="Z374" i="5" s="1"/>
  <c r="Y375" i="5"/>
  <c r="Z375" i="5" s="1"/>
  <c r="Y376" i="5"/>
  <c r="Y377" i="5"/>
  <c r="Y378" i="5"/>
  <c r="Z378" i="5" s="1"/>
  <c r="Y379" i="5"/>
  <c r="Z379" i="5" s="1"/>
  <c r="Y380" i="5"/>
  <c r="Z380" i="5" s="1"/>
  <c r="Y381" i="5"/>
  <c r="Z381" i="5" s="1"/>
  <c r="Y382" i="5"/>
  <c r="Z382" i="5" s="1"/>
  <c r="Y383" i="5"/>
  <c r="Z383" i="5" s="1"/>
  <c r="Y384" i="5"/>
  <c r="Y385" i="5"/>
  <c r="Y386" i="5"/>
  <c r="Z386" i="5" s="1"/>
  <c r="Y387" i="5"/>
  <c r="Z387" i="5" s="1"/>
  <c r="Y388" i="5"/>
  <c r="Z388" i="5" s="1"/>
  <c r="Y389" i="5"/>
  <c r="Z389" i="5" s="1"/>
  <c r="Y390" i="5"/>
  <c r="Z390" i="5" s="1"/>
  <c r="Y391" i="5"/>
  <c r="Z391" i="5" s="1"/>
  <c r="Y392" i="5"/>
  <c r="Y393" i="5"/>
  <c r="Y394" i="5"/>
  <c r="Z394" i="5" s="1"/>
  <c r="Y395" i="5"/>
  <c r="Z395" i="5" s="1"/>
  <c r="Y396" i="5"/>
  <c r="Z396" i="5" s="1"/>
  <c r="Y397" i="5"/>
  <c r="Z397" i="5" s="1"/>
  <c r="Y398" i="5"/>
  <c r="Z398" i="5" s="1"/>
  <c r="Y399" i="5"/>
  <c r="Z399" i="5" s="1"/>
  <c r="Y400" i="5"/>
  <c r="Y401" i="5"/>
  <c r="Y402" i="5"/>
  <c r="Z402" i="5" s="1"/>
  <c r="Y403" i="5"/>
  <c r="Z403" i="5" s="1"/>
  <c r="Y404" i="5"/>
  <c r="Z404" i="5" s="1"/>
  <c r="Y405" i="5"/>
  <c r="Z405" i="5" s="1"/>
  <c r="Y406" i="5"/>
  <c r="Z406" i="5" s="1"/>
  <c r="Y407" i="5"/>
  <c r="Z407" i="5" s="1"/>
  <c r="Y408" i="5"/>
  <c r="Y409" i="5"/>
  <c r="Y410" i="5"/>
  <c r="Z410" i="5" s="1"/>
  <c r="Y411" i="5"/>
  <c r="Z411" i="5" s="1"/>
  <c r="Y412" i="5"/>
  <c r="Z412" i="5" s="1"/>
  <c r="Y413" i="5"/>
  <c r="Z413" i="5" s="1"/>
  <c r="Y414" i="5"/>
  <c r="Z414" i="5" s="1"/>
  <c r="Y415" i="5"/>
  <c r="Z415" i="5" s="1"/>
  <c r="Y416" i="5"/>
  <c r="Y417" i="5"/>
  <c r="Y418" i="5"/>
  <c r="Z418" i="5" s="1"/>
  <c r="Y419" i="5"/>
  <c r="Z419" i="5" s="1"/>
  <c r="Y420" i="5"/>
  <c r="Z420" i="5" s="1"/>
  <c r="Y421" i="5"/>
  <c r="Z421" i="5" s="1"/>
  <c r="Y422" i="5"/>
  <c r="Z422" i="5" s="1"/>
  <c r="Y423" i="5"/>
  <c r="Z423" i="5" s="1"/>
  <c r="Y424" i="5"/>
  <c r="Y425" i="5"/>
  <c r="Y426" i="5"/>
  <c r="Z426" i="5" s="1"/>
  <c r="Y427" i="5"/>
  <c r="Z427" i="5" s="1"/>
  <c r="Y428" i="5"/>
  <c r="Z428" i="5" s="1"/>
  <c r="Y429" i="5"/>
  <c r="Z429" i="5" s="1"/>
  <c r="Y430" i="5"/>
  <c r="Z430" i="5" s="1"/>
  <c r="Y431" i="5"/>
  <c r="Z431" i="5" s="1"/>
  <c r="Y432" i="5"/>
  <c r="Y433" i="5"/>
  <c r="Y434" i="5"/>
  <c r="Z434" i="5" s="1"/>
  <c r="Y435" i="5"/>
  <c r="Z435" i="5" s="1"/>
  <c r="Y436" i="5"/>
  <c r="Z436" i="5" s="1"/>
  <c r="Y437" i="5"/>
  <c r="Z437" i="5" s="1"/>
  <c r="Y438" i="5"/>
  <c r="Z438" i="5" s="1"/>
  <c r="Y439" i="5"/>
  <c r="Z439" i="5" s="1"/>
  <c r="Y440" i="5"/>
  <c r="Y441" i="5"/>
  <c r="Y442" i="5"/>
  <c r="Z442" i="5" s="1"/>
  <c r="Y443" i="5"/>
  <c r="Z443" i="5" s="1"/>
  <c r="Y444" i="5"/>
  <c r="Z444" i="5" s="1"/>
  <c r="Y445" i="5"/>
  <c r="Z445" i="5" s="1"/>
  <c r="Y446" i="5"/>
  <c r="Z446" i="5" s="1"/>
  <c r="Y447" i="5"/>
  <c r="Z447" i="5" s="1"/>
  <c r="Y448" i="5"/>
  <c r="Y449" i="5"/>
  <c r="Y450" i="5"/>
  <c r="Z450" i="5" s="1"/>
  <c r="Y451" i="5"/>
  <c r="Z451" i="5" s="1"/>
  <c r="Y452" i="5"/>
  <c r="Z452" i="5" s="1"/>
  <c r="Y453" i="5"/>
  <c r="Z453" i="5" s="1"/>
  <c r="Y454" i="5"/>
  <c r="Z454" i="5" s="1"/>
  <c r="Y455" i="5"/>
  <c r="Z455" i="5" s="1"/>
  <c r="Y456" i="5"/>
  <c r="Y457" i="5"/>
  <c r="Y458" i="5"/>
  <c r="Z458" i="5" s="1"/>
  <c r="Y459" i="5"/>
  <c r="Z459" i="5" s="1"/>
  <c r="Y460" i="5"/>
  <c r="Z460" i="5" s="1"/>
  <c r="Y461" i="5"/>
  <c r="Z461" i="5" s="1"/>
  <c r="Y462" i="5"/>
  <c r="Z462" i="5" s="1"/>
  <c r="Y463" i="5"/>
  <c r="Z463" i="5" s="1"/>
  <c r="Y464" i="5"/>
  <c r="Y465" i="5"/>
  <c r="Y466" i="5"/>
  <c r="Z466" i="5" s="1"/>
  <c r="Y467" i="5"/>
  <c r="Z467" i="5" s="1"/>
  <c r="Y468" i="5"/>
  <c r="Z468" i="5" s="1"/>
  <c r="Y469" i="5"/>
  <c r="Z469" i="5" s="1"/>
  <c r="Y470" i="5"/>
  <c r="Z470" i="5" s="1"/>
  <c r="Y471" i="5"/>
  <c r="Z471" i="5" s="1"/>
  <c r="Y472" i="5"/>
  <c r="Y473" i="5"/>
  <c r="Y474" i="5"/>
  <c r="Z474" i="5" s="1"/>
  <c r="Y475" i="5"/>
  <c r="Z475" i="5" s="1"/>
  <c r="Y476" i="5"/>
  <c r="Z476" i="5" s="1"/>
  <c r="Y477" i="5"/>
  <c r="Z477" i="5" s="1"/>
  <c r="Y478" i="5"/>
  <c r="Z478" i="5" s="1"/>
  <c r="Y479" i="5"/>
  <c r="Z479" i="5" s="1"/>
  <c r="Y480" i="5"/>
  <c r="Y481" i="5"/>
  <c r="Y482" i="5"/>
  <c r="Z482" i="5" s="1"/>
  <c r="Y483" i="5"/>
  <c r="Z483" i="5" s="1"/>
  <c r="Y484" i="5"/>
  <c r="Z484" i="5" s="1"/>
  <c r="Y485" i="5"/>
  <c r="Z485" i="5" s="1"/>
  <c r="Y486" i="5"/>
  <c r="Z486" i="5" s="1"/>
  <c r="Y487" i="5"/>
  <c r="Z487" i="5" s="1"/>
  <c r="Y488" i="5"/>
  <c r="Y489" i="5"/>
  <c r="Y490" i="5"/>
  <c r="Z490" i="5" s="1"/>
  <c r="Y491" i="5"/>
  <c r="Z491" i="5" s="1"/>
  <c r="Y492" i="5"/>
  <c r="Z492" i="5" s="1"/>
  <c r="Y493" i="5"/>
  <c r="Z493" i="5" s="1"/>
  <c r="Y494" i="5"/>
  <c r="Z494" i="5" s="1"/>
  <c r="Y495" i="5"/>
  <c r="Z495" i="5" s="1"/>
  <c r="Y496" i="5"/>
  <c r="Y497" i="5"/>
  <c r="Y498" i="5"/>
  <c r="Z498" i="5" s="1"/>
  <c r="Y499" i="5"/>
  <c r="Z499" i="5" s="1"/>
  <c r="Y500" i="5"/>
  <c r="Z500" i="5" s="1"/>
  <c r="Y501" i="5"/>
  <c r="Z501" i="5" s="1"/>
  <c r="Y502" i="5"/>
  <c r="Z502" i="5" s="1"/>
  <c r="Y503" i="5"/>
  <c r="Z503" i="5" s="1"/>
  <c r="Y504" i="5"/>
  <c r="Y505" i="5"/>
  <c r="Y506" i="5"/>
  <c r="Z506" i="5" s="1"/>
  <c r="Y507" i="5"/>
  <c r="Z507" i="5" s="1"/>
  <c r="Y508" i="5"/>
  <c r="Z508" i="5" s="1"/>
  <c r="Y509" i="5"/>
  <c r="Z509" i="5" s="1"/>
  <c r="Y510" i="5"/>
  <c r="Z510" i="5" s="1"/>
  <c r="Y511" i="5"/>
  <c r="Z511" i="5" s="1"/>
  <c r="Y512" i="5"/>
  <c r="Y513" i="5"/>
  <c r="Y514" i="5"/>
  <c r="Z514" i="5" s="1"/>
  <c r="Y515" i="5"/>
  <c r="Z515" i="5" s="1"/>
  <c r="Y516" i="5"/>
  <c r="Z516" i="5" s="1"/>
  <c r="Y517" i="5"/>
  <c r="Z517" i="5" s="1"/>
  <c r="Y518" i="5"/>
  <c r="Z518" i="5" s="1"/>
  <c r="Y519" i="5"/>
  <c r="Z519" i="5" s="1"/>
  <c r="Y520" i="5"/>
  <c r="Y521" i="5"/>
  <c r="Y522" i="5"/>
  <c r="Z522" i="5" s="1"/>
  <c r="Y523" i="5"/>
  <c r="Z523" i="5" s="1"/>
  <c r="Y524" i="5"/>
  <c r="Z524" i="5" s="1"/>
  <c r="Y525" i="5"/>
  <c r="Z525" i="5" s="1"/>
  <c r="Y526" i="5"/>
  <c r="Z526" i="5" s="1"/>
  <c r="Y527" i="5"/>
  <c r="Z527" i="5" s="1"/>
  <c r="Y528" i="5"/>
  <c r="Y529" i="5"/>
  <c r="Y530" i="5"/>
  <c r="Z530" i="5" s="1"/>
  <c r="Y531" i="5"/>
  <c r="Z531" i="5" s="1"/>
  <c r="Y532" i="5"/>
  <c r="Z532" i="5" s="1"/>
  <c r="Y533" i="5"/>
  <c r="Z533" i="5" s="1"/>
  <c r="Y534" i="5"/>
  <c r="Z534" i="5" s="1"/>
  <c r="Y535" i="5"/>
  <c r="Z535" i="5" s="1"/>
  <c r="Y536" i="5"/>
  <c r="Y537" i="5"/>
  <c r="Y538" i="5"/>
  <c r="Z538" i="5" s="1"/>
  <c r="Y539" i="5"/>
  <c r="Z539" i="5" s="1"/>
  <c r="Y540" i="5"/>
  <c r="Z540" i="5" s="1"/>
  <c r="Y541" i="5"/>
  <c r="Z541" i="5" s="1"/>
  <c r="Y542" i="5"/>
  <c r="Z542" i="5" s="1"/>
  <c r="Y543" i="5"/>
  <c r="Z543" i="5" s="1"/>
  <c r="Y544" i="5"/>
  <c r="Y545" i="5"/>
  <c r="Y546" i="5"/>
  <c r="Z546" i="5" s="1"/>
  <c r="Y547" i="5"/>
  <c r="Z547" i="5" s="1"/>
  <c r="Y548" i="5"/>
  <c r="Z548" i="5" s="1"/>
  <c r="Y549" i="5"/>
  <c r="Z549" i="5" s="1"/>
  <c r="Y550" i="5"/>
  <c r="Z550" i="5" s="1"/>
  <c r="Y551" i="5"/>
  <c r="Z551" i="5" s="1"/>
  <c r="Y552" i="5"/>
  <c r="Y553" i="5"/>
  <c r="Y554" i="5"/>
  <c r="Z554" i="5" s="1"/>
  <c r="Y555" i="5"/>
  <c r="Z555" i="5" s="1"/>
  <c r="Y556" i="5"/>
  <c r="Z556" i="5" s="1"/>
  <c r="Y557" i="5"/>
  <c r="Z557" i="5" s="1"/>
  <c r="Y558" i="5"/>
  <c r="Z558" i="5" s="1"/>
  <c r="Y559" i="5"/>
  <c r="Z559" i="5" s="1"/>
  <c r="Y560" i="5"/>
  <c r="Y561" i="5"/>
  <c r="Y562" i="5"/>
  <c r="Z562" i="5" s="1"/>
  <c r="Y563" i="5"/>
  <c r="Z563" i="5" s="1"/>
  <c r="Y564" i="5"/>
  <c r="Z564" i="5" s="1"/>
  <c r="Y565" i="5"/>
  <c r="Z565" i="5" s="1"/>
  <c r="Y566" i="5"/>
  <c r="Z566" i="5" s="1"/>
  <c r="Y567" i="5"/>
  <c r="Z567" i="5" s="1"/>
  <c r="Y568" i="5"/>
  <c r="Y569" i="5"/>
  <c r="Y570" i="5"/>
  <c r="Z570" i="5" s="1"/>
  <c r="Y571" i="5"/>
  <c r="Z571" i="5" s="1"/>
  <c r="Y572" i="5"/>
  <c r="Z572" i="5" s="1"/>
  <c r="Y573" i="5"/>
  <c r="Z573" i="5" s="1"/>
  <c r="Y574" i="5"/>
  <c r="Z574" i="5" s="1"/>
  <c r="Y575" i="5"/>
  <c r="Z575" i="5" s="1"/>
  <c r="Y576" i="5"/>
  <c r="Y577" i="5"/>
  <c r="Y578" i="5"/>
  <c r="Z578" i="5" s="1"/>
  <c r="Y579" i="5"/>
  <c r="Z579" i="5" s="1"/>
  <c r="Y580" i="5"/>
  <c r="Z580" i="5" s="1"/>
  <c r="Y581" i="5"/>
  <c r="Z581" i="5" s="1"/>
  <c r="Y582" i="5"/>
  <c r="Z582" i="5" s="1"/>
  <c r="Y583" i="5"/>
  <c r="Z583" i="5" s="1"/>
  <c r="Y584" i="5"/>
  <c r="Y585" i="5"/>
  <c r="Y586" i="5"/>
  <c r="Z586" i="5" s="1"/>
  <c r="Y587" i="5"/>
  <c r="Z587" i="5" s="1"/>
  <c r="Y588" i="5"/>
  <c r="Z588" i="5" s="1"/>
  <c r="Y589" i="5"/>
  <c r="Z589" i="5" s="1"/>
  <c r="Y590" i="5"/>
  <c r="Z590" i="5" s="1"/>
  <c r="Y591" i="5"/>
  <c r="Z591" i="5" s="1"/>
  <c r="Y592" i="5"/>
  <c r="Y593" i="5"/>
  <c r="Y594" i="5"/>
  <c r="Z594" i="5" s="1"/>
  <c r="Y595" i="5"/>
  <c r="Z595" i="5" s="1"/>
  <c r="Y596" i="5"/>
  <c r="Z596" i="5" s="1"/>
  <c r="Y597" i="5"/>
  <c r="Z597" i="5" s="1"/>
  <c r="Y598" i="5"/>
  <c r="Z598" i="5" s="1"/>
  <c r="Y599" i="5"/>
  <c r="Z599" i="5" s="1"/>
  <c r="Y600" i="5"/>
  <c r="Y601" i="5"/>
  <c r="Y602" i="5"/>
  <c r="Z602" i="5" s="1"/>
  <c r="Y603" i="5"/>
  <c r="Z603" i="5" s="1"/>
  <c r="Y604" i="5"/>
  <c r="Z604" i="5" s="1"/>
  <c r="Y605" i="5"/>
  <c r="Z605" i="5" s="1"/>
  <c r="Y606" i="5"/>
  <c r="Z606" i="5" s="1"/>
  <c r="Y607" i="5"/>
  <c r="Z607" i="5" s="1"/>
  <c r="Y608" i="5"/>
  <c r="Y609" i="5"/>
  <c r="Y610" i="5"/>
  <c r="Z610" i="5" s="1"/>
  <c r="Y611" i="5"/>
  <c r="Z611" i="5" s="1"/>
  <c r="Y612" i="5"/>
  <c r="Z612" i="5" s="1"/>
  <c r="Y613" i="5"/>
  <c r="Z613" i="5" s="1"/>
  <c r="Y614" i="5"/>
  <c r="Z614" i="5" s="1"/>
  <c r="Y615" i="5"/>
  <c r="Z615" i="5" s="1"/>
  <c r="Y616" i="5"/>
  <c r="Y617" i="5"/>
  <c r="Y618" i="5"/>
  <c r="Z618" i="5" s="1"/>
  <c r="Y619" i="5"/>
  <c r="Z619" i="5" s="1"/>
  <c r="Y620" i="5"/>
  <c r="Z620" i="5" s="1"/>
  <c r="Y621" i="5"/>
  <c r="Z621" i="5" s="1"/>
  <c r="Y622" i="5"/>
  <c r="Z622" i="5" s="1"/>
  <c r="Y623" i="5"/>
  <c r="Z623" i="5" s="1"/>
  <c r="Y624" i="5"/>
  <c r="Y625" i="5"/>
  <c r="Y626" i="5"/>
  <c r="Z626" i="5" s="1"/>
  <c r="Y627" i="5"/>
  <c r="Z627" i="5" s="1"/>
  <c r="Y628" i="5"/>
  <c r="Z628" i="5" s="1"/>
  <c r="Y629" i="5"/>
  <c r="Z629" i="5" s="1"/>
  <c r="Y630" i="5"/>
  <c r="Z630" i="5" s="1"/>
  <c r="Y631" i="5"/>
  <c r="Z631" i="5" s="1"/>
  <c r="Y632" i="5"/>
  <c r="Y633" i="5"/>
  <c r="Y634" i="5"/>
  <c r="Z634" i="5" s="1"/>
  <c r="Y635" i="5"/>
  <c r="Z635" i="5" s="1"/>
  <c r="Y636" i="5"/>
  <c r="Z636" i="5" s="1"/>
  <c r="Y637" i="5"/>
  <c r="Z637" i="5" s="1"/>
  <c r="Y638" i="5"/>
  <c r="Z638" i="5" s="1"/>
  <c r="Y639" i="5"/>
  <c r="Z639" i="5" s="1"/>
  <c r="Y640" i="5"/>
  <c r="Y641" i="5"/>
  <c r="Y642" i="5"/>
  <c r="Z642" i="5" s="1"/>
  <c r="Y643" i="5"/>
  <c r="Z643" i="5" s="1"/>
  <c r="Y644" i="5"/>
  <c r="Z644" i="5" s="1"/>
  <c r="Y645" i="5"/>
  <c r="Z645" i="5" s="1"/>
  <c r="Y646" i="5"/>
  <c r="Z646" i="5" s="1"/>
  <c r="Y647" i="5"/>
  <c r="Z647" i="5" s="1"/>
  <c r="Y648" i="5"/>
  <c r="Y649" i="5"/>
  <c r="Y650" i="5"/>
  <c r="Z650" i="5" s="1"/>
  <c r="Y651" i="5"/>
  <c r="Z651" i="5" s="1"/>
  <c r="Y652" i="5"/>
  <c r="Z652" i="5" s="1"/>
  <c r="Y653" i="5"/>
  <c r="Z653" i="5" s="1"/>
  <c r="Y654" i="5"/>
  <c r="Z654" i="5" s="1"/>
  <c r="Y655" i="5"/>
  <c r="Z655" i="5" s="1"/>
  <c r="Y656" i="5"/>
  <c r="Y657" i="5"/>
  <c r="Y658" i="5"/>
  <c r="Z658" i="5" s="1"/>
  <c r="Y659" i="5"/>
  <c r="Z659" i="5" s="1"/>
  <c r="Y660" i="5"/>
  <c r="Z660" i="5" s="1"/>
  <c r="Y661" i="5"/>
  <c r="Z661" i="5" s="1"/>
  <c r="Y662" i="5"/>
  <c r="Z662" i="5" s="1"/>
  <c r="Y663" i="5"/>
  <c r="Z663" i="5" s="1"/>
  <c r="Y664" i="5"/>
  <c r="Y665" i="5"/>
  <c r="Y666" i="5"/>
  <c r="Z666" i="5" s="1"/>
  <c r="Y667" i="5"/>
  <c r="Z667" i="5" s="1"/>
  <c r="Y668" i="5"/>
  <c r="Z668" i="5" s="1"/>
  <c r="Y669" i="5"/>
  <c r="Z669" i="5" s="1"/>
  <c r="Y670" i="5"/>
  <c r="Z670" i="5" s="1"/>
  <c r="Y671" i="5"/>
  <c r="Z671" i="5" s="1"/>
  <c r="Y672" i="5"/>
  <c r="Y673" i="5"/>
  <c r="Y674" i="5"/>
  <c r="Z674" i="5" s="1"/>
  <c r="Y675" i="5"/>
  <c r="Z675" i="5" s="1"/>
  <c r="Y676" i="5"/>
  <c r="Z676" i="5" s="1"/>
  <c r="Y677" i="5"/>
  <c r="Z677" i="5" s="1"/>
  <c r="Y678" i="5"/>
  <c r="Z678" i="5" s="1"/>
  <c r="Y679" i="5"/>
  <c r="Z679" i="5" s="1"/>
  <c r="Y680" i="5"/>
  <c r="Y681" i="5"/>
  <c r="Y682" i="5"/>
  <c r="Z682" i="5" s="1"/>
  <c r="Y683" i="5"/>
  <c r="Z683" i="5" s="1"/>
  <c r="Y684" i="5"/>
  <c r="Z684" i="5" s="1"/>
  <c r="Y685" i="5"/>
  <c r="Z685" i="5" s="1"/>
  <c r="Y686" i="5"/>
  <c r="Z686" i="5" s="1"/>
  <c r="Y687" i="5"/>
  <c r="Z687" i="5" s="1"/>
  <c r="Y688" i="5"/>
  <c r="Y689" i="5"/>
  <c r="Y690" i="5"/>
  <c r="Z690" i="5" s="1"/>
  <c r="Y691" i="5"/>
  <c r="Z691" i="5" s="1"/>
  <c r="Y692" i="5"/>
  <c r="Z692" i="5" s="1"/>
  <c r="Y693" i="5"/>
  <c r="Z693" i="5" s="1"/>
  <c r="Y694" i="5"/>
  <c r="Z694" i="5" s="1"/>
  <c r="Y695" i="5"/>
  <c r="Z695" i="5" s="1"/>
  <c r="Y696" i="5"/>
  <c r="Y697" i="5"/>
  <c r="Y698" i="5"/>
  <c r="Z698" i="5" s="1"/>
  <c r="Y699" i="5"/>
  <c r="Z699" i="5" s="1"/>
  <c r="Y700" i="5"/>
  <c r="Z700" i="5" s="1"/>
  <c r="Y701" i="5"/>
  <c r="Z701" i="5" s="1"/>
  <c r="Y702" i="5"/>
  <c r="Z702" i="5" s="1"/>
  <c r="Y703" i="5"/>
  <c r="Z703" i="5" s="1"/>
  <c r="Y704" i="5"/>
  <c r="Y705" i="5"/>
  <c r="Y706" i="5"/>
  <c r="Z706" i="5" s="1"/>
  <c r="Y707" i="5"/>
  <c r="Z707" i="5" s="1"/>
  <c r="Y708" i="5"/>
  <c r="Z708" i="5" s="1"/>
  <c r="Y709" i="5"/>
  <c r="Z709" i="5" s="1"/>
  <c r="Y710" i="5"/>
  <c r="Z710" i="5" s="1"/>
  <c r="Y711" i="5"/>
  <c r="Z711" i="5" s="1"/>
  <c r="Y712" i="5"/>
  <c r="Y713" i="5"/>
  <c r="Y714" i="5"/>
  <c r="Z714" i="5" s="1"/>
  <c r="Y715" i="5"/>
  <c r="Z715" i="5" s="1"/>
  <c r="Y716" i="5"/>
  <c r="Z716" i="5" s="1"/>
  <c r="Y717" i="5"/>
  <c r="Z717" i="5" s="1"/>
  <c r="Y718" i="5"/>
  <c r="Z718" i="5" s="1"/>
  <c r="Y719" i="5"/>
  <c r="Z719" i="5" s="1"/>
  <c r="Y720" i="5"/>
  <c r="Y721" i="5"/>
  <c r="Y722" i="5"/>
  <c r="Z722" i="5" s="1"/>
  <c r="Y723" i="5"/>
  <c r="Z723" i="5" s="1"/>
  <c r="Y724" i="5"/>
  <c r="Z724" i="5" s="1"/>
  <c r="Y725" i="5"/>
  <c r="Z725" i="5" s="1"/>
  <c r="Y726" i="5"/>
  <c r="Z726" i="5" s="1"/>
  <c r="Y727" i="5"/>
  <c r="Z727" i="5" s="1"/>
  <c r="Y728" i="5"/>
  <c r="Y729" i="5"/>
  <c r="Y730" i="5"/>
  <c r="Z730" i="5" s="1"/>
  <c r="Y731" i="5"/>
  <c r="Z731" i="5" s="1"/>
  <c r="Y732" i="5"/>
  <c r="Z732" i="5" s="1"/>
  <c r="Y733" i="5"/>
  <c r="Z733" i="5" s="1"/>
  <c r="Y734" i="5"/>
  <c r="Z734" i="5" s="1"/>
  <c r="Y735" i="5"/>
  <c r="Z735" i="5" s="1"/>
  <c r="Y736" i="5"/>
  <c r="Y737" i="5"/>
  <c r="Y738" i="5"/>
  <c r="Z738" i="5" s="1"/>
  <c r="Y739" i="5"/>
  <c r="Z739" i="5" s="1"/>
  <c r="Y740" i="5"/>
  <c r="Z740" i="5" s="1"/>
  <c r="Y741" i="5"/>
  <c r="Z741" i="5" s="1"/>
  <c r="Y742" i="5"/>
  <c r="Z742" i="5" s="1"/>
  <c r="Y743" i="5"/>
  <c r="Z743" i="5" s="1"/>
  <c r="Y744" i="5"/>
  <c r="Y745" i="5"/>
  <c r="Y746" i="5"/>
  <c r="Z746" i="5" s="1"/>
  <c r="Y747" i="5"/>
  <c r="Z747" i="5" s="1"/>
  <c r="Y748" i="5"/>
  <c r="Z748" i="5" s="1"/>
  <c r="Y749" i="5"/>
  <c r="Z749" i="5" s="1"/>
  <c r="Y750" i="5"/>
  <c r="Z750" i="5" s="1"/>
  <c r="Y751" i="5"/>
  <c r="Z751" i="5" s="1"/>
  <c r="Y752" i="5"/>
  <c r="Y753" i="5"/>
  <c r="Y754" i="5"/>
  <c r="Z754" i="5" s="1"/>
  <c r="Y755" i="5"/>
  <c r="Z755" i="5" s="1"/>
  <c r="Y756" i="5"/>
  <c r="Z756" i="5" s="1"/>
  <c r="Y757" i="5"/>
  <c r="Z757" i="5" s="1"/>
  <c r="Y758" i="5"/>
  <c r="Z758" i="5" s="1"/>
  <c r="Y759" i="5"/>
  <c r="Z759" i="5" s="1"/>
  <c r="Y760" i="5"/>
  <c r="Y761" i="5"/>
  <c r="Y762" i="5"/>
  <c r="Z762" i="5" s="1"/>
  <c r="Y763" i="5"/>
  <c r="Z763" i="5" s="1"/>
  <c r="Y764" i="5"/>
  <c r="Z764" i="5" s="1"/>
  <c r="Y765" i="5"/>
  <c r="Z765" i="5" s="1"/>
  <c r="Y766" i="5"/>
  <c r="Z766" i="5" s="1"/>
  <c r="Y767" i="5"/>
  <c r="Z767" i="5" s="1"/>
  <c r="Y768" i="5"/>
  <c r="Y769" i="5"/>
  <c r="Y770" i="5"/>
  <c r="Z770" i="5" s="1"/>
  <c r="Y771" i="5"/>
  <c r="Z771" i="5" s="1"/>
  <c r="Y772" i="5"/>
  <c r="Z772" i="5" s="1"/>
  <c r="Y773" i="5"/>
  <c r="Z773" i="5" s="1"/>
  <c r="Y774" i="5"/>
  <c r="Z774" i="5" s="1"/>
  <c r="Y775" i="5"/>
  <c r="Z775" i="5" s="1"/>
  <c r="Y776" i="5"/>
  <c r="Y777" i="5"/>
  <c r="Y778" i="5"/>
  <c r="Z778" i="5" s="1"/>
  <c r="Y779" i="5"/>
  <c r="Z779" i="5" s="1"/>
  <c r="Y780" i="5"/>
  <c r="Z780" i="5" s="1"/>
  <c r="Y781" i="5"/>
  <c r="Z781" i="5" s="1"/>
  <c r="Y782" i="5"/>
  <c r="Z782" i="5" s="1"/>
  <c r="Y783" i="5"/>
  <c r="Z783" i="5" s="1"/>
  <c r="Y784" i="5"/>
  <c r="Y785" i="5"/>
  <c r="Y786" i="5"/>
  <c r="Z786" i="5" s="1"/>
  <c r="Y787" i="5"/>
  <c r="Z787" i="5" s="1"/>
  <c r="Y788" i="5"/>
  <c r="Z788" i="5" s="1"/>
  <c r="Y789" i="5"/>
  <c r="Z789" i="5" s="1"/>
  <c r="Y790" i="5"/>
  <c r="Z790" i="5" s="1"/>
  <c r="Y791" i="5"/>
  <c r="Z791" i="5" s="1"/>
  <c r="Y792" i="5"/>
  <c r="Y793" i="5"/>
  <c r="Y794" i="5"/>
  <c r="Z794" i="5" s="1"/>
  <c r="Y795" i="5"/>
  <c r="Z795" i="5" s="1"/>
  <c r="Y796" i="5"/>
  <c r="Z796" i="5" s="1"/>
  <c r="Y797" i="5"/>
  <c r="Z797" i="5" s="1"/>
  <c r="Y798" i="5"/>
  <c r="Z798" i="5" s="1"/>
  <c r="Y799" i="5"/>
  <c r="Z799" i="5" s="1"/>
  <c r="Y800" i="5"/>
  <c r="Y801" i="5"/>
  <c r="Y802" i="5"/>
  <c r="Z802" i="5" s="1"/>
  <c r="Y803" i="5"/>
  <c r="Z803" i="5" s="1"/>
  <c r="Y804" i="5"/>
  <c r="Z804" i="5" s="1"/>
  <c r="Y805" i="5"/>
  <c r="Z805" i="5" s="1"/>
  <c r="Y806" i="5"/>
  <c r="Z806" i="5" s="1"/>
  <c r="Y807" i="5"/>
  <c r="Z807" i="5" s="1"/>
  <c r="Y808" i="5"/>
  <c r="Y809" i="5"/>
  <c r="Y810" i="5"/>
  <c r="Z810" i="5" s="1"/>
  <c r="Y811" i="5"/>
  <c r="Z811" i="5" s="1"/>
  <c r="Y812" i="5"/>
  <c r="Z812" i="5" s="1"/>
  <c r="Y813" i="5"/>
  <c r="Z813" i="5" s="1"/>
  <c r="Y814" i="5"/>
  <c r="Z814" i="5" s="1"/>
  <c r="Y815" i="5"/>
  <c r="Z815" i="5" s="1"/>
  <c r="Y816" i="5"/>
  <c r="Y817" i="5"/>
  <c r="Y818" i="5"/>
  <c r="Z818" i="5" s="1"/>
  <c r="Y819" i="5"/>
  <c r="Z819" i="5" s="1"/>
  <c r="Y820" i="5"/>
  <c r="Z820" i="5" s="1"/>
  <c r="Y821" i="5"/>
  <c r="Z821" i="5" s="1"/>
  <c r="Y822" i="5"/>
  <c r="Z822" i="5" s="1"/>
  <c r="Y823" i="5"/>
  <c r="Z823" i="5" s="1"/>
  <c r="Y824" i="5"/>
  <c r="Y825" i="5"/>
  <c r="Y826" i="5"/>
  <c r="Z826" i="5" s="1"/>
  <c r="Y827" i="5"/>
  <c r="Z827" i="5" s="1"/>
  <c r="Y828" i="5"/>
  <c r="Z828" i="5" s="1"/>
  <c r="Y829" i="5"/>
  <c r="Z829" i="5" s="1"/>
  <c r="Y830" i="5"/>
  <c r="Z830" i="5" s="1"/>
  <c r="Y831" i="5"/>
  <c r="Z831" i="5" s="1"/>
  <c r="Y832" i="5"/>
  <c r="Y833" i="5"/>
  <c r="Y834" i="5"/>
  <c r="Z834" i="5" s="1"/>
  <c r="Y835" i="5"/>
  <c r="Z835" i="5" s="1"/>
  <c r="Y836" i="5"/>
  <c r="Z836" i="5" s="1"/>
  <c r="Y837" i="5"/>
  <c r="Z837" i="5" s="1"/>
  <c r="Y838" i="5"/>
  <c r="Z838" i="5" s="1"/>
  <c r="Y839" i="5"/>
  <c r="Z839" i="5" s="1"/>
  <c r="Y840" i="5"/>
  <c r="Y841" i="5"/>
  <c r="Y842" i="5"/>
  <c r="Z842" i="5" s="1"/>
  <c r="Y843" i="5"/>
  <c r="Z843" i="5" s="1"/>
  <c r="Y844" i="5"/>
  <c r="Z844" i="5" s="1"/>
  <c r="Y845" i="5"/>
  <c r="Z845" i="5" s="1"/>
  <c r="Y846" i="5"/>
  <c r="Z846" i="5" s="1"/>
  <c r="Y847" i="5"/>
  <c r="Z847" i="5" s="1"/>
  <c r="Y848" i="5"/>
  <c r="Y849" i="5"/>
  <c r="Y850" i="5"/>
  <c r="Z850" i="5" s="1"/>
  <c r="Y851" i="5"/>
  <c r="Z851" i="5" s="1"/>
  <c r="Y852" i="5"/>
  <c r="Z852" i="5" s="1"/>
  <c r="Y853" i="5"/>
  <c r="Z853" i="5" s="1"/>
  <c r="Y854" i="5"/>
  <c r="Z854" i="5" s="1"/>
  <c r="Y855" i="5"/>
  <c r="Z855" i="5" s="1"/>
  <c r="Y856" i="5"/>
  <c r="Y857" i="5"/>
  <c r="Y858" i="5"/>
  <c r="Z858" i="5" s="1"/>
  <c r="Y859" i="5"/>
  <c r="Z859" i="5" s="1"/>
  <c r="Y860" i="5"/>
  <c r="Z860" i="5" s="1"/>
  <c r="Y861" i="5"/>
  <c r="Z861" i="5" s="1"/>
  <c r="Y862" i="5"/>
  <c r="Z862" i="5" s="1"/>
  <c r="Y863" i="5"/>
  <c r="Z863" i="5" s="1"/>
  <c r="Y864" i="5"/>
  <c r="Y865" i="5"/>
  <c r="Y866" i="5"/>
  <c r="Z866" i="5" s="1"/>
  <c r="Y867" i="5"/>
  <c r="Z867" i="5" s="1"/>
  <c r="Y868" i="5"/>
  <c r="Z868" i="5" s="1"/>
  <c r="Y869" i="5"/>
  <c r="Z869" i="5" s="1"/>
  <c r="Y870" i="5"/>
  <c r="Z870" i="5" s="1"/>
  <c r="Y871" i="5"/>
  <c r="Z871" i="5" s="1"/>
  <c r="Y872" i="5"/>
  <c r="Y873" i="5"/>
  <c r="Y874" i="5"/>
  <c r="Z874" i="5" s="1"/>
  <c r="Y875" i="5"/>
  <c r="Z875" i="5" s="1"/>
  <c r="Y876" i="5"/>
  <c r="Z876" i="5" s="1"/>
  <c r="Y877" i="5"/>
  <c r="Z877" i="5" s="1"/>
  <c r="Y878" i="5"/>
  <c r="Z878" i="5" s="1"/>
  <c r="Y879" i="5"/>
  <c r="Z879" i="5" s="1"/>
  <c r="Y880" i="5"/>
  <c r="Y881" i="5"/>
  <c r="Y882" i="5"/>
  <c r="Z882" i="5" s="1"/>
  <c r="Y883" i="5"/>
  <c r="Z883" i="5" s="1"/>
  <c r="Y884" i="5"/>
  <c r="Z884" i="5" s="1"/>
  <c r="Y885" i="5"/>
  <c r="Z885" i="5" s="1"/>
  <c r="Y886" i="5"/>
  <c r="Z886" i="5" s="1"/>
  <c r="Y887" i="5"/>
  <c r="Z887" i="5" s="1"/>
  <c r="Y888" i="5"/>
  <c r="Y889" i="5"/>
  <c r="Y890" i="5"/>
  <c r="Z890" i="5" s="1"/>
  <c r="Y891" i="5"/>
  <c r="Z891" i="5" s="1"/>
  <c r="Y892" i="5"/>
  <c r="Z892" i="5" s="1"/>
  <c r="Y893" i="5"/>
  <c r="Z893" i="5" s="1"/>
  <c r="Y894" i="5"/>
  <c r="Z894" i="5" s="1"/>
  <c r="Y895" i="5"/>
  <c r="Z895" i="5" s="1"/>
  <c r="Y896" i="5"/>
  <c r="Y897" i="5"/>
  <c r="Y898" i="5"/>
  <c r="Z898" i="5" s="1"/>
  <c r="Y899" i="5"/>
  <c r="Z899" i="5" s="1"/>
  <c r="Y900" i="5"/>
  <c r="Z900" i="5" s="1"/>
  <c r="Y901" i="5"/>
  <c r="Z901" i="5" s="1"/>
  <c r="Y902" i="5"/>
  <c r="Z902" i="5" s="1"/>
  <c r="Y903" i="5"/>
  <c r="Z903" i="5" s="1"/>
  <c r="Y904" i="5"/>
  <c r="Y905" i="5"/>
  <c r="Y906" i="5"/>
  <c r="Z906" i="5" s="1"/>
  <c r="Y907" i="5"/>
  <c r="Z907" i="5" s="1"/>
  <c r="Y908" i="5"/>
  <c r="Z908" i="5" s="1"/>
  <c r="Y909" i="5"/>
  <c r="Z909" i="5" s="1"/>
  <c r="Y910" i="5"/>
  <c r="Z910" i="5" s="1"/>
  <c r="Y911" i="5"/>
  <c r="Z911" i="5" s="1"/>
  <c r="Y912" i="5"/>
  <c r="Y913" i="5"/>
  <c r="Y914" i="5"/>
  <c r="Z914" i="5" s="1"/>
  <c r="Y915" i="5"/>
  <c r="Z915" i="5" s="1"/>
  <c r="Y916" i="5"/>
  <c r="Z916" i="5" s="1"/>
  <c r="Y917" i="5"/>
  <c r="Z917" i="5" s="1"/>
  <c r="Y918" i="5"/>
  <c r="Z918" i="5" s="1"/>
  <c r="Y919" i="5"/>
  <c r="Z919" i="5" s="1"/>
  <c r="Y920" i="5"/>
  <c r="Y921" i="5"/>
  <c r="Y922" i="5"/>
  <c r="Z922" i="5" s="1"/>
  <c r="Y923" i="5"/>
  <c r="Z923" i="5" s="1"/>
  <c r="Y924" i="5"/>
  <c r="Z924" i="5" s="1"/>
  <c r="Y925" i="5"/>
  <c r="Z925" i="5" s="1"/>
  <c r="Y926" i="5"/>
  <c r="Z926" i="5" s="1"/>
  <c r="Y927" i="5"/>
  <c r="Z927" i="5" s="1"/>
  <c r="Y928" i="5"/>
  <c r="Y929" i="5"/>
  <c r="Y930" i="5"/>
  <c r="Z930" i="5" s="1"/>
  <c r="Y931" i="5"/>
  <c r="Z931" i="5" s="1"/>
  <c r="Y932" i="5"/>
  <c r="Z932" i="5" s="1"/>
  <c r="Y933" i="5"/>
  <c r="Z933" i="5" s="1"/>
  <c r="Y934" i="5"/>
  <c r="Z934" i="5" s="1"/>
  <c r="Y935" i="5"/>
  <c r="Z935" i="5" s="1"/>
  <c r="Y936" i="5"/>
  <c r="Y937" i="5"/>
  <c r="Y938" i="5"/>
  <c r="Z938" i="5" s="1"/>
  <c r="Y939" i="5"/>
  <c r="Z939" i="5" s="1"/>
  <c r="Y940" i="5"/>
  <c r="Z940" i="5" s="1"/>
  <c r="Y941" i="5"/>
  <c r="Z941" i="5" s="1"/>
  <c r="Y942" i="5"/>
  <c r="Z942" i="5" s="1"/>
  <c r="Y943" i="5"/>
  <c r="Z943" i="5" s="1"/>
  <c r="Y944" i="5"/>
  <c r="Y945" i="5"/>
  <c r="Y946" i="5"/>
  <c r="Z946" i="5" s="1"/>
  <c r="Y947" i="5"/>
  <c r="Z947" i="5" s="1"/>
  <c r="Y948" i="5"/>
  <c r="Z948" i="5" s="1"/>
  <c r="Y949" i="5"/>
  <c r="Z949" i="5" s="1"/>
  <c r="Y950" i="5"/>
  <c r="Z950" i="5" s="1"/>
  <c r="Y951" i="5"/>
  <c r="Z951" i="5" s="1"/>
  <c r="Y952" i="5"/>
  <c r="Y953" i="5"/>
  <c r="Y954" i="5"/>
  <c r="Z954" i="5" s="1"/>
  <c r="Y955" i="5"/>
  <c r="Z955" i="5" s="1"/>
  <c r="Y956" i="5"/>
  <c r="Z956" i="5" s="1"/>
  <c r="Y957" i="5"/>
  <c r="Z957" i="5" s="1"/>
  <c r="Y958" i="5"/>
  <c r="Z958" i="5" s="1"/>
  <c r="Y959" i="5"/>
  <c r="Z959" i="5" s="1"/>
  <c r="Y960" i="5"/>
  <c r="Y961" i="5"/>
  <c r="Y962" i="5"/>
  <c r="Z962" i="5" s="1"/>
  <c r="Y963" i="5"/>
  <c r="Z963" i="5" s="1"/>
  <c r="Y964" i="5"/>
  <c r="Z964" i="5" s="1"/>
  <c r="Y965" i="5"/>
  <c r="Z965" i="5" s="1"/>
  <c r="Y966" i="5"/>
  <c r="Z966" i="5" s="1"/>
  <c r="Y967" i="5"/>
  <c r="Y968" i="5"/>
  <c r="Z968" i="5" s="1"/>
  <c r="Y969" i="5"/>
  <c r="Z969" i="5" s="1"/>
  <c r="Y970" i="5"/>
  <c r="Z970" i="5" s="1"/>
  <c r="Y971" i="5"/>
  <c r="Y972" i="5"/>
  <c r="Z972" i="5" s="1"/>
  <c r="Y973" i="5"/>
  <c r="Z973" i="5" s="1"/>
  <c r="Y974" i="5"/>
  <c r="Z974" i="5" s="1"/>
  <c r="Y975" i="5"/>
  <c r="Y976" i="5"/>
  <c r="Z976" i="5" s="1"/>
  <c r="Y977" i="5"/>
  <c r="Z977" i="5" s="1"/>
  <c r="Y978" i="5"/>
  <c r="Z978" i="5" s="1"/>
  <c r="Y979" i="5"/>
  <c r="Y980" i="5"/>
  <c r="Z980" i="5" s="1"/>
  <c r="Y981" i="5"/>
  <c r="Z981" i="5" s="1"/>
  <c r="Y982" i="5"/>
  <c r="Z982" i="5" s="1"/>
  <c r="Y983" i="5"/>
  <c r="Y984" i="5"/>
  <c r="Z984" i="5" s="1"/>
  <c r="Y985" i="5"/>
  <c r="Z985" i="5" s="1"/>
  <c r="Y986" i="5"/>
  <c r="Z986" i="5" s="1"/>
  <c r="Y987" i="5"/>
  <c r="Y988" i="5"/>
  <c r="Z988" i="5" s="1"/>
  <c r="Y989" i="5"/>
  <c r="Z989" i="5" s="1"/>
  <c r="Y990" i="5"/>
  <c r="Z990" i="5" s="1"/>
  <c r="Y991" i="5"/>
  <c r="Y992" i="5"/>
  <c r="Z992" i="5" s="1"/>
  <c r="Y993" i="5"/>
  <c r="Z993" i="5" s="1"/>
  <c r="Y994" i="5"/>
  <c r="Z994" i="5" s="1"/>
  <c r="Y995" i="5"/>
  <c r="Y996" i="5"/>
  <c r="Z996" i="5" s="1"/>
  <c r="Y997" i="5"/>
  <c r="Z997" i="5" s="1"/>
  <c r="Y998" i="5"/>
  <c r="Z998" i="5" s="1"/>
  <c r="Y999" i="5"/>
  <c r="Y1000" i="5"/>
  <c r="Z1000" i="5" s="1"/>
  <c r="Y1001" i="5"/>
  <c r="Z1001" i="5" s="1"/>
  <c r="Y1002" i="5"/>
  <c r="Z1002" i="5" s="1"/>
  <c r="Y1003" i="5"/>
  <c r="Y1004" i="5"/>
  <c r="Z1004" i="5" s="1"/>
  <c r="Y4" i="5"/>
  <c r="Z4" i="5" s="1"/>
  <c r="J938" i="5"/>
  <c r="J986" i="5"/>
  <c r="H704" i="5"/>
  <c r="I704" i="5" s="1"/>
  <c r="F5" i="5"/>
  <c r="J5" i="5" s="1"/>
  <c r="F6" i="5"/>
  <c r="H6" i="5" s="1"/>
  <c r="I6" i="5" s="1"/>
  <c r="F7" i="5"/>
  <c r="H7" i="5" s="1"/>
  <c r="I7" i="5" s="1"/>
  <c r="F8" i="5"/>
  <c r="F9" i="5"/>
  <c r="J9" i="5" s="1"/>
  <c r="F10" i="5"/>
  <c r="F11" i="5"/>
  <c r="F12" i="5"/>
  <c r="F13" i="5"/>
  <c r="J13" i="5" s="1"/>
  <c r="F14" i="5"/>
  <c r="H14" i="5" s="1"/>
  <c r="I14" i="5" s="1"/>
  <c r="F15" i="5"/>
  <c r="H15" i="5" s="1"/>
  <c r="I15" i="5" s="1"/>
  <c r="F16" i="5"/>
  <c r="F17" i="5"/>
  <c r="J17" i="5" s="1"/>
  <c r="F18" i="5"/>
  <c r="F19" i="5"/>
  <c r="F20" i="5"/>
  <c r="F21" i="5"/>
  <c r="J21" i="5" s="1"/>
  <c r="F22" i="5"/>
  <c r="H22" i="5" s="1"/>
  <c r="I22" i="5" s="1"/>
  <c r="F23" i="5"/>
  <c r="H23" i="5" s="1"/>
  <c r="I23" i="5" s="1"/>
  <c r="F24" i="5"/>
  <c r="F25" i="5"/>
  <c r="J25" i="5" s="1"/>
  <c r="F26" i="5"/>
  <c r="F27" i="5"/>
  <c r="F28" i="5"/>
  <c r="F29" i="5"/>
  <c r="J29" i="5" s="1"/>
  <c r="F30" i="5"/>
  <c r="H30" i="5" s="1"/>
  <c r="I30" i="5" s="1"/>
  <c r="F31" i="5"/>
  <c r="H31" i="5" s="1"/>
  <c r="I31" i="5" s="1"/>
  <c r="F32" i="5"/>
  <c r="F33" i="5"/>
  <c r="J33" i="5" s="1"/>
  <c r="F34" i="5"/>
  <c r="F35" i="5"/>
  <c r="F36" i="5"/>
  <c r="F37" i="5"/>
  <c r="J37" i="5" s="1"/>
  <c r="F38" i="5"/>
  <c r="H38" i="5" s="1"/>
  <c r="I38" i="5" s="1"/>
  <c r="F39" i="5"/>
  <c r="H39" i="5" s="1"/>
  <c r="I39" i="5" s="1"/>
  <c r="F40" i="5"/>
  <c r="F41" i="5"/>
  <c r="J41" i="5" s="1"/>
  <c r="F42" i="5"/>
  <c r="F43" i="5"/>
  <c r="F44" i="5"/>
  <c r="F45" i="5"/>
  <c r="J45" i="5" s="1"/>
  <c r="F46" i="5"/>
  <c r="H46" i="5" s="1"/>
  <c r="I46" i="5" s="1"/>
  <c r="F47" i="5"/>
  <c r="H47" i="5" s="1"/>
  <c r="I47" i="5" s="1"/>
  <c r="F48" i="5"/>
  <c r="F49" i="5"/>
  <c r="J49" i="5" s="1"/>
  <c r="F50" i="5"/>
  <c r="F51" i="5"/>
  <c r="F52" i="5"/>
  <c r="F53" i="5"/>
  <c r="J53" i="5" s="1"/>
  <c r="F54" i="5"/>
  <c r="H54" i="5" s="1"/>
  <c r="I54" i="5" s="1"/>
  <c r="F55" i="5"/>
  <c r="H55" i="5" s="1"/>
  <c r="I55" i="5" s="1"/>
  <c r="F56" i="5"/>
  <c r="F57" i="5"/>
  <c r="J57" i="5" s="1"/>
  <c r="F58" i="5"/>
  <c r="F59" i="5"/>
  <c r="F60" i="5"/>
  <c r="F61" i="5"/>
  <c r="J61" i="5" s="1"/>
  <c r="F62" i="5"/>
  <c r="H62" i="5" s="1"/>
  <c r="I62" i="5" s="1"/>
  <c r="F63" i="5"/>
  <c r="F64" i="5"/>
  <c r="F65" i="5"/>
  <c r="J65" i="5" s="1"/>
  <c r="F66" i="5"/>
  <c r="F67" i="5"/>
  <c r="F68" i="5"/>
  <c r="F69" i="5"/>
  <c r="J69" i="5" s="1"/>
  <c r="F70" i="5"/>
  <c r="H70" i="5" s="1"/>
  <c r="I70" i="5" s="1"/>
  <c r="F71" i="5"/>
  <c r="H71" i="5" s="1"/>
  <c r="I71" i="5" s="1"/>
  <c r="F72" i="5"/>
  <c r="F73" i="5"/>
  <c r="J73" i="5" s="1"/>
  <c r="F74" i="5"/>
  <c r="F75" i="5"/>
  <c r="F76" i="5"/>
  <c r="F77" i="5"/>
  <c r="J77" i="5" s="1"/>
  <c r="F78" i="5"/>
  <c r="H78" i="5" s="1"/>
  <c r="I78" i="5" s="1"/>
  <c r="F79" i="5"/>
  <c r="H79" i="5" s="1"/>
  <c r="I79" i="5" s="1"/>
  <c r="F80" i="5"/>
  <c r="F81" i="5"/>
  <c r="J81" i="5" s="1"/>
  <c r="F82" i="5"/>
  <c r="F83" i="5"/>
  <c r="H83" i="5" s="1"/>
  <c r="I83" i="5" s="1"/>
  <c r="F84" i="5"/>
  <c r="F85" i="5"/>
  <c r="J85" i="5" s="1"/>
  <c r="F86" i="5"/>
  <c r="H86" i="5" s="1"/>
  <c r="I86" i="5" s="1"/>
  <c r="F87" i="5"/>
  <c r="F88" i="5"/>
  <c r="F89" i="5"/>
  <c r="J89" i="5" s="1"/>
  <c r="F90" i="5"/>
  <c r="F91" i="5"/>
  <c r="H91" i="5" s="1"/>
  <c r="I91" i="5" s="1"/>
  <c r="F92" i="5"/>
  <c r="F93" i="5"/>
  <c r="J93" i="5" s="1"/>
  <c r="F94" i="5"/>
  <c r="H94" i="5" s="1"/>
  <c r="I94" i="5" s="1"/>
  <c r="F95" i="5"/>
  <c r="F96" i="5"/>
  <c r="F97" i="5"/>
  <c r="J97" i="5" s="1"/>
  <c r="F98" i="5"/>
  <c r="F99" i="5"/>
  <c r="H99" i="5" s="1"/>
  <c r="I99" i="5" s="1"/>
  <c r="F100" i="5"/>
  <c r="F101" i="5"/>
  <c r="J101" i="5" s="1"/>
  <c r="F102" i="5"/>
  <c r="H102" i="5" s="1"/>
  <c r="I102" i="5" s="1"/>
  <c r="F103" i="5"/>
  <c r="F104" i="5"/>
  <c r="F105" i="5"/>
  <c r="J105" i="5" s="1"/>
  <c r="F106" i="5"/>
  <c r="F107" i="5"/>
  <c r="H107" i="5" s="1"/>
  <c r="I107" i="5" s="1"/>
  <c r="F108" i="5"/>
  <c r="F109" i="5"/>
  <c r="J109" i="5" s="1"/>
  <c r="F110" i="5"/>
  <c r="H110" i="5" s="1"/>
  <c r="I110" i="5" s="1"/>
  <c r="F111" i="5"/>
  <c r="F112" i="5"/>
  <c r="F113" i="5"/>
  <c r="J113" i="5" s="1"/>
  <c r="F114" i="5"/>
  <c r="F115" i="5"/>
  <c r="H115" i="5" s="1"/>
  <c r="I115" i="5" s="1"/>
  <c r="F116" i="5"/>
  <c r="F117" i="5"/>
  <c r="J117" i="5" s="1"/>
  <c r="F118" i="5"/>
  <c r="H118" i="5" s="1"/>
  <c r="I118" i="5" s="1"/>
  <c r="F119" i="5"/>
  <c r="F120" i="5"/>
  <c r="F121" i="5"/>
  <c r="J121" i="5" s="1"/>
  <c r="F122" i="5"/>
  <c r="F123" i="5"/>
  <c r="H123" i="5" s="1"/>
  <c r="I123" i="5" s="1"/>
  <c r="F124" i="5"/>
  <c r="F125" i="5"/>
  <c r="J125" i="5" s="1"/>
  <c r="F126" i="5"/>
  <c r="H126" i="5" s="1"/>
  <c r="I126" i="5" s="1"/>
  <c r="F127" i="5"/>
  <c r="F128" i="5"/>
  <c r="F129" i="5"/>
  <c r="J129" i="5" s="1"/>
  <c r="F130" i="5"/>
  <c r="F131" i="5"/>
  <c r="H131" i="5" s="1"/>
  <c r="I131" i="5" s="1"/>
  <c r="F132" i="5"/>
  <c r="F133" i="5"/>
  <c r="J133" i="5" s="1"/>
  <c r="F134" i="5"/>
  <c r="H134" i="5" s="1"/>
  <c r="I134" i="5" s="1"/>
  <c r="F135" i="5"/>
  <c r="F136" i="5"/>
  <c r="F137" i="5"/>
  <c r="J137" i="5" s="1"/>
  <c r="F138" i="5"/>
  <c r="F139" i="5"/>
  <c r="H139" i="5" s="1"/>
  <c r="I139" i="5" s="1"/>
  <c r="F140" i="5"/>
  <c r="F141" i="5"/>
  <c r="J141" i="5" s="1"/>
  <c r="F142" i="5"/>
  <c r="H142" i="5" s="1"/>
  <c r="I142" i="5" s="1"/>
  <c r="F143" i="5"/>
  <c r="F144" i="5"/>
  <c r="F145" i="5"/>
  <c r="J145" i="5" s="1"/>
  <c r="F146" i="5"/>
  <c r="F147" i="5"/>
  <c r="H147" i="5" s="1"/>
  <c r="I147" i="5" s="1"/>
  <c r="F148" i="5"/>
  <c r="F149" i="5"/>
  <c r="J149" i="5" s="1"/>
  <c r="F150" i="5"/>
  <c r="H150" i="5" s="1"/>
  <c r="I150" i="5" s="1"/>
  <c r="F151" i="5"/>
  <c r="F152" i="5"/>
  <c r="F153" i="5"/>
  <c r="J153" i="5" s="1"/>
  <c r="F154" i="5"/>
  <c r="F155" i="5"/>
  <c r="H155" i="5" s="1"/>
  <c r="I155" i="5" s="1"/>
  <c r="F156" i="5"/>
  <c r="F157" i="5"/>
  <c r="J157" i="5" s="1"/>
  <c r="F158" i="5"/>
  <c r="H158" i="5" s="1"/>
  <c r="I158" i="5" s="1"/>
  <c r="F159" i="5"/>
  <c r="F160" i="5"/>
  <c r="F161" i="5"/>
  <c r="J161" i="5" s="1"/>
  <c r="F162" i="5"/>
  <c r="F163" i="5"/>
  <c r="H163" i="5" s="1"/>
  <c r="I163" i="5" s="1"/>
  <c r="F164" i="5"/>
  <c r="F165" i="5"/>
  <c r="J165" i="5" s="1"/>
  <c r="F166" i="5"/>
  <c r="H166" i="5" s="1"/>
  <c r="I166" i="5" s="1"/>
  <c r="F167" i="5"/>
  <c r="F168" i="5"/>
  <c r="F169" i="5"/>
  <c r="J169" i="5" s="1"/>
  <c r="F170" i="5"/>
  <c r="F171" i="5"/>
  <c r="H171" i="5" s="1"/>
  <c r="I171" i="5" s="1"/>
  <c r="F172" i="5"/>
  <c r="F173" i="5"/>
  <c r="J173" i="5" s="1"/>
  <c r="F174" i="5"/>
  <c r="H174" i="5" s="1"/>
  <c r="I174" i="5" s="1"/>
  <c r="F175" i="5"/>
  <c r="F176" i="5"/>
  <c r="F177" i="5"/>
  <c r="J177" i="5" s="1"/>
  <c r="F178" i="5"/>
  <c r="F179" i="5"/>
  <c r="H179" i="5" s="1"/>
  <c r="I179" i="5" s="1"/>
  <c r="F180" i="5"/>
  <c r="F181" i="5"/>
  <c r="J181" i="5" s="1"/>
  <c r="F182" i="5"/>
  <c r="H182" i="5" s="1"/>
  <c r="I182" i="5" s="1"/>
  <c r="F183" i="5"/>
  <c r="F184" i="5"/>
  <c r="F185" i="5"/>
  <c r="J185" i="5" s="1"/>
  <c r="F186" i="5"/>
  <c r="F187" i="5"/>
  <c r="H187" i="5" s="1"/>
  <c r="I187" i="5" s="1"/>
  <c r="F188" i="5"/>
  <c r="F189" i="5"/>
  <c r="J189" i="5" s="1"/>
  <c r="F190" i="5"/>
  <c r="H190" i="5" s="1"/>
  <c r="I190" i="5" s="1"/>
  <c r="F191" i="5"/>
  <c r="F192" i="5"/>
  <c r="F193" i="5"/>
  <c r="J193" i="5" s="1"/>
  <c r="F194" i="5"/>
  <c r="F195" i="5"/>
  <c r="H195" i="5" s="1"/>
  <c r="I195" i="5" s="1"/>
  <c r="F196" i="5"/>
  <c r="F197" i="5"/>
  <c r="J197" i="5" s="1"/>
  <c r="F198" i="5"/>
  <c r="H198" i="5" s="1"/>
  <c r="I198" i="5" s="1"/>
  <c r="F199" i="5"/>
  <c r="F200" i="5"/>
  <c r="F201" i="5"/>
  <c r="J201" i="5" s="1"/>
  <c r="F202" i="5"/>
  <c r="F203" i="5"/>
  <c r="H203" i="5" s="1"/>
  <c r="I203" i="5" s="1"/>
  <c r="F204" i="5"/>
  <c r="F205" i="5"/>
  <c r="J205" i="5" s="1"/>
  <c r="F206" i="5"/>
  <c r="H206" i="5" s="1"/>
  <c r="I206" i="5" s="1"/>
  <c r="F207" i="5"/>
  <c r="F208" i="5"/>
  <c r="F209" i="5"/>
  <c r="J209" i="5" s="1"/>
  <c r="F210" i="5"/>
  <c r="F211" i="5"/>
  <c r="H211" i="5" s="1"/>
  <c r="I211" i="5" s="1"/>
  <c r="F212" i="5"/>
  <c r="F213" i="5"/>
  <c r="J213" i="5" s="1"/>
  <c r="F214" i="5"/>
  <c r="H214" i="5" s="1"/>
  <c r="I214" i="5" s="1"/>
  <c r="F215" i="5"/>
  <c r="F216" i="5"/>
  <c r="F217" i="5"/>
  <c r="J217" i="5" s="1"/>
  <c r="F218" i="5"/>
  <c r="F219" i="5"/>
  <c r="H219" i="5" s="1"/>
  <c r="I219" i="5" s="1"/>
  <c r="F220" i="5"/>
  <c r="F221" i="5"/>
  <c r="J221" i="5" s="1"/>
  <c r="F222" i="5"/>
  <c r="H222" i="5" s="1"/>
  <c r="I222" i="5" s="1"/>
  <c r="F223" i="5"/>
  <c r="F224" i="5"/>
  <c r="F225" i="5"/>
  <c r="J225" i="5" s="1"/>
  <c r="F226" i="5"/>
  <c r="F227" i="5"/>
  <c r="H227" i="5" s="1"/>
  <c r="I227" i="5" s="1"/>
  <c r="F228" i="5"/>
  <c r="F229" i="5"/>
  <c r="J229" i="5" s="1"/>
  <c r="F230" i="5"/>
  <c r="H230" i="5" s="1"/>
  <c r="I230" i="5" s="1"/>
  <c r="F231" i="5"/>
  <c r="F232" i="5"/>
  <c r="F233" i="5"/>
  <c r="J233" i="5" s="1"/>
  <c r="F234" i="5"/>
  <c r="F235" i="5"/>
  <c r="H235" i="5" s="1"/>
  <c r="I235" i="5" s="1"/>
  <c r="F236" i="5"/>
  <c r="F237" i="5"/>
  <c r="J237" i="5" s="1"/>
  <c r="F238" i="5"/>
  <c r="H238" i="5" s="1"/>
  <c r="I238" i="5" s="1"/>
  <c r="F239" i="5"/>
  <c r="F240" i="5"/>
  <c r="F241" i="5"/>
  <c r="J241" i="5" s="1"/>
  <c r="F242" i="5"/>
  <c r="F243" i="5"/>
  <c r="H243" i="5" s="1"/>
  <c r="I243" i="5" s="1"/>
  <c r="F244" i="5"/>
  <c r="F245" i="5"/>
  <c r="J245" i="5" s="1"/>
  <c r="F246" i="5"/>
  <c r="H246" i="5" s="1"/>
  <c r="I246" i="5" s="1"/>
  <c r="F247" i="5"/>
  <c r="F248" i="5"/>
  <c r="F249" i="5"/>
  <c r="F250" i="5"/>
  <c r="F251" i="5"/>
  <c r="H251" i="5" s="1"/>
  <c r="I251" i="5" s="1"/>
  <c r="F252" i="5"/>
  <c r="F253" i="5"/>
  <c r="J253" i="5" s="1"/>
  <c r="F254" i="5"/>
  <c r="H254" i="5" s="1"/>
  <c r="I254" i="5" s="1"/>
  <c r="F255" i="5"/>
  <c r="F256" i="5"/>
  <c r="F257" i="5"/>
  <c r="F258" i="5"/>
  <c r="F259" i="5"/>
  <c r="H259" i="5" s="1"/>
  <c r="I259" i="5" s="1"/>
  <c r="F260" i="5"/>
  <c r="F261" i="5"/>
  <c r="F262" i="5"/>
  <c r="H262" i="5" s="1"/>
  <c r="I262" i="5" s="1"/>
  <c r="F263" i="5"/>
  <c r="F264" i="5"/>
  <c r="F265" i="5"/>
  <c r="F266" i="5"/>
  <c r="F267" i="5"/>
  <c r="H267" i="5" s="1"/>
  <c r="I267" i="5" s="1"/>
  <c r="F268" i="5"/>
  <c r="F269" i="5"/>
  <c r="F270" i="5"/>
  <c r="H270" i="5" s="1"/>
  <c r="I270" i="5" s="1"/>
  <c r="F271" i="5"/>
  <c r="F272" i="5"/>
  <c r="F273" i="5"/>
  <c r="F274" i="5"/>
  <c r="F275" i="5"/>
  <c r="H275" i="5" s="1"/>
  <c r="I275" i="5" s="1"/>
  <c r="F276" i="5"/>
  <c r="F277" i="5"/>
  <c r="F278" i="5"/>
  <c r="H278" i="5" s="1"/>
  <c r="I278" i="5" s="1"/>
  <c r="F279" i="5"/>
  <c r="F280" i="5"/>
  <c r="F281" i="5"/>
  <c r="F282" i="5"/>
  <c r="F283" i="5"/>
  <c r="H283" i="5" s="1"/>
  <c r="I283" i="5" s="1"/>
  <c r="F284" i="5"/>
  <c r="F285" i="5"/>
  <c r="F286" i="5"/>
  <c r="H286" i="5" s="1"/>
  <c r="I286" i="5" s="1"/>
  <c r="F287" i="5"/>
  <c r="F288" i="5"/>
  <c r="F289" i="5"/>
  <c r="F290" i="5"/>
  <c r="F291" i="5"/>
  <c r="H291" i="5" s="1"/>
  <c r="I291" i="5" s="1"/>
  <c r="F292" i="5"/>
  <c r="F293" i="5"/>
  <c r="F294" i="5"/>
  <c r="H294" i="5" s="1"/>
  <c r="I294" i="5" s="1"/>
  <c r="F295" i="5"/>
  <c r="F296" i="5"/>
  <c r="F297" i="5"/>
  <c r="F298" i="5"/>
  <c r="F299" i="5"/>
  <c r="H299" i="5" s="1"/>
  <c r="I299" i="5" s="1"/>
  <c r="F300" i="5"/>
  <c r="F301" i="5"/>
  <c r="F302" i="5"/>
  <c r="H302" i="5" s="1"/>
  <c r="I302" i="5" s="1"/>
  <c r="F303" i="5"/>
  <c r="F304" i="5"/>
  <c r="F305" i="5"/>
  <c r="F306" i="5"/>
  <c r="F307" i="5"/>
  <c r="H307" i="5" s="1"/>
  <c r="I307" i="5" s="1"/>
  <c r="F308" i="5"/>
  <c r="F309" i="5"/>
  <c r="F310" i="5"/>
  <c r="H310" i="5" s="1"/>
  <c r="I310" i="5" s="1"/>
  <c r="F311" i="5"/>
  <c r="F312" i="5"/>
  <c r="F313" i="5"/>
  <c r="F314" i="5"/>
  <c r="F315" i="5"/>
  <c r="H315" i="5" s="1"/>
  <c r="I315" i="5" s="1"/>
  <c r="F316" i="5"/>
  <c r="F317" i="5"/>
  <c r="F318" i="5"/>
  <c r="H318" i="5" s="1"/>
  <c r="I318" i="5" s="1"/>
  <c r="F319" i="5"/>
  <c r="F320" i="5"/>
  <c r="F321" i="5"/>
  <c r="F322" i="5"/>
  <c r="F323" i="5"/>
  <c r="H323" i="5" s="1"/>
  <c r="I323" i="5" s="1"/>
  <c r="F324" i="5"/>
  <c r="F325" i="5"/>
  <c r="F326" i="5"/>
  <c r="H326" i="5" s="1"/>
  <c r="I326" i="5" s="1"/>
  <c r="F327" i="5"/>
  <c r="F328" i="5"/>
  <c r="F329" i="5"/>
  <c r="F330" i="5"/>
  <c r="F331" i="5"/>
  <c r="H331" i="5" s="1"/>
  <c r="I331" i="5" s="1"/>
  <c r="F332" i="5"/>
  <c r="F333" i="5"/>
  <c r="F334" i="5"/>
  <c r="H334" i="5" s="1"/>
  <c r="I334" i="5" s="1"/>
  <c r="F335" i="5"/>
  <c r="F336" i="5"/>
  <c r="F337" i="5"/>
  <c r="F338" i="5"/>
  <c r="F339" i="5"/>
  <c r="H339" i="5" s="1"/>
  <c r="I339" i="5" s="1"/>
  <c r="F340" i="5"/>
  <c r="F341" i="5"/>
  <c r="F342" i="5"/>
  <c r="H342" i="5" s="1"/>
  <c r="I342" i="5" s="1"/>
  <c r="F343" i="5"/>
  <c r="F344" i="5"/>
  <c r="F345" i="5"/>
  <c r="F346" i="5"/>
  <c r="F347" i="5"/>
  <c r="H347" i="5" s="1"/>
  <c r="I347" i="5" s="1"/>
  <c r="F348" i="5"/>
  <c r="F349" i="5"/>
  <c r="F350" i="5"/>
  <c r="H350" i="5" s="1"/>
  <c r="I350" i="5" s="1"/>
  <c r="F351" i="5"/>
  <c r="F352" i="5"/>
  <c r="F353" i="5"/>
  <c r="F354" i="5"/>
  <c r="F355" i="5"/>
  <c r="H355" i="5" s="1"/>
  <c r="I355" i="5" s="1"/>
  <c r="F356" i="5"/>
  <c r="F357" i="5"/>
  <c r="F358" i="5"/>
  <c r="H358" i="5" s="1"/>
  <c r="I358" i="5" s="1"/>
  <c r="F359" i="5"/>
  <c r="F360" i="5"/>
  <c r="F361" i="5"/>
  <c r="F362" i="5"/>
  <c r="F363" i="5"/>
  <c r="H363" i="5" s="1"/>
  <c r="I363" i="5" s="1"/>
  <c r="F364" i="5"/>
  <c r="F365" i="5"/>
  <c r="F366" i="5"/>
  <c r="H366" i="5" s="1"/>
  <c r="I366" i="5" s="1"/>
  <c r="F367" i="5"/>
  <c r="F368" i="5"/>
  <c r="F369" i="5"/>
  <c r="F370" i="5"/>
  <c r="F371" i="5"/>
  <c r="H371" i="5" s="1"/>
  <c r="I371" i="5" s="1"/>
  <c r="F372" i="5"/>
  <c r="F373" i="5"/>
  <c r="F374" i="5"/>
  <c r="H374" i="5" s="1"/>
  <c r="I374" i="5" s="1"/>
  <c r="F375" i="5"/>
  <c r="F376" i="5"/>
  <c r="F377" i="5"/>
  <c r="F378" i="5"/>
  <c r="F379" i="5"/>
  <c r="H379" i="5" s="1"/>
  <c r="I379" i="5" s="1"/>
  <c r="F380" i="5"/>
  <c r="F381" i="5"/>
  <c r="F382" i="5"/>
  <c r="H382" i="5" s="1"/>
  <c r="I382" i="5" s="1"/>
  <c r="F383" i="5"/>
  <c r="F384" i="5"/>
  <c r="F385" i="5"/>
  <c r="F386" i="5"/>
  <c r="F387" i="5"/>
  <c r="H387" i="5" s="1"/>
  <c r="I387" i="5" s="1"/>
  <c r="F388" i="5"/>
  <c r="F389" i="5"/>
  <c r="F390" i="5"/>
  <c r="H390" i="5" s="1"/>
  <c r="I390" i="5" s="1"/>
  <c r="F391" i="5"/>
  <c r="F392" i="5"/>
  <c r="F393" i="5"/>
  <c r="F394" i="5"/>
  <c r="F395" i="5"/>
  <c r="H395" i="5" s="1"/>
  <c r="I395" i="5" s="1"/>
  <c r="F396" i="5"/>
  <c r="F397" i="5"/>
  <c r="F398" i="5"/>
  <c r="H398" i="5" s="1"/>
  <c r="I398" i="5" s="1"/>
  <c r="F399" i="5"/>
  <c r="F400" i="5"/>
  <c r="F401" i="5"/>
  <c r="F402" i="5"/>
  <c r="F403" i="5"/>
  <c r="H403" i="5" s="1"/>
  <c r="I403" i="5" s="1"/>
  <c r="F404" i="5"/>
  <c r="F405" i="5"/>
  <c r="F406" i="5"/>
  <c r="H406" i="5" s="1"/>
  <c r="I406" i="5" s="1"/>
  <c r="F407" i="5"/>
  <c r="F408" i="5"/>
  <c r="F409" i="5"/>
  <c r="F410" i="5"/>
  <c r="F411" i="5"/>
  <c r="H411" i="5" s="1"/>
  <c r="I411" i="5" s="1"/>
  <c r="F412" i="5"/>
  <c r="F413" i="5"/>
  <c r="F414" i="5"/>
  <c r="H414" i="5" s="1"/>
  <c r="I414" i="5" s="1"/>
  <c r="F415" i="5"/>
  <c r="F416" i="5"/>
  <c r="F417" i="5"/>
  <c r="F418" i="5"/>
  <c r="F419" i="5"/>
  <c r="H419" i="5" s="1"/>
  <c r="I419" i="5" s="1"/>
  <c r="F420" i="5"/>
  <c r="F421" i="5"/>
  <c r="F422" i="5"/>
  <c r="H422" i="5" s="1"/>
  <c r="I422" i="5" s="1"/>
  <c r="F423" i="5"/>
  <c r="F424" i="5"/>
  <c r="F425" i="5"/>
  <c r="F426" i="5"/>
  <c r="F427" i="5"/>
  <c r="H427" i="5" s="1"/>
  <c r="I427" i="5" s="1"/>
  <c r="F428" i="5"/>
  <c r="F429" i="5"/>
  <c r="F430" i="5"/>
  <c r="H430" i="5" s="1"/>
  <c r="I430" i="5" s="1"/>
  <c r="F431" i="5"/>
  <c r="F432" i="5"/>
  <c r="F433" i="5"/>
  <c r="F434" i="5"/>
  <c r="F435" i="5"/>
  <c r="H435" i="5" s="1"/>
  <c r="I435" i="5" s="1"/>
  <c r="F436" i="5"/>
  <c r="F437" i="5"/>
  <c r="F438" i="5"/>
  <c r="H438" i="5" s="1"/>
  <c r="I438" i="5" s="1"/>
  <c r="F439" i="5"/>
  <c r="H439" i="5" s="1"/>
  <c r="I439" i="5" s="1"/>
  <c r="F440" i="5"/>
  <c r="F441" i="5"/>
  <c r="F442" i="5"/>
  <c r="F443" i="5"/>
  <c r="F444" i="5"/>
  <c r="F445" i="5"/>
  <c r="F446" i="5"/>
  <c r="H446" i="5" s="1"/>
  <c r="I446" i="5" s="1"/>
  <c r="F447" i="5"/>
  <c r="F448" i="5"/>
  <c r="F449" i="5"/>
  <c r="F450" i="5"/>
  <c r="F451" i="5"/>
  <c r="F452" i="5"/>
  <c r="F453" i="5"/>
  <c r="F454" i="5"/>
  <c r="H454" i="5" s="1"/>
  <c r="I454" i="5" s="1"/>
  <c r="F455" i="5"/>
  <c r="H455" i="5" s="1"/>
  <c r="I455" i="5" s="1"/>
  <c r="F456" i="5"/>
  <c r="F457" i="5"/>
  <c r="F458" i="5"/>
  <c r="F459" i="5"/>
  <c r="F460" i="5"/>
  <c r="F461" i="5"/>
  <c r="F462" i="5"/>
  <c r="H462" i="5" s="1"/>
  <c r="I462" i="5" s="1"/>
  <c r="F463" i="5"/>
  <c r="F464" i="5"/>
  <c r="F465" i="5"/>
  <c r="F466" i="5"/>
  <c r="F467" i="5"/>
  <c r="F468" i="5"/>
  <c r="F469" i="5"/>
  <c r="F470" i="5"/>
  <c r="H470" i="5" s="1"/>
  <c r="I470" i="5" s="1"/>
  <c r="F471" i="5"/>
  <c r="H471" i="5" s="1"/>
  <c r="I471" i="5" s="1"/>
  <c r="F472" i="5"/>
  <c r="F473" i="5"/>
  <c r="F474" i="5"/>
  <c r="F475" i="5"/>
  <c r="F476" i="5"/>
  <c r="F477" i="5"/>
  <c r="F478" i="5"/>
  <c r="H478" i="5" s="1"/>
  <c r="I478" i="5" s="1"/>
  <c r="F479" i="5"/>
  <c r="F480" i="5"/>
  <c r="F481" i="5"/>
  <c r="F482" i="5"/>
  <c r="F483" i="5"/>
  <c r="F484" i="5"/>
  <c r="F485" i="5"/>
  <c r="F486" i="5"/>
  <c r="H486" i="5" s="1"/>
  <c r="I486" i="5" s="1"/>
  <c r="F487" i="5"/>
  <c r="H487" i="5" s="1"/>
  <c r="I487" i="5" s="1"/>
  <c r="F488" i="5"/>
  <c r="F489" i="5"/>
  <c r="J489" i="5" s="1"/>
  <c r="F490" i="5"/>
  <c r="F491" i="5"/>
  <c r="F492" i="5"/>
  <c r="F493" i="5"/>
  <c r="J493" i="5" s="1"/>
  <c r="F494" i="5"/>
  <c r="H494" i="5" s="1"/>
  <c r="I494" i="5" s="1"/>
  <c r="F495" i="5"/>
  <c r="F496" i="5"/>
  <c r="F497" i="5"/>
  <c r="J497" i="5" s="1"/>
  <c r="F498" i="5"/>
  <c r="F499" i="5"/>
  <c r="F500" i="5"/>
  <c r="F501" i="5"/>
  <c r="J501" i="5" s="1"/>
  <c r="F502" i="5"/>
  <c r="H502" i="5" s="1"/>
  <c r="I502" i="5" s="1"/>
  <c r="F503" i="5"/>
  <c r="H503" i="5" s="1"/>
  <c r="I503" i="5" s="1"/>
  <c r="F504" i="5"/>
  <c r="F505" i="5"/>
  <c r="J505" i="5" s="1"/>
  <c r="F506" i="5"/>
  <c r="F507" i="5"/>
  <c r="F508" i="5"/>
  <c r="F509" i="5"/>
  <c r="J509" i="5" s="1"/>
  <c r="F510" i="5"/>
  <c r="H510" i="5" s="1"/>
  <c r="I510" i="5" s="1"/>
  <c r="F511" i="5"/>
  <c r="F512" i="5"/>
  <c r="F513" i="5"/>
  <c r="J513" i="5" s="1"/>
  <c r="F514" i="5"/>
  <c r="F515" i="5"/>
  <c r="H515" i="5" s="1"/>
  <c r="I515" i="5" s="1"/>
  <c r="F516" i="5"/>
  <c r="F517" i="5"/>
  <c r="J517" i="5" s="1"/>
  <c r="F518" i="5"/>
  <c r="H518" i="5" s="1"/>
  <c r="I518" i="5" s="1"/>
  <c r="F519" i="5"/>
  <c r="F520" i="5"/>
  <c r="F521" i="5"/>
  <c r="J521" i="5" s="1"/>
  <c r="F522" i="5"/>
  <c r="F523" i="5"/>
  <c r="H523" i="5" s="1"/>
  <c r="I523" i="5" s="1"/>
  <c r="F524" i="5"/>
  <c r="F525" i="5"/>
  <c r="J525" i="5" s="1"/>
  <c r="F526" i="5"/>
  <c r="H526" i="5" s="1"/>
  <c r="I526" i="5" s="1"/>
  <c r="F527" i="5"/>
  <c r="F528" i="5"/>
  <c r="F529" i="5"/>
  <c r="J529" i="5" s="1"/>
  <c r="F530" i="5"/>
  <c r="F531" i="5"/>
  <c r="H531" i="5" s="1"/>
  <c r="I531" i="5" s="1"/>
  <c r="F532" i="5"/>
  <c r="F533" i="5"/>
  <c r="J533" i="5" s="1"/>
  <c r="F534" i="5"/>
  <c r="H534" i="5" s="1"/>
  <c r="I534" i="5" s="1"/>
  <c r="F535" i="5"/>
  <c r="F536" i="5"/>
  <c r="F537" i="5"/>
  <c r="J537" i="5" s="1"/>
  <c r="F538" i="5"/>
  <c r="F539" i="5"/>
  <c r="H539" i="5" s="1"/>
  <c r="I539" i="5" s="1"/>
  <c r="F540" i="5"/>
  <c r="F541" i="5"/>
  <c r="J541" i="5" s="1"/>
  <c r="F542" i="5"/>
  <c r="H542" i="5" s="1"/>
  <c r="I542" i="5" s="1"/>
  <c r="F543" i="5"/>
  <c r="F544" i="5"/>
  <c r="F545" i="5"/>
  <c r="J545" i="5" s="1"/>
  <c r="F546" i="5"/>
  <c r="F547" i="5"/>
  <c r="H547" i="5" s="1"/>
  <c r="I547" i="5" s="1"/>
  <c r="F548" i="5"/>
  <c r="F549" i="5"/>
  <c r="J549" i="5" s="1"/>
  <c r="F550" i="5"/>
  <c r="H550" i="5" s="1"/>
  <c r="I550" i="5" s="1"/>
  <c r="F551" i="5"/>
  <c r="F552" i="5"/>
  <c r="F553" i="5"/>
  <c r="J553" i="5" s="1"/>
  <c r="F554" i="5"/>
  <c r="F555" i="5"/>
  <c r="H555" i="5" s="1"/>
  <c r="I555" i="5" s="1"/>
  <c r="F556" i="5"/>
  <c r="F557" i="5"/>
  <c r="J557" i="5" s="1"/>
  <c r="F558" i="5"/>
  <c r="H558" i="5" s="1"/>
  <c r="I558" i="5" s="1"/>
  <c r="F559" i="5"/>
  <c r="F560" i="5"/>
  <c r="H560" i="5" s="1"/>
  <c r="I560" i="5" s="1"/>
  <c r="F561" i="5"/>
  <c r="J561" i="5" s="1"/>
  <c r="F562" i="5"/>
  <c r="F563" i="5"/>
  <c r="H563" i="5" s="1"/>
  <c r="I563" i="5" s="1"/>
  <c r="F564" i="5"/>
  <c r="F565" i="5"/>
  <c r="J565" i="5" s="1"/>
  <c r="F566" i="5"/>
  <c r="H566" i="5" s="1"/>
  <c r="I566" i="5" s="1"/>
  <c r="F567" i="5"/>
  <c r="F568" i="5"/>
  <c r="F569" i="5"/>
  <c r="J569" i="5" s="1"/>
  <c r="F570" i="5"/>
  <c r="F571" i="5"/>
  <c r="H571" i="5" s="1"/>
  <c r="I571" i="5" s="1"/>
  <c r="F572" i="5"/>
  <c r="F573" i="5"/>
  <c r="J573" i="5" s="1"/>
  <c r="F574" i="5"/>
  <c r="H574" i="5" s="1"/>
  <c r="I574" i="5" s="1"/>
  <c r="F575" i="5"/>
  <c r="F576" i="5"/>
  <c r="H576" i="5" s="1"/>
  <c r="I576" i="5" s="1"/>
  <c r="F577" i="5"/>
  <c r="J577" i="5" s="1"/>
  <c r="F578" i="5"/>
  <c r="F579" i="5"/>
  <c r="H579" i="5" s="1"/>
  <c r="I579" i="5" s="1"/>
  <c r="F580" i="5"/>
  <c r="F581" i="5"/>
  <c r="J581" i="5" s="1"/>
  <c r="F582" i="5"/>
  <c r="H582" i="5" s="1"/>
  <c r="I582" i="5" s="1"/>
  <c r="F583" i="5"/>
  <c r="F584" i="5"/>
  <c r="F585" i="5"/>
  <c r="J585" i="5" s="1"/>
  <c r="F586" i="5"/>
  <c r="F587" i="5"/>
  <c r="H587" i="5" s="1"/>
  <c r="I587" i="5" s="1"/>
  <c r="F588" i="5"/>
  <c r="F589" i="5"/>
  <c r="J589" i="5" s="1"/>
  <c r="F590" i="5"/>
  <c r="H590" i="5" s="1"/>
  <c r="I590" i="5" s="1"/>
  <c r="F591" i="5"/>
  <c r="F592" i="5"/>
  <c r="H592" i="5" s="1"/>
  <c r="I592" i="5" s="1"/>
  <c r="F593" i="5"/>
  <c r="J593" i="5" s="1"/>
  <c r="F594" i="5"/>
  <c r="F595" i="5"/>
  <c r="H595" i="5" s="1"/>
  <c r="I595" i="5" s="1"/>
  <c r="F596" i="5"/>
  <c r="F597" i="5"/>
  <c r="J597" i="5" s="1"/>
  <c r="F598" i="5"/>
  <c r="H598" i="5" s="1"/>
  <c r="I598" i="5" s="1"/>
  <c r="F599" i="5"/>
  <c r="F600" i="5"/>
  <c r="F601" i="5"/>
  <c r="J601" i="5" s="1"/>
  <c r="F602" i="5"/>
  <c r="F603" i="5"/>
  <c r="H603" i="5" s="1"/>
  <c r="I603" i="5" s="1"/>
  <c r="F604" i="5"/>
  <c r="F605" i="5"/>
  <c r="J605" i="5" s="1"/>
  <c r="F606" i="5"/>
  <c r="H606" i="5" s="1"/>
  <c r="I606" i="5" s="1"/>
  <c r="F607" i="5"/>
  <c r="F608" i="5"/>
  <c r="H608" i="5" s="1"/>
  <c r="I608" i="5" s="1"/>
  <c r="F609" i="5"/>
  <c r="J609" i="5" s="1"/>
  <c r="F610" i="5"/>
  <c r="F611" i="5"/>
  <c r="H611" i="5" s="1"/>
  <c r="I611" i="5" s="1"/>
  <c r="F612" i="5"/>
  <c r="F613" i="5"/>
  <c r="J613" i="5" s="1"/>
  <c r="F614" i="5"/>
  <c r="H614" i="5" s="1"/>
  <c r="I614" i="5" s="1"/>
  <c r="F615" i="5"/>
  <c r="F616" i="5"/>
  <c r="F617" i="5"/>
  <c r="J617" i="5" s="1"/>
  <c r="F618" i="5"/>
  <c r="F619" i="5"/>
  <c r="H619" i="5" s="1"/>
  <c r="I619" i="5" s="1"/>
  <c r="F620" i="5"/>
  <c r="F621" i="5"/>
  <c r="J621" i="5" s="1"/>
  <c r="F622" i="5"/>
  <c r="H622" i="5" s="1"/>
  <c r="I622" i="5" s="1"/>
  <c r="F623" i="5"/>
  <c r="F624" i="5"/>
  <c r="H624" i="5" s="1"/>
  <c r="I624" i="5" s="1"/>
  <c r="F625" i="5"/>
  <c r="J625" i="5" s="1"/>
  <c r="F626" i="5"/>
  <c r="F627" i="5"/>
  <c r="H627" i="5" s="1"/>
  <c r="I627" i="5" s="1"/>
  <c r="F628" i="5"/>
  <c r="F629" i="5"/>
  <c r="J629" i="5" s="1"/>
  <c r="F630" i="5"/>
  <c r="H630" i="5" s="1"/>
  <c r="I630" i="5" s="1"/>
  <c r="F631" i="5"/>
  <c r="F632" i="5"/>
  <c r="F633" i="5"/>
  <c r="J633" i="5" s="1"/>
  <c r="F634" i="5"/>
  <c r="F635" i="5"/>
  <c r="H635" i="5" s="1"/>
  <c r="I635" i="5" s="1"/>
  <c r="F636" i="5"/>
  <c r="F637" i="5"/>
  <c r="J637" i="5" s="1"/>
  <c r="F638" i="5"/>
  <c r="H638" i="5" s="1"/>
  <c r="I638" i="5" s="1"/>
  <c r="F639" i="5"/>
  <c r="F640" i="5"/>
  <c r="H640" i="5" s="1"/>
  <c r="I640" i="5" s="1"/>
  <c r="F641" i="5"/>
  <c r="J641" i="5" s="1"/>
  <c r="F642" i="5"/>
  <c r="F643" i="5"/>
  <c r="H643" i="5" s="1"/>
  <c r="I643" i="5" s="1"/>
  <c r="F644" i="5"/>
  <c r="F645" i="5"/>
  <c r="J645" i="5" s="1"/>
  <c r="F646" i="5"/>
  <c r="H646" i="5" s="1"/>
  <c r="I646" i="5" s="1"/>
  <c r="F647" i="5"/>
  <c r="F648" i="5"/>
  <c r="F649" i="5"/>
  <c r="J649" i="5" s="1"/>
  <c r="F650" i="5"/>
  <c r="F651" i="5"/>
  <c r="H651" i="5" s="1"/>
  <c r="I651" i="5" s="1"/>
  <c r="F652" i="5"/>
  <c r="F653" i="5"/>
  <c r="J653" i="5" s="1"/>
  <c r="F654" i="5"/>
  <c r="H654" i="5" s="1"/>
  <c r="I654" i="5" s="1"/>
  <c r="F655" i="5"/>
  <c r="F656" i="5"/>
  <c r="H656" i="5" s="1"/>
  <c r="I656" i="5" s="1"/>
  <c r="F657" i="5"/>
  <c r="J657" i="5" s="1"/>
  <c r="F658" i="5"/>
  <c r="F659" i="5"/>
  <c r="H659" i="5" s="1"/>
  <c r="I659" i="5" s="1"/>
  <c r="F660" i="5"/>
  <c r="F661" i="5"/>
  <c r="J661" i="5" s="1"/>
  <c r="F662" i="5"/>
  <c r="H662" i="5" s="1"/>
  <c r="I662" i="5" s="1"/>
  <c r="F663" i="5"/>
  <c r="F664" i="5"/>
  <c r="F665" i="5"/>
  <c r="J665" i="5" s="1"/>
  <c r="F666" i="5"/>
  <c r="F667" i="5"/>
  <c r="H667" i="5" s="1"/>
  <c r="I667" i="5" s="1"/>
  <c r="F668" i="5"/>
  <c r="F669" i="5"/>
  <c r="J669" i="5" s="1"/>
  <c r="F670" i="5"/>
  <c r="H670" i="5" s="1"/>
  <c r="I670" i="5" s="1"/>
  <c r="F671" i="5"/>
  <c r="F672" i="5"/>
  <c r="H672" i="5" s="1"/>
  <c r="I672" i="5" s="1"/>
  <c r="F673" i="5"/>
  <c r="J673" i="5" s="1"/>
  <c r="F674" i="5"/>
  <c r="F675" i="5"/>
  <c r="H675" i="5" s="1"/>
  <c r="I675" i="5" s="1"/>
  <c r="F676" i="5"/>
  <c r="F677" i="5"/>
  <c r="J677" i="5" s="1"/>
  <c r="F678" i="5"/>
  <c r="H678" i="5" s="1"/>
  <c r="I678" i="5" s="1"/>
  <c r="F679" i="5"/>
  <c r="H679" i="5" s="1"/>
  <c r="I679" i="5" s="1"/>
  <c r="F680" i="5"/>
  <c r="F681" i="5"/>
  <c r="J681" i="5" s="1"/>
  <c r="F682" i="5"/>
  <c r="F683" i="5"/>
  <c r="F684" i="5"/>
  <c r="F685" i="5"/>
  <c r="J685" i="5" s="1"/>
  <c r="F686" i="5"/>
  <c r="H686" i="5" s="1"/>
  <c r="I686" i="5" s="1"/>
  <c r="F687" i="5"/>
  <c r="F688" i="5"/>
  <c r="H688" i="5" s="1"/>
  <c r="I688" i="5" s="1"/>
  <c r="F689" i="5"/>
  <c r="J689" i="5" s="1"/>
  <c r="F690" i="5"/>
  <c r="F691" i="5"/>
  <c r="F692" i="5"/>
  <c r="F693" i="5"/>
  <c r="J693" i="5" s="1"/>
  <c r="F694" i="5"/>
  <c r="H694" i="5" s="1"/>
  <c r="I694" i="5" s="1"/>
  <c r="F695" i="5"/>
  <c r="H695" i="5" s="1"/>
  <c r="I695" i="5" s="1"/>
  <c r="F696" i="5"/>
  <c r="F697" i="5"/>
  <c r="J697" i="5" s="1"/>
  <c r="F698" i="5"/>
  <c r="F699" i="5"/>
  <c r="F700" i="5"/>
  <c r="F701" i="5"/>
  <c r="J701" i="5" s="1"/>
  <c r="F702" i="5"/>
  <c r="H702" i="5" s="1"/>
  <c r="I702" i="5" s="1"/>
  <c r="F703" i="5"/>
  <c r="F704" i="5"/>
  <c r="F705" i="5"/>
  <c r="J705" i="5" s="1"/>
  <c r="F706" i="5"/>
  <c r="F707" i="5"/>
  <c r="F708" i="5"/>
  <c r="F709" i="5"/>
  <c r="J709" i="5" s="1"/>
  <c r="F710" i="5"/>
  <c r="H710" i="5" s="1"/>
  <c r="I710" i="5" s="1"/>
  <c r="F711" i="5"/>
  <c r="H711" i="5" s="1"/>
  <c r="I711" i="5" s="1"/>
  <c r="F712" i="5"/>
  <c r="F713" i="5"/>
  <c r="J713" i="5" s="1"/>
  <c r="F714" i="5"/>
  <c r="F715" i="5"/>
  <c r="F716" i="5"/>
  <c r="F717" i="5"/>
  <c r="J717" i="5" s="1"/>
  <c r="F718" i="5"/>
  <c r="H718" i="5" s="1"/>
  <c r="I718" i="5" s="1"/>
  <c r="F719" i="5"/>
  <c r="F720" i="5"/>
  <c r="H720" i="5" s="1"/>
  <c r="I720" i="5" s="1"/>
  <c r="F721" i="5"/>
  <c r="J721" i="5" s="1"/>
  <c r="F722" i="5"/>
  <c r="F723" i="5"/>
  <c r="F724" i="5"/>
  <c r="F725" i="5"/>
  <c r="J725" i="5" s="1"/>
  <c r="F726" i="5"/>
  <c r="H726" i="5" s="1"/>
  <c r="I726" i="5" s="1"/>
  <c r="F727" i="5"/>
  <c r="F728" i="5"/>
  <c r="F729" i="5"/>
  <c r="J729" i="5" s="1"/>
  <c r="F730" i="5"/>
  <c r="F731" i="5"/>
  <c r="F732" i="5"/>
  <c r="F733" i="5"/>
  <c r="J733" i="5" s="1"/>
  <c r="F734" i="5"/>
  <c r="H734" i="5" s="1"/>
  <c r="I734" i="5" s="1"/>
  <c r="F735" i="5"/>
  <c r="H735" i="5" s="1"/>
  <c r="I735" i="5" s="1"/>
  <c r="F736" i="5"/>
  <c r="H736" i="5" s="1"/>
  <c r="I736" i="5" s="1"/>
  <c r="F737" i="5"/>
  <c r="J737" i="5" s="1"/>
  <c r="F738" i="5"/>
  <c r="F739" i="5"/>
  <c r="F740" i="5"/>
  <c r="F741" i="5"/>
  <c r="J741" i="5" s="1"/>
  <c r="F742" i="5"/>
  <c r="H742" i="5" s="1"/>
  <c r="I742" i="5" s="1"/>
  <c r="F743" i="5"/>
  <c r="F744" i="5"/>
  <c r="F745" i="5"/>
  <c r="J745" i="5" s="1"/>
  <c r="F746" i="5"/>
  <c r="F747" i="5"/>
  <c r="F748" i="5"/>
  <c r="F749" i="5"/>
  <c r="J749" i="5" s="1"/>
  <c r="F750" i="5"/>
  <c r="H750" i="5" s="1"/>
  <c r="I750" i="5" s="1"/>
  <c r="F751" i="5"/>
  <c r="H751" i="5" s="1"/>
  <c r="I751" i="5" s="1"/>
  <c r="F752" i="5"/>
  <c r="H752" i="5" s="1"/>
  <c r="I752" i="5" s="1"/>
  <c r="F753" i="5"/>
  <c r="J753" i="5" s="1"/>
  <c r="F754" i="5"/>
  <c r="F755" i="5"/>
  <c r="F756" i="5"/>
  <c r="F757" i="5"/>
  <c r="J757" i="5" s="1"/>
  <c r="F758" i="5"/>
  <c r="H758" i="5" s="1"/>
  <c r="I758" i="5" s="1"/>
  <c r="F759" i="5"/>
  <c r="F760" i="5"/>
  <c r="F761" i="5"/>
  <c r="J761" i="5" s="1"/>
  <c r="F762" i="5"/>
  <c r="F763" i="5"/>
  <c r="F764" i="5"/>
  <c r="F765" i="5"/>
  <c r="J765" i="5" s="1"/>
  <c r="F766" i="5"/>
  <c r="H766" i="5" s="1"/>
  <c r="I766" i="5" s="1"/>
  <c r="F767" i="5"/>
  <c r="H767" i="5" s="1"/>
  <c r="I767" i="5" s="1"/>
  <c r="F768" i="5"/>
  <c r="H768" i="5" s="1"/>
  <c r="I768" i="5" s="1"/>
  <c r="F769" i="5"/>
  <c r="J769" i="5" s="1"/>
  <c r="F770" i="5"/>
  <c r="F771" i="5"/>
  <c r="F772" i="5"/>
  <c r="F773" i="5"/>
  <c r="J773" i="5" s="1"/>
  <c r="F774" i="5"/>
  <c r="H774" i="5" s="1"/>
  <c r="I774" i="5" s="1"/>
  <c r="F775" i="5"/>
  <c r="F776" i="5"/>
  <c r="F777" i="5"/>
  <c r="J777" i="5" s="1"/>
  <c r="F778" i="5"/>
  <c r="F779" i="5"/>
  <c r="F780" i="5"/>
  <c r="F781" i="5"/>
  <c r="J781" i="5" s="1"/>
  <c r="F782" i="5"/>
  <c r="H782" i="5" s="1"/>
  <c r="I782" i="5" s="1"/>
  <c r="F783" i="5"/>
  <c r="H783" i="5" s="1"/>
  <c r="I783" i="5" s="1"/>
  <c r="F784" i="5"/>
  <c r="H784" i="5" s="1"/>
  <c r="I784" i="5" s="1"/>
  <c r="F785" i="5"/>
  <c r="J785" i="5" s="1"/>
  <c r="F786" i="5"/>
  <c r="F787" i="5"/>
  <c r="F788" i="5"/>
  <c r="F789" i="5"/>
  <c r="J789" i="5" s="1"/>
  <c r="F790" i="5"/>
  <c r="H790" i="5" s="1"/>
  <c r="I790" i="5" s="1"/>
  <c r="F791" i="5"/>
  <c r="F792" i="5"/>
  <c r="F793" i="5"/>
  <c r="J793" i="5" s="1"/>
  <c r="F794" i="5"/>
  <c r="F795" i="5"/>
  <c r="H795" i="5" s="1"/>
  <c r="I795" i="5" s="1"/>
  <c r="F796" i="5"/>
  <c r="F797" i="5"/>
  <c r="J797" i="5" s="1"/>
  <c r="F798" i="5"/>
  <c r="H798" i="5" s="1"/>
  <c r="I798" i="5" s="1"/>
  <c r="F799" i="5"/>
  <c r="F800" i="5"/>
  <c r="H800" i="5" s="1"/>
  <c r="I800" i="5" s="1"/>
  <c r="F801" i="5"/>
  <c r="J801" i="5" s="1"/>
  <c r="F802" i="5"/>
  <c r="F803" i="5"/>
  <c r="H803" i="5" s="1"/>
  <c r="I803" i="5" s="1"/>
  <c r="F804" i="5"/>
  <c r="F805" i="5"/>
  <c r="J805" i="5" s="1"/>
  <c r="F806" i="5"/>
  <c r="H806" i="5" s="1"/>
  <c r="I806" i="5" s="1"/>
  <c r="F807" i="5"/>
  <c r="F808" i="5"/>
  <c r="F809" i="5"/>
  <c r="J809" i="5" s="1"/>
  <c r="F810" i="5"/>
  <c r="F811" i="5"/>
  <c r="H811" i="5" s="1"/>
  <c r="I811" i="5" s="1"/>
  <c r="F812" i="5"/>
  <c r="F813" i="5"/>
  <c r="J813" i="5" s="1"/>
  <c r="F814" i="5"/>
  <c r="H814" i="5" s="1"/>
  <c r="I814" i="5" s="1"/>
  <c r="F815" i="5"/>
  <c r="F816" i="5"/>
  <c r="H816" i="5" s="1"/>
  <c r="I816" i="5" s="1"/>
  <c r="F817" i="5"/>
  <c r="J817" i="5" s="1"/>
  <c r="F818" i="5"/>
  <c r="F819" i="5"/>
  <c r="H819" i="5" s="1"/>
  <c r="I819" i="5" s="1"/>
  <c r="F820" i="5"/>
  <c r="F821" i="5"/>
  <c r="J821" i="5" s="1"/>
  <c r="F822" i="5"/>
  <c r="H822" i="5" s="1"/>
  <c r="I822" i="5" s="1"/>
  <c r="F823" i="5"/>
  <c r="F824" i="5"/>
  <c r="F825" i="5"/>
  <c r="J825" i="5" s="1"/>
  <c r="F826" i="5"/>
  <c r="F827" i="5"/>
  <c r="H827" i="5" s="1"/>
  <c r="I827" i="5" s="1"/>
  <c r="F828" i="5"/>
  <c r="F829" i="5"/>
  <c r="J829" i="5" s="1"/>
  <c r="F830" i="5"/>
  <c r="H830" i="5" s="1"/>
  <c r="I830" i="5" s="1"/>
  <c r="F831" i="5"/>
  <c r="F832" i="5"/>
  <c r="H832" i="5" s="1"/>
  <c r="I832" i="5" s="1"/>
  <c r="F833" i="5"/>
  <c r="J833" i="5" s="1"/>
  <c r="F834" i="5"/>
  <c r="F835" i="5"/>
  <c r="H835" i="5" s="1"/>
  <c r="I835" i="5" s="1"/>
  <c r="F836" i="5"/>
  <c r="F837" i="5"/>
  <c r="J837" i="5" s="1"/>
  <c r="F838" i="5"/>
  <c r="H838" i="5" s="1"/>
  <c r="I838" i="5" s="1"/>
  <c r="F839" i="5"/>
  <c r="F840" i="5"/>
  <c r="F841" i="5"/>
  <c r="J841" i="5" s="1"/>
  <c r="F842" i="5"/>
  <c r="F843" i="5"/>
  <c r="H843" i="5" s="1"/>
  <c r="I843" i="5" s="1"/>
  <c r="F844" i="5"/>
  <c r="F845" i="5"/>
  <c r="J845" i="5" s="1"/>
  <c r="F846" i="5"/>
  <c r="H846" i="5" s="1"/>
  <c r="I846" i="5" s="1"/>
  <c r="F847" i="5"/>
  <c r="F848" i="5"/>
  <c r="H848" i="5" s="1"/>
  <c r="I848" i="5" s="1"/>
  <c r="F849" i="5"/>
  <c r="J849" i="5" s="1"/>
  <c r="F850" i="5"/>
  <c r="F851" i="5"/>
  <c r="H851" i="5" s="1"/>
  <c r="I851" i="5" s="1"/>
  <c r="F852" i="5"/>
  <c r="F853" i="5"/>
  <c r="J853" i="5" s="1"/>
  <c r="F854" i="5"/>
  <c r="H854" i="5" s="1"/>
  <c r="I854" i="5" s="1"/>
  <c r="F855" i="5"/>
  <c r="F856" i="5"/>
  <c r="F857" i="5"/>
  <c r="J857" i="5" s="1"/>
  <c r="F858" i="5"/>
  <c r="F859" i="5"/>
  <c r="H859" i="5" s="1"/>
  <c r="I859" i="5" s="1"/>
  <c r="F860" i="5"/>
  <c r="F861" i="5"/>
  <c r="F862" i="5"/>
  <c r="F863" i="5"/>
  <c r="F864" i="5"/>
  <c r="F865" i="5"/>
  <c r="F866" i="5"/>
  <c r="H866" i="5" s="1"/>
  <c r="I866" i="5" s="1"/>
  <c r="F867" i="5"/>
  <c r="F868" i="5"/>
  <c r="F869" i="5"/>
  <c r="H869" i="5" s="1"/>
  <c r="I869" i="5" s="1"/>
  <c r="F870" i="5"/>
  <c r="H870" i="5" s="1"/>
  <c r="I870" i="5" s="1"/>
  <c r="F871" i="5"/>
  <c r="F872" i="5"/>
  <c r="F873" i="5"/>
  <c r="J873" i="5" s="1"/>
  <c r="F874" i="5"/>
  <c r="F875" i="5"/>
  <c r="H875" i="5" s="1"/>
  <c r="I875" i="5" s="1"/>
  <c r="F876" i="5"/>
  <c r="F877" i="5"/>
  <c r="F878" i="5"/>
  <c r="F879" i="5"/>
  <c r="F880" i="5"/>
  <c r="F881" i="5"/>
  <c r="F882" i="5"/>
  <c r="H882" i="5" s="1"/>
  <c r="I882" i="5" s="1"/>
  <c r="F883" i="5"/>
  <c r="F884" i="5"/>
  <c r="F885" i="5"/>
  <c r="H885" i="5" s="1"/>
  <c r="I885" i="5" s="1"/>
  <c r="F886" i="5"/>
  <c r="H886" i="5" s="1"/>
  <c r="I886" i="5" s="1"/>
  <c r="F887" i="5"/>
  <c r="F888" i="5"/>
  <c r="F889" i="5"/>
  <c r="J889" i="5" s="1"/>
  <c r="F890" i="5"/>
  <c r="F891" i="5"/>
  <c r="F892" i="5"/>
  <c r="F893" i="5"/>
  <c r="F894" i="5"/>
  <c r="F895" i="5"/>
  <c r="F896" i="5"/>
  <c r="H896" i="5" s="1"/>
  <c r="I896" i="5" s="1"/>
  <c r="F897" i="5"/>
  <c r="F898" i="5"/>
  <c r="F899" i="5"/>
  <c r="F900" i="5"/>
  <c r="F901" i="5"/>
  <c r="H901" i="5" s="1"/>
  <c r="I901" i="5" s="1"/>
  <c r="F902" i="5"/>
  <c r="H902" i="5" s="1"/>
  <c r="I902" i="5" s="1"/>
  <c r="F903" i="5"/>
  <c r="F904" i="5"/>
  <c r="F905" i="5"/>
  <c r="J905" i="5" s="1"/>
  <c r="F906" i="5"/>
  <c r="F907" i="5"/>
  <c r="F908" i="5"/>
  <c r="F909" i="5"/>
  <c r="F910" i="5"/>
  <c r="F911" i="5"/>
  <c r="F912" i="5"/>
  <c r="F913" i="5"/>
  <c r="F914" i="5"/>
  <c r="F915" i="5"/>
  <c r="F916" i="5"/>
  <c r="F917" i="5"/>
  <c r="H917" i="5" s="1"/>
  <c r="I917" i="5" s="1"/>
  <c r="F918" i="5"/>
  <c r="H918" i="5" s="1"/>
  <c r="I918" i="5" s="1"/>
  <c r="F919" i="5"/>
  <c r="F920" i="5"/>
  <c r="F921" i="5"/>
  <c r="J921" i="5" s="1"/>
  <c r="F922" i="5"/>
  <c r="F923" i="5"/>
  <c r="H923" i="5" s="1"/>
  <c r="I923" i="5" s="1"/>
  <c r="F924" i="5"/>
  <c r="F925" i="5"/>
  <c r="F926" i="5"/>
  <c r="F927" i="5"/>
  <c r="H927" i="5" s="1"/>
  <c r="I927" i="5" s="1"/>
  <c r="F928" i="5"/>
  <c r="F929" i="5"/>
  <c r="H929" i="5" s="1"/>
  <c r="I929" i="5" s="1"/>
  <c r="F930" i="5"/>
  <c r="H930" i="5" s="1"/>
  <c r="I930" i="5" s="1"/>
  <c r="F931" i="5"/>
  <c r="F932" i="5"/>
  <c r="F933" i="5"/>
  <c r="F934" i="5"/>
  <c r="F935" i="5"/>
  <c r="F936" i="5"/>
  <c r="F937" i="5"/>
  <c r="F938" i="5"/>
  <c r="H938" i="5" s="1"/>
  <c r="I938" i="5" s="1"/>
  <c r="F939" i="5"/>
  <c r="F940" i="5"/>
  <c r="F941" i="5"/>
  <c r="F942" i="5"/>
  <c r="F943" i="5"/>
  <c r="F944" i="5"/>
  <c r="F945" i="5"/>
  <c r="H945" i="5" s="1"/>
  <c r="I945" i="5" s="1"/>
  <c r="F946" i="5"/>
  <c r="H946" i="5" s="1"/>
  <c r="I946" i="5" s="1"/>
  <c r="F947" i="5"/>
  <c r="F948" i="5"/>
  <c r="F949" i="5"/>
  <c r="F950" i="5"/>
  <c r="F951" i="5"/>
  <c r="F952" i="5"/>
  <c r="F953" i="5"/>
  <c r="F954" i="5"/>
  <c r="H954" i="5" s="1"/>
  <c r="I954" i="5" s="1"/>
  <c r="F955" i="5"/>
  <c r="F956" i="5"/>
  <c r="F957" i="5"/>
  <c r="F958" i="5"/>
  <c r="F959" i="5"/>
  <c r="F960" i="5"/>
  <c r="F961" i="5"/>
  <c r="H961" i="5" s="1"/>
  <c r="I961" i="5" s="1"/>
  <c r="F962" i="5"/>
  <c r="H962" i="5" s="1"/>
  <c r="I962" i="5" s="1"/>
  <c r="F963" i="5"/>
  <c r="F964" i="5"/>
  <c r="F965" i="5"/>
  <c r="F966" i="5"/>
  <c r="F967" i="5"/>
  <c r="F968" i="5"/>
  <c r="F969" i="5"/>
  <c r="F970" i="5"/>
  <c r="H970" i="5" s="1"/>
  <c r="I970" i="5" s="1"/>
  <c r="F971" i="5"/>
  <c r="F972" i="5"/>
  <c r="F973" i="5"/>
  <c r="F974" i="5"/>
  <c r="F975" i="5"/>
  <c r="F976" i="5"/>
  <c r="F977" i="5"/>
  <c r="H977" i="5" s="1"/>
  <c r="I977" i="5" s="1"/>
  <c r="F978" i="5"/>
  <c r="H978" i="5" s="1"/>
  <c r="I978" i="5" s="1"/>
  <c r="F979" i="5"/>
  <c r="F980" i="5"/>
  <c r="F981" i="5"/>
  <c r="F982" i="5"/>
  <c r="F983" i="5"/>
  <c r="F984" i="5"/>
  <c r="F985" i="5"/>
  <c r="F986" i="5"/>
  <c r="H986" i="5" s="1"/>
  <c r="I986" i="5" s="1"/>
  <c r="F987" i="5"/>
  <c r="F988" i="5"/>
  <c r="F989" i="5"/>
  <c r="F990" i="5"/>
  <c r="F991" i="5"/>
  <c r="F992" i="5"/>
  <c r="F993" i="5"/>
  <c r="H993" i="5" s="1"/>
  <c r="I993" i="5" s="1"/>
  <c r="F994" i="5"/>
  <c r="H994" i="5" s="1"/>
  <c r="I994" i="5" s="1"/>
  <c r="F995" i="5"/>
  <c r="F996" i="5"/>
  <c r="F997" i="5"/>
  <c r="F998" i="5"/>
  <c r="F999" i="5"/>
  <c r="F1000" i="5"/>
  <c r="F1001" i="5"/>
  <c r="F1002" i="5"/>
  <c r="H1002" i="5" s="1"/>
  <c r="I1002" i="5" s="1"/>
  <c r="F1003" i="5"/>
  <c r="J1003" i="5" s="1"/>
  <c r="F4" i="5"/>
  <c r="AI11" i="9" l="1"/>
  <c r="AI15" i="9"/>
  <c r="AI19" i="9"/>
  <c r="AI23" i="9"/>
  <c r="AI12" i="9"/>
  <c r="AI17" i="9"/>
  <c r="AI22" i="9"/>
  <c r="AI27" i="9"/>
  <c r="AI31" i="9"/>
  <c r="AI35" i="9"/>
  <c r="AI39" i="9"/>
  <c r="AI43" i="9"/>
  <c r="AI47" i="9"/>
  <c r="AI51" i="9"/>
  <c r="AI55" i="9"/>
  <c r="AI59" i="9"/>
  <c r="AI63" i="9"/>
  <c r="AI67" i="9"/>
  <c r="AI71" i="9"/>
  <c r="AI75" i="9"/>
  <c r="AI79" i="9"/>
  <c r="AI83" i="9"/>
  <c r="AI87" i="9"/>
  <c r="AI91" i="9"/>
  <c r="AI95" i="9"/>
  <c r="AI99" i="9"/>
  <c r="AI103" i="9"/>
  <c r="AI107" i="9"/>
  <c r="AI111" i="9"/>
  <c r="AI115" i="9"/>
  <c r="AI119" i="9"/>
  <c r="AI123" i="9"/>
  <c r="AI127" i="9"/>
  <c r="AI131" i="9"/>
  <c r="AI135" i="9"/>
  <c r="AI139" i="9"/>
  <c r="AI143" i="9"/>
  <c r="AI147" i="9"/>
  <c r="AI151" i="9"/>
  <c r="AI155" i="9"/>
  <c r="AI159" i="9"/>
  <c r="AI163" i="9"/>
  <c r="AI167" i="9"/>
  <c r="AI171" i="9"/>
  <c r="AI175" i="9"/>
  <c r="AI179" i="9"/>
  <c r="AI183" i="9"/>
  <c r="AI187" i="9"/>
  <c r="AI191" i="9"/>
  <c r="AI195" i="9"/>
  <c r="AI199" i="9"/>
  <c r="AI203" i="9"/>
  <c r="AI207" i="9"/>
  <c r="AI211" i="9"/>
  <c r="AI215" i="9"/>
  <c r="AI219" i="9"/>
  <c r="AI223" i="9"/>
  <c r="AI227" i="9"/>
  <c r="AI231" i="9"/>
  <c r="AI235" i="9"/>
  <c r="AI239" i="9"/>
  <c r="AI243" i="9"/>
  <c r="AI247" i="9"/>
  <c r="AI251" i="9"/>
  <c r="AI255" i="9"/>
  <c r="AI259" i="9"/>
  <c r="AI263" i="9"/>
  <c r="AI267" i="9"/>
  <c r="AI271" i="9"/>
  <c r="AI275" i="9"/>
  <c r="AI279" i="9"/>
  <c r="AI283" i="9"/>
  <c r="AI18" i="9"/>
  <c r="AI25" i="9"/>
  <c r="AI30" i="9"/>
  <c r="AI36" i="9"/>
  <c r="AI41" i="9"/>
  <c r="AI46" i="9"/>
  <c r="AI52" i="9"/>
  <c r="AI57" i="9"/>
  <c r="AI62" i="9"/>
  <c r="AI68" i="9"/>
  <c r="AI73" i="9"/>
  <c r="AI78" i="9"/>
  <c r="AI84" i="9"/>
  <c r="AI89" i="9"/>
  <c r="AI94" i="9"/>
  <c r="AI100" i="9"/>
  <c r="AI105" i="9"/>
  <c r="AI110" i="9"/>
  <c r="AI116" i="9"/>
  <c r="AI121" i="9"/>
  <c r="AI126" i="9"/>
  <c r="AI132" i="9"/>
  <c r="AI137" i="9"/>
  <c r="AI142" i="9"/>
  <c r="AI148" i="9"/>
  <c r="AI153" i="9"/>
  <c r="AI158" i="9"/>
  <c r="AI164" i="9"/>
  <c r="AI169" i="9"/>
  <c r="AI174" i="9"/>
  <c r="AI180" i="9"/>
  <c r="AI185" i="9"/>
  <c r="AI190" i="9"/>
  <c r="AI196" i="9"/>
  <c r="AI201" i="9"/>
  <c r="AI206" i="9"/>
  <c r="AI212" i="9"/>
  <c r="AI217" i="9"/>
  <c r="AI222" i="9"/>
  <c r="AI228" i="9"/>
  <c r="AI233" i="9"/>
  <c r="AI238" i="9"/>
  <c r="AI244" i="9"/>
  <c r="AI249" i="9"/>
  <c r="AI254" i="9"/>
  <c r="AI260" i="9"/>
  <c r="AI265" i="9"/>
  <c r="AI270" i="9"/>
  <c r="AI276" i="9"/>
  <c r="AI281" i="9"/>
  <c r="AI286" i="9"/>
  <c r="AI290" i="9"/>
  <c r="AI294" i="9"/>
  <c r="AI298" i="9"/>
  <c r="AI302" i="9"/>
  <c r="AI306" i="9"/>
  <c r="AI310" i="9"/>
  <c r="AI314" i="9"/>
  <c r="AI318" i="9"/>
  <c r="AI322" i="9"/>
  <c r="AI326" i="9"/>
  <c r="AI330" i="9"/>
  <c r="AI334" i="9"/>
  <c r="AI338" i="9"/>
  <c r="AI342" i="9"/>
  <c r="AI346" i="9"/>
  <c r="AI350" i="9"/>
  <c r="AI354" i="9"/>
  <c r="AI358" i="9"/>
  <c r="AI362" i="9"/>
  <c r="AI366" i="9"/>
  <c r="AI370" i="9"/>
  <c r="AI374" i="9"/>
  <c r="AI378" i="9"/>
  <c r="AI382" i="9"/>
  <c r="AI386" i="9"/>
  <c r="AI390" i="9"/>
  <c r="AI394" i="9"/>
  <c r="AI398" i="9"/>
  <c r="AI402" i="9"/>
  <c r="AI406" i="9"/>
  <c r="AI410" i="9"/>
  <c r="AI414" i="9"/>
  <c r="AI418" i="9"/>
  <c r="AI422" i="9"/>
  <c r="AI426" i="9"/>
  <c r="AI430" i="9"/>
  <c r="AI434" i="9"/>
  <c r="AI438" i="9"/>
  <c r="AI442" i="9"/>
  <c r="AI446" i="9"/>
  <c r="AI450" i="9"/>
  <c r="AI454" i="9"/>
  <c r="AI458" i="9"/>
  <c r="AI462" i="9"/>
  <c r="AI466" i="9"/>
  <c r="AI470" i="9"/>
  <c r="AI474" i="9"/>
  <c r="AI478" i="9"/>
  <c r="AI482" i="9"/>
  <c r="AI486" i="9"/>
  <c r="AI490" i="9"/>
  <c r="AI494" i="9"/>
  <c r="AI498" i="9"/>
  <c r="AI502" i="9"/>
  <c r="AI506" i="9"/>
  <c r="AI510" i="9"/>
  <c r="AI514" i="9"/>
  <c r="AI518" i="9"/>
  <c r="AI522" i="9"/>
  <c r="AI526" i="9"/>
  <c r="AI530" i="9"/>
  <c r="AI534" i="9"/>
  <c r="AI538" i="9"/>
  <c r="AI542" i="9"/>
  <c r="AI546" i="9"/>
  <c r="AI550" i="9"/>
  <c r="AI554" i="9"/>
  <c r="AI558" i="9"/>
  <c r="AI562" i="9"/>
  <c r="AI566" i="9"/>
  <c r="AI570" i="9"/>
  <c r="AI574" i="9"/>
  <c r="AI578" i="9"/>
  <c r="AI582" i="9"/>
  <c r="AI586" i="9"/>
  <c r="AI590" i="9"/>
  <c r="AI594" i="9"/>
  <c r="AI598" i="9"/>
  <c r="AI602" i="9"/>
  <c r="AI606" i="9"/>
  <c r="AI610" i="9"/>
  <c r="AI614" i="9"/>
  <c r="AI618" i="9"/>
  <c r="AI622" i="9"/>
  <c r="AI626" i="9"/>
  <c r="AI630" i="9"/>
  <c r="AI634" i="9"/>
  <c r="AI638" i="9"/>
  <c r="AI642" i="9"/>
  <c r="AI646" i="9"/>
  <c r="AI650" i="9"/>
  <c r="AI654" i="9"/>
  <c r="AI658" i="9"/>
  <c r="AI662" i="9"/>
  <c r="AI666" i="9"/>
  <c r="AI670" i="9"/>
  <c r="AI674" i="9"/>
  <c r="AI678" i="9"/>
  <c r="AI682" i="9"/>
  <c r="AI686" i="9"/>
  <c r="AI690" i="9"/>
  <c r="AI694" i="9"/>
  <c r="AI698" i="9"/>
  <c r="AI702" i="9"/>
  <c r="AI706" i="9"/>
  <c r="AI710" i="9"/>
  <c r="AI714" i="9"/>
  <c r="AI718" i="9"/>
  <c r="AI722" i="9"/>
  <c r="AI726" i="9"/>
  <c r="AI730" i="9"/>
  <c r="AI734" i="9"/>
  <c r="AI738" i="9"/>
  <c r="AI742" i="9"/>
  <c r="AI746" i="9"/>
  <c r="AI750" i="9"/>
  <c r="AI754" i="9"/>
  <c r="AI758" i="9"/>
  <c r="AI762" i="9"/>
  <c r="AI766" i="9"/>
  <c r="AI770" i="9"/>
  <c r="AI774" i="9"/>
  <c r="AI778" i="9"/>
  <c r="AI782" i="9"/>
  <c r="AI786" i="9"/>
  <c r="AI790" i="9"/>
  <c r="AI794" i="9"/>
  <c r="AI798" i="9"/>
  <c r="AI802" i="9"/>
  <c r="AI806" i="9"/>
  <c r="AI810" i="9"/>
  <c r="AI814" i="9"/>
  <c r="AI818" i="9"/>
  <c r="AI822" i="9"/>
  <c r="AI826" i="9"/>
  <c r="AI830" i="9"/>
  <c r="AI834" i="9"/>
  <c r="AI838" i="9"/>
  <c r="AI842" i="9"/>
  <c r="AI846" i="9"/>
  <c r="AI850" i="9"/>
  <c r="AI854" i="9"/>
  <c r="AI858" i="9"/>
  <c r="AI862" i="9"/>
  <c r="AI866" i="9"/>
  <c r="AI870" i="9"/>
  <c r="AI874" i="9"/>
  <c r="AI878" i="9"/>
  <c r="AI882" i="9"/>
  <c r="AI886" i="9"/>
  <c r="AI890" i="9"/>
  <c r="AI894" i="9"/>
  <c r="AI898" i="9"/>
  <c r="AI902" i="9"/>
  <c r="AI906" i="9"/>
  <c r="AI910" i="9"/>
  <c r="AI914" i="9"/>
  <c r="AI918" i="9"/>
  <c r="AI922" i="9"/>
  <c r="AI926" i="9"/>
  <c r="AI930" i="9"/>
  <c r="AI934" i="9"/>
  <c r="AI938" i="9"/>
  <c r="AI942" i="9"/>
  <c r="AI946" i="9"/>
  <c r="AI950" i="9"/>
  <c r="AI954" i="9"/>
  <c r="AI958" i="9"/>
  <c r="AI962" i="9"/>
  <c r="AI966" i="9"/>
  <c r="AI970" i="9"/>
  <c r="AI974" i="9"/>
  <c r="AI978" i="9"/>
  <c r="AI982" i="9"/>
  <c r="AI986" i="9"/>
  <c r="AI990" i="9"/>
  <c r="AI994" i="9"/>
  <c r="AI998" i="9"/>
  <c r="AI1002" i="9"/>
  <c r="AI1006" i="9"/>
  <c r="AI10" i="9"/>
  <c r="AI14" i="9"/>
  <c r="AI21" i="9"/>
  <c r="AI28" i="9"/>
  <c r="AI33" i="9"/>
  <c r="AI38" i="9"/>
  <c r="AI44" i="9"/>
  <c r="AI49" i="9"/>
  <c r="AI54" i="9"/>
  <c r="AI60" i="9"/>
  <c r="AI65" i="9"/>
  <c r="AI70" i="9"/>
  <c r="AI76" i="9"/>
  <c r="AI81" i="9"/>
  <c r="AI86" i="9"/>
  <c r="AI92" i="9"/>
  <c r="AI97" i="9"/>
  <c r="AI102" i="9"/>
  <c r="AI108" i="9"/>
  <c r="AI113" i="9"/>
  <c r="AI118" i="9"/>
  <c r="AI124" i="9"/>
  <c r="AI129" i="9"/>
  <c r="AI134" i="9"/>
  <c r="AI140" i="9"/>
  <c r="AI145" i="9"/>
  <c r="AI150" i="9"/>
  <c r="AI156" i="9"/>
  <c r="AI161" i="9"/>
  <c r="AI166" i="9"/>
  <c r="AI172" i="9"/>
  <c r="AI177" i="9"/>
  <c r="AI182" i="9"/>
  <c r="AI188" i="9"/>
  <c r="AI193" i="9"/>
  <c r="AI198" i="9"/>
  <c r="AI204" i="9"/>
  <c r="AI209" i="9"/>
  <c r="AI214" i="9"/>
  <c r="AI220" i="9"/>
  <c r="AI225" i="9"/>
  <c r="AI230" i="9"/>
  <c r="AI236" i="9"/>
  <c r="AI241" i="9"/>
  <c r="AI246" i="9"/>
  <c r="AI252" i="9"/>
  <c r="AI257" i="9"/>
  <c r="AI262" i="9"/>
  <c r="AI268" i="9"/>
  <c r="AI273" i="9"/>
  <c r="AI278" i="9"/>
  <c r="AI284" i="9"/>
  <c r="AI288" i="9"/>
  <c r="AI292" i="9"/>
  <c r="AI296" i="9"/>
  <c r="AI300" i="9"/>
  <c r="AI304" i="9"/>
  <c r="AI308" i="9"/>
  <c r="AI312" i="9"/>
  <c r="AI316" i="9"/>
  <c r="AI320" i="9"/>
  <c r="AI324" i="9"/>
  <c r="AI328" i="9"/>
  <c r="AI332" i="9"/>
  <c r="AI336" i="9"/>
  <c r="AI340" i="9"/>
  <c r="AI344" i="9"/>
  <c r="AI348" i="9"/>
  <c r="AI352" i="9"/>
  <c r="AI356" i="9"/>
  <c r="AI360" i="9"/>
  <c r="AI364" i="9"/>
  <c r="AI368" i="9"/>
  <c r="AI372" i="9"/>
  <c r="AI376" i="9"/>
  <c r="AI380" i="9"/>
  <c r="AI384" i="9"/>
  <c r="AI388" i="9"/>
  <c r="AI392" i="9"/>
  <c r="AI396" i="9"/>
  <c r="AI400" i="9"/>
  <c r="AI404" i="9"/>
  <c r="AI408" i="9"/>
  <c r="AI412" i="9"/>
  <c r="AI416" i="9"/>
  <c r="AI420" i="9"/>
  <c r="AI424" i="9"/>
  <c r="AI428" i="9"/>
  <c r="AI432" i="9"/>
  <c r="AI436" i="9"/>
  <c r="AI440" i="9"/>
  <c r="AI444" i="9"/>
  <c r="AI448" i="9"/>
  <c r="AI452" i="9"/>
  <c r="AI456" i="9"/>
  <c r="AI460" i="9"/>
  <c r="AI464" i="9"/>
  <c r="AI468" i="9"/>
  <c r="AI472" i="9"/>
  <c r="AI476" i="9"/>
  <c r="AI480" i="9"/>
  <c r="AI484" i="9"/>
  <c r="AI488" i="9"/>
  <c r="AI492" i="9"/>
  <c r="AI496" i="9"/>
  <c r="AI500" i="9"/>
  <c r="AI504" i="9"/>
  <c r="AI508" i="9"/>
  <c r="AI512" i="9"/>
  <c r="AI516" i="9"/>
  <c r="AI520" i="9"/>
  <c r="AI524" i="9"/>
  <c r="AI528" i="9"/>
  <c r="AI532" i="9"/>
  <c r="AI536" i="9"/>
  <c r="AI540" i="9"/>
  <c r="AI544" i="9"/>
  <c r="AI548" i="9"/>
  <c r="AI552" i="9"/>
  <c r="AI556" i="9"/>
  <c r="AI560" i="9"/>
  <c r="AI564" i="9"/>
  <c r="AI568" i="9"/>
  <c r="AI572" i="9"/>
  <c r="AI576" i="9"/>
  <c r="AI580" i="9"/>
  <c r="AI584" i="9"/>
  <c r="AI588" i="9"/>
  <c r="AI592" i="9"/>
  <c r="AI596" i="9"/>
  <c r="AI600" i="9"/>
  <c r="AI604" i="9"/>
  <c r="AI608" i="9"/>
  <c r="AI612" i="9"/>
  <c r="AI616" i="9"/>
  <c r="AI620" i="9"/>
  <c r="AI624" i="9"/>
  <c r="AI628" i="9"/>
  <c r="AI632" i="9"/>
  <c r="AI636" i="9"/>
  <c r="AI640" i="9"/>
  <c r="AI644" i="9"/>
  <c r="AI648" i="9"/>
  <c r="AI652" i="9"/>
  <c r="AI656" i="9"/>
  <c r="AI660" i="9"/>
  <c r="AI664" i="9"/>
  <c r="AI668" i="9"/>
  <c r="AI672" i="9"/>
  <c r="AI676" i="9"/>
  <c r="AI680" i="9"/>
  <c r="AI684" i="9"/>
  <c r="AI688" i="9"/>
  <c r="AI692" i="9"/>
  <c r="AI696" i="9"/>
  <c r="AI700" i="9"/>
  <c r="AI704" i="9"/>
  <c r="AI708" i="9"/>
  <c r="AI712" i="9"/>
  <c r="AI716" i="9"/>
  <c r="AI720" i="9"/>
  <c r="AI724" i="9"/>
  <c r="AI728" i="9"/>
  <c r="AI732" i="9"/>
  <c r="AI736" i="9"/>
  <c r="AI740" i="9"/>
  <c r="AI744" i="9"/>
  <c r="AI748" i="9"/>
  <c r="AI752" i="9"/>
  <c r="AI756" i="9"/>
  <c r="AI760" i="9"/>
  <c r="AI764" i="9"/>
  <c r="AI768" i="9"/>
  <c r="AI772" i="9"/>
  <c r="AI776" i="9"/>
  <c r="AI780" i="9"/>
  <c r="AI784" i="9"/>
  <c r="AI788" i="9"/>
  <c r="AI792" i="9"/>
  <c r="AI796" i="9"/>
  <c r="AI800" i="9"/>
  <c r="AI804" i="9"/>
  <c r="AI808" i="9"/>
  <c r="AI812" i="9"/>
  <c r="AI816" i="9"/>
  <c r="AI820" i="9"/>
  <c r="AI824" i="9"/>
  <c r="AI828" i="9"/>
  <c r="AI832" i="9"/>
  <c r="AI836" i="9"/>
  <c r="AI840" i="9"/>
  <c r="AI844" i="9"/>
  <c r="AI848" i="9"/>
  <c r="AI852" i="9"/>
  <c r="AI856" i="9"/>
  <c r="AI860" i="9"/>
  <c r="AI864" i="9"/>
  <c r="AI868" i="9"/>
  <c r="AI872" i="9"/>
  <c r="AI876" i="9"/>
  <c r="AI880" i="9"/>
  <c r="AI884" i="9"/>
  <c r="AI888" i="9"/>
  <c r="AI892" i="9"/>
  <c r="AI896" i="9"/>
  <c r="AI900" i="9"/>
  <c r="AI904" i="9"/>
  <c r="AI908" i="9"/>
  <c r="AI912" i="9"/>
  <c r="AI916" i="9"/>
  <c r="AI920" i="9"/>
  <c r="AI924" i="9"/>
  <c r="AI928" i="9"/>
  <c r="AI932" i="9"/>
  <c r="AI936" i="9"/>
  <c r="AI940" i="9"/>
  <c r="AI944" i="9"/>
  <c r="AI948" i="9"/>
  <c r="AI952" i="9"/>
  <c r="AI956" i="9"/>
  <c r="AI960" i="9"/>
  <c r="AI964" i="9"/>
  <c r="AI968" i="9"/>
  <c r="AI972" i="9"/>
  <c r="AI976" i="9"/>
  <c r="AI980" i="9"/>
  <c r="AI984" i="9"/>
  <c r="AI988" i="9"/>
  <c r="AI992" i="9"/>
  <c r="AI996" i="9"/>
  <c r="AI1000" i="9"/>
  <c r="AI1004" i="9"/>
  <c r="AI1008" i="9"/>
  <c r="AI16" i="9"/>
  <c r="AI24" i="9"/>
  <c r="AI29" i="9"/>
  <c r="AI34" i="9"/>
  <c r="AI40" i="9"/>
  <c r="AI45" i="9"/>
  <c r="AI50" i="9"/>
  <c r="AI56" i="9"/>
  <c r="AI61" i="9"/>
  <c r="AI66" i="9"/>
  <c r="AI72" i="9"/>
  <c r="AI77" i="9"/>
  <c r="AI82" i="9"/>
  <c r="AI88" i="9"/>
  <c r="AI93" i="9"/>
  <c r="AI98" i="9"/>
  <c r="AI104" i="9"/>
  <c r="AI109" i="9"/>
  <c r="AI114" i="9"/>
  <c r="AI120" i="9"/>
  <c r="AI125" i="9"/>
  <c r="AI130" i="9"/>
  <c r="AI136" i="9"/>
  <c r="AI141" i="9"/>
  <c r="AI146" i="9"/>
  <c r="AI152" i="9"/>
  <c r="AI157" i="9"/>
  <c r="AI162" i="9"/>
  <c r="AI168" i="9"/>
  <c r="AI173" i="9"/>
  <c r="AI178" i="9"/>
  <c r="AI184" i="9"/>
  <c r="AI189" i="9"/>
  <c r="AI194" i="9"/>
  <c r="AI200" i="9"/>
  <c r="AI205" i="9"/>
  <c r="AI210" i="9"/>
  <c r="AI216" i="9"/>
  <c r="AI221" i="9"/>
  <c r="AI226" i="9"/>
  <c r="AI232" i="9"/>
  <c r="AI237" i="9"/>
  <c r="AI242" i="9"/>
  <c r="AI248" i="9"/>
  <c r="AI253" i="9"/>
  <c r="AI258" i="9"/>
  <c r="AI264" i="9"/>
  <c r="AI269" i="9"/>
  <c r="AI274" i="9"/>
  <c r="AI280" i="9"/>
  <c r="AI285" i="9"/>
  <c r="AI289" i="9"/>
  <c r="AI293" i="9"/>
  <c r="AI297" i="9"/>
  <c r="AI301" i="9"/>
  <c r="AI305" i="9"/>
  <c r="AI309" i="9"/>
  <c r="AI313" i="9"/>
  <c r="AI317" i="9"/>
  <c r="AI321" i="9"/>
  <c r="AI325" i="9"/>
  <c r="AI329" i="9"/>
  <c r="AI333" i="9"/>
  <c r="AI337" i="9"/>
  <c r="AI341" i="9"/>
  <c r="AI345" i="9"/>
  <c r="AI349" i="9"/>
  <c r="AI353" i="9"/>
  <c r="AI357" i="9"/>
  <c r="AI361" i="9"/>
  <c r="AI365" i="9"/>
  <c r="AI369" i="9"/>
  <c r="AI373" i="9"/>
  <c r="AI377" i="9"/>
  <c r="AI381" i="9"/>
  <c r="AI385" i="9"/>
  <c r="AI389" i="9"/>
  <c r="AI393" i="9"/>
  <c r="AI397" i="9"/>
  <c r="AI401" i="9"/>
  <c r="AI405" i="9"/>
  <c r="AI409" i="9"/>
  <c r="AI413" i="9"/>
  <c r="AI417" i="9"/>
  <c r="AI421" i="9"/>
  <c r="AI425" i="9"/>
  <c r="AI429" i="9"/>
  <c r="AI433" i="9"/>
  <c r="AI437" i="9"/>
  <c r="AI441" i="9"/>
  <c r="AI445" i="9"/>
  <c r="AI449" i="9"/>
  <c r="AI453" i="9"/>
  <c r="AI457" i="9"/>
  <c r="AI461" i="9"/>
  <c r="AI465" i="9"/>
  <c r="AI469" i="9"/>
  <c r="AI473" i="9"/>
  <c r="AI477" i="9"/>
  <c r="AI481" i="9"/>
  <c r="AI485" i="9"/>
  <c r="AI489" i="9"/>
  <c r="AI493" i="9"/>
  <c r="AI497" i="9"/>
  <c r="AI501" i="9"/>
  <c r="AI505" i="9"/>
  <c r="AI509" i="9"/>
  <c r="AI513" i="9"/>
  <c r="AI517" i="9"/>
  <c r="AI521" i="9"/>
  <c r="AI525" i="9"/>
  <c r="AI529" i="9"/>
  <c r="AI533" i="9"/>
  <c r="AI537" i="9"/>
  <c r="AI541" i="9"/>
  <c r="AI545" i="9"/>
  <c r="AI549" i="9"/>
  <c r="AI553" i="9"/>
  <c r="AI557" i="9"/>
  <c r="AI561" i="9"/>
  <c r="AI565" i="9"/>
  <c r="AI569" i="9"/>
  <c r="AI573" i="9"/>
  <c r="AI577" i="9"/>
  <c r="AI581" i="9"/>
  <c r="AI585" i="9"/>
  <c r="AI589" i="9"/>
  <c r="AI593" i="9"/>
  <c r="AI597" i="9"/>
  <c r="AI601" i="9"/>
  <c r="AI605" i="9"/>
  <c r="AI609" i="9"/>
  <c r="AI613" i="9"/>
  <c r="AI617" i="9"/>
  <c r="AI621" i="9"/>
  <c r="AI625" i="9"/>
  <c r="AI629" i="9"/>
  <c r="AI633" i="9"/>
  <c r="AI637" i="9"/>
  <c r="AI641" i="9"/>
  <c r="AI645" i="9"/>
  <c r="AI649" i="9"/>
  <c r="AI653" i="9"/>
  <c r="AI657" i="9"/>
  <c r="AI661" i="9"/>
  <c r="AI665" i="9"/>
  <c r="AI669" i="9"/>
  <c r="AI673" i="9"/>
  <c r="AI677" i="9"/>
  <c r="AI681" i="9"/>
  <c r="AI685" i="9"/>
  <c r="AI689" i="9"/>
  <c r="AI693" i="9"/>
  <c r="AI697" i="9"/>
  <c r="AI701" i="9"/>
  <c r="AI705" i="9"/>
  <c r="AI709" i="9"/>
  <c r="AI713" i="9"/>
  <c r="AI717" i="9"/>
  <c r="AI721" i="9"/>
  <c r="AI725" i="9"/>
  <c r="AI729" i="9"/>
  <c r="AI733" i="9"/>
  <c r="AI737" i="9"/>
  <c r="AI741" i="9"/>
  <c r="AI745" i="9"/>
  <c r="AI749" i="9"/>
  <c r="AI753" i="9"/>
  <c r="AI757" i="9"/>
  <c r="AI761" i="9"/>
  <c r="AI765" i="9"/>
  <c r="AI769" i="9"/>
  <c r="AI773" i="9"/>
  <c r="AI777" i="9"/>
  <c r="AI781" i="9"/>
  <c r="AI785" i="9"/>
  <c r="AI789" i="9"/>
  <c r="AI793" i="9"/>
  <c r="AI797" i="9"/>
  <c r="AI801" i="9"/>
  <c r="AI805" i="9"/>
  <c r="AI809" i="9"/>
  <c r="AI813" i="9"/>
  <c r="AI817" i="9"/>
  <c r="AI821" i="9"/>
  <c r="AI825" i="9"/>
  <c r="AI829" i="9"/>
  <c r="AI833" i="9"/>
  <c r="AI837" i="9"/>
  <c r="AI841" i="9"/>
  <c r="AI845" i="9"/>
  <c r="AI849" i="9"/>
  <c r="AI853" i="9"/>
  <c r="AI857" i="9"/>
  <c r="AI861" i="9"/>
  <c r="AI865" i="9"/>
  <c r="AI869" i="9"/>
  <c r="AI873" i="9"/>
  <c r="AI877" i="9"/>
  <c r="AI881" i="9"/>
  <c r="AI885" i="9"/>
  <c r="AI889" i="9"/>
  <c r="AI893" i="9"/>
  <c r="AI897" i="9"/>
  <c r="AI901" i="9"/>
  <c r="AI905" i="9"/>
  <c r="AI909" i="9"/>
  <c r="AI913" i="9"/>
  <c r="AI917" i="9"/>
  <c r="AI32" i="9"/>
  <c r="AI53" i="9"/>
  <c r="AI74" i="9"/>
  <c r="AI96" i="9"/>
  <c r="AI117" i="9"/>
  <c r="AI138" i="9"/>
  <c r="AI160" i="9"/>
  <c r="AI181" i="9"/>
  <c r="AI202" i="9"/>
  <c r="AI224" i="9"/>
  <c r="AI245" i="9"/>
  <c r="AI266" i="9"/>
  <c r="AI287" i="9"/>
  <c r="AI303" i="9"/>
  <c r="AI319" i="9"/>
  <c r="AI335" i="9"/>
  <c r="AI351" i="9"/>
  <c r="AI367" i="9"/>
  <c r="AI383" i="9"/>
  <c r="AI399" i="9"/>
  <c r="AI415" i="9"/>
  <c r="AI431" i="9"/>
  <c r="AI447" i="9"/>
  <c r="AI463" i="9"/>
  <c r="AI479" i="9"/>
  <c r="AI495" i="9"/>
  <c r="AI511" i="9"/>
  <c r="AI527" i="9"/>
  <c r="AI543" i="9"/>
  <c r="AI559" i="9"/>
  <c r="AI575" i="9"/>
  <c r="AI591" i="9"/>
  <c r="AI607" i="9"/>
  <c r="AI623" i="9"/>
  <c r="AI639" i="9"/>
  <c r="AI655" i="9"/>
  <c r="AI671" i="9"/>
  <c r="AI687" i="9"/>
  <c r="AI703" i="9"/>
  <c r="AI719" i="9"/>
  <c r="AI735" i="9"/>
  <c r="AI751" i="9"/>
  <c r="AI767" i="9"/>
  <c r="AI783" i="9"/>
  <c r="AI799" i="9"/>
  <c r="AI815" i="9"/>
  <c r="AI831" i="9"/>
  <c r="AI847" i="9"/>
  <c r="AI863" i="9"/>
  <c r="AI879" i="9"/>
  <c r="AI895" i="9"/>
  <c r="AI911" i="9"/>
  <c r="AI923" i="9"/>
  <c r="AI931" i="9"/>
  <c r="AI939" i="9"/>
  <c r="AI947" i="9"/>
  <c r="AI955" i="9"/>
  <c r="AI963" i="9"/>
  <c r="AI971" i="9"/>
  <c r="AI979" i="9"/>
  <c r="AI987" i="9"/>
  <c r="AI995" i="9"/>
  <c r="AI1003" i="9"/>
  <c r="AI20" i="9"/>
  <c r="AI42" i="9"/>
  <c r="AI64" i="9"/>
  <c r="AI85" i="9"/>
  <c r="AI106" i="9"/>
  <c r="AI128" i="9"/>
  <c r="AI149" i="9"/>
  <c r="AI170" i="9"/>
  <c r="AI192" i="9"/>
  <c r="AI213" i="9"/>
  <c r="AI234" i="9"/>
  <c r="AI256" i="9"/>
  <c r="AI277" i="9"/>
  <c r="AI295" i="9"/>
  <c r="AI311" i="9"/>
  <c r="AI327" i="9"/>
  <c r="AI343" i="9"/>
  <c r="AI359" i="9"/>
  <c r="AI375" i="9"/>
  <c r="AI391" i="9"/>
  <c r="AI407" i="9"/>
  <c r="AI423" i="9"/>
  <c r="AI439" i="9"/>
  <c r="AI455" i="9"/>
  <c r="AI471" i="9"/>
  <c r="AI487" i="9"/>
  <c r="AI503" i="9"/>
  <c r="AI519" i="9"/>
  <c r="AI535" i="9"/>
  <c r="AI551" i="9"/>
  <c r="AI567" i="9"/>
  <c r="AI583" i="9"/>
  <c r="AI599" i="9"/>
  <c r="AI615" i="9"/>
  <c r="AI631" i="9"/>
  <c r="AI647" i="9"/>
  <c r="AI663" i="9"/>
  <c r="AI679" i="9"/>
  <c r="AI695" i="9"/>
  <c r="AI711" i="9"/>
  <c r="AI727" i="9"/>
  <c r="AI743" i="9"/>
  <c r="AI759" i="9"/>
  <c r="AI775" i="9"/>
  <c r="AI791" i="9"/>
  <c r="AI807" i="9"/>
  <c r="AI823" i="9"/>
  <c r="AI839" i="9"/>
  <c r="AI855" i="9"/>
  <c r="AI871" i="9"/>
  <c r="AI887" i="9"/>
  <c r="AI903" i="9"/>
  <c r="AI919" i="9"/>
  <c r="AI927" i="9"/>
  <c r="AI935" i="9"/>
  <c r="AI943" i="9"/>
  <c r="AI951" i="9"/>
  <c r="AI959" i="9"/>
  <c r="AI967" i="9"/>
  <c r="AI975" i="9"/>
  <c r="AI983" i="9"/>
  <c r="AI991" i="9"/>
  <c r="AI999" i="9"/>
  <c r="AI1007" i="9"/>
  <c r="AI26" i="9"/>
  <c r="AI48" i="9"/>
  <c r="AI69" i="9"/>
  <c r="AI90" i="9"/>
  <c r="AI112" i="9"/>
  <c r="AI133" i="9"/>
  <c r="AI154" i="9"/>
  <c r="AI176" i="9"/>
  <c r="AI197" i="9"/>
  <c r="AI218" i="9"/>
  <c r="AI240" i="9"/>
  <c r="AI261" i="9"/>
  <c r="AI282" i="9"/>
  <c r="AI299" i="9"/>
  <c r="AI315" i="9"/>
  <c r="AI331" i="9"/>
  <c r="AI347" i="9"/>
  <c r="AI363" i="9"/>
  <c r="AI379" i="9"/>
  <c r="AI395" i="9"/>
  <c r="AI411" i="9"/>
  <c r="AI427" i="9"/>
  <c r="AI443" i="9"/>
  <c r="AI459" i="9"/>
  <c r="AI475" i="9"/>
  <c r="AI491" i="9"/>
  <c r="AI507" i="9"/>
  <c r="AI523" i="9"/>
  <c r="AI539" i="9"/>
  <c r="AI555" i="9"/>
  <c r="AI571" i="9"/>
  <c r="AI587" i="9"/>
  <c r="AI603" i="9"/>
  <c r="AI619" i="9"/>
  <c r="AI635" i="9"/>
  <c r="AI651" i="9"/>
  <c r="AI667" i="9"/>
  <c r="AI683" i="9"/>
  <c r="AI699" i="9"/>
  <c r="AI715" i="9"/>
  <c r="AI731" i="9"/>
  <c r="AI747" i="9"/>
  <c r="AI763" i="9"/>
  <c r="AI779" i="9"/>
  <c r="AI795" i="9"/>
  <c r="AI811" i="9"/>
  <c r="AI827" i="9"/>
  <c r="AI843" i="9"/>
  <c r="AI859" i="9"/>
  <c r="AI875" i="9"/>
  <c r="AI891" i="9"/>
  <c r="AI907" i="9"/>
  <c r="AI921" i="9"/>
  <c r="AI929" i="9"/>
  <c r="AI937" i="9"/>
  <c r="AI945" i="9"/>
  <c r="AI953" i="9"/>
  <c r="AI961" i="9"/>
  <c r="AI969" i="9"/>
  <c r="AI977" i="9"/>
  <c r="AI985" i="9"/>
  <c r="AI993" i="9"/>
  <c r="AI1001" i="9"/>
  <c r="AI1009" i="9"/>
  <c r="AI13" i="9"/>
  <c r="AI101" i="9"/>
  <c r="AI186" i="9"/>
  <c r="AI272" i="9"/>
  <c r="AI339" i="9"/>
  <c r="AI403" i="9"/>
  <c r="AI467" i="9"/>
  <c r="AI531" i="9"/>
  <c r="AI595" i="9"/>
  <c r="AI659" i="9"/>
  <c r="AI723" i="9"/>
  <c r="AI787" i="9"/>
  <c r="AI851" i="9"/>
  <c r="AI915" i="9"/>
  <c r="AI949" i="9"/>
  <c r="AI981" i="9"/>
  <c r="AI37" i="9"/>
  <c r="AI122" i="9"/>
  <c r="AI208" i="9"/>
  <c r="AI291" i="9"/>
  <c r="AI355" i="9"/>
  <c r="AI419" i="9"/>
  <c r="AI483" i="9"/>
  <c r="AI547" i="9"/>
  <c r="AI611" i="9"/>
  <c r="AI675" i="9"/>
  <c r="AI739" i="9"/>
  <c r="AI803" i="9"/>
  <c r="AI867" i="9"/>
  <c r="AI925" i="9"/>
  <c r="AI957" i="9"/>
  <c r="AI989" i="9"/>
  <c r="AI58" i="9"/>
  <c r="AI144" i="9"/>
  <c r="AI229" i="9"/>
  <c r="AI307" i="9"/>
  <c r="AI371" i="9"/>
  <c r="AI435" i="9"/>
  <c r="AI499" i="9"/>
  <c r="AI563" i="9"/>
  <c r="AI627" i="9"/>
  <c r="AI691" i="9"/>
  <c r="AI755" i="9"/>
  <c r="AI819" i="9"/>
  <c r="AI883" i="9"/>
  <c r="AI933" i="9"/>
  <c r="AI965" i="9"/>
  <c r="AI997" i="9"/>
  <c r="AI80" i="9"/>
  <c r="AI165" i="9"/>
  <c r="AI250" i="9"/>
  <c r="AI323" i="9"/>
  <c r="AI387" i="9"/>
  <c r="AI451" i="9"/>
  <c r="AI515" i="9"/>
  <c r="AI579" i="9"/>
  <c r="AI643" i="9"/>
  <c r="AI707" i="9"/>
  <c r="AI771" i="9"/>
  <c r="AI835" i="9"/>
  <c r="AI899" i="9"/>
  <c r="AI941" i="9"/>
  <c r="AI973" i="9"/>
  <c r="AI1005" i="9"/>
  <c r="J945" i="5"/>
  <c r="K945" i="5" s="1"/>
  <c r="L945" i="5" s="1"/>
  <c r="J977" i="5"/>
  <c r="J918" i="5"/>
  <c r="J902" i="5"/>
  <c r="J886" i="5"/>
  <c r="J870" i="5"/>
  <c r="J854" i="5"/>
  <c r="J846" i="5"/>
  <c r="J838" i="5"/>
  <c r="J830" i="5"/>
  <c r="J822" i="5"/>
  <c r="J814" i="5"/>
  <c r="J806" i="5"/>
  <c r="J798" i="5"/>
  <c r="J790" i="5"/>
  <c r="J774" i="5"/>
  <c r="J758" i="5"/>
  <c r="J742" i="5"/>
  <c r="J726" i="5"/>
  <c r="J718" i="5"/>
  <c r="J702" i="5"/>
  <c r="J686" i="5"/>
  <c r="J670" i="5"/>
  <c r="J662" i="5"/>
  <c r="J654" i="5"/>
  <c r="K654" i="5" s="1"/>
  <c r="L654" i="5" s="1"/>
  <c r="J646" i="5"/>
  <c r="J638" i="5"/>
  <c r="J630" i="5"/>
  <c r="J622" i="5"/>
  <c r="K622" i="5" s="1"/>
  <c r="L622" i="5" s="1"/>
  <c r="J614" i="5"/>
  <c r="J606" i="5"/>
  <c r="J598" i="5"/>
  <c r="J590" i="5"/>
  <c r="K590" i="5" s="1"/>
  <c r="L590" i="5" s="1"/>
  <c r="J582" i="5"/>
  <c r="J574" i="5"/>
  <c r="J566" i="5"/>
  <c r="J558" i="5"/>
  <c r="K558" i="5" s="1"/>
  <c r="L558" i="5" s="1"/>
  <c r="J550" i="5"/>
  <c r="J542" i="5"/>
  <c r="J534" i="5"/>
  <c r="J526" i="5"/>
  <c r="K526" i="5" s="1"/>
  <c r="L526" i="5" s="1"/>
  <c r="J518" i="5"/>
  <c r="J510" i="5"/>
  <c r="J494" i="5"/>
  <c r="J478" i="5"/>
  <c r="K478" i="5" s="1"/>
  <c r="L478" i="5" s="1"/>
  <c r="J462" i="5"/>
  <c r="J446" i="5"/>
  <c r="J430" i="5"/>
  <c r="K430" i="5" s="1"/>
  <c r="L430" i="5" s="1"/>
  <c r="J422" i="5"/>
  <c r="K422" i="5" s="1"/>
  <c r="L422" i="5" s="1"/>
  <c r="J414" i="5"/>
  <c r="J406" i="5"/>
  <c r="J398" i="5"/>
  <c r="K398" i="5" s="1"/>
  <c r="L398" i="5" s="1"/>
  <c r="J390" i="5"/>
  <c r="K390" i="5" s="1"/>
  <c r="L390" i="5" s="1"/>
  <c r="J382" i="5"/>
  <c r="J374" i="5"/>
  <c r="J366" i="5"/>
  <c r="K366" i="5" s="1"/>
  <c r="L366" i="5" s="1"/>
  <c r="J358" i="5"/>
  <c r="K358" i="5" s="1"/>
  <c r="L358" i="5" s="1"/>
  <c r="J350" i="5"/>
  <c r="J342" i="5"/>
  <c r="J334" i="5"/>
  <c r="K334" i="5" s="1"/>
  <c r="L334" i="5" s="1"/>
  <c r="J326" i="5"/>
  <c r="K326" i="5" s="1"/>
  <c r="L326" i="5" s="1"/>
  <c r="J318" i="5"/>
  <c r="J310" i="5"/>
  <c r="J302" i="5"/>
  <c r="K302" i="5" s="1"/>
  <c r="L302" i="5" s="1"/>
  <c r="J294" i="5"/>
  <c r="K294" i="5" s="1"/>
  <c r="L294" i="5" s="1"/>
  <c r="J286" i="5"/>
  <c r="J278" i="5"/>
  <c r="J270" i="5"/>
  <c r="K270" i="5" s="1"/>
  <c r="L270" i="5" s="1"/>
  <c r="J262" i="5"/>
  <c r="K262" i="5" s="1"/>
  <c r="L262" i="5" s="1"/>
  <c r="J254" i="5"/>
  <c r="J246" i="5"/>
  <c r="J238" i="5"/>
  <c r="K238" i="5" s="1"/>
  <c r="L238" i="5" s="1"/>
  <c r="J230" i="5"/>
  <c r="K230" i="5" s="1"/>
  <c r="L230" i="5" s="1"/>
  <c r="J222" i="5"/>
  <c r="J214" i="5"/>
  <c r="J206" i="5"/>
  <c r="K206" i="5" s="1"/>
  <c r="L206" i="5" s="1"/>
  <c r="J198" i="5"/>
  <c r="K198" i="5" s="1"/>
  <c r="L198" i="5" s="1"/>
  <c r="J190" i="5"/>
  <c r="J182" i="5"/>
  <c r="J174" i="5"/>
  <c r="K174" i="5" s="1"/>
  <c r="L174" i="5" s="1"/>
  <c r="J166" i="5"/>
  <c r="K166" i="5" s="1"/>
  <c r="L166" i="5" s="1"/>
  <c r="J158" i="5"/>
  <c r="J150" i="5"/>
  <c r="J142" i="5"/>
  <c r="K142" i="5" s="1"/>
  <c r="L142" i="5" s="1"/>
  <c r="J134" i="5"/>
  <c r="K134" i="5" s="1"/>
  <c r="L134" i="5" s="1"/>
  <c r="J126" i="5"/>
  <c r="J118" i="5"/>
  <c r="J110" i="5"/>
  <c r="K110" i="5" s="1"/>
  <c r="L110" i="5" s="1"/>
  <c r="J102" i="5"/>
  <c r="K102" i="5" s="1"/>
  <c r="L102" i="5" s="1"/>
  <c r="J94" i="5"/>
  <c r="J86" i="5"/>
  <c r="J62" i="5"/>
  <c r="K62" i="5" s="1"/>
  <c r="L62" i="5" s="1"/>
  <c r="J970" i="5"/>
  <c r="K970" i="5" s="1"/>
  <c r="L970" i="5" s="1"/>
  <c r="J882" i="5"/>
  <c r="J1002" i="5"/>
  <c r="K1002" i="5" s="1"/>
  <c r="L1002" i="5" s="1"/>
  <c r="J954" i="5"/>
  <c r="J866" i="5"/>
  <c r="H957" i="5"/>
  <c r="I957" i="5" s="1"/>
  <c r="J957" i="5"/>
  <c r="H953" i="5"/>
  <c r="I953" i="5" s="1"/>
  <c r="K953" i="5" s="1"/>
  <c r="L953" i="5" s="1"/>
  <c r="J953" i="5"/>
  <c r="H949" i="5"/>
  <c r="I949" i="5" s="1"/>
  <c r="J949" i="5"/>
  <c r="K949" i="5" s="1"/>
  <c r="L949" i="5" s="1"/>
  <c r="H941" i="5"/>
  <c r="I941" i="5" s="1"/>
  <c r="K941" i="5" s="1"/>
  <c r="L941" i="5" s="1"/>
  <c r="J941" i="5"/>
  <c r="H925" i="5"/>
  <c r="I925" i="5" s="1"/>
  <c r="J925" i="5"/>
  <c r="K925" i="5" s="1"/>
  <c r="L925" i="5" s="1"/>
  <c r="H913" i="5"/>
  <c r="I913" i="5" s="1"/>
  <c r="K913" i="5" s="1"/>
  <c r="L913" i="5" s="1"/>
  <c r="J913" i="5"/>
  <c r="H909" i="5"/>
  <c r="I909" i="5" s="1"/>
  <c r="J909" i="5"/>
  <c r="K909" i="5" s="1"/>
  <c r="L909" i="5" s="1"/>
  <c r="H897" i="5"/>
  <c r="I897" i="5" s="1"/>
  <c r="K897" i="5" s="1"/>
  <c r="L897" i="5" s="1"/>
  <c r="J897" i="5"/>
  <c r="H881" i="5"/>
  <c r="I881" i="5" s="1"/>
  <c r="J881" i="5"/>
  <c r="H877" i="5"/>
  <c r="I877" i="5" s="1"/>
  <c r="K877" i="5" s="1"/>
  <c r="L877" i="5" s="1"/>
  <c r="J877" i="5"/>
  <c r="H865" i="5"/>
  <c r="I865" i="5" s="1"/>
  <c r="J865" i="5"/>
  <c r="K865" i="5" s="1"/>
  <c r="L865" i="5" s="1"/>
  <c r="J1000" i="5"/>
  <c r="J996" i="5"/>
  <c r="H996" i="5"/>
  <c r="I996" i="5" s="1"/>
  <c r="J992" i="5"/>
  <c r="H992" i="5"/>
  <c r="I992" i="5" s="1"/>
  <c r="K992" i="5" s="1"/>
  <c r="L992" i="5" s="1"/>
  <c r="J988" i="5"/>
  <c r="J984" i="5"/>
  <c r="J980" i="5"/>
  <c r="H980" i="5"/>
  <c r="I980" i="5" s="1"/>
  <c r="K980" i="5" s="1"/>
  <c r="L980" i="5" s="1"/>
  <c r="J976" i="5"/>
  <c r="H976" i="5"/>
  <c r="I976" i="5" s="1"/>
  <c r="K976" i="5" s="1"/>
  <c r="L976" i="5" s="1"/>
  <c r="J972" i="5"/>
  <c r="J968" i="5"/>
  <c r="J964" i="5"/>
  <c r="H964" i="5"/>
  <c r="I964" i="5" s="1"/>
  <c r="J960" i="5"/>
  <c r="J956" i="5"/>
  <c r="J952" i="5"/>
  <c r="J948" i="5"/>
  <c r="H948" i="5"/>
  <c r="I948" i="5" s="1"/>
  <c r="J944" i="5"/>
  <c r="K944" i="5" s="1"/>
  <c r="L944" i="5" s="1"/>
  <c r="H944" i="5"/>
  <c r="I944" i="5" s="1"/>
  <c r="J940" i="5"/>
  <c r="J936" i="5"/>
  <c r="J932" i="5"/>
  <c r="K932" i="5" s="1"/>
  <c r="L932" i="5" s="1"/>
  <c r="H932" i="5"/>
  <c r="I932" i="5" s="1"/>
  <c r="J928" i="5"/>
  <c r="K928" i="5" s="1"/>
  <c r="L928" i="5" s="1"/>
  <c r="H928" i="5"/>
  <c r="I928" i="5" s="1"/>
  <c r="J924" i="5"/>
  <c r="J916" i="5"/>
  <c r="H916" i="5"/>
  <c r="I916" i="5" s="1"/>
  <c r="J912" i="5"/>
  <c r="H912" i="5"/>
  <c r="I912" i="5" s="1"/>
  <c r="K912" i="5" s="1"/>
  <c r="L912" i="5" s="1"/>
  <c r="J908" i="5"/>
  <c r="J900" i="5"/>
  <c r="H900" i="5"/>
  <c r="I900" i="5" s="1"/>
  <c r="K900" i="5" s="1"/>
  <c r="L900" i="5" s="1"/>
  <c r="J896" i="5"/>
  <c r="K896" i="5" s="1"/>
  <c r="L896" i="5" s="1"/>
  <c r="J892" i="5"/>
  <c r="J884" i="5"/>
  <c r="H884" i="5"/>
  <c r="I884" i="5" s="1"/>
  <c r="K884" i="5" s="1"/>
  <c r="L884" i="5" s="1"/>
  <c r="J880" i="5"/>
  <c r="K880" i="5" s="1"/>
  <c r="L880" i="5" s="1"/>
  <c r="H880" i="5"/>
  <c r="I880" i="5" s="1"/>
  <c r="J876" i="5"/>
  <c r="J868" i="5"/>
  <c r="H868" i="5"/>
  <c r="I868" i="5" s="1"/>
  <c r="J864" i="5"/>
  <c r="H864" i="5"/>
  <c r="I864" i="5" s="1"/>
  <c r="J860" i="5"/>
  <c r="J852" i="5"/>
  <c r="K852" i="5" s="1"/>
  <c r="L852" i="5" s="1"/>
  <c r="H852" i="5"/>
  <c r="I852" i="5" s="1"/>
  <c r="J844" i="5"/>
  <c r="J836" i="5"/>
  <c r="H836" i="5"/>
  <c r="I836" i="5" s="1"/>
  <c r="K836" i="5" s="1"/>
  <c r="L836" i="5" s="1"/>
  <c r="J828" i="5"/>
  <c r="J820" i="5"/>
  <c r="H820" i="5"/>
  <c r="I820" i="5" s="1"/>
  <c r="K820" i="5" s="1"/>
  <c r="L820" i="5" s="1"/>
  <c r="J812" i="5"/>
  <c r="K812" i="5" s="1"/>
  <c r="L812" i="5" s="1"/>
  <c r="J804" i="5"/>
  <c r="H804" i="5"/>
  <c r="I804" i="5" s="1"/>
  <c r="H960" i="5"/>
  <c r="I960" i="5" s="1"/>
  <c r="J993" i="5"/>
  <c r="K993" i="5" s="1"/>
  <c r="L993" i="5" s="1"/>
  <c r="J961" i="5"/>
  <c r="J929" i="5"/>
  <c r="H1001" i="5"/>
  <c r="I1001" i="5" s="1"/>
  <c r="J1001" i="5"/>
  <c r="K1001" i="5" s="1"/>
  <c r="L1001" i="5" s="1"/>
  <c r="H997" i="5"/>
  <c r="I997" i="5" s="1"/>
  <c r="J997" i="5"/>
  <c r="H989" i="5"/>
  <c r="I989" i="5" s="1"/>
  <c r="J989" i="5"/>
  <c r="K989" i="5" s="1"/>
  <c r="L989" i="5" s="1"/>
  <c r="H985" i="5"/>
  <c r="I985" i="5" s="1"/>
  <c r="J985" i="5"/>
  <c r="H981" i="5"/>
  <c r="I981" i="5" s="1"/>
  <c r="J981" i="5"/>
  <c r="K981" i="5" s="1"/>
  <c r="L981" i="5" s="1"/>
  <c r="H973" i="5"/>
  <c r="I973" i="5" s="1"/>
  <c r="J973" i="5"/>
  <c r="K973" i="5" s="1"/>
  <c r="L973" i="5" s="1"/>
  <c r="H969" i="5"/>
  <c r="I969" i="5" s="1"/>
  <c r="J969" i="5"/>
  <c r="K969" i="5" s="1"/>
  <c r="L969" i="5" s="1"/>
  <c r="H965" i="5"/>
  <c r="I965" i="5" s="1"/>
  <c r="J965" i="5"/>
  <c r="H937" i="5"/>
  <c r="I937" i="5" s="1"/>
  <c r="J937" i="5"/>
  <c r="K937" i="5" s="1"/>
  <c r="L937" i="5" s="1"/>
  <c r="H933" i="5"/>
  <c r="I933" i="5" s="1"/>
  <c r="J933" i="5"/>
  <c r="H893" i="5"/>
  <c r="I893" i="5" s="1"/>
  <c r="J893" i="5"/>
  <c r="K893" i="5" s="1"/>
  <c r="L893" i="5" s="1"/>
  <c r="H861" i="5"/>
  <c r="I861" i="5" s="1"/>
  <c r="J861" i="5"/>
  <c r="K861" i="5" s="1"/>
  <c r="L861" i="5" s="1"/>
  <c r="J796" i="5"/>
  <c r="J788" i="5"/>
  <c r="K788" i="5" s="1"/>
  <c r="L788" i="5" s="1"/>
  <c r="H788" i="5"/>
  <c r="I788" i="5" s="1"/>
  <c r="J780" i="5"/>
  <c r="J772" i="5"/>
  <c r="J756" i="5"/>
  <c r="K756" i="5" s="1"/>
  <c r="L756" i="5" s="1"/>
  <c r="H756" i="5"/>
  <c r="I756" i="5" s="1"/>
  <c r="J748" i="5"/>
  <c r="J740" i="5"/>
  <c r="J732" i="5"/>
  <c r="J724" i="5"/>
  <c r="H724" i="5"/>
  <c r="I724" i="5" s="1"/>
  <c r="J716" i="5"/>
  <c r="J708" i="5"/>
  <c r="J700" i="5"/>
  <c r="J692" i="5"/>
  <c r="H692" i="5"/>
  <c r="I692" i="5" s="1"/>
  <c r="K692" i="5" s="1"/>
  <c r="L692" i="5" s="1"/>
  <c r="J684" i="5"/>
  <c r="K684" i="5" s="1"/>
  <c r="L684" i="5" s="1"/>
  <c r="J676" i="5"/>
  <c r="J668" i="5"/>
  <c r="J660" i="5"/>
  <c r="H660" i="5"/>
  <c r="I660" i="5" s="1"/>
  <c r="J652" i="5"/>
  <c r="J644" i="5"/>
  <c r="J636" i="5"/>
  <c r="J628" i="5"/>
  <c r="K628" i="5" s="1"/>
  <c r="L628" i="5" s="1"/>
  <c r="H628" i="5"/>
  <c r="I628" i="5" s="1"/>
  <c r="J620" i="5"/>
  <c r="J612" i="5"/>
  <c r="K612" i="5" s="1"/>
  <c r="L612" i="5" s="1"/>
  <c r="J604" i="5"/>
  <c r="J596" i="5"/>
  <c r="H596" i="5"/>
  <c r="I596" i="5" s="1"/>
  <c r="J588" i="5"/>
  <c r="H740" i="5"/>
  <c r="I740" i="5" s="1"/>
  <c r="K740" i="5" s="1"/>
  <c r="L740" i="5" s="1"/>
  <c r="H676" i="5"/>
  <c r="I676" i="5" s="1"/>
  <c r="H612" i="5"/>
  <c r="I612" i="5" s="1"/>
  <c r="J999" i="5"/>
  <c r="J991" i="5"/>
  <c r="J983" i="5"/>
  <c r="J975" i="5"/>
  <c r="J967" i="5"/>
  <c r="J959" i="5"/>
  <c r="J951" i="5"/>
  <c r="J939" i="5"/>
  <c r="J931" i="5"/>
  <c r="J915" i="5"/>
  <c r="J907" i="5"/>
  <c r="J899" i="5"/>
  <c r="J891" i="5"/>
  <c r="J867" i="5"/>
  <c r="J863" i="5"/>
  <c r="J787" i="5"/>
  <c r="J779" i="5"/>
  <c r="K779" i="5" s="1"/>
  <c r="L779" i="5" s="1"/>
  <c r="J731" i="5"/>
  <c r="J723" i="5"/>
  <c r="J715" i="5"/>
  <c r="J707" i="5"/>
  <c r="J699" i="5"/>
  <c r="J691" i="5"/>
  <c r="J683" i="5"/>
  <c r="J507" i="5"/>
  <c r="K507" i="5" s="1"/>
  <c r="L507" i="5" s="1"/>
  <c r="J499" i="5"/>
  <c r="J491" i="5"/>
  <c r="J483" i="5"/>
  <c r="J475" i="5"/>
  <c r="J467" i="5"/>
  <c r="J459" i="5"/>
  <c r="J451" i="5"/>
  <c r="J443" i="5"/>
  <c r="K443" i="5" s="1"/>
  <c r="L443" i="5" s="1"/>
  <c r="J75" i="5"/>
  <c r="J67" i="5"/>
  <c r="J59" i="5"/>
  <c r="J51" i="5"/>
  <c r="J43" i="5"/>
  <c r="J35" i="5"/>
  <c r="J27" i="5"/>
  <c r="J19" i="5"/>
  <c r="J11" i="5"/>
  <c r="J764" i="5"/>
  <c r="J580" i="5"/>
  <c r="J572" i="5"/>
  <c r="J564" i="5"/>
  <c r="K564" i="5" s="1"/>
  <c r="L564" i="5" s="1"/>
  <c r="H564" i="5"/>
  <c r="I564" i="5" s="1"/>
  <c r="J556" i="5"/>
  <c r="J995" i="5"/>
  <c r="J987" i="5"/>
  <c r="J979" i="5"/>
  <c r="J971" i="5"/>
  <c r="J963" i="5"/>
  <c r="J955" i="5"/>
  <c r="J947" i="5"/>
  <c r="J943" i="5"/>
  <c r="K943" i="5" s="1"/>
  <c r="L943" i="5" s="1"/>
  <c r="J935" i="5"/>
  <c r="J911" i="5"/>
  <c r="K911" i="5" s="1"/>
  <c r="L911" i="5" s="1"/>
  <c r="J895" i="5"/>
  <c r="J883" i="5"/>
  <c r="J879" i="5"/>
  <c r="K879" i="5" s="1"/>
  <c r="L879" i="5" s="1"/>
  <c r="J771" i="5"/>
  <c r="J763" i="5"/>
  <c r="J755" i="5"/>
  <c r="J747" i="5"/>
  <c r="K747" i="5" s="1"/>
  <c r="L747" i="5" s="1"/>
  <c r="J739" i="5"/>
  <c r="H998" i="5"/>
  <c r="I998" i="5" s="1"/>
  <c r="J998" i="5"/>
  <c r="H990" i="5"/>
  <c r="I990" i="5" s="1"/>
  <c r="J990" i="5"/>
  <c r="K990" i="5" s="1"/>
  <c r="L990" i="5" s="1"/>
  <c r="H982" i="5"/>
  <c r="I982" i="5" s="1"/>
  <c r="J982" i="5"/>
  <c r="H974" i="5"/>
  <c r="I974" i="5" s="1"/>
  <c r="J974" i="5"/>
  <c r="K974" i="5" s="1"/>
  <c r="L974" i="5" s="1"/>
  <c r="H966" i="5"/>
  <c r="I966" i="5" s="1"/>
  <c r="J966" i="5"/>
  <c r="K966" i="5" s="1"/>
  <c r="L966" i="5" s="1"/>
  <c r="H958" i="5"/>
  <c r="I958" i="5" s="1"/>
  <c r="J958" i="5"/>
  <c r="K958" i="5" s="1"/>
  <c r="L958" i="5" s="1"/>
  <c r="H950" i="5"/>
  <c r="I950" i="5" s="1"/>
  <c r="J950" i="5"/>
  <c r="H942" i="5"/>
  <c r="I942" i="5" s="1"/>
  <c r="J942" i="5"/>
  <c r="K942" i="5" s="1"/>
  <c r="L942" i="5" s="1"/>
  <c r="H934" i="5"/>
  <c r="I934" i="5" s="1"/>
  <c r="J934" i="5"/>
  <c r="J926" i="5"/>
  <c r="J922" i="5"/>
  <c r="H914" i="5"/>
  <c r="I914" i="5" s="1"/>
  <c r="J914" i="5"/>
  <c r="J910" i="5"/>
  <c r="J906" i="5"/>
  <c r="H898" i="5"/>
  <c r="I898" i="5" s="1"/>
  <c r="J898" i="5"/>
  <c r="K898" i="5" s="1"/>
  <c r="L898" i="5" s="1"/>
  <c r="J894" i="5"/>
  <c r="J890" i="5"/>
  <c r="J878" i="5"/>
  <c r="J874" i="5"/>
  <c r="J862" i="5"/>
  <c r="J858" i="5"/>
  <c r="J850" i="5"/>
  <c r="J842" i="5"/>
  <c r="J834" i="5"/>
  <c r="J826" i="5"/>
  <c r="J818" i="5"/>
  <c r="J810" i="5"/>
  <c r="J802" i="5"/>
  <c r="J794" i="5"/>
  <c r="J786" i="5"/>
  <c r="J778" i="5"/>
  <c r="J770" i="5"/>
  <c r="J762" i="5"/>
  <c r="J754" i="5"/>
  <c r="J746" i="5"/>
  <c r="J738" i="5"/>
  <c r="J730" i="5"/>
  <c r="J722" i="5"/>
  <c r="J714" i="5"/>
  <c r="J706" i="5"/>
  <c r="J698" i="5"/>
  <c r="J690" i="5"/>
  <c r="J682" i="5"/>
  <c r="J674" i="5"/>
  <c r="J666" i="5"/>
  <c r="J658" i="5"/>
  <c r="J650" i="5"/>
  <c r="J642" i="5"/>
  <c r="J634" i="5"/>
  <c r="J626" i="5"/>
  <c r="J618" i="5"/>
  <c r="J610" i="5"/>
  <c r="J602" i="5"/>
  <c r="J594" i="5"/>
  <c r="J586" i="5"/>
  <c r="J578" i="5"/>
  <c r="J570" i="5"/>
  <c r="J562" i="5"/>
  <c r="J554" i="5"/>
  <c r="J546" i="5"/>
  <c r="J538" i="5"/>
  <c r="J530" i="5"/>
  <c r="J522" i="5"/>
  <c r="J514" i="5"/>
  <c r="J506" i="5"/>
  <c r="J498" i="5"/>
  <c r="J490" i="5"/>
  <c r="J482" i="5"/>
  <c r="J474" i="5"/>
  <c r="J466" i="5"/>
  <c r="J458" i="5"/>
  <c r="J450" i="5"/>
  <c r="J442" i="5"/>
  <c r="J434" i="5"/>
  <c r="J426" i="5"/>
  <c r="J418" i="5"/>
  <c r="J410" i="5"/>
  <c r="J402" i="5"/>
  <c r="J394" i="5"/>
  <c r="H772" i="5"/>
  <c r="I772" i="5" s="1"/>
  <c r="H708" i="5"/>
  <c r="I708" i="5" s="1"/>
  <c r="H644" i="5"/>
  <c r="I644" i="5" s="1"/>
  <c r="H580" i="5"/>
  <c r="I580" i="5" s="1"/>
  <c r="J994" i="5"/>
  <c r="K994" i="5" s="1"/>
  <c r="L994" i="5" s="1"/>
  <c r="J978" i="5"/>
  <c r="K978" i="5" s="1"/>
  <c r="L978" i="5" s="1"/>
  <c r="J962" i="5"/>
  <c r="J946" i="5"/>
  <c r="K946" i="5" s="1"/>
  <c r="L946" i="5" s="1"/>
  <c r="J930" i="5"/>
  <c r="K930" i="5" s="1"/>
  <c r="L930" i="5" s="1"/>
  <c r="J386" i="5"/>
  <c r="J378" i="5"/>
  <c r="J370" i="5"/>
  <c r="J362" i="5"/>
  <c r="J354" i="5"/>
  <c r="K354" i="5" s="1"/>
  <c r="L354" i="5" s="1"/>
  <c r="J346" i="5"/>
  <c r="J338" i="5"/>
  <c r="J330" i="5"/>
  <c r="J322" i="5"/>
  <c r="J314" i="5"/>
  <c r="J306" i="5"/>
  <c r="J298" i="5"/>
  <c r="J290" i="5"/>
  <c r="J282" i="5"/>
  <c r="J274" i="5"/>
  <c r="J266" i="5"/>
  <c r="J258" i="5"/>
  <c r="J250" i="5"/>
  <c r="J242" i="5"/>
  <c r="K242" i="5" s="1"/>
  <c r="L242" i="5" s="1"/>
  <c r="J234" i="5"/>
  <c r="J226" i="5"/>
  <c r="J218" i="5"/>
  <c r="J210" i="5"/>
  <c r="J202" i="5"/>
  <c r="J194" i="5"/>
  <c r="J186" i="5"/>
  <c r="J178" i="5"/>
  <c r="J170" i="5"/>
  <c r="J162" i="5"/>
  <c r="J154" i="5"/>
  <c r="J146" i="5"/>
  <c r="J138" i="5"/>
  <c r="J130" i="5"/>
  <c r="J122" i="5"/>
  <c r="J114" i="5"/>
  <c r="J106" i="5"/>
  <c r="J98" i="5"/>
  <c r="J90" i="5"/>
  <c r="J82" i="5"/>
  <c r="J74" i="5"/>
  <c r="J66" i="5"/>
  <c r="J58" i="5"/>
  <c r="J50" i="5"/>
  <c r="J42" i="5"/>
  <c r="J34" i="5"/>
  <c r="J26" i="5"/>
  <c r="J18" i="5"/>
  <c r="J10" i="5"/>
  <c r="J485" i="5"/>
  <c r="J481" i="5"/>
  <c r="J477" i="5"/>
  <c r="J473" i="5"/>
  <c r="J469" i="5"/>
  <c r="J465" i="5"/>
  <c r="J461" i="5"/>
  <c r="J457" i="5"/>
  <c r="J453" i="5"/>
  <c r="K453" i="5" s="1"/>
  <c r="L453" i="5" s="1"/>
  <c r="J449" i="5"/>
  <c r="J445" i="5"/>
  <c r="J441" i="5"/>
  <c r="J437" i="5"/>
  <c r="J433" i="5"/>
  <c r="J429" i="5"/>
  <c r="J425" i="5"/>
  <c r="J421" i="5"/>
  <c r="J417" i="5"/>
  <c r="J413" i="5"/>
  <c r="J409" i="5"/>
  <c r="J405" i="5"/>
  <c r="J401" i="5"/>
  <c r="J397" i="5"/>
  <c r="J393" i="5"/>
  <c r="J389" i="5"/>
  <c r="J385" i="5"/>
  <c r="J381" i="5"/>
  <c r="J377" i="5"/>
  <c r="J373" i="5"/>
  <c r="J369" i="5"/>
  <c r="J365" i="5"/>
  <c r="J361" i="5"/>
  <c r="J357" i="5"/>
  <c r="J353" i="5"/>
  <c r="J349" i="5"/>
  <c r="J345" i="5"/>
  <c r="J341" i="5"/>
  <c r="J337" i="5"/>
  <c r="J333" i="5"/>
  <c r="J329" i="5"/>
  <c r="J325" i="5"/>
  <c r="K325" i="5" s="1"/>
  <c r="L325" i="5" s="1"/>
  <c r="J321" i="5"/>
  <c r="J317" i="5"/>
  <c r="J313" i="5"/>
  <c r="J309" i="5"/>
  <c r="J305" i="5"/>
  <c r="J301" i="5"/>
  <c r="J297" i="5"/>
  <c r="J293" i="5"/>
  <c r="J289" i="5"/>
  <c r="J285" i="5"/>
  <c r="J281" i="5"/>
  <c r="J277" i="5"/>
  <c r="J273" i="5"/>
  <c r="J269" i="5"/>
  <c r="J265" i="5"/>
  <c r="J261" i="5"/>
  <c r="K261" i="5" s="1"/>
  <c r="L261" i="5" s="1"/>
  <c r="J257" i="5"/>
  <c r="J249" i="5"/>
  <c r="K490" i="5"/>
  <c r="L490" i="5" s="1"/>
  <c r="K362" i="5"/>
  <c r="L362" i="5" s="1"/>
  <c r="K986" i="5"/>
  <c r="L986" i="5" s="1"/>
  <c r="K954" i="5"/>
  <c r="L954" i="5" s="1"/>
  <c r="K938" i="5"/>
  <c r="L938" i="5" s="1"/>
  <c r="K866" i="5"/>
  <c r="L866" i="5" s="1"/>
  <c r="K882" i="5"/>
  <c r="L882" i="5" s="1"/>
  <c r="K996" i="5"/>
  <c r="L996" i="5" s="1"/>
  <c r="K964" i="5"/>
  <c r="L964" i="5" s="1"/>
  <c r="K960" i="5"/>
  <c r="L960" i="5" s="1"/>
  <c r="K948" i="5"/>
  <c r="L948" i="5" s="1"/>
  <c r="J920" i="5"/>
  <c r="J919" i="5"/>
  <c r="K916" i="5"/>
  <c r="L916" i="5" s="1"/>
  <c r="J904" i="5"/>
  <c r="J903" i="5"/>
  <c r="J888" i="5"/>
  <c r="K888" i="5" s="1"/>
  <c r="L888" i="5" s="1"/>
  <c r="J887" i="5"/>
  <c r="J872" i="5"/>
  <c r="J871" i="5"/>
  <c r="K864" i="5"/>
  <c r="L864" i="5" s="1"/>
  <c r="J856" i="5"/>
  <c r="J855" i="5"/>
  <c r="J848" i="5"/>
  <c r="K848" i="5" s="1"/>
  <c r="L848" i="5" s="1"/>
  <c r="J847" i="5"/>
  <c r="J840" i="5"/>
  <c r="J839" i="5"/>
  <c r="J832" i="5"/>
  <c r="K832" i="5" s="1"/>
  <c r="L832" i="5" s="1"/>
  <c r="J831" i="5"/>
  <c r="J824" i="5"/>
  <c r="J823" i="5"/>
  <c r="J816" i="5"/>
  <c r="K816" i="5" s="1"/>
  <c r="L816" i="5" s="1"/>
  <c r="J815" i="5"/>
  <c r="J808" i="5"/>
  <c r="J807" i="5"/>
  <c r="K804" i="5"/>
  <c r="L804" i="5" s="1"/>
  <c r="J800" i="5"/>
  <c r="K800" i="5" s="1"/>
  <c r="L800" i="5" s="1"/>
  <c r="J799" i="5"/>
  <c r="J792" i="5"/>
  <c r="J791" i="5"/>
  <c r="J784" i="5"/>
  <c r="K784" i="5" s="1"/>
  <c r="L784" i="5" s="1"/>
  <c r="J783" i="5"/>
  <c r="K783" i="5" s="1"/>
  <c r="L783" i="5" s="1"/>
  <c r="J776" i="5"/>
  <c r="J775" i="5"/>
  <c r="J768" i="5"/>
  <c r="K768" i="5" s="1"/>
  <c r="L768" i="5" s="1"/>
  <c r="J767" i="5"/>
  <c r="K767" i="5" s="1"/>
  <c r="L767" i="5" s="1"/>
  <c r="J760" i="5"/>
  <c r="J759" i="5"/>
  <c r="J752" i="5"/>
  <c r="K752" i="5" s="1"/>
  <c r="L752" i="5" s="1"/>
  <c r="J751" i="5"/>
  <c r="K751" i="5" s="1"/>
  <c r="L751" i="5" s="1"/>
  <c r="J744" i="5"/>
  <c r="J743" i="5"/>
  <c r="J736" i="5"/>
  <c r="K736" i="5" s="1"/>
  <c r="L736" i="5" s="1"/>
  <c r="J735" i="5"/>
  <c r="K735" i="5" s="1"/>
  <c r="L735" i="5" s="1"/>
  <c r="J728" i="5"/>
  <c r="J727" i="5"/>
  <c r="K724" i="5"/>
  <c r="L724" i="5" s="1"/>
  <c r="J720" i="5"/>
  <c r="K720" i="5" s="1"/>
  <c r="L720" i="5" s="1"/>
  <c r="J719" i="5"/>
  <c r="J712" i="5"/>
  <c r="J711" i="5"/>
  <c r="K711" i="5" s="1"/>
  <c r="L711" i="5" s="1"/>
  <c r="J704" i="5"/>
  <c r="K704" i="5" s="1"/>
  <c r="L704" i="5" s="1"/>
  <c r="J703" i="5"/>
  <c r="J696" i="5"/>
  <c r="J695" i="5"/>
  <c r="K695" i="5" s="1"/>
  <c r="L695" i="5" s="1"/>
  <c r="J688" i="5"/>
  <c r="K688" i="5" s="1"/>
  <c r="L688" i="5" s="1"/>
  <c r="J687" i="5"/>
  <c r="J680" i="5"/>
  <c r="J679" i="5"/>
  <c r="K679" i="5" s="1"/>
  <c r="L679" i="5" s="1"/>
  <c r="K676" i="5"/>
  <c r="L676" i="5" s="1"/>
  <c r="J672" i="5"/>
  <c r="K672" i="5" s="1"/>
  <c r="L672" i="5" s="1"/>
  <c r="J671" i="5"/>
  <c r="J664" i="5"/>
  <c r="J663" i="5"/>
  <c r="J656" i="5"/>
  <c r="K656" i="5" s="1"/>
  <c r="L656" i="5" s="1"/>
  <c r="J655" i="5"/>
  <c r="J648" i="5"/>
  <c r="J647" i="5"/>
  <c r="K644" i="5"/>
  <c r="L644" i="5" s="1"/>
  <c r="J640" i="5"/>
  <c r="K640" i="5" s="1"/>
  <c r="L640" i="5" s="1"/>
  <c r="J639" i="5"/>
  <c r="J632" i="5"/>
  <c r="J631" i="5"/>
  <c r="J624" i="5"/>
  <c r="K624" i="5" s="1"/>
  <c r="L624" i="5" s="1"/>
  <c r="J623" i="5"/>
  <c r="J616" i="5"/>
  <c r="J615" i="5"/>
  <c r="J608" i="5"/>
  <c r="K608" i="5" s="1"/>
  <c r="L608" i="5" s="1"/>
  <c r="J607" i="5"/>
  <c r="J600" i="5"/>
  <c r="J599" i="5"/>
  <c r="K596" i="5"/>
  <c r="L596" i="5" s="1"/>
  <c r="J592" i="5"/>
  <c r="K592" i="5" s="1"/>
  <c r="L592" i="5" s="1"/>
  <c r="J591" i="5"/>
  <c r="J584" i="5"/>
  <c r="J583" i="5"/>
  <c r="K580" i="5"/>
  <c r="L580" i="5" s="1"/>
  <c r="J576" i="5"/>
  <c r="K576" i="5" s="1"/>
  <c r="L576" i="5" s="1"/>
  <c r="J575" i="5"/>
  <c r="J568" i="5"/>
  <c r="J567" i="5"/>
  <c r="J560" i="5"/>
  <c r="K560" i="5" s="1"/>
  <c r="L560" i="5" s="1"/>
  <c r="J559" i="5"/>
  <c r="K556" i="5"/>
  <c r="L556" i="5" s="1"/>
  <c r="J552" i="5"/>
  <c r="J551" i="5"/>
  <c r="J548" i="5"/>
  <c r="H548" i="5"/>
  <c r="I548" i="5" s="1"/>
  <c r="J544" i="5"/>
  <c r="K544" i="5" s="1"/>
  <c r="L544" i="5" s="1"/>
  <c r="H544" i="5"/>
  <c r="I544" i="5" s="1"/>
  <c r="J543" i="5"/>
  <c r="J540" i="5"/>
  <c r="H540" i="5"/>
  <c r="I540" i="5" s="1"/>
  <c r="J536" i="5"/>
  <c r="J535" i="5"/>
  <c r="H536" i="5"/>
  <c r="I536" i="5" s="1"/>
  <c r="J532" i="5"/>
  <c r="K532" i="5" s="1"/>
  <c r="L532" i="5" s="1"/>
  <c r="H532" i="5"/>
  <c r="I532" i="5" s="1"/>
  <c r="J528" i="5"/>
  <c r="J527" i="5"/>
  <c r="H528" i="5"/>
  <c r="I528" i="5" s="1"/>
  <c r="J524" i="5"/>
  <c r="H524" i="5"/>
  <c r="I524" i="5" s="1"/>
  <c r="J520" i="5"/>
  <c r="K520" i="5" s="1"/>
  <c r="L520" i="5" s="1"/>
  <c r="J519" i="5"/>
  <c r="H520" i="5"/>
  <c r="I520" i="5" s="1"/>
  <c r="J516" i="5"/>
  <c r="H516" i="5"/>
  <c r="I516" i="5" s="1"/>
  <c r="J512" i="5"/>
  <c r="K512" i="5" s="1"/>
  <c r="L512" i="5" s="1"/>
  <c r="J511" i="5"/>
  <c r="H512" i="5"/>
  <c r="I512" i="5" s="1"/>
  <c r="J508" i="5"/>
  <c r="H508" i="5"/>
  <c r="I508" i="5" s="1"/>
  <c r="J504" i="5"/>
  <c r="J503" i="5"/>
  <c r="K503" i="5" s="1"/>
  <c r="L503" i="5" s="1"/>
  <c r="H504" i="5"/>
  <c r="I504" i="5" s="1"/>
  <c r="J500" i="5"/>
  <c r="K500" i="5" s="1"/>
  <c r="L500" i="5" s="1"/>
  <c r="H500" i="5"/>
  <c r="I500" i="5" s="1"/>
  <c r="J496" i="5"/>
  <c r="J495" i="5"/>
  <c r="H496" i="5"/>
  <c r="I496" i="5" s="1"/>
  <c r="J492" i="5"/>
  <c r="H492" i="5"/>
  <c r="I492" i="5" s="1"/>
  <c r="J488" i="5"/>
  <c r="K488" i="5" s="1"/>
  <c r="L488" i="5" s="1"/>
  <c r="J487" i="5"/>
  <c r="K487" i="5" s="1"/>
  <c r="L487" i="5" s="1"/>
  <c r="H488" i="5"/>
  <c r="I488" i="5" s="1"/>
  <c r="J484" i="5"/>
  <c r="H484" i="5"/>
  <c r="I484" i="5" s="1"/>
  <c r="J480" i="5"/>
  <c r="K480" i="5" s="1"/>
  <c r="L480" i="5" s="1"/>
  <c r="J479" i="5"/>
  <c r="H480" i="5"/>
  <c r="I480" i="5" s="1"/>
  <c r="J476" i="5"/>
  <c r="H476" i="5"/>
  <c r="I476" i="5" s="1"/>
  <c r="J472" i="5"/>
  <c r="J471" i="5"/>
  <c r="K471" i="5" s="1"/>
  <c r="L471" i="5" s="1"/>
  <c r="H472" i="5"/>
  <c r="I472" i="5" s="1"/>
  <c r="J468" i="5"/>
  <c r="K468" i="5" s="1"/>
  <c r="L468" i="5" s="1"/>
  <c r="H468" i="5"/>
  <c r="I468" i="5" s="1"/>
  <c r="J464" i="5"/>
  <c r="J463" i="5"/>
  <c r="H464" i="5"/>
  <c r="I464" i="5" s="1"/>
  <c r="J460" i="5"/>
  <c r="H460" i="5"/>
  <c r="I460" i="5" s="1"/>
  <c r="J456" i="5"/>
  <c r="K456" i="5" s="1"/>
  <c r="L456" i="5" s="1"/>
  <c r="J455" i="5"/>
  <c r="K455" i="5" s="1"/>
  <c r="L455" i="5" s="1"/>
  <c r="H456" i="5"/>
  <c r="I456" i="5" s="1"/>
  <c r="J452" i="5"/>
  <c r="H452" i="5"/>
  <c r="I452" i="5" s="1"/>
  <c r="J448" i="5"/>
  <c r="K448" i="5" s="1"/>
  <c r="L448" i="5" s="1"/>
  <c r="J447" i="5"/>
  <c r="H448" i="5"/>
  <c r="I448" i="5" s="1"/>
  <c r="J444" i="5"/>
  <c r="H444" i="5"/>
  <c r="I444" i="5" s="1"/>
  <c r="J440" i="5"/>
  <c r="J439" i="5"/>
  <c r="K439" i="5" s="1"/>
  <c r="L439" i="5" s="1"/>
  <c r="H440" i="5"/>
  <c r="I440" i="5" s="1"/>
  <c r="J436" i="5"/>
  <c r="K436" i="5" s="1"/>
  <c r="L436" i="5" s="1"/>
  <c r="H436" i="5"/>
  <c r="I436" i="5" s="1"/>
  <c r="J432" i="5"/>
  <c r="J431" i="5"/>
  <c r="H432" i="5"/>
  <c r="I432" i="5" s="1"/>
  <c r="J428" i="5"/>
  <c r="H428" i="5"/>
  <c r="I428" i="5" s="1"/>
  <c r="J424" i="5"/>
  <c r="K424" i="5" s="1"/>
  <c r="L424" i="5" s="1"/>
  <c r="J423" i="5"/>
  <c r="H424" i="5"/>
  <c r="I424" i="5" s="1"/>
  <c r="J420" i="5"/>
  <c r="H420" i="5"/>
  <c r="I420" i="5" s="1"/>
  <c r="J416" i="5"/>
  <c r="K416" i="5" s="1"/>
  <c r="L416" i="5" s="1"/>
  <c r="J415" i="5"/>
  <c r="H416" i="5"/>
  <c r="I416" i="5" s="1"/>
  <c r="J412" i="5"/>
  <c r="H412" i="5"/>
  <c r="I412" i="5" s="1"/>
  <c r="J408" i="5"/>
  <c r="J407" i="5"/>
  <c r="H408" i="5"/>
  <c r="I408" i="5" s="1"/>
  <c r="J404" i="5"/>
  <c r="K404" i="5" s="1"/>
  <c r="L404" i="5" s="1"/>
  <c r="H404" i="5"/>
  <c r="I404" i="5" s="1"/>
  <c r="J400" i="5"/>
  <c r="J399" i="5"/>
  <c r="H400" i="5"/>
  <c r="I400" i="5" s="1"/>
  <c r="J396" i="5"/>
  <c r="H396" i="5"/>
  <c r="I396" i="5" s="1"/>
  <c r="J392" i="5"/>
  <c r="K392" i="5" s="1"/>
  <c r="L392" i="5" s="1"/>
  <c r="J391" i="5"/>
  <c r="H392" i="5"/>
  <c r="I392" i="5" s="1"/>
  <c r="J388" i="5"/>
  <c r="H388" i="5"/>
  <c r="I388" i="5" s="1"/>
  <c r="J384" i="5"/>
  <c r="K384" i="5" s="1"/>
  <c r="L384" i="5" s="1"/>
  <c r="J383" i="5"/>
  <c r="H384" i="5"/>
  <c r="I384" i="5" s="1"/>
  <c r="J380" i="5"/>
  <c r="H380" i="5"/>
  <c r="I380" i="5" s="1"/>
  <c r="J376" i="5"/>
  <c r="J375" i="5"/>
  <c r="H376" i="5"/>
  <c r="I376" i="5" s="1"/>
  <c r="J372" i="5"/>
  <c r="K372" i="5" s="1"/>
  <c r="L372" i="5" s="1"/>
  <c r="H372" i="5"/>
  <c r="I372" i="5" s="1"/>
  <c r="J368" i="5"/>
  <c r="J367" i="5"/>
  <c r="H368" i="5"/>
  <c r="I368" i="5" s="1"/>
  <c r="J364" i="5"/>
  <c r="H364" i="5"/>
  <c r="I364" i="5" s="1"/>
  <c r="J360" i="5"/>
  <c r="K360" i="5" s="1"/>
  <c r="L360" i="5" s="1"/>
  <c r="J359" i="5"/>
  <c r="H360" i="5"/>
  <c r="I360" i="5" s="1"/>
  <c r="J356" i="5"/>
  <c r="H356" i="5"/>
  <c r="I356" i="5" s="1"/>
  <c r="J352" i="5"/>
  <c r="K352" i="5" s="1"/>
  <c r="L352" i="5" s="1"/>
  <c r="J351" i="5"/>
  <c r="H352" i="5"/>
  <c r="I352" i="5" s="1"/>
  <c r="J348" i="5"/>
  <c r="H348" i="5"/>
  <c r="I348" i="5" s="1"/>
  <c r="J344" i="5"/>
  <c r="J343" i="5"/>
  <c r="H344" i="5"/>
  <c r="I344" i="5" s="1"/>
  <c r="J340" i="5"/>
  <c r="K340" i="5" s="1"/>
  <c r="L340" i="5" s="1"/>
  <c r="H340" i="5"/>
  <c r="I340" i="5" s="1"/>
  <c r="J336" i="5"/>
  <c r="H336" i="5"/>
  <c r="I336" i="5" s="1"/>
  <c r="J335" i="5"/>
  <c r="J332" i="5"/>
  <c r="H332" i="5"/>
  <c r="I332" i="5" s="1"/>
  <c r="J328" i="5"/>
  <c r="K328" i="5" s="1"/>
  <c r="L328" i="5" s="1"/>
  <c r="J327" i="5"/>
  <c r="H328" i="5"/>
  <c r="I328" i="5" s="1"/>
  <c r="J324" i="5"/>
  <c r="H324" i="5"/>
  <c r="I324" i="5" s="1"/>
  <c r="J320" i="5"/>
  <c r="K320" i="5" s="1"/>
  <c r="L320" i="5" s="1"/>
  <c r="H320" i="5"/>
  <c r="I320" i="5" s="1"/>
  <c r="J319" i="5"/>
  <c r="J316" i="5"/>
  <c r="H316" i="5"/>
  <c r="I316" i="5" s="1"/>
  <c r="J312" i="5"/>
  <c r="J311" i="5"/>
  <c r="H312" i="5"/>
  <c r="I312" i="5" s="1"/>
  <c r="J308" i="5"/>
  <c r="K308" i="5" s="1"/>
  <c r="L308" i="5" s="1"/>
  <c r="H308" i="5"/>
  <c r="I308" i="5" s="1"/>
  <c r="J304" i="5"/>
  <c r="H304" i="5"/>
  <c r="I304" i="5" s="1"/>
  <c r="J303" i="5"/>
  <c r="J300" i="5"/>
  <c r="H300" i="5"/>
  <c r="I300" i="5" s="1"/>
  <c r="J296" i="5"/>
  <c r="K296" i="5" s="1"/>
  <c r="L296" i="5" s="1"/>
  <c r="J295" i="5"/>
  <c r="H296" i="5"/>
  <c r="I296" i="5" s="1"/>
  <c r="J292" i="5"/>
  <c r="H292" i="5"/>
  <c r="I292" i="5" s="1"/>
  <c r="J288" i="5"/>
  <c r="K288" i="5" s="1"/>
  <c r="L288" i="5" s="1"/>
  <c r="H288" i="5"/>
  <c r="I288" i="5" s="1"/>
  <c r="J287" i="5"/>
  <c r="J284" i="5"/>
  <c r="H284" i="5"/>
  <c r="I284" i="5" s="1"/>
  <c r="J280" i="5"/>
  <c r="J279" i="5"/>
  <c r="H280" i="5"/>
  <c r="I280" i="5" s="1"/>
  <c r="J276" i="5"/>
  <c r="K276" i="5" s="1"/>
  <c r="L276" i="5" s="1"/>
  <c r="H276" i="5"/>
  <c r="I276" i="5" s="1"/>
  <c r="J272" i="5"/>
  <c r="J271" i="5"/>
  <c r="H272" i="5"/>
  <c r="I272" i="5" s="1"/>
  <c r="J268" i="5"/>
  <c r="H268" i="5"/>
  <c r="I268" i="5" s="1"/>
  <c r="J264" i="5"/>
  <c r="K264" i="5" s="1"/>
  <c r="L264" i="5" s="1"/>
  <c r="J263" i="5"/>
  <c r="H264" i="5"/>
  <c r="I264" i="5" s="1"/>
  <c r="J260" i="5"/>
  <c r="H260" i="5"/>
  <c r="I260" i="5" s="1"/>
  <c r="J256" i="5"/>
  <c r="K256" i="5" s="1"/>
  <c r="L256" i="5" s="1"/>
  <c r="H256" i="5"/>
  <c r="I256" i="5" s="1"/>
  <c r="J255" i="5"/>
  <c r="J252" i="5"/>
  <c r="H252" i="5"/>
  <c r="I252" i="5" s="1"/>
  <c r="J248" i="5"/>
  <c r="J247" i="5"/>
  <c r="H248" i="5"/>
  <c r="I248" i="5" s="1"/>
  <c r="J244" i="5"/>
  <c r="K244" i="5" s="1"/>
  <c r="L244" i="5" s="1"/>
  <c r="H244" i="5"/>
  <c r="I244" i="5" s="1"/>
  <c r="J240" i="5"/>
  <c r="J239" i="5"/>
  <c r="H240" i="5"/>
  <c r="I240" i="5" s="1"/>
  <c r="J236" i="5"/>
  <c r="H236" i="5"/>
  <c r="I236" i="5" s="1"/>
  <c r="J232" i="5"/>
  <c r="H232" i="5"/>
  <c r="I232" i="5" s="1"/>
  <c r="J231" i="5"/>
  <c r="J228" i="5"/>
  <c r="H228" i="5"/>
  <c r="I228" i="5" s="1"/>
  <c r="J224" i="5"/>
  <c r="K224" i="5" s="1"/>
  <c r="L224" i="5" s="1"/>
  <c r="J223" i="5"/>
  <c r="H224" i="5"/>
  <c r="I224" i="5" s="1"/>
  <c r="J220" i="5"/>
  <c r="H220" i="5"/>
  <c r="I220" i="5" s="1"/>
  <c r="J216" i="5"/>
  <c r="H216" i="5"/>
  <c r="I216" i="5" s="1"/>
  <c r="J215" i="5"/>
  <c r="K215" i="5" s="1"/>
  <c r="L215" i="5" s="1"/>
  <c r="J212" i="5"/>
  <c r="K212" i="5" s="1"/>
  <c r="L212" i="5" s="1"/>
  <c r="H212" i="5"/>
  <c r="I212" i="5" s="1"/>
  <c r="J208" i="5"/>
  <c r="H208" i="5"/>
  <c r="I208" i="5" s="1"/>
  <c r="J207" i="5"/>
  <c r="J204" i="5"/>
  <c r="H204" i="5"/>
  <c r="I204" i="5" s="1"/>
  <c r="J200" i="5"/>
  <c r="K200" i="5" s="1"/>
  <c r="L200" i="5" s="1"/>
  <c r="J199" i="5"/>
  <c r="H200" i="5"/>
  <c r="I200" i="5" s="1"/>
  <c r="J196" i="5"/>
  <c r="H196" i="5"/>
  <c r="I196" i="5" s="1"/>
  <c r="J192" i="5"/>
  <c r="K192" i="5" s="1"/>
  <c r="L192" i="5" s="1"/>
  <c r="H192" i="5"/>
  <c r="I192" i="5" s="1"/>
  <c r="J191" i="5"/>
  <c r="J188" i="5"/>
  <c r="H188" i="5"/>
  <c r="I188" i="5" s="1"/>
  <c r="J184" i="5"/>
  <c r="J183" i="5"/>
  <c r="H184" i="5"/>
  <c r="I184" i="5" s="1"/>
  <c r="J180" i="5"/>
  <c r="K180" i="5" s="1"/>
  <c r="L180" i="5" s="1"/>
  <c r="H180" i="5"/>
  <c r="I180" i="5" s="1"/>
  <c r="J176" i="5"/>
  <c r="H176" i="5"/>
  <c r="I176" i="5" s="1"/>
  <c r="J175" i="5"/>
  <c r="J172" i="5"/>
  <c r="H172" i="5"/>
  <c r="I172" i="5" s="1"/>
  <c r="J168" i="5"/>
  <c r="K168" i="5" s="1"/>
  <c r="L168" i="5" s="1"/>
  <c r="J167" i="5"/>
  <c r="H168" i="5"/>
  <c r="I168" i="5" s="1"/>
  <c r="J164" i="5"/>
  <c r="H164" i="5"/>
  <c r="I164" i="5" s="1"/>
  <c r="J160" i="5"/>
  <c r="K160" i="5" s="1"/>
  <c r="L160" i="5" s="1"/>
  <c r="H160" i="5"/>
  <c r="I160" i="5" s="1"/>
  <c r="J159" i="5"/>
  <c r="J156" i="5"/>
  <c r="H156" i="5"/>
  <c r="I156" i="5" s="1"/>
  <c r="J152" i="5"/>
  <c r="J151" i="5"/>
  <c r="H152" i="5"/>
  <c r="I152" i="5" s="1"/>
  <c r="J148" i="5"/>
  <c r="K148" i="5" s="1"/>
  <c r="L148" i="5" s="1"/>
  <c r="H148" i="5"/>
  <c r="I148" i="5" s="1"/>
  <c r="J144" i="5"/>
  <c r="H144" i="5"/>
  <c r="I144" i="5" s="1"/>
  <c r="J143" i="5"/>
  <c r="J140" i="5"/>
  <c r="H140" i="5"/>
  <c r="I140" i="5" s="1"/>
  <c r="J136" i="5"/>
  <c r="K136" i="5" s="1"/>
  <c r="L136" i="5" s="1"/>
  <c r="J135" i="5"/>
  <c r="H136" i="5"/>
  <c r="I136" i="5" s="1"/>
  <c r="J132" i="5"/>
  <c r="H132" i="5"/>
  <c r="I132" i="5" s="1"/>
  <c r="J128" i="5"/>
  <c r="K128" i="5" s="1"/>
  <c r="L128" i="5" s="1"/>
  <c r="H128" i="5"/>
  <c r="I128" i="5" s="1"/>
  <c r="J127" i="5"/>
  <c r="J124" i="5"/>
  <c r="H124" i="5"/>
  <c r="I124" i="5" s="1"/>
  <c r="J120" i="5"/>
  <c r="J119" i="5"/>
  <c r="H120" i="5"/>
  <c r="I120" i="5" s="1"/>
  <c r="J116" i="5"/>
  <c r="K116" i="5" s="1"/>
  <c r="L116" i="5" s="1"/>
  <c r="H116" i="5"/>
  <c r="I116" i="5" s="1"/>
  <c r="J112" i="5"/>
  <c r="J111" i="5"/>
  <c r="H112" i="5"/>
  <c r="I112" i="5" s="1"/>
  <c r="J108" i="5"/>
  <c r="H108" i="5"/>
  <c r="I108" i="5" s="1"/>
  <c r="J104" i="5"/>
  <c r="H104" i="5"/>
  <c r="I104" i="5" s="1"/>
  <c r="J103" i="5"/>
  <c r="J100" i="5"/>
  <c r="H100" i="5"/>
  <c r="I100" i="5" s="1"/>
  <c r="J96" i="5"/>
  <c r="J95" i="5"/>
  <c r="H96" i="5"/>
  <c r="I96" i="5" s="1"/>
  <c r="J92" i="5"/>
  <c r="H92" i="5"/>
  <c r="I92" i="5" s="1"/>
  <c r="J88" i="5"/>
  <c r="H88" i="5"/>
  <c r="I88" i="5" s="1"/>
  <c r="J87" i="5"/>
  <c r="K87" i="5" s="1"/>
  <c r="L87" i="5" s="1"/>
  <c r="J84" i="5"/>
  <c r="K84" i="5" s="1"/>
  <c r="L84" i="5" s="1"/>
  <c r="H84" i="5"/>
  <c r="I84" i="5" s="1"/>
  <c r="J80" i="5"/>
  <c r="J79" i="5"/>
  <c r="K79" i="5" s="1"/>
  <c r="L79" i="5" s="1"/>
  <c r="H80" i="5"/>
  <c r="I80" i="5" s="1"/>
  <c r="J76" i="5"/>
  <c r="H76" i="5"/>
  <c r="I76" i="5" s="1"/>
  <c r="J72" i="5"/>
  <c r="H72" i="5"/>
  <c r="I72" i="5" s="1"/>
  <c r="J71" i="5"/>
  <c r="K71" i="5" s="1"/>
  <c r="L71" i="5" s="1"/>
  <c r="J68" i="5"/>
  <c r="H68" i="5"/>
  <c r="I68" i="5" s="1"/>
  <c r="J64" i="5"/>
  <c r="K64" i="5" s="1"/>
  <c r="L64" i="5" s="1"/>
  <c r="H64" i="5"/>
  <c r="I64" i="5" s="1"/>
  <c r="J63" i="5"/>
  <c r="J60" i="5"/>
  <c r="H60" i="5"/>
  <c r="I60" i="5" s="1"/>
  <c r="J56" i="5"/>
  <c r="J55" i="5"/>
  <c r="K55" i="5" s="1"/>
  <c r="L55" i="5" s="1"/>
  <c r="H56" i="5"/>
  <c r="I56" i="5" s="1"/>
  <c r="J52" i="5"/>
  <c r="K52" i="5" s="1"/>
  <c r="L52" i="5" s="1"/>
  <c r="H52" i="5"/>
  <c r="I52" i="5" s="1"/>
  <c r="J48" i="5"/>
  <c r="H48" i="5"/>
  <c r="I48" i="5" s="1"/>
  <c r="J47" i="5"/>
  <c r="K47" i="5" s="1"/>
  <c r="L47" i="5" s="1"/>
  <c r="J44" i="5"/>
  <c r="H44" i="5"/>
  <c r="I44" i="5" s="1"/>
  <c r="J40" i="5"/>
  <c r="K40" i="5" s="1"/>
  <c r="L40" i="5" s="1"/>
  <c r="J39" i="5"/>
  <c r="K39" i="5" s="1"/>
  <c r="L39" i="5" s="1"/>
  <c r="H40" i="5"/>
  <c r="I40" i="5" s="1"/>
  <c r="J36" i="5"/>
  <c r="H36" i="5"/>
  <c r="I36" i="5" s="1"/>
  <c r="J32" i="5"/>
  <c r="K32" i="5" s="1"/>
  <c r="L32" i="5" s="1"/>
  <c r="H32" i="5"/>
  <c r="I32" i="5" s="1"/>
  <c r="J31" i="5"/>
  <c r="K31" i="5" s="1"/>
  <c r="L31" i="5" s="1"/>
  <c r="J28" i="5"/>
  <c r="H28" i="5"/>
  <c r="I28" i="5" s="1"/>
  <c r="J24" i="5"/>
  <c r="J23" i="5"/>
  <c r="K23" i="5" s="1"/>
  <c r="L23" i="5" s="1"/>
  <c r="H24" i="5"/>
  <c r="I24" i="5" s="1"/>
  <c r="J20" i="5"/>
  <c r="K20" i="5" s="1"/>
  <c r="L20" i="5" s="1"/>
  <c r="H20" i="5"/>
  <c r="I20" i="5" s="1"/>
  <c r="J16" i="5"/>
  <c r="J15" i="5"/>
  <c r="K15" i="5" s="1"/>
  <c r="L15" i="5" s="1"/>
  <c r="H16" i="5"/>
  <c r="I16" i="5" s="1"/>
  <c r="J12" i="5"/>
  <c r="H12" i="5"/>
  <c r="I12" i="5" s="1"/>
  <c r="J8" i="5"/>
  <c r="K8" i="5" s="1"/>
  <c r="L8" i="5" s="1"/>
  <c r="J7" i="5"/>
  <c r="K7" i="5" s="1"/>
  <c r="L7" i="5" s="1"/>
  <c r="H8" i="5"/>
  <c r="I8" i="5" s="1"/>
  <c r="H4" i="5"/>
  <c r="I4" i="5" s="1"/>
  <c r="K4" i="5" s="1"/>
  <c r="L4" i="5" s="1"/>
  <c r="H988" i="5"/>
  <c r="I988" i="5" s="1"/>
  <c r="K988" i="5" s="1"/>
  <c r="L988" i="5" s="1"/>
  <c r="H972" i="5"/>
  <c r="I972" i="5" s="1"/>
  <c r="K972" i="5" s="1"/>
  <c r="L972" i="5" s="1"/>
  <c r="H956" i="5"/>
  <c r="I956" i="5" s="1"/>
  <c r="H940" i="5"/>
  <c r="I940" i="5" s="1"/>
  <c r="K940" i="5" s="1"/>
  <c r="L940" i="5" s="1"/>
  <c r="H924" i="5"/>
  <c r="I924" i="5" s="1"/>
  <c r="H908" i="5"/>
  <c r="I908" i="5" s="1"/>
  <c r="K908" i="5" s="1"/>
  <c r="L908" i="5" s="1"/>
  <c r="H892" i="5"/>
  <c r="I892" i="5" s="1"/>
  <c r="K892" i="5" s="1"/>
  <c r="L892" i="5" s="1"/>
  <c r="H876" i="5"/>
  <c r="I876" i="5" s="1"/>
  <c r="K876" i="5" s="1"/>
  <c r="L876" i="5" s="1"/>
  <c r="H860" i="5"/>
  <c r="I860" i="5" s="1"/>
  <c r="K860" i="5" s="1"/>
  <c r="L860" i="5" s="1"/>
  <c r="H844" i="5"/>
  <c r="I844" i="5" s="1"/>
  <c r="K844" i="5" s="1"/>
  <c r="L844" i="5" s="1"/>
  <c r="H828" i="5"/>
  <c r="I828" i="5" s="1"/>
  <c r="K828" i="5" s="1"/>
  <c r="L828" i="5" s="1"/>
  <c r="H812" i="5"/>
  <c r="I812" i="5" s="1"/>
  <c r="H796" i="5"/>
  <c r="I796" i="5" s="1"/>
  <c r="K796" i="5" s="1"/>
  <c r="L796" i="5" s="1"/>
  <c r="H780" i="5"/>
  <c r="I780" i="5" s="1"/>
  <c r="K780" i="5" s="1"/>
  <c r="L780" i="5" s="1"/>
  <c r="H764" i="5"/>
  <c r="I764" i="5" s="1"/>
  <c r="K764" i="5" s="1"/>
  <c r="L764" i="5" s="1"/>
  <c r="H748" i="5"/>
  <c r="I748" i="5" s="1"/>
  <c r="K748" i="5" s="1"/>
  <c r="L748" i="5" s="1"/>
  <c r="H732" i="5"/>
  <c r="I732" i="5" s="1"/>
  <c r="H716" i="5"/>
  <c r="I716" i="5" s="1"/>
  <c r="K716" i="5" s="1"/>
  <c r="L716" i="5" s="1"/>
  <c r="H700" i="5"/>
  <c r="I700" i="5" s="1"/>
  <c r="K700" i="5" s="1"/>
  <c r="L700" i="5" s="1"/>
  <c r="H684" i="5"/>
  <c r="I684" i="5" s="1"/>
  <c r="H668" i="5"/>
  <c r="I668" i="5" s="1"/>
  <c r="K668" i="5" s="1"/>
  <c r="L668" i="5" s="1"/>
  <c r="H652" i="5"/>
  <c r="I652" i="5" s="1"/>
  <c r="K652" i="5" s="1"/>
  <c r="L652" i="5" s="1"/>
  <c r="H636" i="5"/>
  <c r="I636" i="5" s="1"/>
  <c r="H620" i="5"/>
  <c r="I620" i="5" s="1"/>
  <c r="K620" i="5" s="1"/>
  <c r="L620" i="5" s="1"/>
  <c r="H604" i="5"/>
  <c r="I604" i="5" s="1"/>
  <c r="H588" i="5"/>
  <c r="I588" i="5" s="1"/>
  <c r="K588" i="5" s="1"/>
  <c r="L588" i="5" s="1"/>
  <c r="H572" i="5"/>
  <c r="I572" i="5" s="1"/>
  <c r="H556" i="5"/>
  <c r="I556" i="5" s="1"/>
  <c r="K998" i="5"/>
  <c r="L998" i="5" s="1"/>
  <c r="K982" i="5"/>
  <c r="L982" i="5" s="1"/>
  <c r="K950" i="5"/>
  <c r="L950" i="5" s="1"/>
  <c r="K934" i="5"/>
  <c r="L934" i="5" s="1"/>
  <c r="K754" i="5"/>
  <c r="L754" i="5" s="1"/>
  <c r="K690" i="5"/>
  <c r="L690" i="5" s="1"/>
  <c r="K466" i="5"/>
  <c r="L466" i="5" s="1"/>
  <c r="K18" i="5"/>
  <c r="L18" i="5" s="1"/>
  <c r="K962" i="5"/>
  <c r="L962" i="5" s="1"/>
  <c r="K967" i="5"/>
  <c r="L967" i="5" s="1"/>
  <c r="K918" i="5"/>
  <c r="L918" i="5" s="1"/>
  <c r="K902" i="5"/>
  <c r="L902" i="5" s="1"/>
  <c r="K886" i="5"/>
  <c r="L886" i="5" s="1"/>
  <c r="K870" i="5"/>
  <c r="L870" i="5" s="1"/>
  <c r="K854" i="5"/>
  <c r="L854" i="5" s="1"/>
  <c r="K846" i="5"/>
  <c r="L846" i="5" s="1"/>
  <c r="K838" i="5"/>
  <c r="L838" i="5" s="1"/>
  <c r="K830" i="5"/>
  <c r="L830" i="5" s="1"/>
  <c r="K822" i="5"/>
  <c r="L822" i="5" s="1"/>
  <c r="K814" i="5"/>
  <c r="L814" i="5" s="1"/>
  <c r="K806" i="5"/>
  <c r="L806" i="5" s="1"/>
  <c r="K798" i="5"/>
  <c r="L798" i="5" s="1"/>
  <c r="K790" i="5"/>
  <c r="L790" i="5" s="1"/>
  <c r="K774" i="5"/>
  <c r="L774" i="5" s="1"/>
  <c r="K758" i="5"/>
  <c r="L758" i="5" s="1"/>
  <c r="K742" i="5"/>
  <c r="L742" i="5" s="1"/>
  <c r="K726" i="5"/>
  <c r="L726" i="5" s="1"/>
  <c r="K718" i="5"/>
  <c r="L718" i="5" s="1"/>
  <c r="K702" i="5"/>
  <c r="L702" i="5" s="1"/>
  <c r="K686" i="5"/>
  <c r="L686" i="5" s="1"/>
  <c r="K670" i="5"/>
  <c r="L670" i="5" s="1"/>
  <c r="K662" i="5"/>
  <c r="L662" i="5" s="1"/>
  <c r="K646" i="5"/>
  <c r="L646" i="5" s="1"/>
  <c r="K638" i="5"/>
  <c r="L638" i="5" s="1"/>
  <c r="K630" i="5"/>
  <c r="L630" i="5" s="1"/>
  <c r="K614" i="5"/>
  <c r="L614" i="5" s="1"/>
  <c r="K606" i="5"/>
  <c r="L606" i="5" s="1"/>
  <c r="K598" i="5"/>
  <c r="L598" i="5" s="1"/>
  <c r="K582" i="5"/>
  <c r="L582" i="5" s="1"/>
  <c r="K574" i="5"/>
  <c r="L574" i="5" s="1"/>
  <c r="K566" i="5"/>
  <c r="L566" i="5" s="1"/>
  <c r="K550" i="5"/>
  <c r="L550" i="5" s="1"/>
  <c r="K542" i="5"/>
  <c r="L542" i="5" s="1"/>
  <c r="K534" i="5"/>
  <c r="L534" i="5" s="1"/>
  <c r="K518" i="5"/>
  <c r="L518" i="5" s="1"/>
  <c r="K510" i="5"/>
  <c r="L510" i="5" s="1"/>
  <c r="K494" i="5"/>
  <c r="L494" i="5" s="1"/>
  <c r="K462" i="5"/>
  <c r="L462" i="5" s="1"/>
  <c r="K446" i="5"/>
  <c r="L446" i="5" s="1"/>
  <c r="K414" i="5"/>
  <c r="L414" i="5" s="1"/>
  <c r="K406" i="5"/>
  <c r="L406" i="5" s="1"/>
  <c r="K382" i="5"/>
  <c r="L382" i="5" s="1"/>
  <c r="K374" i="5"/>
  <c r="L374" i="5" s="1"/>
  <c r="K350" i="5"/>
  <c r="L350" i="5" s="1"/>
  <c r="K342" i="5"/>
  <c r="L342" i="5" s="1"/>
  <c r="K318" i="5"/>
  <c r="L318" i="5" s="1"/>
  <c r="K310" i="5"/>
  <c r="L310" i="5" s="1"/>
  <c r="K286" i="5"/>
  <c r="L286" i="5" s="1"/>
  <c r="K278" i="5"/>
  <c r="L278" i="5" s="1"/>
  <c r="K254" i="5"/>
  <c r="L254" i="5" s="1"/>
  <c r="K246" i="5"/>
  <c r="L246" i="5" s="1"/>
  <c r="K222" i="5"/>
  <c r="L222" i="5" s="1"/>
  <c r="K214" i="5"/>
  <c r="L214" i="5" s="1"/>
  <c r="K190" i="5"/>
  <c r="L190" i="5" s="1"/>
  <c r="K182" i="5"/>
  <c r="L182" i="5" s="1"/>
  <c r="K158" i="5"/>
  <c r="L158" i="5" s="1"/>
  <c r="K150" i="5"/>
  <c r="L150" i="5" s="1"/>
  <c r="K126" i="5"/>
  <c r="L126" i="5" s="1"/>
  <c r="K118" i="5"/>
  <c r="L118" i="5" s="1"/>
  <c r="K94" i="5"/>
  <c r="L94" i="5" s="1"/>
  <c r="K86" i="5"/>
  <c r="L86" i="5" s="1"/>
  <c r="K59" i="5"/>
  <c r="L59" i="5" s="1"/>
  <c r="H1000" i="5"/>
  <c r="I1000" i="5" s="1"/>
  <c r="H984" i="5"/>
  <c r="I984" i="5" s="1"/>
  <c r="K984" i="5" s="1"/>
  <c r="L984" i="5" s="1"/>
  <c r="H968" i="5"/>
  <c r="I968" i="5" s="1"/>
  <c r="H952" i="5"/>
  <c r="I952" i="5" s="1"/>
  <c r="K952" i="5" s="1"/>
  <c r="L952" i="5" s="1"/>
  <c r="H936" i="5"/>
  <c r="I936" i="5" s="1"/>
  <c r="H920" i="5"/>
  <c r="I920" i="5" s="1"/>
  <c r="H904" i="5"/>
  <c r="I904" i="5" s="1"/>
  <c r="H888" i="5"/>
  <c r="I888" i="5" s="1"/>
  <c r="H872" i="5"/>
  <c r="I872" i="5" s="1"/>
  <c r="H856" i="5"/>
  <c r="I856" i="5" s="1"/>
  <c r="H840" i="5"/>
  <c r="I840" i="5" s="1"/>
  <c r="H824" i="5"/>
  <c r="I824" i="5" s="1"/>
  <c r="H808" i="5"/>
  <c r="I808" i="5" s="1"/>
  <c r="H792" i="5"/>
  <c r="I792" i="5" s="1"/>
  <c r="H776" i="5"/>
  <c r="I776" i="5" s="1"/>
  <c r="H760" i="5"/>
  <c r="I760" i="5" s="1"/>
  <c r="H744" i="5"/>
  <c r="I744" i="5" s="1"/>
  <c r="H728" i="5"/>
  <c r="I728" i="5" s="1"/>
  <c r="H712" i="5"/>
  <c r="I712" i="5" s="1"/>
  <c r="H696" i="5"/>
  <c r="I696" i="5" s="1"/>
  <c r="H680" i="5"/>
  <c r="I680" i="5" s="1"/>
  <c r="H664" i="5"/>
  <c r="I664" i="5" s="1"/>
  <c r="H648" i="5"/>
  <c r="I648" i="5" s="1"/>
  <c r="H632" i="5"/>
  <c r="I632" i="5" s="1"/>
  <c r="H616" i="5"/>
  <c r="I616" i="5" s="1"/>
  <c r="H600" i="5"/>
  <c r="I600" i="5" s="1"/>
  <c r="H584" i="5"/>
  <c r="I584" i="5" s="1"/>
  <c r="H568" i="5"/>
  <c r="I568" i="5" s="1"/>
  <c r="H552" i="5"/>
  <c r="I552" i="5" s="1"/>
  <c r="K914" i="5"/>
  <c r="L914" i="5" s="1"/>
  <c r="H1003" i="5"/>
  <c r="I1003" i="5" s="1"/>
  <c r="K1003" i="5" s="1"/>
  <c r="L1003" i="5" s="1"/>
  <c r="H995" i="5"/>
  <c r="I995" i="5" s="1"/>
  <c r="K995" i="5" s="1"/>
  <c r="L995" i="5" s="1"/>
  <c r="H987" i="5"/>
  <c r="I987" i="5" s="1"/>
  <c r="H979" i="5"/>
  <c r="I979" i="5" s="1"/>
  <c r="K979" i="5" s="1"/>
  <c r="L979" i="5" s="1"/>
  <c r="H971" i="5"/>
  <c r="I971" i="5" s="1"/>
  <c r="K971" i="5" s="1"/>
  <c r="L971" i="5" s="1"/>
  <c r="H963" i="5"/>
  <c r="I963" i="5" s="1"/>
  <c r="K963" i="5" s="1"/>
  <c r="L963" i="5" s="1"/>
  <c r="H951" i="5"/>
  <c r="I951" i="5" s="1"/>
  <c r="K951" i="5" s="1"/>
  <c r="L951" i="5" s="1"/>
  <c r="H943" i="5"/>
  <c r="I943" i="5" s="1"/>
  <c r="H939" i="5"/>
  <c r="I939" i="5" s="1"/>
  <c r="K939" i="5" s="1"/>
  <c r="L939" i="5" s="1"/>
  <c r="H931" i="5"/>
  <c r="I931" i="5" s="1"/>
  <c r="K931" i="5" s="1"/>
  <c r="L931" i="5" s="1"/>
  <c r="H919" i="5"/>
  <c r="I919" i="5" s="1"/>
  <c r="H911" i="5"/>
  <c r="I911" i="5" s="1"/>
  <c r="H903" i="5"/>
  <c r="I903" i="5" s="1"/>
  <c r="H895" i="5"/>
  <c r="I895" i="5" s="1"/>
  <c r="K895" i="5" s="1"/>
  <c r="L895" i="5" s="1"/>
  <c r="H887" i="5"/>
  <c r="I887" i="5" s="1"/>
  <c r="H879" i="5"/>
  <c r="I879" i="5" s="1"/>
  <c r="H871" i="5"/>
  <c r="I871" i="5" s="1"/>
  <c r="H863" i="5"/>
  <c r="I863" i="5" s="1"/>
  <c r="K863" i="5" s="1"/>
  <c r="L863" i="5" s="1"/>
  <c r="H855" i="5"/>
  <c r="I855" i="5" s="1"/>
  <c r="H847" i="5"/>
  <c r="I847" i="5" s="1"/>
  <c r="H839" i="5"/>
  <c r="I839" i="5" s="1"/>
  <c r="H831" i="5"/>
  <c r="I831" i="5" s="1"/>
  <c r="H823" i="5"/>
  <c r="I823" i="5" s="1"/>
  <c r="H815" i="5"/>
  <c r="I815" i="5" s="1"/>
  <c r="H807" i="5"/>
  <c r="I807" i="5" s="1"/>
  <c r="H799" i="5"/>
  <c r="I799" i="5" s="1"/>
  <c r="H787" i="5"/>
  <c r="I787" i="5" s="1"/>
  <c r="K787" i="5" s="1"/>
  <c r="L787" i="5" s="1"/>
  <c r="H779" i="5"/>
  <c r="I779" i="5" s="1"/>
  <c r="H771" i="5"/>
  <c r="I771" i="5" s="1"/>
  <c r="H763" i="5"/>
  <c r="I763" i="5" s="1"/>
  <c r="K763" i="5" s="1"/>
  <c r="L763" i="5" s="1"/>
  <c r="H755" i="5"/>
  <c r="I755" i="5" s="1"/>
  <c r="K755" i="5" s="1"/>
  <c r="L755" i="5" s="1"/>
  <c r="H747" i="5"/>
  <c r="I747" i="5" s="1"/>
  <c r="H739" i="5"/>
  <c r="I739" i="5" s="1"/>
  <c r="H731" i="5"/>
  <c r="I731" i="5" s="1"/>
  <c r="H723" i="5"/>
  <c r="I723" i="5" s="1"/>
  <c r="K723" i="5" s="1"/>
  <c r="L723" i="5" s="1"/>
  <c r="H715" i="5"/>
  <c r="I715" i="5" s="1"/>
  <c r="H707" i="5"/>
  <c r="I707" i="5" s="1"/>
  <c r="H699" i="5"/>
  <c r="I699" i="5" s="1"/>
  <c r="H691" i="5"/>
  <c r="I691" i="5" s="1"/>
  <c r="K691" i="5" s="1"/>
  <c r="L691" i="5" s="1"/>
  <c r="H683" i="5"/>
  <c r="I683" i="5" s="1"/>
  <c r="H671" i="5"/>
  <c r="I671" i="5" s="1"/>
  <c r="H663" i="5"/>
  <c r="I663" i="5" s="1"/>
  <c r="H655" i="5"/>
  <c r="I655" i="5" s="1"/>
  <c r="H647" i="5"/>
  <c r="I647" i="5" s="1"/>
  <c r="H639" i="5"/>
  <c r="I639" i="5" s="1"/>
  <c r="H631" i="5"/>
  <c r="I631" i="5" s="1"/>
  <c r="H623" i="5"/>
  <c r="I623" i="5" s="1"/>
  <c r="H615" i="5"/>
  <c r="I615" i="5" s="1"/>
  <c r="H607" i="5"/>
  <c r="I607" i="5" s="1"/>
  <c r="H599" i="5"/>
  <c r="I599" i="5" s="1"/>
  <c r="H591" i="5"/>
  <c r="I591" i="5" s="1"/>
  <c r="H583" i="5"/>
  <c r="I583" i="5" s="1"/>
  <c r="H575" i="5"/>
  <c r="I575" i="5" s="1"/>
  <c r="H567" i="5"/>
  <c r="I567" i="5" s="1"/>
  <c r="H559" i="5"/>
  <c r="I559" i="5" s="1"/>
  <c r="H551" i="5"/>
  <c r="I551" i="5" s="1"/>
  <c r="H543" i="5"/>
  <c r="I543" i="5" s="1"/>
  <c r="H535" i="5"/>
  <c r="I535" i="5" s="1"/>
  <c r="H527" i="5"/>
  <c r="I527" i="5" s="1"/>
  <c r="H519" i="5"/>
  <c r="I519" i="5" s="1"/>
  <c r="H507" i="5"/>
  <c r="I507" i="5" s="1"/>
  <c r="H499" i="5"/>
  <c r="I499" i="5" s="1"/>
  <c r="H491" i="5"/>
  <c r="I491" i="5" s="1"/>
  <c r="K491" i="5" s="1"/>
  <c r="L491" i="5" s="1"/>
  <c r="H483" i="5"/>
  <c r="I483" i="5" s="1"/>
  <c r="H475" i="5"/>
  <c r="I475" i="5" s="1"/>
  <c r="H467" i="5"/>
  <c r="I467" i="5" s="1"/>
  <c r="H459" i="5"/>
  <c r="I459" i="5" s="1"/>
  <c r="K459" i="5" s="1"/>
  <c r="L459" i="5" s="1"/>
  <c r="H451" i="5"/>
  <c r="I451" i="5" s="1"/>
  <c r="H443" i="5"/>
  <c r="I443" i="5" s="1"/>
  <c r="H431" i="5"/>
  <c r="I431" i="5" s="1"/>
  <c r="H423" i="5"/>
  <c r="I423" i="5" s="1"/>
  <c r="H415" i="5"/>
  <c r="I415" i="5" s="1"/>
  <c r="H407" i="5"/>
  <c r="I407" i="5" s="1"/>
  <c r="H399" i="5"/>
  <c r="I399" i="5" s="1"/>
  <c r="H391" i="5"/>
  <c r="I391" i="5" s="1"/>
  <c r="H383" i="5"/>
  <c r="I383" i="5" s="1"/>
  <c r="H375" i="5"/>
  <c r="I375" i="5" s="1"/>
  <c r="H367" i="5"/>
  <c r="I367" i="5" s="1"/>
  <c r="H359" i="5"/>
  <c r="I359" i="5" s="1"/>
  <c r="H351" i="5"/>
  <c r="I351" i="5" s="1"/>
  <c r="H343" i="5"/>
  <c r="I343" i="5" s="1"/>
  <c r="H335" i="5"/>
  <c r="I335" i="5" s="1"/>
  <c r="H327" i="5"/>
  <c r="I327" i="5" s="1"/>
  <c r="H319" i="5"/>
  <c r="I319" i="5" s="1"/>
  <c r="H311" i="5"/>
  <c r="I311" i="5" s="1"/>
  <c r="H303" i="5"/>
  <c r="I303" i="5" s="1"/>
  <c r="H295" i="5"/>
  <c r="I295" i="5" s="1"/>
  <c r="H287" i="5"/>
  <c r="I287" i="5" s="1"/>
  <c r="H279" i="5"/>
  <c r="I279" i="5" s="1"/>
  <c r="H271" i="5"/>
  <c r="I271" i="5" s="1"/>
  <c r="H263" i="5"/>
  <c r="I263" i="5" s="1"/>
  <c r="H255" i="5"/>
  <c r="I255" i="5" s="1"/>
  <c r="H247" i="5"/>
  <c r="I247" i="5" s="1"/>
  <c r="H239" i="5"/>
  <c r="I239" i="5" s="1"/>
  <c r="H231" i="5"/>
  <c r="I231" i="5" s="1"/>
  <c r="H223" i="5"/>
  <c r="I223" i="5" s="1"/>
  <c r="H215" i="5"/>
  <c r="I215" i="5" s="1"/>
  <c r="H207" i="5"/>
  <c r="I207" i="5" s="1"/>
  <c r="H199" i="5"/>
  <c r="I199" i="5" s="1"/>
  <c r="H191" i="5"/>
  <c r="I191" i="5" s="1"/>
  <c r="H183" i="5"/>
  <c r="I183" i="5" s="1"/>
  <c r="H175" i="5"/>
  <c r="I175" i="5" s="1"/>
  <c r="H167" i="5"/>
  <c r="I167" i="5" s="1"/>
  <c r="H159" i="5"/>
  <c r="I159" i="5" s="1"/>
  <c r="H151" i="5"/>
  <c r="I151" i="5" s="1"/>
  <c r="H143" i="5"/>
  <c r="I143" i="5" s="1"/>
  <c r="H135" i="5"/>
  <c r="I135" i="5" s="1"/>
  <c r="H127" i="5"/>
  <c r="I127" i="5" s="1"/>
  <c r="H119" i="5"/>
  <c r="I119" i="5" s="1"/>
  <c r="H111" i="5"/>
  <c r="I111" i="5" s="1"/>
  <c r="H103" i="5"/>
  <c r="I103" i="5" s="1"/>
  <c r="H95" i="5"/>
  <c r="I95" i="5" s="1"/>
  <c r="H87" i="5"/>
  <c r="I87" i="5" s="1"/>
  <c r="H75" i="5"/>
  <c r="I75" i="5" s="1"/>
  <c r="H67" i="5"/>
  <c r="I67" i="5" s="1"/>
  <c r="K67" i="5" s="1"/>
  <c r="L67" i="5" s="1"/>
  <c r="H59" i="5"/>
  <c r="I59" i="5" s="1"/>
  <c r="H51" i="5"/>
  <c r="I51" i="5" s="1"/>
  <c r="H43" i="5"/>
  <c r="I43" i="5" s="1"/>
  <c r="H35" i="5"/>
  <c r="I35" i="5" s="1"/>
  <c r="K35" i="5" s="1"/>
  <c r="L35" i="5" s="1"/>
  <c r="H27" i="5"/>
  <c r="I27" i="5" s="1"/>
  <c r="H19" i="5"/>
  <c r="I19" i="5" s="1"/>
  <c r="H11" i="5"/>
  <c r="I11" i="5" s="1"/>
  <c r="K997" i="5"/>
  <c r="L997" i="5" s="1"/>
  <c r="K977" i="5"/>
  <c r="L977" i="5" s="1"/>
  <c r="K933" i="5"/>
  <c r="L933" i="5" s="1"/>
  <c r="J923" i="5"/>
  <c r="K923" i="5" s="1"/>
  <c r="L923" i="5" s="1"/>
  <c r="J875" i="5"/>
  <c r="K875" i="5" s="1"/>
  <c r="L875" i="5" s="1"/>
  <c r="J859" i="5"/>
  <c r="K859" i="5" s="1"/>
  <c r="L859" i="5" s="1"/>
  <c r="J782" i="5"/>
  <c r="K782" i="5" s="1"/>
  <c r="L782" i="5" s="1"/>
  <c r="J766" i="5"/>
  <c r="K766" i="5" s="1"/>
  <c r="L766" i="5" s="1"/>
  <c r="J750" i="5"/>
  <c r="K750" i="5" s="1"/>
  <c r="L750" i="5" s="1"/>
  <c r="J734" i="5"/>
  <c r="K734" i="5" s="1"/>
  <c r="L734" i="5" s="1"/>
  <c r="J710" i="5"/>
  <c r="K710" i="5" s="1"/>
  <c r="L710" i="5" s="1"/>
  <c r="J694" i="5"/>
  <c r="K694" i="5" s="1"/>
  <c r="L694" i="5" s="1"/>
  <c r="J678" i="5"/>
  <c r="K678" i="5" s="1"/>
  <c r="L678" i="5" s="1"/>
  <c r="J502" i="5"/>
  <c r="K502" i="5" s="1"/>
  <c r="L502" i="5" s="1"/>
  <c r="J486" i="5"/>
  <c r="K486" i="5" s="1"/>
  <c r="L486" i="5" s="1"/>
  <c r="J470" i="5"/>
  <c r="K470" i="5" s="1"/>
  <c r="L470" i="5" s="1"/>
  <c r="J454" i="5"/>
  <c r="K454" i="5" s="1"/>
  <c r="L454" i="5" s="1"/>
  <c r="J438" i="5"/>
  <c r="K438" i="5" s="1"/>
  <c r="L438" i="5" s="1"/>
  <c r="J78" i="5"/>
  <c r="K78" i="5" s="1"/>
  <c r="L78" i="5" s="1"/>
  <c r="J70" i="5"/>
  <c r="K70" i="5" s="1"/>
  <c r="L70" i="5" s="1"/>
  <c r="J54" i="5"/>
  <c r="K54" i="5" s="1"/>
  <c r="L54" i="5" s="1"/>
  <c r="J46" i="5"/>
  <c r="K46" i="5" s="1"/>
  <c r="L46" i="5" s="1"/>
  <c r="J38" i="5"/>
  <c r="K38" i="5" s="1"/>
  <c r="L38" i="5" s="1"/>
  <c r="J30" i="5"/>
  <c r="K30" i="5" s="1"/>
  <c r="L30" i="5" s="1"/>
  <c r="J22" i="5"/>
  <c r="K22" i="5" s="1"/>
  <c r="L22" i="5" s="1"/>
  <c r="J14" i="5"/>
  <c r="K14" i="5" s="1"/>
  <c r="L14" i="5" s="1"/>
  <c r="J6" i="5"/>
  <c r="K6" i="5" s="1"/>
  <c r="L6" i="5" s="1"/>
  <c r="H926" i="5"/>
  <c r="I926" i="5" s="1"/>
  <c r="K926" i="5" s="1"/>
  <c r="L926" i="5" s="1"/>
  <c r="H922" i="5"/>
  <c r="I922" i="5" s="1"/>
  <c r="K922" i="5" s="1"/>
  <c r="L922" i="5" s="1"/>
  <c r="H910" i="5"/>
  <c r="I910" i="5" s="1"/>
  <c r="H906" i="5"/>
  <c r="I906" i="5" s="1"/>
  <c r="H894" i="5"/>
  <c r="I894" i="5" s="1"/>
  <c r="K894" i="5" s="1"/>
  <c r="L894" i="5" s="1"/>
  <c r="H890" i="5"/>
  <c r="I890" i="5" s="1"/>
  <c r="H878" i="5"/>
  <c r="I878" i="5" s="1"/>
  <c r="K878" i="5" s="1"/>
  <c r="L878" i="5" s="1"/>
  <c r="H874" i="5"/>
  <c r="I874" i="5" s="1"/>
  <c r="K874" i="5" s="1"/>
  <c r="L874" i="5" s="1"/>
  <c r="H862" i="5"/>
  <c r="I862" i="5" s="1"/>
  <c r="K862" i="5" s="1"/>
  <c r="L862" i="5" s="1"/>
  <c r="H858" i="5"/>
  <c r="I858" i="5" s="1"/>
  <c r="H850" i="5"/>
  <c r="I850" i="5" s="1"/>
  <c r="K850" i="5" s="1"/>
  <c r="L850" i="5" s="1"/>
  <c r="H842" i="5"/>
  <c r="I842" i="5" s="1"/>
  <c r="K842" i="5" s="1"/>
  <c r="L842" i="5" s="1"/>
  <c r="H834" i="5"/>
  <c r="I834" i="5" s="1"/>
  <c r="K834" i="5" s="1"/>
  <c r="L834" i="5" s="1"/>
  <c r="H826" i="5"/>
  <c r="I826" i="5" s="1"/>
  <c r="K826" i="5" s="1"/>
  <c r="L826" i="5" s="1"/>
  <c r="H818" i="5"/>
  <c r="I818" i="5" s="1"/>
  <c r="K818" i="5" s="1"/>
  <c r="L818" i="5" s="1"/>
  <c r="H810" i="5"/>
  <c r="I810" i="5" s="1"/>
  <c r="K810" i="5" s="1"/>
  <c r="L810" i="5" s="1"/>
  <c r="H802" i="5"/>
  <c r="I802" i="5" s="1"/>
  <c r="K802" i="5" s="1"/>
  <c r="L802" i="5" s="1"/>
  <c r="H794" i="5"/>
  <c r="I794" i="5" s="1"/>
  <c r="K794" i="5" s="1"/>
  <c r="L794" i="5" s="1"/>
  <c r="H786" i="5"/>
  <c r="I786" i="5" s="1"/>
  <c r="K786" i="5" s="1"/>
  <c r="L786" i="5" s="1"/>
  <c r="H778" i="5"/>
  <c r="I778" i="5" s="1"/>
  <c r="K778" i="5" s="1"/>
  <c r="L778" i="5" s="1"/>
  <c r="H770" i="5"/>
  <c r="I770" i="5" s="1"/>
  <c r="K770" i="5" s="1"/>
  <c r="L770" i="5" s="1"/>
  <c r="H762" i="5"/>
  <c r="I762" i="5" s="1"/>
  <c r="K762" i="5" s="1"/>
  <c r="L762" i="5" s="1"/>
  <c r="H754" i="5"/>
  <c r="I754" i="5" s="1"/>
  <c r="H746" i="5"/>
  <c r="I746" i="5" s="1"/>
  <c r="K746" i="5" s="1"/>
  <c r="L746" i="5" s="1"/>
  <c r="H738" i="5"/>
  <c r="I738" i="5" s="1"/>
  <c r="K738" i="5" s="1"/>
  <c r="L738" i="5" s="1"/>
  <c r="H730" i="5"/>
  <c r="I730" i="5" s="1"/>
  <c r="H722" i="5"/>
  <c r="I722" i="5" s="1"/>
  <c r="K722" i="5" s="1"/>
  <c r="L722" i="5" s="1"/>
  <c r="H714" i="5"/>
  <c r="I714" i="5" s="1"/>
  <c r="K714" i="5" s="1"/>
  <c r="L714" i="5" s="1"/>
  <c r="H706" i="5"/>
  <c r="I706" i="5" s="1"/>
  <c r="K706" i="5" s="1"/>
  <c r="L706" i="5" s="1"/>
  <c r="H698" i="5"/>
  <c r="I698" i="5" s="1"/>
  <c r="K698" i="5" s="1"/>
  <c r="L698" i="5" s="1"/>
  <c r="H690" i="5"/>
  <c r="I690" i="5" s="1"/>
  <c r="H682" i="5"/>
  <c r="I682" i="5" s="1"/>
  <c r="K682" i="5" s="1"/>
  <c r="L682" i="5" s="1"/>
  <c r="H674" i="5"/>
  <c r="I674" i="5" s="1"/>
  <c r="K674" i="5" s="1"/>
  <c r="L674" i="5" s="1"/>
  <c r="H666" i="5"/>
  <c r="I666" i="5" s="1"/>
  <c r="K666" i="5" s="1"/>
  <c r="L666" i="5" s="1"/>
  <c r="H658" i="5"/>
  <c r="I658" i="5" s="1"/>
  <c r="K658" i="5" s="1"/>
  <c r="L658" i="5" s="1"/>
  <c r="H650" i="5"/>
  <c r="I650" i="5" s="1"/>
  <c r="K650" i="5" s="1"/>
  <c r="L650" i="5" s="1"/>
  <c r="H642" i="5"/>
  <c r="I642" i="5" s="1"/>
  <c r="K642" i="5" s="1"/>
  <c r="L642" i="5" s="1"/>
  <c r="H634" i="5"/>
  <c r="I634" i="5" s="1"/>
  <c r="K634" i="5" s="1"/>
  <c r="L634" i="5" s="1"/>
  <c r="H626" i="5"/>
  <c r="I626" i="5" s="1"/>
  <c r="K626" i="5" s="1"/>
  <c r="L626" i="5" s="1"/>
  <c r="H618" i="5"/>
  <c r="I618" i="5" s="1"/>
  <c r="K618" i="5" s="1"/>
  <c r="L618" i="5" s="1"/>
  <c r="H610" i="5"/>
  <c r="I610" i="5" s="1"/>
  <c r="K610" i="5" s="1"/>
  <c r="L610" i="5" s="1"/>
  <c r="H602" i="5"/>
  <c r="I602" i="5" s="1"/>
  <c r="K602" i="5" s="1"/>
  <c r="L602" i="5" s="1"/>
  <c r="H594" i="5"/>
  <c r="I594" i="5" s="1"/>
  <c r="K594" i="5" s="1"/>
  <c r="L594" i="5" s="1"/>
  <c r="H586" i="5"/>
  <c r="I586" i="5" s="1"/>
  <c r="K586" i="5" s="1"/>
  <c r="L586" i="5" s="1"/>
  <c r="H578" i="5"/>
  <c r="I578" i="5" s="1"/>
  <c r="K578" i="5" s="1"/>
  <c r="L578" i="5" s="1"/>
  <c r="H570" i="5"/>
  <c r="I570" i="5" s="1"/>
  <c r="K570" i="5" s="1"/>
  <c r="L570" i="5" s="1"/>
  <c r="H562" i="5"/>
  <c r="I562" i="5" s="1"/>
  <c r="K562" i="5" s="1"/>
  <c r="L562" i="5" s="1"/>
  <c r="H554" i="5"/>
  <c r="I554" i="5" s="1"/>
  <c r="K554" i="5" s="1"/>
  <c r="L554" i="5" s="1"/>
  <c r="H546" i="5"/>
  <c r="I546" i="5" s="1"/>
  <c r="K546" i="5" s="1"/>
  <c r="L546" i="5" s="1"/>
  <c r="H538" i="5"/>
  <c r="I538" i="5" s="1"/>
  <c r="K538" i="5" s="1"/>
  <c r="L538" i="5" s="1"/>
  <c r="H530" i="5"/>
  <c r="I530" i="5" s="1"/>
  <c r="K530" i="5" s="1"/>
  <c r="L530" i="5" s="1"/>
  <c r="H522" i="5"/>
  <c r="I522" i="5" s="1"/>
  <c r="K522" i="5" s="1"/>
  <c r="L522" i="5" s="1"/>
  <c r="H514" i="5"/>
  <c r="I514" i="5" s="1"/>
  <c r="K514" i="5" s="1"/>
  <c r="L514" i="5" s="1"/>
  <c r="H506" i="5"/>
  <c r="I506" i="5" s="1"/>
  <c r="K506" i="5" s="1"/>
  <c r="L506" i="5" s="1"/>
  <c r="H498" i="5"/>
  <c r="I498" i="5" s="1"/>
  <c r="K498" i="5" s="1"/>
  <c r="L498" i="5" s="1"/>
  <c r="H490" i="5"/>
  <c r="I490" i="5" s="1"/>
  <c r="H482" i="5"/>
  <c r="I482" i="5" s="1"/>
  <c r="K482" i="5" s="1"/>
  <c r="L482" i="5" s="1"/>
  <c r="H474" i="5"/>
  <c r="I474" i="5" s="1"/>
  <c r="K474" i="5" s="1"/>
  <c r="L474" i="5" s="1"/>
  <c r="H466" i="5"/>
  <c r="I466" i="5" s="1"/>
  <c r="H458" i="5"/>
  <c r="I458" i="5" s="1"/>
  <c r="K458" i="5" s="1"/>
  <c r="L458" i="5" s="1"/>
  <c r="H450" i="5"/>
  <c r="I450" i="5" s="1"/>
  <c r="K450" i="5" s="1"/>
  <c r="L450" i="5" s="1"/>
  <c r="H442" i="5"/>
  <c r="I442" i="5" s="1"/>
  <c r="K442" i="5" s="1"/>
  <c r="L442" i="5" s="1"/>
  <c r="H434" i="5"/>
  <c r="I434" i="5" s="1"/>
  <c r="K434" i="5" s="1"/>
  <c r="L434" i="5" s="1"/>
  <c r="H426" i="5"/>
  <c r="I426" i="5" s="1"/>
  <c r="K426" i="5" s="1"/>
  <c r="L426" i="5" s="1"/>
  <c r="H418" i="5"/>
  <c r="I418" i="5" s="1"/>
  <c r="K418" i="5" s="1"/>
  <c r="L418" i="5" s="1"/>
  <c r="H410" i="5"/>
  <c r="I410" i="5" s="1"/>
  <c r="K410" i="5" s="1"/>
  <c r="L410" i="5" s="1"/>
  <c r="H402" i="5"/>
  <c r="I402" i="5" s="1"/>
  <c r="K402" i="5" s="1"/>
  <c r="L402" i="5" s="1"/>
  <c r="H394" i="5"/>
  <c r="I394" i="5" s="1"/>
  <c r="K394" i="5" s="1"/>
  <c r="L394" i="5" s="1"/>
  <c r="H386" i="5"/>
  <c r="I386" i="5" s="1"/>
  <c r="H378" i="5"/>
  <c r="I378" i="5" s="1"/>
  <c r="K378" i="5" s="1"/>
  <c r="L378" i="5" s="1"/>
  <c r="H370" i="5"/>
  <c r="I370" i="5" s="1"/>
  <c r="H362" i="5"/>
  <c r="I362" i="5" s="1"/>
  <c r="H354" i="5"/>
  <c r="I354" i="5" s="1"/>
  <c r="H346" i="5"/>
  <c r="I346" i="5" s="1"/>
  <c r="K346" i="5" s="1"/>
  <c r="L346" i="5" s="1"/>
  <c r="H338" i="5"/>
  <c r="I338" i="5" s="1"/>
  <c r="H330" i="5"/>
  <c r="I330" i="5" s="1"/>
  <c r="H322" i="5"/>
  <c r="I322" i="5" s="1"/>
  <c r="H314" i="5"/>
  <c r="I314" i="5" s="1"/>
  <c r="K314" i="5" s="1"/>
  <c r="L314" i="5" s="1"/>
  <c r="H306" i="5"/>
  <c r="I306" i="5" s="1"/>
  <c r="H298" i="5"/>
  <c r="I298" i="5" s="1"/>
  <c r="H290" i="5"/>
  <c r="I290" i="5" s="1"/>
  <c r="H282" i="5"/>
  <c r="I282" i="5" s="1"/>
  <c r="K282" i="5" s="1"/>
  <c r="L282" i="5" s="1"/>
  <c r="H274" i="5"/>
  <c r="I274" i="5" s="1"/>
  <c r="H266" i="5"/>
  <c r="I266" i="5" s="1"/>
  <c r="H258" i="5"/>
  <c r="I258" i="5" s="1"/>
  <c r="H250" i="5"/>
  <c r="I250" i="5" s="1"/>
  <c r="K250" i="5" s="1"/>
  <c r="L250" i="5" s="1"/>
  <c r="H242" i="5"/>
  <c r="I242" i="5" s="1"/>
  <c r="H234" i="5"/>
  <c r="I234" i="5" s="1"/>
  <c r="H226" i="5"/>
  <c r="I226" i="5" s="1"/>
  <c r="H218" i="5"/>
  <c r="I218" i="5" s="1"/>
  <c r="K218" i="5" s="1"/>
  <c r="L218" i="5" s="1"/>
  <c r="H210" i="5"/>
  <c r="I210" i="5" s="1"/>
  <c r="H202" i="5"/>
  <c r="I202" i="5" s="1"/>
  <c r="H194" i="5"/>
  <c r="I194" i="5" s="1"/>
  <c r="H186" i="5"/>
  <c r="I186" i="5" s="1"/>
  <c r="K186" i="5" s="1"/>
  <c r="L186" i="5" s="1"/>
  <c r="H178" i="5"/>
  <c r="I178" i="5" s="1"/>
  <c r="H170" i="5"/>
  <c r="I170" i="5" s="1"/>
  <c r="H162" i="5"/>
  <c r="I162" i="5" s="1"/>
  <c r="H154" i="5"/>
  <c r="I154" i="5" s="1"/>
  <c r="K154" i="5" s="1"/>
  <c r="L154" i="5" s="1"/>
  <c r="H146" i="5"/>
  <c r="I146" i="5" s="1"/>
  <c r="H138" i="5"/>
  <c r="I138" i="5" s="1"/>
  <c r="H130" i="5"/>
  <c r="I130" i="5" s="1"/>
  <c r="H122" i="5"/>
  <c r="I122" i="5" s="1"/>
  <c r="K122" i="5" s="1"/>
  <c r="L122" i="5" s="1"/>
  <c r="H114" i="5"/>
  <c r="I114" i="5" s="1"/>
  <c r="H106" i="5"/>
  <c r="I106" i="5" s="1"/>
  <c r="H98" i="5"/>
  <c r="I98" i="5" s="1"/>
  <c r="H90" i="5"/>
  <c r="I90" i="5" s="1"/>
  <c r="K90" i="5" s="1"/>
  <c r="L90" i="5" s="1"/>
  <c r="H82" i="5"/>
  <c r="I82" i="5" s="1"/>
  <c r="H74" i="5"/>
  <c r="I74" i="5" s="1"/>
  <c r="H66" i="5"/>
  <c r="I66" i="5" s="1"/>
  <c r="H58" i="5"/>
  <c r="I58" i="5" s="1"/>
  <c r="K58" i="5" s="1"/>
  <c r="L58" i="5" s="1"/>
  <c r="H50" i="5"/>
  <c r="I50" i="5" s="1"/>
  <c r="H42" i="5"/>
  <c r="I42" i="5" s="1"/>
  <c r="H34" i="5"/>
  <c r="I34" i="5" s="1"/>
  <c r="H26" i="5"/>
  <c r="I26" i="5" s="1"/>
  <c r="K26" i="5" s="1"/>
  <c r="L26" i="5" s="1"/>
  <c r="H18" i="5"/>
  <c r="I18" i="5" s="1"/>
  <c r="H10" i="5"/>
  <c r="I10" i="5" s="1"/>
  <c r="J927" i="5"/>
  <c r="K927" i="5" s="1"/>
  <c r="L927" i="5" s="1"/>
  <c r="J917" i="5"/>
  <c r="K917" i="5" s="1"/>
  <c r="L917" i="5" s="1"/>
  <c r="J901" i="5"/>
  <c r="K901" i="5" s="1"/>
  <c r="L901" i="5" s="1"/>
  <c r="J885" i="5"/>
  <c r="K885" i="5" s="1"/>
  <c r="L885" i="5" s="1"/>
  <c r="J869" i="5"/>
  <c r="K869" i="5" s="1"/>
  <c r="L869" i="5" s="1"/>
  <c r="J851" i="5"/>
  <c r="K851" i="5" s="1"/>
  <c r="L851" i="5" s="1"/>
  <c r="J843" i="5"/>
  <c r="K843" i="5" s="1"/>
  <c r="L843" i="5" s="1"/>
  <c r="J835" i="5"/>
  <c r="K835" i="5" s="1"/>
  <c r="L835" i="5" s="1"/>
  <c r="J827" i="5"/>
  <c r="K827" i="5" s="1"/>
  <c r="L827" i="5" s="1"/>
  <c r="J819" i="5"/>
  <c r="K819" i="5" s="1"/>
  <c r="L819" i="5" s="1"/>
  <c r="J811" i="5"/>
  <c r="K811" i="5" s="1"/>
  <c r="L811" i="5" s="1"/>
  <c r="J803" i="5"/>
  <c r="K803" i="5" s="1"/>
  <c r="L803" i="5" s="1"/>
  <c r="J795" i="5"/>
  <c r="K795" i="5" s="1"/>
  <c r="L795" i="5" s="1"/>
  <c r="J675" i="5"/>
  <c r="K675" i="5" s="1"/>
  <c r="L675" i="5" s="1"/>
  <c r="J667" i="5"/>
  <c r="K667" i="5" s="1"/>
  <c r="L667" i="5" s="1"/>
  <c r="J659" i="5"/>
  <c r="K659" i="5" s="1"/>
  <c r="L659" i="5" s="1"/>
  <c r="J651" i="5"/>
  <c r="K651" i="5" s="1"/>
  <c r="L651" i="5" s="1"/>
  <c r="J643" i="5"/>
  <c r="K643" i="5" s="1"/>
  <c r="L643" i="5" s="1"/>
  <c r="J635" i="5"/>
  <c r="K635" i="5" s="1"/>
  <c r="L635" i="5" s="1"/>
  <c r="J627" i="5"/>
  <c r="K627" i="5" s="1"/>
  <c r="L627" i="5" s="1"/>
  <c r="J619" i="5"/>
  <c r="K619" i="5" s="1"/>
  <c r="L619" i="5" s="1"/>
  <c r="J611" i="5"/>
  <c r="K611" i="5" s="1"/>
  <c r="L611" i="5" s="1"/>
  <c r="J603" i="5"/>
  <c r="K603" i="5" s="1"/>
  <c r="L603" i="5" s="1"/>
  <c r="J595" i="5"/>
  <c r="K595" i="5" s="1"/>
  <c r="L595" i="5" s="1"/>
  <c r="J587" i="5"/>
  <c r="K587" i="5" s="1"/>
  <c r="L587" i="5" s="1"/>
  <c r="J579" i="5"/>
  <c r="K579" i="5" s="1"/>
  <c r="L579" i="5" s="1"/>
  <c r="J571" i="5"/>
  <c r="K571" i="5" s="1"/>
  <c r="L571" i="5" s="1"/>
  <c r="J563" i="5"/>
  <c r="K563" i="5" s="1"/>
  <c r="L563" i="5" s="1"/>
  <c r="J555" i="5"/>
  <c r="K555" i="5" s="1"/>
  <c r="L555" i="5" s="1"/>
  <c r="J547" i="5"/>
  <c r="K547" i="5" s="1"/>
  <c r="L547" i="5" s="1"/>
  <c r="J539" i="5"/>
  <c r="K539" i="5" s="1"/>
  <c r="L539" i="5" s="1"/>
  <c r="J531" i="5"/>
  <c r="K531" i="5" s="1"/>
  <c r="L531" i="5" s="1"/>
  <c r="J523" i="5"/>
  <c r="K523" i="5" s="1"/>
  <c r="L523" i="5" s="1"/>
  <c r="J515" i="5"/>
  <c r="K515" i="5" s="1"/>
  <c r="L515" i="5" s="1"/>
  <c r="J435" i="5"/>
  <c r="K435" i="5" s="1"/>
  <c r="L435" i="5" s="1"/>
  <c r="J427" i="5"/>
  <c r="K427" i="5" s="1"/>
  <c r="L427" i="5" s="1"/>
  <c r="J419" i="5"/>
  <c r="K419" i="5" s="1"/>
  <c r="L419" i="5" s="1"/>
  <c r="J411" i="5"/>
  <c r="K411" i="5" s="1"/>
  <c r="L411" i="5" s="1"/>
  <c r="J403" i="5"/>
  <c r="K403" i="5" s="1"/>
  <c r="L403" i="5" s="1"/>
  <c r="J395" i="5"/>
  <c r="K395" i="5" s="1"/>
  <c r="L395" i="5" s="1"/>
  <c r="J387" i="5"/>
  <c r="K387" i="5" s="1"/>
  <c r="L387" i="5" s="1"/>
  <c r="J379" i="5"/>
  <c r="K379" i="5" s="1"/>
  <c r="L379" i="5" s="1"/>
  <c r="J371" i="5"/>
  <c r="K371" i="5" s="1"/>
  <c r="L371" i="5" s="1"/>
  <c r="J363" i="5"/>
  <c r="K363" i="5" s="1"/>
  <c r="L363" i="5" s="1"/>
  <c r="J355" i="5"/>
  <c r="K355" i="5" s="1"/>
  <c r="L355" i="5" s="1"/>
  <c r="J347" i="5"/>
  <c r="K347" i="5" s="1"/>
  <c r="L347" i="5" s="1"/>
  <c r="J339" i="5"/>
  <c r="K339" i="5" s="1"/>
  <c r="L339" i="5" s="1"/>
  <c r="J331" i="5"/>
  <c r="K331" i="5" s="1"/>
  <c r="L331" i="5" s="1"/>
  <c r="J323" i="5"/>
  <c r="K323" i="5" s="1"/>
  <c r="L323" i="5" s="1"/>
  <c r="J315" i="5"/>
  <c r="K315" i="5" s="1"/>
  <c r="L315" i="5" s="1"/>
  <c r="J307" i="5"/>
  <c r="K307" i="5" s="1"/>
  <c r="L307" i="5" s="1"/>
  <c r="J299" i="5"/>
  <c r="K299" i="5" s="1"/>
  <c r="L299" i="5" s="1"/>
  <c r="J291" i="5"/>
  <c r="K291" i="5" s="1"/>
  <c r="L291" i="5" s="1"/>
  <c r="J283" i="5"/>
  <c r="K283" i="5" s="1"/>
  <c r="L283" i="5" s="1"/>
  <c r="J275" i="5"/>
  <c r="K275" i="5" s="1"/>
  <c r="L275" i="5" s="1"/>
  <c r="J267" i="5"/>
  <c r="K267" i="5" s="1"/>
  <c r="L267" i="5" s="1"/>
  <c r="J259" i="5"/>
  <c r="K259" i="5" s="1"/>
  <c r="L259" i="5" s="1"/>
  <c r="J251" i="5"/>
  <c r="K251" i="5" s="1"/>
  <c r="L251" i="5" s="1"/>
  <c r="J243" i="5"/>
  <c r="K243" i="5" s="1"/>
  <c r="L243" i="5" s="1"/>
  <c r="J235" i="5"/>
  <c r="K235" i="5" s="1"/>
  <c r="L235" i="5" s="1"/>
  <c r="J227" i="5"/>
  <c r="K227" i="5" s="1"/>
  <c r="L227" i="5" s="1"/>
  <c r="J219" i="5"/>
  <c r="K219" i="5" s="1"/>
  <c r="L219" i="5" s="1"/>
  <c r="J211" i="5"/>
  <c r="K211" i="5" s="1"/>
  <c r="L211" i="5" s="1"/>
  <c r="J203" i="5"/>
  <c r="K203" i="5" s="1"/>
  <c r="L203" i="5" s="1"/>
  <c r="J195" i="5"/>
  <c r="K195" i="5" s="1"/>
  <c r="L195" i="5" s="1"/>
  <c r="J187" i="5"/>
  <c r="K187" i="5" s="1"/>
  <c r="L187" i="5" s="1"/>
  <c r="J179" i="5"/>
  <c r="K179" i="5" s="1"/>
  <c r="L179" i="5" s="1"/>
  <c r="J171" i="5"/>
  <c r="K171" i="5" s="1"/>
  <c r="L171" i="5" s="1"/>
  <c r="J163" i="5"/>
  <c r="K163" i="5" s="1"/>
  <c r="L163" i="5" s="1"/>
  <c r="J155" i="5"/>
  <c r="K155" i="5" s="1"/>
  <c r="L155" i="5" s="1"/>
  <c r="J147" i="5"/>
  <c r="K147" i="5" s="1"/>
  <c r="L147" i="5" s="1"/>
  <c r="J139" i="5"/>
  <c r="K139" i="5" s="1"/>
  <c r="L139" i="5" s="1"/>
  <c r="J131" i="5"/>
  <c r="K131" i="5" s="1"/>
  <c r="L131" i="5" s="1"/>
  <c r="J123" i="5"/>
  <c r="K123" i="5" s="1"/>
  <c r="L123" i="5" s="1"/>
  <c r="J115" i="5"/>
  <c r="K115" i="5" s="1"/>
  <c r="L115" i="5" s="1"/>
  <c r="J107" i="5"/>
  <c r="K107" i="5" s="1"/>
  <c r="L107" i="5" s="1"/>
  <c r="J99" i="5"/>
  <c r="K99" i="5" s="1"/>
  <c r="L99" i="5" s="1"/>
  <c r="J91" i="5"/>
  <c r="K91" i="5" s="1"/>
  <c r="L91" i="5" s="1"/>
  <c r="J83" i="5"/>
  <c r="K83" i="5" s="1"/>
  <c r="L83" i="5" s="1"/>
  <c r="H999" i="5"/>
  <c r="I999" i="5" s="1"/>
  <c r="K999" i="5" s="1"/>
  <c r="L999" i="5" s="1"/>
  <c r="H991" i="5"/>
  <c r="I991" i="5" s="1"/>
  <c r="H983" i="5"/>
  <c r="I983" i="5" s="1"/>
  <c r="K983" i="5" s="1"/>
  <c r="L983" i="5" s="1"/>
  <c r="H975" i="5"/>
  <c r="I975" i="5" s="1"/>
  <c r="K975" i="5" s="1"/>
  <c r="L975" i="5" s="1"/>
  <c r="H967" i="5"/>
  <c r="I967" i="5" s="1"/>
  <c r="H959" i="5"/>
  <c r="I959" i="5" s="1"/>
  <c r="H955" i="5"/>
  <c r="I955" i="5" s="1"/>
  <c r="H947" i="5"/>
  <c r="I947" i="5" s="1"/>
  <c r="K947" i="5" s="1"/>
  <c r="L947" i="5" s="1"/>
  <c r="H935" i="5"/>
  <c r="I935" i="5" s="1"/>
  <c r="H915" i="5"/>
  <c r="I915" i="5" s="1"/>
  <c r="H907" i="5"/>
  <c r="I907" i="5" s="1"/>
  <c r="K907" i="5" s="1"/>
  <c r="L907" i="5" s="1"/>
  <c r="H899" i="5"/>
  <c r="I899" i="5" s="1"/>
  <c r="K899" i="5" s="1"/>
  <c r="L899" i="5" s="1"/>
  <c r="H891" i="5"/>
  <c r="I891" i="5" s="1"/>
  <c r="H883" i="5"/>
  <c r="I883" i="5" s="1"/>
  <c r="K883" i="5" s="1"/>
  <c r="L883" i="5" s="1"/>
  <c r="H867" i="5"/>
  <c r="I867" i="5" s="1"/>
  <c r="H791" i="5"/>
  <c r="I791" i="5" s="1"/>
  <c r="H775" i="5"/>
  <c r="I775" i="5" s="1"/>
  <c r="H759" i="5"/>
  <c r="I759" i="5" s="1"/>
  <c r="H743" i="5"/>
  <c r="I743" i="5" s="1"/>
  <c r="H727" i="5"/>
  <c r="I727" i="5" s="1"/>
  <c r="H719" i="5"/>
  <c r="I719" i="5" s="1"/>
  <c r="H703" i="5"/>
  <c r="I703" i="5" s="1"/>
  <c r="H687" i="5"/>
  <c r="I687" i="5" s="1"/>
  <c r="H511" i="5"/>
  <c r="I511" i="5" s="1"/>
  <c r="H495" i="5"/>
  <c r="I495" i="5" s="1"/>
  <c r="H479" i="5"/>
  <c r="I479" i="5" s="1"/>
  <c r="H463" i="5"/>
  <c r="I463" i="5" s="1"/>
  <c r="H447" i="5"/>
  <c r="I447" i="5" s="1"/>
  <c r="H63" i="5"/>
  <c r="I63" i="5" s="1"/>
  <c r="K985" i="5"/>
  <c r="L985" i="5" s="1"/>
  <c r="K965" i="5"/>
  <c r="L965" i="5" s="1"/>
  <c r="K961" i="5"/>
  <c r="L961" i="5" s="1"/>
  <c r="K957" i="5"/>
  <c r="L957" i="5" s="1"/>
  <c r="K929" i="5"/>
  <c r="L929" i="5" s="1"/>
  <c r="K881" i="5"/>
  <c r="L881" i="5" s="1"/>
  <c r="H921" i="5"/>
  <c r="I921" i="5" s="1"/>
  <c r="K921" i="5" s="1"/>
  <c r="L921" i="5" s="1"/>
  <c r="H905" i="5"/>
  <c r="I905" i="5" s="1"/>
  <c r="K905" i="5" s="1"/>
  <c r="L905" i="5" s="1"/>
  <c r="H889" i="5"/>
  <c r="I889" i="5" s="1"/>
  <c r="K889" i="5" s="1"/>
  <c r="L889" i="5" s="1"/>
  <c r="H873" i="5"/>
  <c r="I873" i="5" s="1"/>
  <c r="K873" i="5" s="1"/>
  <c r="L873" i="5" s="1"/>
  <c r="H857" i="5"/>
  <c r="I857" i="5" s="1"/>
  <c r="K857" i="5" s="1"/>
  <c r="L857" i="5" s="1"/>
  <c r="H853" i="5"/>
  <c r="I853" i="5" s="1"/>
  <c r="K853" i="5" s="1"/>
  <c r="L853" i="5" s="1"/>
  <c r="H849" i="5"/>
  <c r="I849" i="5" s="1"/>
  <c r="K849" i="5" s="1"/>
  <c r="L849" i="5" s="1"/>
  <c r="H845" i="5"/>
  <c r="I845" i="5" s="1"/>
  <c r="K845" i="5" s="1"/>
  <c r="L845" i="5" s="1"/>
  <c r="H841" i="5"/>
  <c r="I841" i="5" s="1"/>
  <c r="K841" i="5" s="1"/>
  <c r="L841" i="5" s="1"/>
  <c r="H837" i="5"/>
  <c r="I837" i="5" s="1"/>
  <c r="K837" i="5" s="1"/>
  <c r="L837" i="5" s="1"/>
  <c r="H833" i="5"/>
  <c r="I833" i="5" s="1"/>
  <c r="K833" i="5" s="1"/>
  <c r="L833" i="5" s="1"/>
  <c r="H829" i="5"/>
  <c r="I829" i="5" s="1"/>
  <c r="K829" i="5" s="1"/>
  <c r="L829" i="5" s="1"/>
  <c r="H825" i="5"/>
  <c r="I825" i="5" s="1"/>
  <c r="K825" i="5" s="1"/>
  <c r="L825" i="5" s="1"/>
  <c r="H821" i="5"/>
  <c r="I821" i="5" s="1"/>
  <c r="K821" i="5" s="1"/>
  <c r="L821" i="5" s="1"/>
  <c r="H817" i="5"/>
  <c r="I817" i="5" s="1"/>
  <c r="K817" i="5" s="1"/>
  <c r="L817" i="5" s="1"/>
  <c r="H813" i="5"/>
  <c r="I813" i="5" s="1"/>
  <c r="K813" i="5" s="1"/>
  <c r="L813" i="5" s="1"/>
  <c r="H809" i="5"/>
  <c r="I809" i="5" s="1"/>
  <c r="K809" i="5" s="1"/>
  <c r="L809" i="5" s="1"/>
  <c r="H805" i="5"/>
  <c r="I805" i="5" s="1"/>
  <c r="K805" i="5" s="1"/>
  <c r="L805" i="5" s="1"/>
  <c r="H801" i="5"/>
  <c r="I801" i="5" s="1"/>
  <c r="K801" i="5" s="1"/>
  <c r="L801" i="5" s="1"/>
  <c r="H797" i="5"/>
  <c r="I797" i="5" s="1"/>
  <c r="K797" i="5" s="1"/>
  <c r="L797" i="5" s="1"/>
  <c r="H793" i="5"/>
  <c r="I793" i="5" s="1"/>
  <c r="K793" i="5" s="1"/>
  <c r="L793" i="5" s="1"/>
  <c r="H789" i="5"/>
  <c r="I789" i="5" s="1"/>
  <c r="K789" i="5" s="1"/>
  <c r="L789" i="5" s="1"/>
  <c r="H785" i="5"/>
  <c r="I785" i="5" s="1"/>
  <c r="K785" i="5" s="1"/>
  <c r="L785" i="5" s="1"/>
  <c r="H781" i="5"/>
  <c r="I781" i="5" s="1"/>
  <c r="K781" i="5" s="1"/>
  <c r="L781" i="5" s="1"/>
  <c r="H777" i="5"/>
  <c r="I777" i="5" s="1"/>
  <c r="K777" i="5" s="1"/>
  <c r="L777" i="5" s="1"/>
  <c r="H773" i="5"/>
  <c r="I773" i="5" s="1"/>
  <c r="K773" i="5" s="1"/>
  <c r="L773" i="5" s="1"/>
  <c r="H769" i="5"/>
  <c r="I769" i="5" s="1"/>
  <c r="K769" i="5" s="1"/>
  <c r="L769" i="5" s="1"/>
  <c r="H765" i="5"/>
  <c r="I765" i="5" s="1"/>
  <c r="K765" i="5" s="1"/>
  <c r="L765" i="5" s="1"/>
  <c r="H761" i="5"/>
  <c r="I761" i="5" s="1"/>
  <c r="K761" i="5" s="1"/>
  <c r="L761" i="5" s="1"/>
  <c r="H757" i="5"/>
  <c r="I757" i="5" s="1"/>
  <c r="K757" i="5" s="1"/>
  <c r="L757" i="5" s="1"/>
  <c r="H753" i="5"/>
  <c r="I753" i="5" s="1"/>
  <c r="K753" i="5" s="1"/>
  <c r="L753" i="5" s="1"/>
  <c r="H749" i="5"/>
  <c r="I749" i="5" s="1"/>
  <c r="K749" i="5" s="1"/>
  <c r="L749" i="5" s="1"/>
  <c r="H745" i="5"/>
  <c r="I745" i="5" s="1"/>
  <c r="K745" i="5" s="1"/>
  <c r="L745" i="5" s="1"/>
  <c r="H741" i="5"/>
  <c r="I741" i="5" s="1"/>
  <c r="K741" i="5" s="1"/>
  <c r="L741" i="5" s="1"/>
  <c r="H737" i="5"/>
  <c r="I737" i="5" s="1"/>
  <c r="K737" i="5" s="1"/>
  <c r="L737" i="5" s="1"/>
  <c r="H733" i="5"/>
  <c r="I733" i="5" s="1"/>
  <c r="K733" i="5" s="1"/>
  <c r="L733" i="5" s="1"/>
  <c r="H729" i="5"/>
  <c r="I729" i="5" s="1"/>
  <c r="K729" i="5" s="1"/>
  <c r="L729" i="5" s="1"/>
  <c r="H725" i="5"/>
  <c r="I725" i="5" s="1"/>
  <c r="K725" i="5" s="1"/>
  <c r="L725" i="5" s="1"/>
  <c r="H721" i="5"/>
  <c r="I721" i="5" s="1"/>
  <c r="K721" i="5" s="1"/>
  <c r="L721" i="5" s="1"/>
  <c r="H717" i="5"/>
  <c r="I717" i="5" s="1"/>
  <c r="K717" i="5" s="1"/>
  <c r="L717" i="5" s="1"/>
  <c r="H713" i="5"/>
  <c r="I713" i="5" s="1"/>
  <c r="K713" i="5" s="1"/>
  <c r="L713" i="5" s="1"/>
  <c r="H709" i="5"/>
  <c r="I709" i="5" s="1"/>
  <c r="K709" i="5" s="1"/>
  <c r="L709" i="5" s="1"/>
  <c r="H705" i="5"/>
  <c r="I705" i="5" s="1"/>
  <c r="K705" i="5" s="1"/>
  <c r="L705" i="5" s="1"/>
  <c r="H701" i="5"/>
  <c r="I701" i="5" s="1"/>
  <c r="K701" i="5" s="1"/>
  <c r="L701" i="5" s="1"/>
  <c r="H697" i="5"/>
  <c r="I697" i="5" s="1"/>
  <c r="K697" i="5" s="1"/>
  <c r="L697" i="5" s="1"/>
  <c r="H693" i="5"/>
  <c r="I693" i="5" s="1"/>
  <c r="K693" i="5" s="1"/>
  <c r="L693" i="5" s="1"/>
  <c r="H689" i="5"/>
  <c r="I689" i="5" s="1"/>
  <c r="K689" i="5" s="1"/>
  <c r="L689" i="5" s="1"/>
  <c r="H685" i="5"/>
  <c r="I685" i="5" s="1"/>
  <c r="K685" i="5" s="1"/>
  <c r="L685" i="5" s="1"/>
  <c r="H681" i="5"/>
  <c r="I681" i="5" s="1"/>
  <c r="K681" i="5" s="1"/>
  <c r="L681" i="5" s="1"/>
  <c r="H677" i="5"/>
  <c r="I677" i="5" s="1"/>
  <c r="K677" i="5" s="1"/>
  <c r="L677" i="5" s="1"/>
  <c r="H673" i="5"/>
  <c r="I673" i="5" s="1"/>
  <c r="K673" i="5" s="1"/>
  <c r="L673" i="5" s="1"/>
  <c r="H669" i="5"/>
  <c r="I669" i="5" s="1"/>
  <c r="K669" i="5" s="1"/>
  <c r="L669" i="5" s="1"/>
  <c r="H665" i="5"/>
  <c r="I665" i="5" s="1"/>
  <c r="K665" i="5" s="1"/>
  <c r="L665" i="5" s="1"/>
  <c r="H661" i="5"/>
  <c r="I661" i="5" s="1"/>
  <c r="K661" i="5" s="1"/>
  <c r="L661" i="5" s="1"/>
  <c r="H657" i="5"/>
  <c r="I657" i="5" s="1"/>
  <c r="K657" i="5" s="1"/>
  <c r="L657" i="5" s="1"/>
  <c r="H653" i="5"/>
  <c r="I653" i="5" s="1"/>
  <c r="K653" i="5" s="1"/>
  <c r="L653" i="5" s="1"/>
  <c r="H649" i="5"/>
  <c r="I649" i="5" s="1"/>
  <c r="K649" i="5" s="1"/>
  <c r="L649" i="5" s="1"/>
  <c r="H645" i="5"/>
  <c r="I645" i="5" s="1"/>
  <c r="K645" i="5" s="1"/>
  <c r="L645" i="5" s="1"/>
  <c r="H641" i="5"/>
  <c r="I641" i="5" s="1"/>
  <c r="K641" i="5" s="1"/>
  <c r="L641" i="5" s="1"/>
  <c r="H637" i="5"/>
  <c r="I637" i="5" s="1"/>
  <c r="K637" i="5" s="1"/>
  <c r="L637" i="5" s="1"/>
  <c r="H633" i="5"/>
  <c r="I633" i="5" s="1"/>
  <c r="K633" i="5" s="1"/>
  <c r="L633" i="5" s="1"/>
  <c r="H629" i="5"/>
  <c r="I629" i="5" s="1"/>
  <c r="K629" i="5" s="1"/>
  <c r="L629" i="5" s="1"/>
  <c r="H625" i="5"/>
  <c r="I625" i="5" s="1"/>
  <c r="K625" i="5" s="1"/>
  <c r="L625" i="5" s="1"/>
  <c r="H621" i="5"/>
  <c r="I621" i="5" s="1"/>
  <c r="K621" i="5" s="1"/>
  <c r="L621" i="5" s="1"/>
  <c r="H617" i="5"/>
  <c r="I617" i="5" s="1"/>
  <c r="K617" i="5" s="1"/>
  <c r="L617" i="5" s="1"/>
  <c r="H613" i="5"/>
  <c r="I613" i="5" s="1"/>
  <c r="K613" i="5" s="1"/>
  <c r="L613" i="5" s="1"/>
  <c r="H609" i="5"/>
  <c r="I609" i="5" s="1"/>
  <c r="K609" i="5" s="1"/>
  <c r="L609" i="5" s="1"/>
  <c r="H605" i="5"/>
  <c r="I605" i="5" s="1"/>
  <c r="K605" i="5" s="1"/>
  <c r="L605" i="5" s="1"/>
  <c r="H601" i="5"/>
  <c r="I601" i="5" s="1"/>
  <c r="K601" i="5" s="1"/>
  <c r="L601" i="5" s="1"/>
  <c r="H597" i="5"/>
  <c r="I597" i="5" s="1"/>
  <c r="K597" i="5" s="1"/>
  <c r="L597" i="5" s="1"/>
  <c r="H593" i="5"/>
  <c r="I593" i="5" s="1"/>
  <c r="K593" i="5" s="1"/>
  <c r="L593" i="5" s="1"/>
  <c r="H589" i="5"/>
  <c r="I589" i="5" s="1"/>
  <c r="K589" i="5" s="1"/>
  <c r="L589" i="5" s="1"/>
  <c r="H585" i="5"/>
  <c r="I585" i="5" s="1"/>
  <c r="K585" i="5" s="1"/>
  <c r="L585" i="5" s="1"/>
  <c r="H581" i="5"/>
  <c r="I581" i="5" s="1"/>
  <c r="K581" i="5" s="1"/>
  <c r="L581" i="5" s="1"/>
  <c r="H577" i="5"/>
  <c r="I577" i="5" s="1"/>
  <c r="K577" i="5" s="1"/>
  <c r="L577" i="5" s="1"/>
  <c r="H573" i="5"/>
  <c r="I573" i="5" s="1"/>
  <c r="K573" i="5" s="1"/>
  <c r="L573" i="5" s="1"/>
  <c r="H569" i="5"/>
  <c r="I569" i="5" s="1"/>
  <c r="K569" i="5" s="1"/>
  <c r="L569" i="5" s="1"/>
  <c r="H565" i="5"/>
  <c r="I565" i="5" s="1"/>
  <c r="K565" i="5" s="1"/>
  <c r="L565" i="5" s="1"/>
  <c r="H561" i="5"/>
  <c r="I561" i="5" s="1"/>
  <c r="K561" i="5" s="1"/>
  <c r="L561" i="5" s="1"/>
  <c r="H557" i="5"/>
  <c r="I557" i="5" s="1"/>
  <c r="K557" i="5" s="1"/>
  <c r="L557" i="5" s="1"/>
  <c r="H553" i="5"/>
  <c r="I553" i="5" s="1"/>
  <c r="K553" i="5" s="1"/>
  <c r="L553" i="5" s="1"/>
  <c r="H549" i="5"/>
  <c r="I549" i="5" s="1"/>
  <c r="K549" i="5" s="1"/>
  <c r="L549" i="5" s="1"/>
  <c r="H545" i="5"/>
  <c r="I545" i="5" s="1"/>
  <c r="K545" i="5" s="1"/>
  <c r="L545" i="5" s="1"/>
  <c r="H541" i="5"/>
  <c r="I541" i="5" s="1"/>
  <c r="K541" i="5" s="1"/>
  <c r="L541" i="5" s="1"/>
  <c r="H537" i="5"/>
  <c r="I537" i="5" s="1"/>
  <c r="K537" i="5" s="1"/>
  <c r="L537" i="5" s="1"/>
  <c r="H533" i="5"/>
  <c r="I533" i="5" s="1"/>
  <c r="K533" i="5" s="1"/>
  <c r="L533" i="5" s="1"/>
  <c r="H529" i="5"/>
  <c r="I529" i="5" s="1"/>
  <c r="K529" i="5" s="1"/>
  <c r="L529" i="5" s="1"/>
  <c r="H525" i="5"/>
  <c r="I525" i="5" s="1"/>
  <c r="K525" i="5" s="1"/>
  <c r="L525" i="5" s="1"/>
  <c r="H521" i="5"/>
  <c r="I521" i="5" s="1"/>
  <c r="K521" i="5" s="1"/>
  <c r="L521" i="5" s="1"/>
  <c r="H517" i="5"/>
  <c r="I517" i="5" s="1"/>
  <c r="K517" i="5" s="1"/>
  <c r="L517" i="5" s="1"/>
  <c r="H513" i="5"/>
  <c r="I513" i="5" s="1"/>
  <c r="K513" i="5" s="1"/>
  <c r="L513" i="5" s="1"/>
  <c r="H509" i="5"/>
  <c r="I509" i="5" s="1"/>
  <c r="K509" i="5" s="1"/>
  <c r="L509" i="5" s="1"/>
  <c r="H505" i="5"/>
  <c r="I505" i="5" s="1"/>
  <c r="K505" i="5" s="1"/>
  <c r="L505" i="5" s="1"/>
  <c r="H501" i="5"/>
  <c r="I501" i="5" s="1"/>
  <c r="K501" i="5" s="1"/>
  <c r="L501" i="5" s="1"/>
  <c r="H497" i="5"/>
  <c r="I497" i="5" s="1"/>
  <c r="K497" i="5" s="1"/>
  <c r="L497" i="5" s="1"/>
  <c r="H493" i="5"/>
  <c r="I493" i="5" s="1"/>
  <c r="K493" i="5" s="1"/>
  <c r="L493" i="5" s="1"/>
  <c r="H489" i="5"/>
  <c r="I489" i="5" s="1"/>
  <c r="K489" i="5" s="1"/>
  <c r="L489" i="5" s="1"/>
  <c r="H485" i="5"/>
  <c r="I485" i="5" s="1"/>
  <c r="H481" i="5"/>
  <c r="I481" i="5" s="1"/>
  <c r="K481" i="5" s="1"/>
  <c r="L481" i="5" s="1"/>
  <c r="H477" i="5"/>
  <c r="I477" i="5" s="1"/>
  <c r="K477" i="5" s="1"/>
  <c r="L477" i="5" s="1"/>
  <c r="H473" i="5"/>
  <c r="I473" i="5" s="1"/>
  <c r="H469" i="5"/>
  <c r="I469" i="5" s="1"/>
  <c r="H465" i="5"/>
  <c r="I465" i="5" s="1"/>
  <c r="K465" i="5" s="1"/>
  <c r="L465" i="5" s="1"/>
  <c r="H461" i="5"/>
  <c r="I461" i="5" s="1"/>
  <c r="K461" i="5" s="1"/>
  <c r="L461" i="5" s="1"/>
  <c r="H457" i="5"/>
  <c r="I457" i="5" s="1"/>
  <c r="H453" i="5"/>
  <c r="I453" i="5" s="1"/>
  <c r="H449" i="5"/>
  <c r="I449" i="5" s="1"/>
  <c r="K449" i="5" s="1"/>
  <c r="L449" i="5" s="1"/>
  <c r="H445" i="5"/>
  <c r="I445" i="5" s="1"/>
  <c r="K445" i="5" s="1"/>
  <c r="L445" i="5" s="1"/>
  <c r="H441" i="5"/>
  <c r="I441" i="5" s="1"/>
  <c r="H437" i="5"/>
  <c r="I437" i="5" s="1"/>
  <c r="H433" i="5"/>
  <c r="I433" i="5" s="1"/>
  <c r="K433" i="5" s="1"/>
  <c r="L433" i="5" s="1"/>
  <c r="H429" i="5"/>
  <c r="I429" i="5" s="1"/>
  <c r="K429" i="5" s="1"/>
  <c r="L429" i="5" s="1"/>
  <c r="H425" i="5"/>
  <c r="I425" i="5" s="1"/>
  <c r="H421" i="5"/>
  <c r="I421" i="5" s="1"/>
  <c r="H417" i="5"/>
  <c r="I417" i="5" s="1"/>
  <c r="K417" i="5" s="1"/>
  <c r="L417" i="5" s="1"/>
  <c r="H413" i="5"/>
  <c r="I413" i="5" s="1"/>
  <c r="K413" i="5" s="1"/>
  <c r="L413" i="5" s="1"/>
  <c r="H409" i="5"/>
  <c r="I409" i="5" s="1"/>
  <c r="H405" i="5"/>
  <c r="I405" i="5" s="1"/>
  <c r="H401" i="5"/>
  <c r="I401" i="5" s="1"/>
  <c r="K401" i="5" s="1"/>
  <c r="L401" i="5" s="1"/>
  <c r="H397" i="5"/>
  <c r="I397" i="5" s="1"/>
  <c r="K397" i="5" s="1"/>
  <c r="L397" i="5" s="1"/>
  <c r="H393" i="5"/>
  <c r="I393" i="5" s="1"/>
  <c r="H389" i="5"/>
  <c r="I389" i="5" s="1"/>
  <c r="K389" i="5" s="1"/>
  <c r="L389" i="5" s="1"/>
  <c r="H385" i="5"/>
  <c r="I385" i="5" s="1"/>
  <c r="K385" i="5" s="1"/>
  <c r="L385" i="5" s="1"/>
  <c r="H381" i="5"/>
  <c r="I381" i="5" s="1"/>
  <c r="K381" i="5" s="1"/>
  <c r="L381" i="5" s="1"/>
  <c r="H377" i="5"/>
  <c r="I377" i="5" s="1"/>
  <c r="H373" i="5"/>
  <c r="I373" i="5" s="1"/>
  <c r="H369" i="5"/>
  <c r="I369" i="5" s="1"/>
  <c r="K369" i="5" s="1"/>
  <c r="L369" i="5" s="1"/>
  <c r="H365" i="5"/>
  <c r="I365" i="5" s="1"/>
  <c r="K365" i="5" s="1"/>
  <c r="L365" i="5" s="1"/>
  <c r="H361" i="5"/>
  <c r="I361" i="5" s="1"/>
  <c r="H357" i="5"/>
  <c r="I357" i="5" s="1"/>
  <c r="H353" i="5"/>
  <c r="I353" i="5" s="1"/>
  <c r="K353" i="5" s="1"/>
  <c r="L353" i="5" s="1"/>
  <c r="H349" i="5"/>
  <c r="I349" i="5" s="1"/>
  <c r="K349" i="5" s="1"/>
  <c r="L349" i="5" s="1"/>
  <c r="H345" i="5"/>
  <c r="I345" i="5" s="1"/>
  <c r="H341" i="5"/>
  <c r="I341" i="5" s="1"/>
  <c r="H337" i="5"/>
  <c r="I337" i="5" s="1"/>
  <c r="K337" i="5" s="1"/>
  <c r="L337" i="5" s="1"/>
  <c r="H333" i="5"/>
  <c r="I333" i="5" s="1"/>
  <c r="K333" i="5" s="1"/>
  <c r="L333" i="5" s="1"/>
  <c r="H329" i="5"/>
  <c r="I329" i="5" s="1"/>
  <c r="H325" i="5"/>
  <c r="I325" i="5" s="1"/>
  <c r="H321" i="5"/>
  <c r="I321" i="5" s="1"/>
  <c r="K321" i="5" s="1"/>
  <c r="L321" i="5" s="1"/>
  <c r="H317" i="5"/>
  <c r="I317" i="5" s="1"/>
  <c r="K317" i="5" s="1"/>
  <c r="L317" i="5" s="1"/>
  <c r="H313" i="5"/>
  <c r="I313" i="5" s="1"/>
  <c r="H309" i="5"/>
  <c r="I309" i="5" s="1"/>
  <c r="H305" i="5"/>
  <c r="I305" i="5" s="1"/>
  <c r="K305" i="5" s="1"/>
  <c r="L305" i="5" s="1"/>
  <c r="H301" i="5"/>
  <c r="I301" i="5" s="1"/>
  <c r="K301" i="5" s="1"/>
  <c r="L301" i="5" s="1"/>
  <c r="H297" i="5"/>
  <c r="I297" i="5" s="1"/>
  <c r="H293" i="5"/>
  <c r="I293" i="5" s="1"/>
  <c r="H289" i="5"/>
  <c r="I289" i="5" s="1"/>
  <c r="K289" i="5" s="1"/>
  <c r="L289" i="5" s="1"/>
  <c r="H285" i="5"/>
  <c r="I285" i="5" s="1"/>
  <c r="K285" i="5" s="1"/>
  <c r="L285" i="5" s="1"/>
  <c r="H281" i="5"/>
  <c r="I281" i="5" s="1"/>
  <c r="H277" i="5"/>
  <c r="I277" i="5" s="1"/>
  <c r="H273" i="5"/>
  <c r="I273" i="5" s="1"/>
  <c r="K273" i="5" s="1"/>
  <c r="L273" i="5" s="1"/>
  <c r="H269" i="5"/>
  <c r="I269" i="5" s="1"/>
  <c r="K269" i="5" s="1"/>
  <c r="L269" i="5" s="1"/>
  <c r="H265" i="5"/>
  <c r="I265" i="5" s="1"/>
  <c r="H261" i="5"/>
  <c r="I261" i="5" s="1"/>
  <c r="H257" i="5"/>
  <c r="I257" i="5" s="1"/>
  <c r="K257" i="5" s="1"/>
  <c r="L257" i="5" s="1"/>
  <c r="H253" i="5"/>
  <c r="I253" i="5" s="1"/>
  <c r="K253" i="5" s="1"/>
  <c r="L253" i="5" s="1"/>
  <c r="H249" i="5"/>
  <c r="I249" i="5" s="1"/>
  <c r="K249" i="5" s="1"/>
  <c r="L249" i="5" s="1"/>
  <c r="H245" i="5"/>
  <c r="I245" i="5" s="1"/>
  <c r="K245" i="5" s="1"/>
  <c r="L245" i="5" s="1"/>
  <c r="H241" i="5"/>
  <c r="I241" i="5" s="1"/>
  <c r="K241" i="5" s="1"/>
  <c r="L241" i="5" s="1"/>
  <c r="H237" i="5"/>
  <c r="I237" i="5" s="1"/>
  <c r="K237" i="5" s="1"/>
  <c r="L237" i="5" s="1"/>
  <c r="H233" i="5"/>
  <c r="I233" i="5" s="1"/>
  <c r="K233" i="5" s="1"/>
  <c r="L233" i="5" s="1"/>
  <c r="H229" i="5"/>
  <c r="I229" i="5" s="1"/>
  <c r="K229" i="5" s="1"/>
  <c r="L229" i="5" s="1"/>
  <c r="H225" i="5"/>
  <c r="I225" i="5" s="1"/>
  <c r="K225" i="5" s="1"/>
  <c r="L225" i="5" s="1"/>
  <c r="H221" i="5"/>
  <c r="I221" i="5" s="1"/>
  <c r="K221" i="5" s="1"/>
  <c r="L221" i="5" s="1"/>
  <c r="H217" i="5"/>
  <c r="I217" i="5" s="1"/>
  <c r="K217" i="5" s="1"/>
  <c r="L217" i="5" s="1"/>
  <c r="H213" i="5"/>
  <c r="I213" i="5" s="1"/>
  <c r="K213" i="5" s="1"/>
  <c r="L213" i="5" s="1"/>
  <c r="H209" i="5"/>
  <c r="I209" i="5" s="1"/>
  <c r="K209" i="5" s="1"/>
  <c r="L209" i="5" s="1"/>
  <c r="H205" i="5"/>
  <c r="I205" i="5" s="1"/>
  <c r="K205" i="5" s="1"/>
  <c r="L205" i="5" s="1"/>
  <c r="H201" i="5"/>
  <c r="I201" i="5" s="1"/>
  <c r="K201" i="5" s="1"/>
  <c r="L201" i="5" s="1"/>
  <c r="H197" i="5"/>
  <c r="I197" i="5" s="1"/>
  <c r="K197" i="5" s="1"/>
  <c r="L197" i="5" s="1"/>
  <c r="H193" i="5"/>
  <c r="I193" i="5" s="1"/>
  <c r="K193" i="5" s="1"/>
  <c r="L193" i="5" s="1"/>
  <c r="H189" i="5"/>
  <c r="I189" i="5" s="1"/>
  <c r="K189" i="5" s="1"/>
  <c r="L189" i="5" s="1"/>
  <c r="H185" i="5"/>
  <c r="I185" i="5" s="1"/>
  <c r="K185" i="5" s="1"/>
  <c r="L185" i="5" s="1"/>
  <c r="H181" i="5"/>
  <c r="I181" i="5" s="1"/>
  <c r="K181" i="5" s="1"/>
  <c r="L181" i="5" s="1"/>
  <c r="H177" i="5"/>
  <c r="I177" i="5" s="1"/>
  <c r="K177" i="5" s="1"/>
  <c r="L177" i="5" s="1"/>
  <c r="H173" i="5"/>
  <c r="I173" i="5" s="1"/>
  <c r="K173" i="5" s="1"/>
  <c r="L173" i="5" s="1"/>
  <c r="H169" i="5"/>
  <c r="I169" i="5" s="1"/>
  <c r="K169" i="5" s="1"/>
  <c r="L169" i="5" s="1"/>
  <c r="H165" i="5"/>
  <c r="I165" i="5" s="1"/>
  <c r="K165" i="5" s="1"/>
  <c r="L165" i="5" s="1"/>
  <c r="H161" i="5"/>
  <c r="I161" i="5" s="1"/>
  <c r="K161" i="5" s="1"/>
  <c r="L161" i="5" s="1"/>
  <c r="H157" i="5"/>
  <c r="I157" i="5" s="1"/>
  <c r="K157" i="5" s="1"/>
  <c r="L157" i="5" s="1"/>
  <c r="H153" i="5"/>
  <c r="I153" i="5" s="1"/>
  <c r="K153" i="5" s="1"/>
  <c r="L153" i="5" s="1"/>
  <c r="H149" i="5"/>
  <c r="I149" i="5" s="1"/>
  <c r="K149" i="5" s="1"/>
  <c r="L149" i="5" s="1"/>
  <c r="H145" i="5"/>
  <c r="I145" i="5" s="1"/>
  <c r="K145" i="5" s="1"/>
  <c r="L145" i="5" s="1"/>
  <c r="H141" i="5"/>
  <c r="I141" i="5" s="1"/>
  <c r="K141" i="5" s="1"/>
  <c r="L141" i="5" s="1"/>
  <c r="H137" i="5"/>
  <c r="I137" i="5" s="1"/>
  <c r="K137" i="5" s="1"/>
  <c r="L137" i="5" s="1"/>
  <c r="H133" i="5"/>
  <c r="I133" i="5" s="1"/>
  <c r="K133" i="5" s="1"/>
  <c r="L133" i="5" s="1"/>
  <c r="H129" i="5"/>
  <c r="I129" i="5" s="1"/>
  <c r="K129" i="5" s="1"/>
  <c r="L129" i="5" s="1"/>
  <c r="H125" i="5"/>
  <c r="I125" i="5" s="1"/>
  <c r="K125" i="5" s="1"/>
  <c r="L125" i="5" s="1"/>
  <c r="H121" i="5"/>
  <c r="I121" i="5" s="1"/>
  <c r="K121" i="5" s="1"/>
  <c r="L121" i="5" s="1"/>
  <c r="H117" i="5"/>
  <c r="I117" i="5" s="1"/>
  <c r="K117" i="5" s="1"/>
  <c r="L117" i="5" s="1"/>
  <c r="H113" i="5"/>
  <c r="I113" i="5" s="1"/>
  <c r="K113" i="5" s="1"/>
  <c r="L113" i="5" s="1"/>
  <c r="H109" i="5"/>
  <c r="I109" i="5" s="1"/>
  <c r="K109" i="5" s="1"/>
  <c r="L109" i="5" s="1"/>
  <c r="H105" i="5"/>
  <c r="I105" i="5" s="1"/>
  <c r="K105" i="5" s="1"/>
  <c r="L105" i="5" s="1"/>
  <c r="H101" i="5"/>
  <c r="I101" i="5" s="1"/>
  <c r="K101" i="5" s="1"/>
  <c r="L101" i="5" s="1"/>
  <c r="H97" i="5"/>
  <c r="I97" i="5" s="1"/>
  <c r="K97" i="5" s="1"/>
  <c r="L97" i="5" s="1"/>
  <c r="H93" i="5"/>
  <c r="I93" i="5" s="1"/>
  <c r="K93" i="5" s="1"/>
  <c r="L93" i="5" s="1"/>
  <c r="H89" i="5"/>
  <c r="I89" i="5" s="1"/>
  <c r="K89" i="5" s="1"/>
  <c r="L89" i="5" s="1"/>
  <c r="H85" i="5"/>
  <c r="I85" i="5" s="1"/>
  <c r="K85" i="5" s="1"/>
  <c r="L85" i="5" s="1"/>
  <c r="H81" i="5"/>
  <c r="I81" i="5" s="1"/>
  <c r="K81" i="5" s="1"/>
  <c r="L81" i="5" s="1"/>
  <c r="H77" i="5"/>
  <c r="I77" i="5" s="1"/>
  <c r="K77" i="5" s="1"/>
  <c r="L77" i="5" s="1"/>
  <c r="H73" i="5"/>
  <c r="I73" i="5" s="1"/>
  <c r="K73" i="5" s="1"/>
  <c r="L73" i="5" s="1"/>
  <c r="H69" i="5"/>
  <c r="I69" i="5" s="1"/>
  <c r="K69" i="5" s="1"/>
  <c r="L69" i="5" s="1"/>
  <c r="H65" i="5"/>
  <c r="I65" i="5" s="1"/>
  <c r="K65" i="5" s="1"/>
  <c r="L65" i="5" s="1"/>
  <c r="H61" i="5"/>
  <c r="I61" i="5" s="1"/>
  <c r="K61" i="5" s="1"/>
  <c r="L61" i="5" s="1"/>
  <c r="H57" i="5"/>
  <c r="I57" i="5" s="1"/>
  <c r="K57" i="5" s="1"/>
  <c r="L57" i="5" s="1"/>
  <c r="H53" i="5"/>
  <c r="I53" i="5" s="1"/>
  <c r="K53" i="5" s="1"/>
  <c r="L53" i="5" s="1"/>
  <c r="H49" i="5"/>
  <c r="I49" i="5" s="1"/>
  <c r="K49" i="5" s="1"/>
  <c r="L49" i="5" s="1"/>
  <c r="H45" i="5"/>
  <c r="I45" i="5" s="1"/>
  <c r="K45" i="5" s="1"/>
  <c r="L45" i="5" s="1"/>
  <c r="H41" i="5"/>
  <c r="I41" i="5" s="1"/>
  <c r="K41" i="5" s="1"/>
  <c r="L41" i="5" s="1"/>
  <c r="H37" i="5"/>
  <c r="I37" i="5" s="1"/>
  <c r="K37" i="5" s="1"/>
  <c r="L37" i="5" s="1"/>
  <c r="H33" i="5"/>
  <c r="I33" i="5" s="1"/>
  <c r="K33" i="5" s="1"/>
  <c r="L33" i="5" s="1"/>
  <c r="H29" i="5"/>
  <c r="I29" i="5" s="1"/>
  <c r="K29" i="5" s="1"/>
  <c r="L29" i="5" s="1"/>
  <c r="H25" i="5"/>
  <c r="I25" i="5" s="1"/>
  <c r="K25" i="5" s="1"/>
  <c r="L25" i="5" s="1"/>
  <c r="H21" i="5"/>
  <c r="I21" i="5" s="1"/>
  <c r="K21" i="5" s="1"/>
  <c r="L21" i="5" s="1"/>
  <c r="H17" i="5"/>
  <c r="I17" i="5" s="1"/>
  <c r="K17" i="5" s="1"/>
  <c r="L17" i="5" s="1"/>
  <c r="H13" i="5"/>
  <c r="I13" i="5" s="1"/>
  <c r="K13" i="5" s="1"/>
  <c r="L13" i="5" s="1"/>
  <c r="H9" i="5"/>
  <c r="I9" i="5" s="1"/>
  <c r="K9" i="5" s="1"/>
  <c r="L9" i="5" s="1"/>
  <c r="H5" i="5"/>
  <c r="I5" i="5" s="1"/>
  <c r="K5" i="5" s="1"/>
  <c r="L5" i="5" s="1"/>
  <c r="L9" i="9" l="1"/>
  <c r="M9" i="9" s="1"/>
  <c r="N9" i="9" s="1"/>
  <c r="L427" i="9"/>
  <c r="M427" i="9" s="1"/>
  <c r="N427" i="9" s="1"/>
  <c r="L11" i="9"/>
  <c r="M11" i="9" s="1"/>
  <c r="N11" i="9" s="1"/>
  <c r="L59" i="9"/>
  <c r="M59" i="9" s="1"/>
  <c r="N59" i="9" s="1"/>
  <c r="L10" i="9"/>
  <c r="M10" i="9" s="1"/>
  <c r="N10" i="9" s="1"/>
  <c r="L14" i="9"/>
  <c r="M14" i="9" s="1"/>
  <c r="N14" i="9" s="1"/>
  <c r="L122" i="9"/>
  <c r="M122" i="9" s="1"/>
  <c r="N122" i="9" s="1"/>
  <c r="L54" i="9"/>
  <c r="M54" i="9" s="1"/>
  <c r="N54" i="9" s="1"/>
  <c r="L488" i="9"/>
  <c r="M488" i="9" s="1"/>
  <c r="N488" i="9" s="1"/>
  <c r="L783" i="9"/>
  <c r="M783" i="9" s="1"/>
  <c r="N783" i="9" s="1"/>
  <c r="L589" i="9"/>
  <c r="M589" i="9" s="1"/>
  <c r="N589" i="9" s="1"/>
  <c r="L510" i="9"/>
  <c r="M510" i="9" s="1"/>
  <c r="N510" i="9" s="1"/>
  <c r="L784" i="9"/>
  <c r="M784" i="9" s="1"/>
  <c r="N784" i="9" s="1"/>
  <c r="L385" i="9"/>
  <c r="M385" i="9" s="1"/>
  <c r="N385" i="9" s="1"/>
  <c r="L172" i="9"/>
  <c r="M172" i="9" s="1"/>
  <c r="N172" i="9" s="1"/>
  <c r="L556" i="9"/>
  <c r="M556" i="9" s="1"/>
  <c r="N556" i="9" s="1"/>
  <c r="L501" i="9"/>
  <c r="M501" i="9" s="1"/>
  <c r="N501" i="9" s="1"/>
  <c r="L851" i="9"/>
  <c r="M851" i="9" s="1"/>
  <c r="N851" i="9" s="1"/>
  <c r="L253" i="9"/>
  <c r="M253" i="9" s="1"/>
  <c r="N253" i="9" s="1"/>
  <c r="L594" i="9"/>
  <c r="M594" i="9" s="1"/>
  <c r="N594" i="9" s="1"/>
  <c r="L857" i="9"/>
  <c r="M857" i="9" s="1"/>
  <c r="N857" i="9" s="1"/>
  <c r="L174" i="9"/>
  <c r="M174" i="9" s="1"/>
  <c r="N174" i="9" s="1"/>
  <c r="L515" i="9"/>
  <c r="M515" i="9" s="1"/>
  <c r="N515" i="9" s="1"/>
  <c r="L798" i="9"/>
  <c r="M798" i="9" s="1"/>
  <c r="N798" i="9" s="1"/>
  <c r="L177" i="9"/>
  <c r="M177" i="9" s="1"/>
  <c r="N177" i="9" s="1"/>
  <c r="L502" i="9"/>
  <c r="M502" i="9" s="1"/>
  <c r="N502" i="9" s="1"/>
  <c r="L37" i="9"/>
  <c r="M37" i="9" s="1"/>
  <c r="N37" i="9" s="1"/>
  <c r="L772" i="9"/>
  <c r="M772" i="9" s="1"/>
  <c r="N772" i="9" s="1"/>
  <c r="L100" i="9"/>
  <c r="M100" i="9" s="1"/>
  <c r="N100" i="9" s="1"/>
  <c r="L356" i="9"/>
  <c r="M356" i="9" s="1"/>
  <c r="N356" i="9" s="1"/>
  <c r="L612" i="9"/>
  <c r="M612" i="9" s="1"/>
  <c r="N612" i="9" s="1"/>
  <c r="L319" i="9"/>
  <c r="M319" i="9" s="1"/>
  <c r="N319" i="9" s="1"/>
  <c r="L651" i="9"/>
  <c r="M651" i="9" s="1"/>
  <c r="N651" i="9" s="1"/>
  <c r="L907" i="9"/>
  <c r="M907" i="9" s="1"/>
  <c r="N907" i="9" s="1"/>
  <c r="L242" i="9"/>
  <c r="M242" i="9" s="1"/>
  <c r="N242" i="9" s="1"/>
  <c r="L583" i="9"/>
  <c r="M583" i="9" s="1"/>
  <c r="N583" i="9" s="1"/>
  <c r="L849" i="9"/>
  <c r="M849" i="9" s="1"/>
  <c r="N849" i="9" s="1"/>
  <c r="L163" i="9"/>
  <c r="M163" i="9" s="1"/>
  <c r="N163" i="9" s="1"/>
  <c r="L505" i="9"/>
  <c r="M505" i="9" s="1"/>
  <c r="N505" i="9" s="1"/>
  <c r="L790" i="9"/>
  <c r="M790" i="9" s="1"/>
  <c r="N790" i="9" s="1"/>
  <c r="L134" i="9"/>
  <c r="M134" i="9" s="1"/>
  <c r="N134" i="9" s="1"/>
  <c r="L948" i="9"/>
  <c r="M948" i="9" s="1"/>
  <c r="N948" i="9" s="1"/>
  <c r="L363" i="9"/>
  <c r="M363" i="9" s="1"/>
  <c r="N363" i="9" s="1"/>
  <c r="L271" i="9"/>
  <c r="M271" i="9" s="1"/>
  <c r="N271" i="9" s="1"/>
  <c r="L450" i="9"/>
  <c r="M450" i="9" s="1"/>
  <c r="N450" i="9" s="1"/>
  <c r="L626" i="9"/>
  <c r="M626" i="9" s="1"/>
  <c r="N626" i="9" s="1"/>
  <c r="L171" i="9"/>
  <c r="M171" i="9" s="1"/>
  <c r="N171" i="9" s="1"/>
  <c r="L46" i="9"/>
  <c r="M46" i="9" s="1"/>
  <c r="N46" i="9" s="1"/>
  <c r="L336" i="9"/>
  <c r="M336" i="9" s="1"/>
  <c r="N336" i="9" s="1"/>
  <c r="L207" i="9"/>
  <c r="M207" i="9" s="1"/>
  <c r="N207" i="9" s="1"/>
  <c r="L701" i="9"/>
  <c r="M701" i="9" s="1"/>
  <c r="N701" i="9" s="1"/>
  <c r="L834" i="9"/>
  <c r="M834" i="9" s="1"/>
  <c r="N834" i="9" s="1"/>
  <c r="L523" i="9"/>
  <c r="M523" i="9" s="1"/>
  <c r="N523" i="9" s="1"/>
  <c r="L265" i="9"/>
  <c r="M265" i="9" s="1"/>
  <c r="N265" i="9" s="1"/>
  <c r="L485" i="9"/>
  <c r="M485" i="9" s="1"/>
  <c r="N485" i="9" s="1"/>
  <c r="L909" i="9"/>
  <c r="M909" i="9" s="1"/>
  <c r="N909" i="9" s="1"/>
  <c r="L109" i="9"/>
  <c r="M109" i="9" s="1"/>
  <c r="N109" i="9" s="1"/>
  <c r="L421" i="9"/>
  <c r="M421" i="9" s="1"/>
  <c r="N421" i="9" s="1"/>
  <c r="L852" i="9"/>
  <c r="M852" i="9" s="1"/>
  <c r="N852" i="9" s="1"/>
  <c r="L184" i="9"/>
  <c r="M184" i="9" s="1"/>
  <c r="N184" i="9" s="1"/>
  <c r="L440" i="9"/>
  <c r="M440" i="9" s="1"/>
  <c r="N440" i="9" s="1"/>
  <c r="L175" i="9"/>
  <c r="M175" i="9" s="1"/>
  <c r="N175" i="9" s="1"/>
  <c r="L517" i="9"/>
  <c r="M517" i="9" s="1"/>
  <c r="N517" i="9" s="1"/>
  <c r="L799" i="9"/>
  <c r="M799" i="9" s="1"/>
  <c r="N799" i="9" s="1"/>
  <c r="L87" i="9"/>
  <c r="M87" i="9" s="1"/>
  <c r="N87" i="9" s="1"/>
  <c r="L439" i="9"/>
  <c r="M439" i="9" s="1"/>
  <c r="N439" i="9" s="1"/>
  <c r="L741" i="9"/>
  <c r="M741" i="9" s="1"/>
  <c r="N741" i="9" s="1"/>
  <c r="L997" i="9"/>
  <c r="M997" i="9" s="1"/>
  <c r="N997" i="9" s="1"/>
  <c r="L361" i="9"/>
  <c r="M361" i="9" s="1"/>
  <c r="N361" i="9" s="1"/>
  <c r="L682" i="9"/>
  <c r="M682" i="9" s="1"/>
  <c r="N682" i="9" s="1"/>
  <c r="L938" i="9"/>
  <c r="M938" i="9" s="1"/>
  <c r="N938" i="9" s="1"/>
  <c r="L848" i="9"/>
  <c r="M848" i="9" s="1"/>
  <c r="N848" i="9" s="1"/>
  <c r="L680" i="9"/>
  <c r="M680" i="9" s="1"/>
  <c r="N680" i="9" s="1"/>
  <c r="L764" i="9"/>
  <c r="M764" i="9" s="1"/>
  <c r="N764" i="9" s="1"/>
  <c r="L124" i="9"/>
  <c r="M124" i="9" s="1"/>
  <c r="N124" i="9" s="1"/>
  <c r="L380" i="9"/>
  <c r="M380" i="9" s="1"/>
  <c r="N380" i="9" s="1"/>
  <c r="L83" i="9"/>
  <c r="M83" i="9" s="1"/>
  <c r="N83" i="9" s="1"/>
  <c r="L437" i="9"/>
  <c r="M437" i="9" s="1"/>
  <c r="N437" i="9" s="1"/>
  <c r="L739" i="9"/>
  <c r="M739" i="9" s="1"/>
  <c r="N739" i="9" s="1"/>
  <c r="L995" i="9"/>
  <c r="M995" i="9" s="1"/>
  <c r="N995" i="9" s="1"/>
  <c r="L359" i="9"/>
  <c r="M359" i="9" s="1"/>
  <c r="N359" i="9" s="1"/>
  <c r="L681" i="9"/>
  <c r="M681" i="9" s="1"/>
  <c r="N681" i="9" s="1"/>
  <c r="L937" i="9"/>
  <c r="M937" i="9" s="1"/>
  <c r="N937" i="9" s="1"/>
  <c r="L281" i="9"/>
  <c r="M281" i="9" s="1"/>
  <c r="N281" i="9" s="1"/>
  <c r="L622" i="9"/>
  <c r="M622" i="9" s="1"/>
  <c r="N622" i="9" s="1"/>
  <c r="L878" i="9"/>
  <c r="M878" i="9" s="1"/>
  <c r="N878" i="9" s="1"/>
  <c r="L603" i="9"/>
  <c r="M603" i="9" s="1"/>
  <c r="N603" i="9" s="1"/>
  <c r="L379" i="9"/>
  <c r="M379" i="9" s="1"/>
  <c r="N379" i="9" s="1"/>
  <c r="L491" i="9"/>
  <c r="M491" i="9" s="1"/>
  <c r="N491" i="9" s="1"/>
  <c r="L66" i="9"/>
  <c r="M66" i="9" s="1"/>
  <c r="N66" i="9" s="1"/>
  <c r="L244" i="9"/>
  <c r="M244" i="9" s="1"/>
  <c r="N244" i="9" s="1"/>
  <c r="L500" i="9"/>
  <c r="M500" i="9" s="1"/>
  <c r="N500" i="9" s="1"/>
  <c r="L255" i="9"/>
  <c r="M255" i="9" s="1"/>
  <c r="N255" i="9" s="1"/>
  <c r="L597" i="9"/>
  <c r="M597" i="9" s="1"/>
  <c r="N597" i="9" s="1"/>
  <c r="L859" i="9"/>
  <c r="M859" i="9" s="1"/>
  <c r="N859" i="9" s="1"/>
  <c r="L178" i="9"/>
  <c r="M178" i="9" s="1"/>
  <c r="N178" i="9" s="1"/>
  <c r="L519" i="9"/>
  <c r="M519" i="9" s="1"/>
  <c r="N519" i="9" s="1"/>
  <c r="L801" i="9"/>
  <c r="M801" i="9" s="1"/>
  <c r="N801" i="9" s="1"/>
  <c r="L89" i="9"/>
  <c r="M89" i="9" s="1"/>
  <c r="N89" i="9" s="1"/>
  <c r="L441" i="9"/>
  <c r="M441" i="9" s="1"/>
  <c r="N441" i="9" s="1"/>
  <c r="L742" i="9"/>
  <c r="M742" i="9" s="1"/>
  <c r="N742" i="9" s="1"/>
  <c r="L998" i="9"/>
  <c r="M998" i="9" s="1"/>
  <c r="N998" i="9" s="1"/>
  <c r="L85" i="9"/>
  <c r="M85" i="9" s="1"/>
  <c r="N85" i="9" s="1"/>
  <c r="L920" i="9"/>
  <c r="M920" i="9" s="1"/>
  <c r="N920" i="9" s="1"/>
  <c r="L1004" i="9"/>
  <c r="M1004" i="9" s="1"/>
  <c r="N1004" i="9" s="1"/>
  <c r="L935" i="9"/>
  <c r="M935" i="9" s="1"/>
  <c r="N935" i="9" s="1"/>
  <c r="L371" i="9"/>
  <c r="M371" i="9" s="1"/>
  <c r="N371" i="9" s="1"/>
  <c r="L401" i="9"/>
  <c r="M401" i="9" s="1"/>
  <c r="N401" i="9" s="1"/>
  <c r="L304" i="9"/>
  <c r="M304" i="9" s="1"/>
  <c r="N304" i="9" s="1"/>
  <c r="L496" i="9"/>
  <c r="M496" i="9" s="1"/>
  <c r="N496" i="9" s="1"/>
  <c r="L144" i="9"/>
  <c r="M144" i="9" s="1"/>
  <c r="N144" i="9" s="1"/>
  <c r="L631" i="9"/>
  <c r="M631" i="9" s="1"/>
  <c r="N631" i="9" s="1"/>
  <c r="L765" i="9"/>
  <c r="M765" i="9" s="1"/>
  <c r="N765" i="9" s="1"/>
  <c r="L688" i="9"/>
  <c r="M688" i="9" s="1"/>
  <c r="N688" i="9" s="1"/>
  <c r="L258" i="9"/>
  <c r="M258" i="9" s="1"/>
  <c r="N258" i="9" s="1"/>
  <c r="L315" i="9"/>
  <c r="M315" i="9" s="1"/>
  <c r="N315" i="9" s="1"/>
  <c r="L39" i="9"/>
  <c r="M39" i="9" s="1"/>
  <c r="N39" i="9" s="1"/>
  <c r="L243" i="9"/>
  <c r="M243" i="9" s="1"/>
  <c r="N243" i="9" s="1"/>
  <c r="L916" i="9"/>
  <c r="M916" i="9" s="1"/>
  <c r="N916" i="9" s="1"/>
  <c r="L797" i="9"/>
  <c r="M797" i="9" s="1"/>
  <c r="N797" i="9" s="1"/>
  <c r="L118" i="9"/>
  <c r="M118" i="9" s="1"/>
  <c r="N118" i="9" s="1"/>
  <c r="L43" i="9"/>
  <c r="M43" i="9" s="1"/>
  <c r="N43" i="9" s="1"/>
  <c r="L55" i="9"/>
  <c r="M55" i="9" s="1"/>
  <c r="N55" i="9" s="1"/>
  <c r="L65" i="9"/>
  <c r="M65" i="9" s="1"/>
  <c r="N65" i="9" s="1"/>
  <c r="L497" i="9"/>
  <c r="M497" i="9" s="1"/>
  <c r="N497" i="9" s="1"/>
  <c r="L108" i="9"/>
  <c r="M108" i="9" s="1"/>
  <c r="N108" i="9" s="1"/>
  <c r="L245" i="9"/>
  <c r="M245" i="9" s="1"/>
  <c r="N245" i="9" s="1"/>
  <c r="L22" i="9"/>
  <c r="M22" i="9" s="1"/>
  <c r="N22" i="9" s="1"/>
  <c r="L200" i="9"/>
  <c r="M200" i="9" s="1"/>
  <c r="N200" i="9" s="1"/>
  <c r="L456" i="9"/>
  <c r="M456" i="9" s="1"/>
  <c r="N456" i="9" s="1"/>
  <c r="L197" i="9"/>
  <c r="M197" i="9" s="1"/>
  <c r="N197" i="9" s="1"/>
  <c r="L538" i="9"/>
  <c r="M538" i="9" s="1"/>
  <c r="N538" i="9" s="1"/>
  <c r="L815" i="9"/>
  <c r="M815" i="9" s="1"/>
  <c r="N815" i="9" s="1"/>
  <c r="L119" i="9"/>
  <c r="M119" i="9" s="1"/>
  <c r="N119" i="9" s="1"/>
  <c r="L461" i="9"/>
  <c r="M461" i="9" s="1"/>
  <c r="N461" i="9" s="1"/>
  <c r="L757" i="9"/>
  <c r="M757" i="9" s="1"/>
  <c r="N757" i="9" s="1"/>
  <c r="L126" i="9"/>
  <c r="M126" i="9" s="1"/>
  <c r="N126" i="9" s="1"/>
  <c r="L467" i="9"/>
  <c r="M467" i="9" s="1"/>
  <c r="N467" i="9" s="1"/>
  <c r="L762" i="9"/>
  <c r="M762" i="9" s="1"/>
  <c r="N762" i="9" s="1"/>
  <c r="L326" i="9"/>
  <c r="M326" i="9" s="1"/>
  <c r="N326" i="9" s="1"/>
  <c r="L756" i="9"/>
  <c r="M756" i="9" s="1"/>
  <c r="N756" i="9" s="1"/>
  <c r="L1000" i="9"/>
  <c r="M1000" i="9" s="1"/>
  <c r="N1000" i="9" s="1"/>
  <c r="L417" i="9"/>
  <c r="M417" i="9" s="1"/>
  <c r="N417" i="9" s="1"/>
  <c r="L76" i="9"/>
  <c r="M76" i="9" s="1"/>
  <c r="N76" i="9" s="1"/>
  <c r="L332" i="9"/>
  <c r="M332" i="9" s="1"/>
  <c r="N332" i="9" s="1"/>
  <c r="L588" i="9"/>
  <c r="M588" i="9" s="1"/>
  <c r="N588" i="9" s="1"/>
  <c r="L373" i="9"/>
  <c r="M373" i="9" s="1"/>
  <c r="N373" i="9" s="1"/>
  <c r="L691" i="9"/>
  <c r="M691" i="9" s="1"/>
  <c r="N691" i="9" s="1"/>
  <c r="L947" i="9"/>
  <c r="M947" i="9" s="1"/>
  <c r="N947" i="9" s="1"/>
  <c r="L381" i="9"/>
  <c r="M381" i="9" s="1"/>
  <c r="N381" i="9" s="1"/>
  <c r="L697" i="9"/>
  <c r="M697" i="9" s="1"/>
  <c r="N697" i="9" s="1"/>
  <c r="L953" i="9"/>
  <c r="M953" i="9" s="1"/>
  <c r="N953" i="9" s="1"/>
  <c r="L387" i="9"/>
  <c r="M387" i="9" s="1"/>
  <c r="N387" i="9" s="1"/>
  <c r="L702" i="9"/>
  <c r="M702" i="9" s="1"/>
  <c r="N702" i="9" s="1"/>
  <c r="L958" i="9"/>
  <c r="M958" i="9" s="1"/>
  <c r="N958" i="9" s="1"/>
  <c r="L225" i="9"/>
  <c r="M225" i="9" s="1"/>
  <c r="N225" i="9" s="1"/>
  <c r="L760" i="9"/>
  <c r="M760" i="9" s="1"/>
  <c r="N760" i="9" s="1"/>
  <c r="L459" i="9"/>
  <c r="M459" i="9" s="1"/>
  <c r="N459" i="9" s="1"/>
  <c r="L132" i="9"/>
  <c r="M132" i="9" s="1"/>
  <c r="N132" i="9" s="1"/>
  <c r="L388" i="9"/>
  <c r="M388" i="9" s="1"/>
  <c r="N388" i="9" s="1"/>
  <c r="L99" i="9"/>
  <c r="M99" i="9" s="1"/>
  <c r="N99" i="9" s="1"/>
  <c r="L447" i="9"/>
  <c r="M447" i="9" s="1"/>
  <c r="N447" i="9" s="1"/>
  <c r="L747" i="9"/>
  <c r="M747" i="9" s="1"/>
  <c r="N747" i="9" s="1"/>
  <c r="L1003" i="9"/>
  <c r="M1003" i="9" s="1"/>
  <c r="N1003" i="9" s="1"/>
  <c r="L370" i="9"/>
  <c r="M370" i="9" s="1"/>
  <c r="N370" i="9" s="1"/>
  <c r="L689" i="9"/>
  <c r="M689" i="9" s="1"/>
  <c r="N689" i="9" s="1"/>
  <c r="L945" i="9"/>
  <c r="M945" i="9" s="1"/>
  <c r="N945" i="9" s="1"/>
  <c r="L291" i="9"/>
  <c r="M291" i="9" s="1"/>
  <c r="N291" i="9" s="1"/>
  <c r="L630" i="9"/>
  <c r="M630" i="9" s="1"/>
  <c r="N630" i="9" s="1"/>
  <c r="L886" i="9"/>
  <c r="M886" i="9" s="1"/>
  <c r="N886" i="9" s="1"/>
  <c r="L896" i="9"/>
  <c r="M896" i="9" s="1"/>
  <c r="N896" i="9" s="1"/>
  <c r="L422" i="9"/>
  <c r="M422" i="9" s="1"/>
  <c r="N422" i="9" s="1"/>
  <c r="L534" i="9"/>
  <c r="M534" i="9" s="1"/>
  <c r="N534" i="9" s="1"/>
  <c r="L442" i="9"/>
  <c r="M442" i="9" s="1"/>
  <c r="N442" i="9" s="1"/>
  <c r="L621" i="9"/>
  <c r="M621" i="9" s="1"/>
  <c r="N621" i="9" s="1"/>
  <c r="L754" i="9"/>
  <c r="M754" i="9" s="1"/>
  <c r="N754" i="9" s="1"/>
  <c r="L480" i="9"/>
  <c r="M480" i="9" s="1"/>
  <c r="N480" i="9" s="1"/>
  <c r="L384" i="9"/>
  <c r="M384" i="9" s="1"/>
  <c r="N384" i="9" s="1"/>
  <c r="L32" i="9"/>
  <c r="M32" i="9" s="1"/>
  <c r="N32" i="9" s="1"/>
  <c r="L951" i="9"/>
  <c r="M951" i="9" s="1"/>
  <c r="N951" i="9" s="1"/>
  <c r="L17" i="9"/>
  <c r="M17" i="9" s="1"/>
  <c r="N17" i="9" s="1"/>
  <c r="L944" i="9"/>
  <c r="M944" i="9" s="1"/>
  <c r="N944" i="9" s="1"/>
  <c r="L855" i="9"/>
  <c r="M855" i="9" s="1"/>
  <c r="N855" i="9" s="1"/>
  <c r="L198" i="9"/>
  <c r="M198" i="9" s="1"/>
  <c r="N198" i="9" s="1"/>
  <c r="L903" i="9"/>
  <c r="M903" i="9" s="1"/>
  <c r="N903" i="9" s="1"/>
  <c r="L329" i="9"/>
  <c r="M329" i="9" s="1"/>
  <c r="N329" i="9" s="1"/>
  <c r="L230" i="9"/>
  <c r="M230" i="9" s="1"/>
  <c r="N230" i="9" s="1"/>
  <c r="L343" i="9"/>
  <c r="M343" i="9" s="1"/>
  <c r="N343" i="9" s="1"/>
  <c r="L69" i="9"/>
  <c r="M69" i="9" s="1"/>
  <c r="N69" i="9" s="1"/>
  <c r="L154" i="9"/>
  <c r="M154" i="9" s="1"/>
  <c r="N154" i="9" s="1"/>
  <c r="L162" i="9"/>
  <c r="M162" i="9" s="1"/>
  <c r="N162" i="9" s="1"/>
  <c r="L169" i="9"/>
  <c r="M169" i="9" s="1"/>
  <c r="N169" i="9" s="1"/>
  <c r="L155" i="9"/>
  <c r="M155" i="9" s="1"/>
  <c r="N155" i="9" s="1"/>
  <c r="L24" i="9"/>
  <c r="M24" i="9" s="1"/>
  <c r="N24" i="9" s="1"/>
  <c r="L280" i="9"/>
  <c r="M280" i="9" s="1"/>
  <c r="N280" i="9" s="1"/>
  <c r="L536" i="9"/>
  <c r="M536" i="9" s="1"/>
  <c r="N536" i="9" s="1"/>
  <c r="L303" i="9"/>
  <c r="M303" i="9" s="1"/>
  <c r="N303" i="9" s="1"/>
  <c r="L639" i="9"/>
  <c r="M639" i="9" s="1"/>
  <c r="N639" i="9" s="1"/>
  <c r="L895" i="9"/>
  <c r="M895" i="9" s="1"/>
  <c r="N895" i="9" s="1"/>
  <c r="L226" i="9"/>
  <c r="M226" i="9" s="1"/>
  <c r="N226" i="9" s="1"/>
  <c r="L567" i="9"/>
  <c r="M567" i="9" s="1"/>
  <c r="N567" i="9" s="1"/>
  <c r="L837" i="9"/>
  <c r="M837" i="9" s="1"/>
  <c r="N837" i="9" s="1"/>
  <c r="L147" i="9"/>
  <c r="M147" i="9" s="1"/>
  <c r="N147" i="9" s="1"/>
  <c r="L489" i="9"/>
  <c r="M489" i="9" s="1"/>
  <c r="N489" i="9" s="1"/>
  <c r="L778" i="9"/>
  <c r="M778" i="9" s="1"/>
  <c r="N778" i="9" s="1"/>
  <c r="L45" i="9"/>
  <c r="M45" i="9" s="1"/>
  <c r="N45" i="9" s="1"/>
  <c r="L310" i="9"/>
  <c r="M310" i="9" s="1"/>
  <c r="N310" i="9" s="1"/>
  <c r="L808" i="9"/>
  <c r="M808" i="9" s="1"/>
  <c r="N808" i="9" s="1"/>
  <c r="L609" i="9"/>
  <c r="M609" i="9" s="1"/>
  <c r="N609" i="9" s="1"/>
  <c r="L92" i="9"/>
  <c r="M92" i="9" s="1"/>
  <c r="N92" i="9" s="1"/>
  <c r="L348" i="9"/>
  <c r="M348" i="9" s="1"/>
  <c r="N348" i="9" s="1"/>
  <c r="L604" i="9"/>
  <c r="M604" i="9" s="1"/>
  <c r="N604" i="9" s="1"/>
  <c r="L309" i="9"/>
  <c r="M309" i="9" s="1"/>
  <c r="N309" i="9" s="1"/>
  <c r="L643" i="9"/>
  <c r="M643" i="9" s="1"/>
  <c r="N643" i="9" s="1"/>
  <c r="L899" i="9"/>
  <c r="M899" i="9" s="1"/>
  <c r="N899" i="9" s="1"/>
  <c r="L231" i="9"/>
  <c r="M231" i="9" s="1"/>
  <c r="N231" i="9" s="1"/>
  <c r="L573" i="9"/>
  <c r="M573" i="9" s="1"/>
  <c r="N573" i="9" s="1"/>
  <c r="L841" i="9"/>
  <c r="M841" i="9" s="1"/>
  <c r="N841" i="9" s="1"/>
  <c r="L153" i="9"/>
  <c r="M153" i="9" s="1"/>
  <c r="N153" i="9" s="1"/>
  <c r="L494" i="9"/>
  <c r="M494" i="9" s="1"/>
  <c r="N494" i="9" s="1"/>
  <c r="L782" i="9"/>
  <c r="M782" i="9" s="1"/>
  <c r="N782" i="9" s="1"/>
  <c r="L77" i="9"/>
  <c r="M77" i="9" s="1"/>
  <c r="N77" i="9" s="1"/>
  <c r="L353" i="9"/>
  <c r="M353" i="9" s="1"/>
  <c r="N353" i="9" s="1"/>
  <c r="L824" i="9"/>
  <c r="M824" i="9" s="1"/>
  <c r="N824" i="9" s="1"/>
  <c r="L644" i="9"/>
  <c r="M644" i="9" s="1"/>
  <c r="N644" i="9" s="1"/>
  <c r="L84" i="9"/>
  <c r="M84" i="9" s="1"/>
  <c r="N84" i="9" s="1"/>
  <c r="L340" i="9"/>
  <c r="M340" i="9" s="1"/>
  <c r="N340" i="9" s="1"/>
  <c r="L596" i="9"/>
  <c r="M596" i="9" s="1"/>
  <c r="N596" i="9" s="1"/>
  <c r="L383" i="9"/>
  <c r="M383" i="9" s="1"/>
  <c r="N383" i="9" s="1"/>
  <c r="L699" i="9"/>
  <c r="M699" i="9" s="1"/>
  <c r="N699" i="9" s="1"/>
  <c r="L955" i="9"/>
  <c r="M955" i="9" s="1"/>
  <c r="N955" i="9" s="1"/>
  <c r="L306" i="9"/>
  <c r="M306" i="9" s="1"/>
  <c r="N306" i="9" s="1"/>
  <c r="L641" i="9"/>
  <c r="M641" i="9" s="1"/>
  <c r="N641" i="9" s="1"/>
  <c r="L897" i="9"/>
  <c r="M897" i="9" s="1"/>
  <c r="N897" i="9" s="1"/>
  <c r="L227" i="9"/>
  <c r="M227" i="9" s="1"/>
  <c r="N227" i="9" s="1"/>
  <c r="L569" i="9"/>
  <c r="M569" i="9" s="1"/>
  <c r="N569" i="9" s="1"/>
  <c r="L838" i="9"/>
  <c r="M838" i="9" s="1"/>
  <c r="N838" i="9" s="1"/>
  <c r="L390" i="9"/>
  <c r="M390" i="9" s="1"/>
  <c r="N390" i="9" s="1"/>
  <c r="L820" i="9"/>
  <c r="M820" i="9" s="1"/>
  <c r="N820" i="9" s="1"/>
  <c r="L996" i="9"/>
  <c r="M996" i="9" s="1"/>
  <c r="N996" i="9" s="1"/>
  <c r="L566" i="9"/>
  <c r="M566" i="9" s="1"/>
  <c r="N566" i="9" s="1"/>
  <c r="L365" i="9"/>
  <c r="M365" i="9" s="1"/>
  <c r="N365" i="9" s="1"/>
  <c r="L542" i="9"/>
  <c r="M542" i="9" s="1"/>
  <c r="N542" i="9" s="1"/>
  <c r="L968" i="9"/>
  <c r="M968" i="9" s="1"/>
  <c r="N968" i="9" s="1"/>
  <c r="L94" i="9"/>
  <c r="M94" i="9" s="1"/>
  <c r="N94" i="9" s="1"/>
  <c r="L272" i="9"/>
  <c r="M272" i="9" s="1"/>
  <c r="N272" i="9" s="1"/>
  <c r="L62" i="9"/>
  <c r="M62" i="9" s="1"/>
  <c r="N62" i="9" s="1"/>
  <c r="L637" i="9"/>
  <c r="M637" i="9" s="1"/>
  <c r="N637" i="9" s="1"/>
  <c r="L770" i="9"/>
  <c r="M770" i="9" s="1"/>
  <c r="N770" i="9" s="1"/>
  <c r="L506" i="9"/>
  <c r="M506" i="9" s="1"/>
  <c r="N506" i="9" s="1"/>
  <c r="L816" i="9"/>
  <c r="M816" i="9" s="1"/>
  <c r="N816" i="9" s="1"/>
  <c r="L967" i="9"/>
  <c r="M967" i="9" s="1"/>
  <c r="N967" i="9" s="1"/>
  <c r="L49" i="9"/>
  <c r="M49" i="9" s="1"/>
  <c r="N49" i="9" s="1"/>
  <c r="L1008" i="9"/>
  <c r="M1008" i="9" s="1"/>
  <c r="N1008" i="9" s="1"/>
  <c r="L919" i="9"/>
  <c r="M919" i="9" s="1"/>
  <c r="N919" i="9" s="1"/>
  <c r="L53" i="9"/>
  <c r="M53" i="9" s="1"/>
  <c r="N53" i="9" s="1"/>
  <c r="L949" i="9"/>
  <c r="M949" i="9" s="1"/>
  <c r="N949" i="9" s="1"/>
  <c r="L524" i="9"/>
  <c r="M524" i="9" s="1"/>
  <c r="N524" i="9" s="1"/>
  <c r="L883" i="9"/>
  <c r="M883" i="9" s="1"/>
  <c r="N883" i="9" s="1"/>
  <c r="L889" i="9"/>
  <c r="M889" i="9" s="1"/>
  <c r="N889" i="9" s="1"/>
  <c r="L928" i="9"/>
  <c r="M928" i="9" s="1"/>
  <c r="N928" i="9" s="1"/>
  <c r="L324" i="9"/>
  <c r="M324" i="9" s="1"/>
  <c r="N324" i="9" s="1"/>
  <c r="L683" i="9"/>
  <c r="M683" i="9" s="1"/>
  <c r="N683" i="9" s="1"/>
  <c r="L881" i="9"/>
  <c r="M881" i="9" s="1"/>
  <c r="N881" i="9" s="1"/>
  <c r="L822" i="9"/>
  <c r="M822" i="9" s="1"/>
  <c r="N822" i="9" s="1"/>
  <c r="L91" i="9"/>
  <c r="M91" i="9" s="1"/>
  <c r="N91" i="9" s="1"/>
  <c r="L464" i="9"/>
  <c r="M464" i="9" s="1"/>
  <c r="N464" i="9" s="1"/>
  <c r="L829" i="9"/>
  <c r="M829" i="9" s="1"/>
  <c r="N829" i="9" s="1"/>
  <c r="L647" i="9"/>
  <c r="M647" i="9" s="1"/>
  <c r="N647" i="9" s="1"/>
  <c r="L616" i="9"/>
  <c r="M616" i="9" s="1"/>
  <c r="N616" i="9" s="1"/>
  <c r="L858" i="9"/>
  <c r="M858" i="9" s="1"/>
  <c r="N858" i="9" s="1"/>
  <c r="L218" i="9"/>
  <c r="M218" i="9" s="1"/>
  <c r="N218" i="9" s="1"/>
  <c r="L482" i="9"/>
  <c r="M482" i="9" s="1"/>
  <c r="N482" i="9" s="1"/>
  <c r="L403" i="9"/>
  <c r="M403" i="9" s="1"/>
  <c r="N403" i="9" s="1"/>
  <c r="L976" i="9"/>
  <c r="M976" i="9" s="1"/>
  <c r="N976" i="9" s="1"/>
  <c r="L28" i="9"/>
  <c r="M28" i="9" s="1"/>
  <c r="N28" i="9" s="1"/>
  <c r="L565" i="9"/>
  <c r="M565" i="9" s="1"/>
  <c r="N565" i="9" s="1"/>
  <c r="L487" i="9"/>
  <c r="M487" i="9" s="1"/>
  <c r="N487" i="9" s="1"/>
  <c r="L409" i="9"/>
  <c r="M409" i="9" s="1"/>
  <c r="N409" i="9" s="1"/>
  <c r="L550" i="9"/>
  <c r="M550" i="9" s="1"/>
  <c r="N550" i="9" s="1"/>
  <c r="L532" i="9"/>
  <c r="M532" i="9" s="1"/>
  <c r="N532" i="9" s="1"/>
  <c r="L891" i="9"/>
  <c r="M891" i="9" s="1"/>
  <c r="N891" i="9" s="1"/>
  <c r="L142" i="9"/>
  <c r="M142" i="9" s="1"/>
  <c r="N142" i="9" s="1"/>
  <c r="L13" i="9"/>
  <c r="M13" i="9" s="1"/>
  <c r="N13" i="9" s="1"/>
  <c r="L807" i="9"/>
  <c r="M807" i="9" s="1"/>
  <c r="N807" i="9" s="1"/>
  <c r="L176" i="9"/>
  <c r="M176" i="9" s="1"/>
  <c r="N176" i="9" s="1"/>
  <c r="L478" i="9"/>
  <c r="M478" i="9" s="1"/>
  <c r="N478" i="9" s="1"/>
  <c r="L711" i="9"/>
  <c r="M711" i="9" s="1"/>
  <c r="N711" i="9" s="1"/>
  <c r="L738" i="9"/>
  <c r="M738" i="9" s="1"/>
  <c r="N738" i="9" s="1"/>
  <c r="L168" i="9"/>
  <c r="M168" i="9" s="1"/>
  <c r="N168" i="9" s="1"/>
  <c r="L239" i="9"/>
  <c r="M239" i="9" s="1"/>
  <c r="N239" i="9" s="1"/>
  <c r="L847" i="9"/>
  <c r="M847" i="9" s="1"/>
  <c r="N847" i="9" s="1"/>
  <c r="L789" i="9"/>
  <c r="M789" i="9" s="1"/>
  <c r="N789" i="9" s="1"/>
  <c r="L595" i="9"/>
  <c r="M595" i="9" s="1"/>
  <c r="N595" i="9" s="1"/>
  <c r="L980" i="9"/>
  <c r="M980" i="9" s="1"/>
  <c r="N980" i="9" s="1"/>
  <c r="L740" i="9"/>
  <c r="M740" i="9" s="1"/>
  <c r="N740" i="9" s="1"/>
  <c r="L300" i="9"/>
  <c r="M300" i="9" s="1"/>
  <c r="N300" i="9" s="1"/>
  <c r="L51" i="9"/>
  <c r="M51" i="9" s="1"/>
  <c r="N51" i="9" s="1"/>
  <c r="L586" i="9"/>
  <c r="M586" i="9" s="1"/>
  <c r="N586" i="9" s="1"/>
  <c r="L979" i="9"/>
  <c r="M979" i="9" s="1"/>
  <c r="N979" i="9" s="1"/>
  <c r="L338" i="9"/>
  <c r="M338" i="9" s="1"/>
  <c r="N338" i="9" s="1"/>
  <c r="L665" i="9"/>
  <c r="M665" i="9" s="1"/>
  <c r="N665" i="9" s="1"/>
  <c r="L921" i="9"/>
  <c r="M921" i="9" s="1"/>
  <c r="N921" i="9" s="1"/>
  <c r="L259" i="9"/>
  <c r="M259" i="9" s="1"/>
  <c r="N259" i="9" s="1"/>
  <c r="L601" i="9"/>
  <c r="M601" i="9" s="1"/>
  <c r="N601" i="9" s="1"/>
  <c r="L862" i="9"/>
  <c r="M862" i="9" s="1"/>
  <c r="N862" i="9" s="1"/>
  <c r="L518" i="9"/>
  <c r="M518" i="9" s="1"/>
  <c r="N518" i="9" s="1"/>
  <c r="L294" i="9"/>
  <c r="M294" i="9" s="1"/>
  <c r="N294" i="9" s="1"/>
  <c r="L406" i="9"/>
  <c r="M406" i="9" s="1"/>
  <c r="N406" i="9" s="1"/>
  <c r="L50" i="9"/>
  <c r="M50" i="9" s="1"/>
  <c r="N50" i="9" s="1"/>
  <c r="L164" i="9"/>
  <c r="M164" i="9" s="1"/>
  <c r="N164" i="9" s="1"/>
  <c r="L420" i="9"/>
  <c r="M420" i="9" s="1"/>
  <c r="N420" i="9" s="1"/>
  <c r="L35" i="9"/>
  <c r="M35" i="9" s="1"/>
  <c r="N35" i="9" s="1"/>
  <c r="L405" i="9"/>
  <c r="M405" i="9" s="1"/>
  <c r="N405" i="9" s="1"/>
  <c r="L715" i="9"/>
  <c r="M715" i="9" s="1"/>
  <c r="N715" i="9" s="1"/>
  <c r="L971" i="9"/>
  <c r="M971" i="9" s="1"/>
  <c r="N971" i="9" s="1"/>
  <c r="L327" i="9"/>
  <c r="M327" i="9" s="1"/>
  <c r="N327" i="9" s="1"/>
  <c r="L657" i="9"/>
  <c r="M657" i="9" s="1"/>
  <c r="N657" i="9" s="1"/>
  <c r="L913" i="9"/>
  <c r="M913" i="9" s="1"/>
  <c r="N913" i="9" s="1"/>
  <c r="L249" i="9"/>
  <c r="M249" i="9" s="1"/>
  <c r="N249" i="9" s="1"/>
  <c r="L590" i="9"/>
  <c r="M590" i="9" s="1"/>
  <c r="N590" i="9" s="1"/>
  <c r="L854" i="9"/>
  <c r="M854" i="9" s="1"/>
  <c r="N854" i="9" s="1"/>
  <c r="L475" i="9"/>
  <c r="M475" i="9" s="1"/>
  <c r="N475" i="9" s="1"/>
  <c r="L251" i="9"/>
  <c r="M251" i="9" s="1"/>
  <c r="N251" i="9" s="1"/>
  <c r="L684" i="9"/>
  <c r="M684" i="9" s="1"/>
  <c r="N684" i="9" s="1"/>
  <c r="L613" i="9"/>
  <c r="M613" i="9" s="1"/>
  <c r="N613" i="9" s="1"/>
  <c r="L749" i="9"/>
  <c r="M749" i="9" s="1"/>
  <c r="N749" i="9" s="1"/>
  <c r="L882" i="9"/>
  <c r="M882" i="9" s="1"/>
  <c r="N882" i="9" s="1"/>
  <c r="L592" i="9"/>
  <c r="M592" i="9" s="1"/>
  <c r="N592" i="9" s="1"/>
  <c r="L608" i="9"/>
  <c r="M608" i="9" s="1"/>
  <c r="N608" i="9" s="1"/>
  <c r="L256" i="9"/>
  <c r="M256" i="9" s="1"/>
  <c r="N256" i="9" s="1"/>
  <c r="L549" i="9"/>
  <c r="M549" i="9" s="1"/>
  <c r="N549" i="9" s="1"/>
  <c r="L957" i="9"/>
  <c r="M957" i="9" s="1"/>
  <c r="N957" i="9" s="1"/>
  <c r="L369" i="9"/>
  <c r="M369" i="9" s="1"/>
  <c r="N369" i="9" s="1"/>
  <c r="L591" i="9"/>
  <c r="M591" i="9" s="1"/>
  <c r="N591" i="9" s="1"/>
  <c r="L802" i="9"/>
  <c r="M802" i="9" s="1"/>
  <c r="N802" i="9" s="1"/>
  <c r="L775" i="9"/>
  <c r="M775" i="9" s="1"/>
  <c r="N775" i="9" s="1"/>
  <c r="L158" i="9"/>
  <c r="M158" i="9" s="1"/>
  <c r="N158" i="9" s="1"/>
  <c r="L395" i="9"/>
  <c r="M395" i="9" s="1"/>
  <c r="N395" i="9" s="1"/>
  <c r="L669" i="9"/>
  <c r="M669" i="9" s="1"/>
  <c r="N669" i="9" s="1"/>
  <c r="L70" i="9"/>
  <c r="M70" i="9" s="1"/>
  <c r="N70" i="9" s="1"/>
  <c r="L248" i="9"/>
  <c r="M248" i="9" s="1"/>
  <c r="N248" i="9" s="1"/>
  <c r="L504" i="9"/>
  <c r="M504" i="9" s="1"/>
  <c r="N504" i="9" s="1"/>
  <c r="L261" i="9"/>
  <c r="M261" i="9" s="1"/>
  <c r="N261" i="9" s="1"/>
  <c r="L602" i="9"/>
  <c r="M602" i="9" s="1"/>
  <c r="N602" i="9" s="1"/>
  <c r="L863" i="9"/>
  <c r="M863" i="9" s="1"/>
  <c r="N863" i="9" s="1"/>
  <c r="L183" i="9"/>
  <c r="M183" i="9" s="1"/>
  <c r="N183" i="9" s="1"/>
  <c r="L525" i="9"/>
  <c r="M525" i="9" s="1"/>
  <c r="N525" i="9" s="1"/>
  <c r="L805" i="9"/>
  <c r="M805" i="9" s="1"/>
  <c r="N805" i="9" s="1"/>
  <c r="L97" i="9"/>
  <c r="M97" i="9" s="1"/>
  <c r="N97" i="9" s="1"/>
  <c r="L446" i="9"/>
  <c r="M446" i="9" s="1"/>
  <c r="N446" i="9" s="1"/>
  <c r="L746" i="9"/>
  <c r="M746" i="9" s="1"/>
  <c r="N746" i="9" s="1"/>
  <c r="L1002" i="9"/>
  <c r="M1002" i="9" s="1"/>
  <c r="N1002" i="9" s="1"/>
  <c r="L117" i="9"/>
  <c r="M117" i="9" s="1"/>
  <c r="N117" i="9" s="1"/>
  <c r="L936" i="9"/>
  <c r="M936" i="9" s="1"/>
  <c r="N936" i="9" s="1"/>
  <c r="L932" i="9"/>
  <c r="M932" i="9" s="1"/>
  <c r="N932" i="9" s="1"/>
  <c r="L188" i="9"/>
  <c r="M188" i="9" s="1"/>
  <c r="N188" i="9" s="1"/>
  <c r="L444" i="9"/>
  <c r="M444" i="9" s="1"/>
  <c r="N444" i="9" s="1"/>
  <c r="L181" i="9"/>
  <c r="M181" i="9" s="1"/>
  <c r="N181" i="9" s="1"/>
  <c r="L522" i="9"/>
  <c r="M522" i="9" s="1"/>
  <c r="N522" i="9" s="1"/>
  <c r="L803" i="9"/>
  <c r="M803" i="9" s="1"/>
  <c r="N803" i="9" s="1"/>
  <c r="L95" i="9"/>
  <c r="M95" i="9" s="1"/>
  <c r="N95" i="9" s="1"/>
  <c r="L445" i="9"/>
  <c r="M445" i="9" s="1"/>
  <c r="N445" i="9" s="1"/>
  <c r="L745" i="9"/>
  <c r="M745" i="9" s="1"/>
  <c r="N745" i="9" s="1"/>
  <c r="L1001" i="9"/>
  <c r="M1001" i="9" s="1"/>
  <c r="N1001" i="9" s="1"/>
  <c r="L366" i="9"/>
  <c r="M366" i="9" s="1"/>
  <c r="N366" i="9" s="1"/>
  <c r="L686" i="9"/>
  <c r="M686" i="9" s="1"/>
  <c r="N686" i="9" s="1"/>
  <c r="L942" i="9"/>
  <c r="M942" i="9" s="1"/>
  <c r="N942" i="9" s="1"/>
  <c r="L864" i="9"/>
  <c r="M864" i="9" s="1"/>
  <c r="N864" i="9" s="1"/>
  <c r="L696" i="9"/>
  <c r="M696" i="9" s="1"/>
  <c r="N696" i="9" s="1"/>
  <c r="L780" i="9"/>
  <c r="M780" i="9" s="1"/>
  <c r="N780" i="9" s="1"/>
  <c r="L52" i="9"/>
  <c r="M52" i="9" s="1"/>
  <c r="N52" i="9" s="1"/>
  <c r="L308" i="9"/>
  <c r="M308" i="9" s="1"/>
  <c r="N308" i="9" s="1"/>
  <c r="L564" i="9"/>
  <c r="M564" i="9" s="1"/>
  <c r="N564" i="9" s="1"/>
  <c r="L341" i="9"/>
  <c r="M341" i="9" s="1"/>
  <c r="N341" i="9" s="1"/>
  <c r="L667" i="9"/>
  <c r="M667" i="9" s="1"/>
  <c r="N667" i="9" s="1"/>
  <c r="L923" i="9"/>
  <c r="M923" i="9" s="1"/>
  <c r="N923" i="9" s="1"/>
  <c r="L263" i="9"/>
  <c r="M263" i="9" s="1"/>
  <c r="N263" i="9" s="1"/>
  <c r="L605" i="9"/>
  <c r="M605" i="9" s="1"/>
  <c r="N605" i="9" s="1"/>
  <c r="L865" i="9"/>
  <c r="M865" i="9" s="1"/>
  <c r="N865" i="9" s="1"/>
  <c r="L185" i="9"/>
  <c r="M185" i="9" s="1"/>
  <c r="N185" i="9" s="1"/>
  <c r="L526" i="9"/>
  <c r="M526" i="9" s="1"/>
  <c r="N526" i="9" s="1"/>
  <c r="L806" i="9"/>
  <c r="M806" i="9" s="1"/>
  <c r="N806" i="9" s="1"/>
  <c r="L219" i="9"/>
  <c r="M219" i="9" s="1"/>
  <c r="N219" i="9" s="1"/>
  <c r="L587" i="9"/>
  <c r="M587" i="9" s="1"/>
  <c r="N587" i="9" s="1"/>
  <c r="L101" i="9"/>
  <c r="M101" i="9" s="1"/>
  <c r="N101" i="9" s="1"/>
  <c r="L900" i="9"/>
  <c r="M900" i="9" s="1"/>
  <c r="N900" i="9" s="1"/>
  <c r="L194" i="9"/>
  <c r="M194" i="9" s="1"/>
  <c r="N194" i="9" s="1"/>
  <c r="L690" i="9"/>
  <c r="M690" i="9" s="1"/>
  <c r="N690" i="9" s="1"/>
  <c r="L513" i="9"/>
  <c r="M513" i="9" s="1"/>
  <c r="N513" i="9" s="1"/>
  <c r="L64" i="9"/>
  <c r="M64" i="9" s="1"/>
  <c r="N64" i="9" s="1"/>
  <c r="L400" i="9"/>
  <c r="M400" i="9" s="1"/>
  <c r="N400" i="9" s="1"/>
  <c r="L48" i="9"/>
  <c r="M48" i="9" s="1"/>
  <c r="N48" i="9" s="1"/>
  <c r="L887" i="9"/>
  <c r="M887" i="9" s="1"/>
  <c r="N887" i="9" s="1"/>
  <c r="L307" i="9"/>
  <c r="M307" i="9" s="1"/>
  <c r="N307" i="9" s="1"/>
  <c r="L145" i="9"/>
  <c r="M145" i="9" s="1"/>
  <c r="N145" i="9" s="1"/>
  <c r="L861" i="9"/>
  <c r="M861" i="9" s="1"/>
  <c r="N861" i="9" s="1"/>
  <c r="L229" i="9"/>
  <c r="M229" i="9" s="1"/>
  <c r="N229" i="9" s="1"/>
  <c r="L407" i="9"/>
  <c r="M407" i="9" s="1"/>
  <c r="N407" i="9" s="1"/>
  <c r="L585" i="9"/>
  <c r="M585" i="9" s="1"/>
  <c r="N585" i="9" s="1"/>
  <c r="L676" i="9"/>
  <c r="M676" i="9" s="1"/>
  <c r="N676" i="9" s="1"/>
  <c r="L350" i="9"/>
  <c r="M350" i="9" s="1"/>
  <c r="N350" i="9" s="1"/>
  <c r="L104" i="9"/>
  <c r="M104" i="9" s="1"/>
  <c r="N104" i="9" s="1"/>
  <c r="L495" i="9"/>
  <c r="M495" i="9" s="1"/>
  <c r="N495" i="9" s="1"/>
  <c r="L503" i="9"/>
  <c r="M503" i="9" s="1"/>
  <c r="N503" i="9" s="1"/>
  <c r="L425" i="9"/>
  <c r="M425" i="9" s="1"/>
  <c r="N425" i="9" s="1"/>
  <c r="L481" i="9"/>
  <c r="M481" i="9" s="1"/>
  <c r="N481" i="9" s="1"/>
  <c r="L236" i="9"/>
  <c r="M236" i="9" s="1"/>
  <c r="N236" i="9" s="1"/>
  <c r="L415" i="9"/>
  <c r="M415" i="9" s="1"/>
  <c r="N415" i="9" s="1"/>
  <c r="L86" i="9"/>
  <c r="M86" i="9" s="1"/>
  <c r="N86" i="9" s="1"/>
  <c r="L264" i="9"/>
  <c r="M264" i="9" s="1"/>
  <c r="N264" i="9" s="1"/>
  <c r="L520" i="9"/>
  <c r="M520" i="9" s="1"/>
  <c r="N520" i="9" s="1"/>
  <c r="L282" i="9"/>
  <c r="M282" i="9" s="1"/>
  <c r="N282" i="9" s="1"/>
  <c r="L623" i="9"/>
  <c r="M623" i="9" s="1"/>
  <c r="N623" i="9" s="1"/>
  <c r="L879" i="9"/>
  <c r="M879" i="9" s="1"/>
  <c r="N879" i="9" s="1"/>
  <c r="L205" i="9"/>
  <c r="M205" i="9" s="1"/>
  <c r="N205" i="9" s="1"/>
  <c r="L546" i="9"/>
  <c r="M546" i="9" s="1"/>
  <c r="N546" i="9" s="1"/>
  <c r="L821" i="9"/>
  <c r="M821" i="9" s="1"/>
  <c r="N821" i="9" s="1"/>
  <c r="L211" i="9"/>
  <c r="M211" i="9" s="1"/>
  <c r="N211" i="9" s="1"/>
  <c r="L553" i="9"/>
  <c r="M553" i="9" s="1"/>
  <c r="N553" i="9" s="1"/>
  <c r="L826" i="9"/>
  <c r="M826" i="9" s="1"/>
  <c r="N826" i="9" s="1"/>
  <c r="L656" i="9"/>
  <c r="M656" i="9" s="1"/>
  <c r="N656" i="9" s="1"/>
  <c r="L93" i="9"/>
  <c r="M93" i="9" s="1"/>
  <c r="N93" i="9" s="1"/>
  <c r="L214" i="9"/>
  <c r="M214" i="9" s="1"/>
  <c r="N214" i="9" s="1"/>
  <c r="L26" i="9"/>
  <c r="M26" i="9" s="1"/>
  <c r="N26" i="9" s="1"/>
  <c r="L140" i="9"/>
  <c r="M140" i="9" s="1"/>
  <c r="N140" i="9" s="1"/>
  <c r="L396" i="9"/>
  <c r="M396" i="9" s="1"/>
  <c r="N396" i="9" s="1"/>
  <c r="L115" i="9"/>
  <c r="M115" i="9" s="1"/>
  <c r="N115" i="9" s="1"/>
  <c r="L458" i="9"/>
  <c r="M458" i="9" s="1"/>
  <c r="N458" i="9" s="1"/>
  <c r="L755" i="9"/>
  <c r="M755" i="9" s="1"/>
  <c r="N755" i="9" s="1"/>
  <c r="L125" i="9"/>
  <c r="M125" i="9" s="1"/>
  <c r="N125" i="9" s="1"/>
  <c r="L466" i="9"/>
  <c r="M466" i="9" s="1"/>
  <c r="N466" i="9" s="1"/>
  <c r="L761" i="9"/>
  <c r="M761" i="9" s="1"/>
  <c r="N761" i="9" s="1"/>
  <c r="L131" i="9"/>
  <c r="M131" i="9" s="1"/>
  <c r="N131" i="9" s="1"/>
  <c r="L473" i="9"/>
  <c r="M473" i="9" s="1"/>
  <c r="N473" i="9" s="1"/>
  <c r="L766" i="9"/>
  <c r="M766" i="9" s="1"/>
  <c r="N766" i="9" s="1"/>
  <c r="L347" i="9"/>
  <c r="M347" i="9" s="1"/>
  <c r="N347" i="9" s="1"/>
  <c r="L788" i="9"/>
  <c r="M788" i="9" s="1"/>
  <c r="N788" i="9" s="1"/>
  <c r="L235" i="9"/>
  <c r="M235" i="9" s="1"/>
  <c r="N235" i="9" s="1"/>
  <c r="L18" i="9"/>
  <c r="M18" i="9" s="1"/>
  <c r="N18" i="9" s="1"/>
  <c r="L196" i="9"/>
  <c r="M196" i="9" s="1"/>
  <c r="N196" i="9" s="1"/>
  <c r="L452" i="9"/>
  <c r="M452" i="9" s="1"/>
  <c r="N452" i="9" s="1"/>
  <c r="L191" i="9"/>
  <c r="M191" i="9" s="1"/>
  <c r="N191" i="9" s="1"/>
  <c r="L533" i="9"/>
  <c r="M533" i="9" s="1"/>
  <c r="N533" i="9" s="1"/>
  <c r="L811" i="9"/>
  <c r="M811" i="9" s="1"/>
  <c r="N811" i="9" s="1"/>
  <c r="L111" i="9"/>
  <c r="M111" i="9" s="1"/>
  <c r="N111" i="9" s="1"/>
  <c r="L455" i="9"/>
  <c r="M455" i="9" s="1"/>
  <c r="N455" i="9" s="1"/>
  <c r="L753" i="9"/>
  <c r="M753" i="9" s="1"/>
  <c r="N753" i="9" s="1"/>
  <c r="L1009" i="9"/>
  <c r="M1009" i="9" s="1"/>
  <c r="L377" i="9"/>
  <c r="M377" i="9" s="1"/>
  <c r="N377" i="9" s="1"/>
  <c r="L694" i="9"/>
  <c r="M694" i="9" s="1"/>
  <c r="N694" i="9" s="1"/>
  <c r="L950" i="9"/>
  <c r="M950" i="9" s="1"/>
  <c r="N950" i="9" s="1"/>
  <c r="L182" i="9"/>
  <c r="M182" i="9" s="1"/>
  <c r="N182" i="9" s="1"/>
  <c r="L728" i="9"/>
  <c r="M728" i="9" s="1"/>
  <c r="N728" i="9" s="1"/>
  <c r="L812" i="9"/>
  <c r="M812" i="9" s="1"/>
  <c r="N812" i="9" s="1"/>
  <c r="L743" i="9"/>
  <c r="M743" i="9" s="1"/>
  <c r="N743" i="9" s="1"/>
  <c r="L877" i="9"/>
  <c r="M877" i="9" s="1"/>
  <c r="N877" i="9" s="1"/>
  <c r="L161" i="9"/>
  <c r="M161" i="9" s="1"/>
  <c r="N161" i="9" s="1"/>
  <c r="L240" i="9"/>
  <c r="M240" i="9" s="1"/>
  <c r="N240" i="9" s="1"/>
  <c r="L288" i="9"/>
  <c r="M288" i="9" s="1"/>
  <c r="N288" i="9" s="1"/>
  <c r="L78" i="9"/>
  <c r="M78" i="9" s="1"/>
  <c r="N78" i="9" s="1"/>
  <c r="L215" i="9"/>
  <c r="M215" i="9" s="1"/>
  <c r="N215" i="9" s="1"/>
  <c r="L393" i="9"/>
  <c r="M393" i="9" s="1"/>
  <c r="N393" i="9" s="1"/>
  <c r="L486" i="9"/>
  <c r="M486" i="9" s="1"/>
  <c r="N486" i="9" s="1"/>
  <c r="L429" i="9"/>
  <c r="M429" i="9" s="1"/>
  <c r="N429" i="9" s="1"/>
  <c r="L904" i="9"/>
  <c r="M904" i="9" s="1"/>
  <c r="N904" i="9" s="1"/>
  <c r="L151" i="9"/>
  <c r="M151" i="9" s="1"/>
  <c r="N151" i="9" s="1"/>
  <c r="L658" i="9"/>
  <c r="M658" i="9" s="1"/>
  <c r="N658" i="9" s="1"/>
  <c r="L342" i="9"/>
  <c r="M342" i="9" s="1"/>
  <c r="N342" i="9" s="1"/>
  <c r="L989" i="9"/>
  <c r="M989" i="9" s="1"/>
  <c r="N989" i="9" s="1"/>
  <c r="L40" i="9"/>
  <c r="M40" i="9" s="1"/>
  <c r="N40" i="9" s="1"/>
  <c r="L410" i="9"/>
  <c r="M410" i="9" s="1"/>
  <c r="N410" i="9" s="1"/>
  <c r="L418" i="9"/>
  <c r="M418" i="9" s="1"/>
  <c r="N418" i="9" s="1"/>
  <c r="L339" i="9"/>
  <c r="M339" i="9" s="1"/>
  <c r="N339" i="9" s="1"/>
  <c r="L700" i="9"/>
  <c r="M700" i="9" s="1"/>
  <c r="N700" i="9" s="1"/>
  <c r="L88" i="9"/>
  <c r="M88" i="9" s="1"/>
  <c r="N88" i="9" s="1"/>
  <c r="L344" i="9"/>
  <c r="M344" i="9" s="1"/>
  <c r="N344" i="9" s="1"/>
  <c r="L600" i="9"/>
  <c r="M600" i="9" s="1"/>
  <c r="N600" i="9" s="1"/>
  <c r="L389" i="9"/>
  <c r="M389" i="9" s="1"/>
  <c r="N389" i="9" s="1"/>
  <c r="L703" i="9"/>
  <c r="M703" i="9" s="1"/>
  <c r="N703" i="9" s="1"/>
  <c r="L959" i="9"/>
  <c r="M959" i="9" s="1"/>
  <c r="N959" i="9" s="1"/>
  <c r="L311" i="9"/>
  <c r="M311" i="9" s="1"/>
  <c r="N311" i="9" s="1"/>
  <c r="L645" i="9"/>
  <c r="M645" i="9" s="1"/>
  <c r="N645" i="9" s="1"/>
  <c r="L901" i="9"/>
  <c r="M901" i="9" s="1"/>
  <c r="N901" i="9" s="1"/>
  <c r="L233" i="9"/>
  <c r="M233" i="9" s="1"/>
  <c r="N233" i="9" s="1"/>
  <c r="L574" i="9"/>
  <c r="M574" i="9" s="1"/>
  <c r="N574" i="9" s="1"/>
  <c r="L842" i="9"/>
  <c r="M842" i="9" s="1"/>
  <c r="N842" i="9" s="1"/>
  <c r="L411" i="9"/>
  <c r="M411" i="9" s="1"/>
  <c r="N411" i="9" s="1"/>
  <c r="L836" i="9"/>
  <c r="M836" i="9" s="1"/>
  <c r="N836" i="9" s="1"/>
  <c r="L299" i="9"/>
  <c r="M299" i="9" s="1"/>
  <c r="N299" i="9" s="1"/>
  <c r="L42" i="9"/>
  <c r="M42" i="9" s="1"/>
  <c r="N42" i="9" s="1"/>
  <c r="L156" i="9"/>
  <c r="M156" i="9" s="1"/>
  <c r="N156" i="9" s="1"/>
  <c r="L412" i="9"/>
  <c r="M412" i="9" s="1"/>
  <c r="N412" i="9" s="1"/>
  <c r="L19" i="9"/>
  <c r="M19" i="9" s="1"/>
  <c r="N19" i="9" s="1"/>
  <c r="L394" i="9"/>
  <c r="M394" i="9" s="1"/>
  <c r="N394" i="9" s="1"/>
  <c r="L707" i="9"/>
  <c r="M707" i="9" s="1"/>
  <c r="N707" i="9" s="1"/>
  <c r="L963" i="9"/>
  <c r="M963" i="9" s="1"/>
  <c r="N963" i="9" s="1"/>
  <c r="L317" i="9"/>
  <c r="M317" i="9" s="1"/>
  <c r="N317" i="9" s="1"/>
  <c r="L649" i="9"/>
  <c r="M649" i="9" s="1"/>
  <c r="N649" i="9" s="1"/>
  <c r="L905" i="9"/>
  <c r="M905" i="9" s="1"/>
  <c r="N905" i="9" s="1"/>
  <c r="L238" i="9"/>
  <c r="M238" i="9" s="1"/>
  <c r="N238" i="9" s="1"/>
  <c r="L579" i="9"/>
  <c r="M579" i="9" s="1"/>
  <c r="N579" i="9" s="1"/>
  <c r="L846" i="9"/>
  <c r="M846" i="9" s="1"/>
  <c r="N846" i="9" s="1"/>
  <c r="L433" i="9"/>
  <c r="M433" i="9" s="1"/>
  <c r="N433" i="9" s="1"/>
  <c r="L884" i="9"/>
  <c r="M884" i="9" s="1"/>
  <c r="N884" i="9" s="1"/>
  <c r="L321" i="9"/>
  <c r="M321" i="9" s="1"/>
  <c r="N321" i="9" s="1"/>
  <c r="L34" i="9"/>
  <c r="M34" i="9" s="1"/>
  <c r="N34" i="9" s="1"/>
  <c r="L148" i="9"/>
  <c r="M148" i="9" s="1"/>
  <c r="N148" i="9" s="1"/>
  <c r="L404" i="9"/>
  <c r="M404" i="9" s="1"/>
  <c r="N404" i="9" s="1"/>
  <c r="L127" i="9"/>
  <c r="M127" i="9" s="1"/>
  <c r="N127" i="9" s="1"/>
  <c r="L469" i="9"/>
  <c r="M469" i="9" s="1"/>
  <c r="N469" i="9" s="1"/>
  <c r="L763" i="9"/>
  <c r="M763" i="9" s="1"/>
  <c r="N763" i="9" s="1"/>
  <c r="L15" i="9"/>
  <c r="M15" i="9" s="1"/>
  <c r="N15" i="9" s="1"/>
  <c r="L391" i="9"/>
  <c r="M391" i="9" s="1"/>
  <c r="N391" i="9" s="1"/>
  <c r="L705" i="9"/>
  <c r="M705" i="9" s="1"/>
  <c r="N705" i="9" s="1"/>
  <c r="L961" i="9"/>
  <c r="M961" i="9" s="1"/>
  <c r="N961" i="9" s="1"/>
  <c r="L313" i="9"/>
  <c r="M313" i="9" s="1"/>
  <c r="N313" i="9" s="1"/>
  <c r="L646" i="9"/>
  <c r="M646" i="9" s="1"/>
  <c r="N646" i="9" s="1"/>
  <c r="L902" i="9"/>
  <c r="M902" i="9" s="1"/>
  <c r="N902" i="9" s="1"/>
  <c r="L704" i="9"/>
  <c r="M704" i="9" s="1"/>
  <c r="N704" i="9" s="1"/>
  <c r="L166" i="9"/>
  <c r="M166" i="9" s="1"/>
  <c r="N166" i="9" s="1"/>
  <c r="L278" i="9"/>
  <c r="M278" i="9" s="1"/>
  <c r="N278" i="9" s="1"/>
  <c r="L186" i="9"/>
  <c r="M186" i="9" s="1"/>
  <c r="N186" i="9" s="1"/>
  <c r="L685" i="9"/>
  <c r="M685" i="9" s="1"/>
  <c r="N685" i="9" s="1"/>
  <c r="L818" i="9"/>
  <c r="M818" i="9" s="1"/>
  <c r="N818" i="9" s="1"/>
  <c r="L331" i="9"/>
  <c r="M331" i="9" s="1"/>
  <c r="N331" i="9" s="1"/>
  <c r="L528" i="9"/>
  <c r="M528" i="9" s="1"/>
  <c r="N528" i="9" s="1"/>
  <c r="L192" i="9"/>
  <c r="M192" i="9" s="1"/>
  <c r="N192" i="9" s="1"/>
  <c r="L463" i="9"/>
  <c r="M463" i="9" s="1"/>
  <c r="N463" i="9" s="1"/>
  <c r="L893" i="9"/>
  <c r="M893" i="9" s="1"/>
  <c r="N893" i="9" s="1"/>
  <c r="L246" i="9"/>
  <c r="M246" i="9" s="1"/>
  <c r="N246" i="9" s="1"/>
  <c r="L983" i="9"/>
  <c r="M983" i="9" s="1"/>
  <c r="N983" i="9" s="1"/>
  <c r="L988" i="9"/>
  <c r="M988" i="9" s="1"/>
  <c r="N988" i="9" s="1"/>
  <c r="L237" i="9"/>
  <c r="M237" i="9" s="1"/>
  <c r="N237" i="9" s="1"/>
  <c r="L414" i="9"/>
  <c r="M414" i="9" s="1"/>
  <c r="N414" i="9" s="1"/>
  <c r="L571" i="9"/>
  <c r="M571" i="9" s="1"/>
  <c r="N571" i="9" s="1"/>
  <c r="L514" i="9"/>
  <c r="M514" i="9" s="1"/>
  <c r="N514" i="9" s="1"/>
  <c r="L732" i="9"/>
  <c r="M732" i="9" s="1"/>
  <c r="N732" i="9" s="1"/>
  <c r="L382" i="9"/>
  <c r="M382" i="9" s="1"/>
  <c r="N382" i="9" s="1"/>
  <c r="L287" i="9"/>
  <c r="M287" i="9" s="1"/>
  <c r="N287" i="9" s="1"/>
  <c r="L633" i="9"/>
  <c r="M633" i="9" s="1"/>
  <c r="N633" i="9" s="1"/>
  <c r="L638" i="9"/>
  <c r="M638" i="9" s="1"/>
  <c r="N638" i="9" s="1"/>
  <c r="L465" i="9"/>
  <c r="M465" i="9" s="1"/>
  <c r="N465" i="9" s="1"/>
  <c r="L580" i="9"/>
  <c r="M580" i="9" s="1"/>
  <c r="N580" i="9" s="1"/>
  <c r="L939" i="9"/>
  <c r="M939" i="9" s="1"/>
  <c r="N939" i="9" s="1"/>
  <c r="L206" i="9"/>
  <c r="M206" i="9" s="1"/>
  <c r="N206" i="9" s="1"/>
  <c r="L61" i="9"/>
  <c r="M61" i="9" s="1"/>
  <c r="N61" i="9" s="1"/>
  <c r="L279" i="9"/>
  <c r="M279" i="9" s="1"/>
  <c r="N279" i="9" s="1"/>
  <c r="L112" i="9"/>
  <c r="M112" i="9" s="1"/>
  <c r="N112" i="9" s="1"/>
  <c r="L962" i="9"/>
  <c r="M962" i="9" s="1"/>
  <c r="N962" i="9" s="1"/>
  <c r="L781" i="9"/>
  <c r="M781" i="9" s="1"/>
  <c r="N781" i="9" s="1"/>
  <c r="L791" i="9"/>
  <c r="M791" i="9" s="1"/>
  <c r="N791" i="9" s="1"/>
  <c r="L917" i="9"/>
  <c r="M917" i="9" s="1"/>
  <c r="N917" i="9" s="1"/>
  <c r="L472" i="9"/>
  <c r="M472" i="9" s="1"/>
  <c r="N472" i="9" s="1"/>
  <c r="L141" i="9"/>
  <c r="M141" i="9" s="1"/>
  <c r="N141" i="9" s="1"/>
  <c r="L33" i="9"/>
  <c r="M33" i="9" s="1"/>
  <c r="N33" i="9" s="1"/>
  <c r="L529" i="9"/>
  <c r="M529" i="9" s="1"/>
  <c r="N529" i="9" s="1"/>
  <c r="L284" i="9"/>
  <c r="M284" i="9" s="1"/>
  <c r="N284" i="9" s="1"/>
  <c r="L835" i="9"/>
  <c r="M835" i="9" s="1"/>
  <c r="N835" i="9" s="1"/>
  <c r="L777" i="9"/>
  <c r="M777" i="9" s="1"/>
  <c r="N777" i="9" s="1"/>
  <c r="L974" i="9"/>
  <c r="M974" i="9" s="1"/>
  <c r="N974" i="9" s="1"/>
  <c r="L908" i="9"/>
  <c r="M908" i="9" s="1"/>
  <c r="N908" i="9" s="1"/>
  <c r="L298" i="9"/>
  <c r="M298" i="9" s="1"/>
  <c r="N298" i="9" s="1"/>
  <c r="L221" i="9"/>
  <c r="M221" i="9" s="1"/>
  <c r="N221" i="9" s="1"/>
  <c r="L483" i="9"/>
  <c r="M483" i="9" s="1"/>
  <c r="N483" i="9" s="1"/>
  <c r="L792" i="9"/>
  <c r="M792" i="9" s="1"/>
  <c r="N792" i="9" s="1"/>
  <c r="L201" i="9"/>
  <c r="M201" i="9" s="1"/>
  <c r="N201" i="9" s="1"/>
  <c r="L16" i="9"/>
  <c r="M16" i="9" s="1"/>
  <c r="N16" i="9" s="1"/>
  <c r="L860" i="9"/>
  <c r="M860" i="9" s="1"/>
  <c r="N860" i="9" s="1"/>
  <c r="L978" i="9"/>
  <c r="M978" i="9" s="1"/>
  <c r="N978" i="9" s="1"/>
  <c r="L232" i="9"/>
  <c r="M232" i="9" s="1"/>
  <c r="N232" i="9" s="1"/>
  <c r="L325" i="9"/>
  <c r="M325" i="9" s="1"/>
  <c r="N325" i="9" s="1"/>
  <c r="L247" i="9"/>
  <c r="M247" i="9" s="1"/>
  <c r="N247" i="9" s="1"/>
  <c r="L853" i="9"/>
  <c r="M853" i="9" s="1"/>
  <c r="N853" i="9" s="1"/>
  <c r="L794" i="9"/>
  <c r="M794" i="9" s="1"/>
  <c r="N794" i="9" s="1"/>
  <c r="L273" i="9"/>
  <c r="M273" i="9" s="1"/>
  <c r="N273" i="9" s="1"/>
  <c r="L58" i="9"/>
  <c r="M58" i="9" s="1"/>
  <c r="N58" i="9" s="1"/>
  <c r="L364" i="9"/>
  <c r="M364" i="9" s="1"/>
  <c r="N364" i="9" s="1"/>
  <c r="L159" i="9"/>
  <c r="M159" i="9" s="1"/>
  <c r="N159" i="9" s="1"/>
  <c r="L723" i="9"/>
  <c r="M723" i="9" s="1"/>
  <c r="N723" i="9" s="1"/>
  <c r="L63" i="9"/>
  <c r="M63" i="9" s="1"/>
  <c r="N63" i="9" s="1"/>
  <c r="L423" i="9"/>
  <c r="M423" i="9" s="1"/>
  <c r="N423" i="9" s="1"/>
  <c r="L729" i="9"/>
  <c r="M729" i="9" s="1"/>
  <c r="N729" i="9" s="1"/>
  <c r="L985" i="9"/>
  <c r="M985" i="9" s="1"/>
  <c r="N985" i="9" s="1"/>
  <c r="L345" i="9"/>
  <c r="M345" i="9" s="1"/>
  <c r="N345" i="9" s="1"/>
  <c r="L670" i="9"/>
  <c r="M670" i="9" s="1"/>
  <c r="N670" i="9" s="1"/>
  <c r="L926" i="9"/>
  <c r="M926" i="9" s="1"/>
  <c r="N926" i="9" s="1"/>
  <c r="L800" i="9"/>
  <c r="M800" i="9" s="1"/>
  <c r="N800" i="9" s="1"/>
  <c r="L632" i="9"/>
  <c r="M632" i="9" s="1"/>
  <c r="N632" i="9" s="1"/>
  <c r="L716" i="9"/>
  <c r="M716" i="9" s="1"/>
  <c r="N716" i="9" s="1"/>
  <c r="L114" i="9"/>
  <c r="M114" i="9" s="1"/>
  <c r="N114" i="9" s="1"/>
  <c r="L228" i="9"/>
  <c r="M228" i="9" s="1"/>
  <c r="N228" i="9" s="1"/>
  <c r="L484" i="9"/>
  <c r="M484" i="9" s="1"/>
  <c r="N484" i="9" s="1"/>
  <c r="L149" i="9"/>
  <c r="M149" i="9" s="1"/>
  <c r="N149" i="9" s="1"/>
  <c r="L490" i="9"/>
  <c r="M490" i="9" s="1"/>
  <c r="N490" i="9" s="1"/>
  <c r="L779" i="9"/>
  <c r="M779" i="9" s="1"/>
  <c r="N779" i="9" s="1"/>
  <c r="L47" i="9"/>
  <c r="M47" i="9" s="1"/>
  <c r="N47" i="9" s="1"/>
  <c r="L413" i="9"/>
  <c r="M413" i="9" s="1"/>
  <c r="N413" i="9" s="1"/>
  <c r="L721" i="9"/>
  <c r="M721" i="9" s="1"/>
  <c r="N721" i="9" s="1"/>
  <c r="L977" i="9"/>
  <c r="M977" i="9" s="1"/>
  <c r="N977" i="9" s="1"/>
  <c r="L334" i="9"/>
  <c r="M334" i="9" s="1"/>
  <c r="N334" i="9" s="1"/>
  <c r="L662" i="9"/>
  <c r="M662" i="9" s="1"/>
  <c r="N662" i="9" s="1"/>
  <c r="L918" i="9"/>
  <c r="M918" i="9" s="1"/>
  <c r="N918" i="9" s="1"/>
  <c r="L768" i="9"/>
  <c r="M768" i="9" s="1"/>
  <c r="N768" i="9" s="1"/>
  <c r="L593" i="9"/>
  <c r="M593" i="9" s="1"/>
  <c r="N593" i="9" s="1"/>
  <c r="L940" i="9"/>
  <c r="M940" i="9" s="1"/>
  <c r="N940" i="9" s="1"/>
  <c r="L871" i="9"/>
  <c r="M871" i="9" s="1"/>
  <c r="N871" i="9" s="1"/>
  <c r="L1005" i="9"/>
  <c r="M1005" i="9" s="1"/>
  <c r="N1005" i="9" s="1"/>
  <c r="L624" i="9"/>
  <c r="M624" i="9" s="1"/>
  <c r="N624" i="9" s="1"/>
  <c r="L368" i="9"/>
  <c r="M368" i="9" s="1"/>
  <c r="N368" i="9" s="1"/>
  <c r="L512" i="9"/>
  <c r="M512" i="9" s="1"/>
  <c r="N512" i="9" s="1"/>
  <c r="L160" i="9"/>
  <c r="M160" i="9" s="1"/>
  <c r="N160" i="9" s="1"/>
  <c r="L823" i="9"/>
  <c r="M823" i="9" s="1"/>
  <c r="N823" i="9" s="1"/>
  <c r="L222" i="9"/>
  <c r="M222" i="9" s="1"/>
  <c r="N222" i="9" s="1"/>
  <c r="L804" i="9"/>
  <c r="M804" i="9" s="1"/>
  <c r="N804" i="9" s="1"/>
  <c r="L71" i="9"/>
  <c r="M71" i="9" s="1"/>
  <c r="N71" i="9" s="1"/>
  <c r="L545" i="9"/>
  <c r="M545" i="9" s="1"/>
  <c r="N545" i="9" s="1"/>
  <c r="L322" i="9"/>
  <c r="M322" i="9" s="1"/>
  <c r="N322" i="9" s="1"/>
  <c r="L499" i="9"/>
  <c r="M499" i="9" s="1"/>
  <c r="N499" i="9" s="1"/>
  <c r="L840" i="9"/>
  <c r="M840" i="9" s="1"/>
  <c r="N840" i="9" s="1"/>
  <c r="L179" i="9"/>
  <c r="M179" i="9" s="1"/>
  <c r="N179" i="9" s="1"/>
  <c r="L56" i="9"/>
  <c r="M56" i="9" s="1"/>
  <c r="N56" i="9" s="1"/>
  <c r="L312" i="9"/>
  <c r="M312" i="9" s="1"/>
  <c r="N312" i="9" s="1"/>
  <c r="L568" i="9"/>
  <c r="M568" i="9" s="1"/>
  <c r="N568" i="9" s="1"/>
  <c r="L346" i="9"/>
  <c r="M346" i="9" s="1"/>
  <c r="N346" i="9" s="1"/>
  <c r="L671" i="9"/>
  <c r="M671" i="9" s="1"/>
  <c r="N671" i="9" s="1"/>
  <c r="L927" i="9"/>
  <c r="M927" i="9" s="1"/>
  <c r="N927" i="9" s="1"/>
  <c r="L269" i="9"/>
  <c r="M269" i="9" s="1"/>
  <c r="N269" i="9" s="1"/>
  <c r="L610" i="9"/>
  <c r="M610" i="9" s="1"/>
  <c r="N610" i="9" s="1"/>
  <c r="L869" i="9"/>
  <c r="M869" i="9" s="1"/>
  <c r="N869" i="9" s="1"/>
  <c r="L190" i="9"/>
  <c r="M190" i="9" s="1"/>
  <c r="N190" i="9" s="1"/>
  <c r="L531" i="9"/>
  <c r="M531" i="9" s="1"/>
  <c r="N531" i="9" s="1"/>
  <c r="L810" i="9"/>
  <c r="M810" i="9" s="1"/>
  <c r="N810" i="9" s="1"/>
  <c r="L241" i="9"/>
  <c r="M241" i="9" s="1"/>
  <c r="N241" i="9" s="1"/>
  <c r="L628" i="9"/>
  <c r="M628" i="9" s="1"/>
  <c r="N628" i="9" s="1"/>
  <c r="L129" i="9"/>
  <c r="M129" i="9" s="1"/>
  <c r="N129" i="9" s="1"/>
  <c r="L74" i="9"/>
  <c r="M74" i="9" s="1"/>
  <c r="N74" i="9" s="1"/>
  <c r="L252" i="9"/>
  <c r="M252" i="9" s="1"/>
  <c r="N252" i="9" s="1"/>
  <c r="L508" i="9"/>
  <c r="M508" i="9" s="1"/>
  <c r="N508" i="9" s="1"/>
  <c r="L266" i="9"/>
  <c r="M266" i="9" s="1"/>
  <c r="N266" i="9" s="1"/>
  <c r="L607" i="9"/>
  <c r="M607" i="9" s="1"/>
  <c r="N607" i="9" s="1"/>
  <c r="L867" i="9"/>
  <c r="M867" i="9" s="1"/>
  <c r="N867" i="9" s="1"/>
  <c r="L189" i="9"/>
  <c r="M189" i="9" s="1"/>
  <c r="N189" i="9" s="1"/>
  <c r="L530" i="9"/>
  <c r="M530" i="9" s="1"/>
  <c r="N530" i="9" s="1"/>
  <c r="L809" i="9"/>
  <c r="M809" i="9" s="1"/>
  <c r="N809" i="9" s="1"/>
  <c r="L105" i="9"/>
  <c r="M105" i="9" s="1"/>
  <c r="N105" i="9" s="1"/>
  <c r="L451" i="9"/>
  <c r="M451" i="9" s="1"/>
  <c r="N451" i="9" s="1"/>
  <c r="L750" i="9"/>
  <c r="M750" i="9" s="1"/>
  <c r="N750" i="9" s="1"/>
  <c r="L1006" i="9"/>
  <c r="M1006" i="9" s="1"/>
  <c r="N1006" i="9" s="1"/>
  <c r="L139" i="9"/>
  <c r="M139" i="9" s="1"/>
  <c r="N139" i="9" s="1"/>
  <c r="L952" i="9"/>
  <c r="M952" i="9" s="1"/>
  <c r="N952" i="9" s="1"/>
  <c r="L267" i="9"/>
  <c r="M267" i="9" s="1"/>
  <c r="N267" i="9" s="1"/>
  <c r="L116" i="9"/>
  <c r="M116" i="9" s="1"/>
  <c r="N116" i="9" s="1"/>
  <c r="L372" i="9"/>
  <c r="M372" i="9" s="1"/>
  <c r="N372" i="9" s="1"/>
  <c r="L67" i="9"/>
  <c r="M67" i="9" s="1"/>
  <c r="N67" i="9" s="1"/>
  <c r="L426" i="9"/>
  <c r="M426" i="9" s="1"/>
  <c r="N426" i="9" s="1"/>
  <c r="L731" i="9"/>
  <c r="M731" i="9" s="1"/>
  <c r="N731" i="9" s="1"/>
  <c r="L987" i="9"/>
  <c r="M987" i="9" s="1"/>
  <c r="N987" i="9" s="1"/>
  <c r="L349" i="9"/>
  <c r="M349" i="9" s="1"/>
  <c r="N349" i="9" s="1"/>
  <c r="L673" i="9"/>
  <c r="M673" i="9" s="1"/>
  <c r="N673" i="9" s="1"/>
  <c r="L929" i="9"/>
  <c r="M929" i="9" s="1"/>
  <c r="N929" i="9" s="1"/>
  <c r="L270" i="9"/>
  <c r="M270" i="9" s="1"/>
  <c r="N270" i="9" s="1"/>
  <c r="L611" i="9"/>
  <c r="M611" i="9" s="1"/>
  <c r="N611" i="9" s="1"/>
  <c r="L870" i="9"/>
  <c r="M870" i="9" s="1"/>
  <c r="N870" i="9" s="1"/>
  <c r="L561" i="9"/>
  <c r="M561" i="9" s="1"/>
  <c r="N561" i="9" s="1"/>
  <c r="L337" i="9"/>
  <c r="M337" i="9" s="1"/>
  <c r="N337" i="9" s="1"/>
  <c r="L449" i="9"/>
  <c r="M449" i="9" s="1"/>
  <c r="N449" i="9" s="1"/>
  <c r="L357" i="9"/>
  <c r="M357" i="9" s="1"/>
  <c r="N357" i="9" s="1"/>
  <c r="L535" i="9"/>
  <c r="M535" i="9" s="1"/>
  <c r="N535" i="9" s="1"/>
  <c r="L946" i="9"/>
  <c r="M946" i="9" s="1"/>
  <c r="N946" i="9" s="1"/>
  <c r="L27" i="9"/>
  <c r="M27" i="9" s="1"/>
  <c r="N27" i="9" s="1"/>
  <c r="L30" i="9"/>
  <c r="M30" i="9" s="1"/>
  <c r="N30" i="9" s="1"/>
  <c r="L320" i="9"/>
  <c r="M320" i="9" s="1"/>
  <c r="N320" i="9" s="1"/>
  <c r="L110" i="9"/>
  <c r="M110" i="9" s="1"/>
  <c r="N110" i="9" s="1"/>
  <c r="L130" i="9"/>
  <c r="M130" i="9" s="1"/>
  <c r="N130" i="9" s="1"/>
  <c r="L642" i="9"/>
  <c r="M642" i="9" s="1"/>
  <c r="N642" i="9" s="1"/>
  <c r="L257" i="9"/>
  <c r="M257" i="9" s="1"/>
  <c r="N257" i="9" s="1"/>
  <c r="L435" i="9"/>
  <c r="M435" i="9" s="1"/>
  <c r="N435" i="9" s="1"/>
  <c r="L570" i="9"/>
  <c r="M570" i="9" s="1"/>
  <c r="N570" i="9" s="1"/>
  <c r="L717" i="9"/>
  <c r="M717" i="9" s="1"/>
  <c r="N717" i="9" s="1"/>
  <c r="L850" i="9"/>
  <c r="M850" i="9" s="1"/>
  <c r="N850" i="9" s="1"/>
  <c r="L663" i="9"/>
  <c r="M663" i="9" s="1"/>
  <c r="N663" i="9" s="1"/>
  <c r="L994" i="9"/>
  <c r="M994" i="9" s="1"/>
  <c r="N994" i="9" s="1"/>
  <c r="L296" i="9"/>
  <c r="M296" i="9" s="1"/>
  <c r="N296" i="9" s="1"/>
  <c r="L655" i="9"/>
  <c r="M655" i="9" s="1"/>
  <c r="N655" i="9" s="1"/>
  <c r="L661" i="9"/>
  <c r="M661" i="9" s="1"/>
  <c r="N661" i="9" s="1"/>
  <c r="L666" i="9"/>
  <c r="M666" i="9" s="1"/>
  <c r="N666" i="9" s="1"/>
  <c r="L614" i="9"/>
  <c r="M614" i="9" s="1"/>
  <c r="N614" i="9" s="1"/>
  <c r="L428" i="9"/>
  <c r="M428" i="9" s="1"/>
  <c r="N428" i="9" s="1"/>
  <c r="L659" i="9"/>
  <c r="M659" i="9" s="1"/>
  <c r="N659" i="9" s="1"/>
  <c r="L72" i="9"/>
  <c r="M72" i="9" s="1"/>
  <c r="N72" i="9" s="1"/>
  <c r="L328" i="9"/>
  <c r="M328" i="9" s="1"/>
  <c r="N328" i="9" s="1"/>
  <c r="L584" i="9"/>
  <c r="M584" i="9" s="1"/>
  <c r="N584" i="9" s="1"/>
  <c r="L367" i="9"/>
  <c r="M367" i="9" s="1"/>
  <c r="N367" i="9" s="1"/>
  <c r="L687" i="9"/>
  <c r="M687" i="9" s="1"/>
  <c r="N687" i="9" s="1"/>
  <c r="L943" i="9"/>
  <c r="M943" i="9" s="1"/>
  <c r="N943" i="9" s="1"/>
  <c r="L290" i="9"/>
  <c r="M290" i="9" s="1"/>
  <c r="N290" i="9" s="1"/>
  <c r="L629" i="9"/>
  <c r="M629" i="9" s="1"/>
  <c r="N629" i="9" s="1"/>
  <c r="L885" i="9"/>
  <c r="M885" i="9" s="1"/>
  <c r="N885" i="9" s="1"/>
  <c r="L297" i="9"/>
  <c r="M297" i="9" s="1"/>
  <c r="N297" i="9" s="1"/>
  <c r="L634" i="9"/>
  <c r="M634" i="9" s="1"/>
  <c r="N634" i="9" s="1"/>
  <c r="L890" i="9"/>
  <c r="M890" i="9" s="1"/>
  <c r="N890" i="9" s="1"/>
  <c r="L912" i="9"/>
  <c r="M912" i="9" s="1"/>
  <c r="N912" i="9" s="1"/>
  <c r="L443" i="9"/>
  <c r="M443" i="9" s="1"/>
  <c r="N443" i="9" s="1"/>
  <c r="L555" i="9"/>
  <c r="M555" i="9" s="1"/>
  <c r="N555" i="9" s="1"/>
  <c r="L90" i="9"/>
  <c r="M90" i="9" s="1"/>
  <c r="N90" i="9" s="1"/>
  <c r="L204" i="9"/>
  <c r="M204" i="9" s="1"/>
  <c r="N204" i="9" s="1"/>
  <c r="L460" i="9"/>
  <c r="M460" i="9" s="1"/>
  <c r="N460" i="9" s="1"/>
  <c r="L202" i="9"/>
  <c r="M202" i="9" s="1"/>
  <c r="N202" i="9" s="1"/>
  <c r="L543" i="9"/>
  <c r="M543" i="9" s="1"/>
  <c r="N543" i="9" s="1"/>
  <c r="L819" i="9"/>
  <c r="M819" i="9" s="1"/>
  <c r="N819" i="9" s="1"/>
  <c r="L210" i="9"/>
  <c r="M210" i="9" s="1"/>
  <c r="N210" i="9" s="1"/>
  <c r="L551" i="9"/>
  <c r="M551" i="9" s="1"/>
  <c r="N551" i="9" s="1"/>
  <c r="L825" i="9"/>
  <c r="M825" i="9" s="1"/>
  <c r="N825" i="9" s="1"/>
  <c r="L217" i="9"/>
  <c r="M217" i="9" s="1"/>
  <c r="N217" i="9" s="1"/>
  <c r="L558" i="9"/>
  <c r="M558" i="9" s="1"/>
  <c r="N558" i="9" s="1"/>
  <c r="L830" i="9"/>
  <c r="M830" i="9" s="1"/>
  <c r="N830" i="9" s="1"/>
  <c r="L672" i="9"/>
  <c r="M672" i="9" s="1"/>
  <c r="N672" i="9" s="1"/>
  <c r="L123" i="9"/>
  <c r="M123" i="9" s="1"/>
  <c r="N123" i="9" s="1"/>
  <c r="L577" i="9"/>
  <c r="M577" i="9" s="1"/>
  <c r="N577" i="9" s="1"/>
  <c r="L82" i="9"/>
  <c r="M82" i="9" s="1"/>
  <c r="N82" i="9" s="1"/>
  <c r="L260" i="9"/>
  <c r="M260" i="9" s="1"/>
  <c r="N260" i="9" s="1"/>
  <c r="L516" i="9"/>
  <c r="M516" i="9" s="1"/>
  <c r="N516" i="9" s="1"/>
  <c r="L277" i="9"/>
  <c r="M277" i="9" s="1"/>
  <c r="N277" i="9" s="1"/>
  <c r="L618" i="9"/>
  <c r="M618" i="9" s="1"/>
  <c r="N618" i="9" s="1"/>
  <c r="L875" i="9"/>
  <c r="M875" i="9" s="1"/>
  <c r="N875" i="9" s="1"/>
  <c r="L199" i="9"/>
  <c r="M199" i="9" s="1"/>
  <c r="N199" i="9" s="1"/>
  <c r="L541" i="9"/>
  <c r="M541" i="9" s="1"/>
  <c r="N541" i="9" s="1"/>
  <c r="L817" i="9"/>
  <c r="M817" i="9" s="1"/>
  <c r="N817" i="9" s="1"/>
  <c r="L121" i="9"/>
  <c r="M121" i="9" s="1"/>
  <c r="N121" i="9" s="1"/>
  <c r="L462" i="9"/>
  <c r="M462" i="9" s="1"/>
  <c r="N462" i="9" s="1"/>
  <c r="L758" i="9"/>
  <c r="M758" i="9" s="1"/>
  <c r="N758" i="9" s="1"/>
  <c r="L305" i="9"/>
  <c r="M305" i="9" s="1"/>
  <c r="N305" i="9" s="1"/>
  <c r="L724" i="9"/>
  <c r="M724" i="9" s="1"/>
  <c r="N724" i="9" s="1"/>
  <c r="L984" i="9"/>
  <c r="M984" i="9" s="1"/>
  <c r="N984" i="9" s="1"/>
  <c r="L374" i="9"/>
  <c r="M374" i="9" s="1"/>
  <c r="N374" i="9" s="1"/>
  <c r="L999" i="9"/>
  <c r="M999" i="9" s="1"/>
  <c r="N999" i="9" s="1"/>
  <c r="L113" i="9"/>
  <c r="M113" i="9" s="1"/>
  <c r="N113" i="9" s="1"/>
  <c r="L712" i="9"/>
  <c r="M712" i="9" s="1"/>
  <c r="N712" i="9" s="1"/>
  <c r="L560" i="9"/>
  <c r="M560" i="9" s="1"/>
  <c r="N560" i="9" s="1"/>
  <c r="L208" i="9"/>
  <c r="M208" i="9" s="1"/>
  <c r="N208" i="9" s="1"/>
  <c r="L378" i="9"/>
  <c r="M378" i="9" s="1"/>
  <c r="N378" i="9" s="1"/>
  <c r="L557" i="9"/>
  <c r="M557" i="9" s="1"/>
  <c r="N557" i="9" s="1"/>
  <c r="L706" i="9"/>
  <c r="M706" i="9" s="1"/>
  <c r="N706" i="9" s="1"/>
  <c r="L598" i="9"/>
  <c r="M598" i="9" s="1"/>
  <c r="N598" i="9" s="1"/>
  <c r="L925" i="9"/>
  <c r="M925" i="9" s="1"/>
  <c r="N925" i="9" s="1"/>
  <c r="L314" i="9"/>
  <c r="M314" i="9" s="1"/>
  <c r="N314" i="9" s="1"/>
  <c r="L493" i="9"/>
  <c r="M493" i="9" s="1"/>
  <c r="N493" i="9" s="1"/>
  <c r="L914" i="9"/>
  <c r="M914" i="9" s="1"/>
  <c r="N914" i="9" s="1"/>
  <c r="L165" i="9"/>
  <c r="M165" i="9" s="1"/>
  <c r="N165" i="9" s="1"/>
  <c r="L521" i="9"/>
  <c r="M521" i="9" s="1"/>
  <c r="N521" i="9" s="1"/>
  <c r="L360" i="9"/>
  <c r="M360" i="9" s="1"/>
  <c r="N360" i="9" s="1"/>
  <c r="L719" i="9"/>
  <c r="M719" i="9" s="1"/>
  <c r="N719" i="9" s="1"/>
  <c r="L725" i="9"/>
  <c r="M725" i="9" s="1"/>
  <c r="N725" i="9" s="1"/>
  <c r="L730" i="9"/>
  <c r="M730" i="9" s="1"/>
  <c r="N730" i="9" s="1"/>
  <c r="L38" i="9"/>
  <c r="M38" i="9" s="1"/>
  <c r="N38" i="9" s="1"/>
  <c r="L152" i="9"/>
  <c r="M152" i="9" s="1"/>
  <c r="N152" i="9" s="1"/>
  <c r="L408" i="9"/>
  <c r="M408" i="9" s="1"/>
  <c r="N408" i="9" s="1"/>
  <c r="L133" i="9"/>
  <c r="M133" i="9" s="1"/>
  <c r="N133" i="9" s="1"/>
  <c r="L474" i="9"/>
  <c r="M474" i="9" s="1"/>
  <c r="N474" i="9" s="1"/>
  <c r="L767" i="9"/>
  <c r="M767" i="9" s="1"/>
  <c r="N767" i="9" s="1"/>
  <c r="L23" i="9"/>
  <c r="M23" i="9" s="1"/>
  <c r="N23" i="9" s="1"/>
  <c r="L397" i="9"/>
  <c r="M397" i="9" s="1"/>
  <c r="N397" i="9" s="1"/>
  <c r="L709" i="9"/>
  <c r="M709" i="9" s="1"/>
  <c r="N709" i="9" s="1"/>
  <c r="L965" i="9"/>
  <c r="M965" i="9" s="1"/>
  <c r="N965" i="9" s="1"/>
  <c r="L318" i="9"/>
  <c r="M318" i="9" s="1"/>
  <c r="N318" i="9" s="1"/>
  <c r="L650" i="9"/>
  <c r="M650" i="9" s="1"/>
  <c r="N650" i="9" s="1"/>
  <c r="L906" i="9"/>
  <c r="M906" i="9" s="1"/>
  <c r="N906" i="9" s="1"/>
  <c r="L720" i="9"/>
  <c r="M720" i="9" s="1"/>
  <c r="N720" i="9" s="1"/>
  <c r="L187" i="9"/>
  <c r="M187" i="9" s="1"/>
  <c r="N187" i="9" s="1"/>
  <c r="L636" i="9"/>
  <c r="M636" i="9" s="1"/>
  <c r="N636" i="9" s="1"/>
  <c r="L106" i="9"/>
  <c r="M106" i="9" s="1"/>
  <c r="N106" i="9" s="1"/>
  <c r="L220" i="9"/>
  <c r="M220" i="9" s="1"/>
  <c r="N220" i="9" s="1"/>
  <c r="L476" i="9"/>
  <c r="M476" i="9" s="1"/>
  <c r="N476" i="9" s="1"/>
  <c r="L138" i="9"/>
  <c r="M138" i="9" s="1"/>
  <c r="N138" i="9" s="1"/>
  <c r="L479" i="9"/>
  <c r="M479" i="9" s="1"/>
  <c r="N479" i="9" s="1"/>
  <c r="L771" i="9"/>
  <c r="M771" i="9" s="1"/>
  <c r="N771" i="9" s="1"/>
  <c r="L31" i="9"/>
  <c r="M31" i="9" s="1"/>
  <c r="N31" i="9" s="1"/>
  <c r="L402" i="9"/>
  <c r="M402" i="9" s="1"/>
  <c r="N402" i="9" s="1"/>
  <c r="L713" i="9"/>
  <c r="M713" i="9" s="1"/>
  <c r="N713" i="9" s="1"/>
  <c r="L969" i="9"/>
  <c r="M969" i="9" s="1"/>
  <c r="N969" i="9" s="1"/>
  <c r="L323" i="9"/>
  <c r="M323" i="9" s="1"/>
  <c r="N323" i="9" s="1"/>
  <c r="L654" i="9"/>
  <c r="M654" i="9" s="1"/>
  <c r="N654" i="9" s="1"/>
  <c r="L910" i="9"/>
  <c r="M910" i="9" s="1"/>
  <c r="N910" i="9" s="1"/>
  <c r="L736" i="9"/>
  <c r="M736" i="9" s="1"/>
  <c r="N736" i="9" s="1"/>
  <c r="L209" i="9"/>
  <c r="M209" i="9" s="1"/>
  <c r="N209" i="9" s="1"/>
  <c r="L652" i="9"/>
  <c r="M652" i="9" s="1"/>
  <c r="N652" i="9" s="1"/>
  <c r="L98" i="9"/>
  <c r="M98" i="9" s="1"/>
  <c r="N98" i="9" s="1"/>
  <c r="L212" i="9"/>
  <c r="M212" i="9" s="1"/>
  <c r="N212" i="9" s="1"/>
  <c r="L468" i="9"/>
  <c r="M468" i="9" s="1"/>
  <c r="N468" i="9" s="1"/>
  <c r="L213" i="9"/>
  <c r="M213" i="9" s="1"/>
  <c r="N213" i="9" s="1"/>
  <c r="L554" i="9"/>
  <c r="M554" i="9" s="1"/>
  <c r="N554" i="9" s="1"/>
  <c r="L827" i="9"/>
  <c r="M827" i="9" s="1"/>
  <c r="N827" i="9" s="1"/>
  <c r="L135" i="9"/>
  <c r="M135" i="9" s="1"/>
  <c r="N135" i="9" s="1"/>
  <c r="L477" i="9"/>
  <c r="M477" i="9" s="1"/>
  <c r="N477" i="9" s="1"/>
  <c r="L769" i="9"/>
  <c r="M769" i="9" s="1"/>
  <c r="N769" i="9" s="1"/>
  <c r="L25" i="9"/>
  <c r="M25" i="9" s="1"/>
  <c r="N25" i="9" s="1"/>
  <c r="L398" i="9"/>
  <c r="M398" i="9" s="1"/>
  <c r="N398" i="9" s="1"/>
  <c r="L710" i="9"/>
  <c r="M710" i="9" s="1"/>
  <c r="N710" i="9" s="1"/>
  <c r="L966" i="9"/>
  <c r="M966" i="9" s="1"/>
  <c r="N966" i="9" s="1"/>
  <c r="L960" i="9"/>
  <c r="M960" i="9" s="1"/>
  <c r="N960" i="9" s="1"/>
  <c r="L507" i="9"/>
  <c r="M507" i="9" s="1"/>
  <c r="N507" i="9" s="1"/>
  <c r="L619" i="9"/>
  <c r="M619" i="9" s="1"/>
  <c r="N619" i="9" s="1"/>
  <c r="L527" i="9"/>
  <c r="M527" i="9" s="1"/>
  <c r="N527" i="9" s="1"/>
  <c r="L941" i="9"/>
  <c r="M941" i="9" s="1"/>
  <c r="N941" i="9" s="1"/>
  <c r="L283" i="9"/>
  <c r="M283" i="9" s="1"/>
  <c r="N283" i="9" s="1"/>
  <c r="L416" i="9"/>
  <c r="M416" i="9" s="1"/>
  <c r="N416" i="9" s="1"/>
  <c r="L448" i="9"/>
  <c r="M448" i="9" s="1"/>
  <c r="N448" i="9" s="1"/>
  <c r="L96" i="9"/>
  <c r="M96" i="9" s="1"/>
  <c r="N96" i="9" s="1"/>
  <c r="L759" i="9"/>
  <c r="M759" i="9" s="1"/>
  <c r="N759" i="9" s="1"/>
  <c r="L137" i="9"/>
  <c r="M137" i="9" s="1"/>
  <c r="N137" i="9" s="1"/>
  <c r="L776" i="9"/>
  <c r="M776" i="9" s="1"/>
  <c r="N776" i="9" s="1"/>
  <c r="L599" i="9"/>
  <c r="M599" i="9" s="1"/>
  <c r="N599" i="9" s="1"/>
  <c r="L399" i="9"/>
  <c r="M399" i="9" s="1"/>
  <c r="N399" i="9" s="1"/>
  <c r="L578" i="9"/>
  <c r="M578" i="9" s="1"/>
  <c r="N578" i="9" s="1"/>
  <c r="L722" i="9"/>
  <c r="M722" i="9" s="1"/>
  <c r="N722" i="9" s="1"/>
  <c r="L668" i="9"/>
  <c r="M668" i="9" s="1"/>
  <c r="N668" i="9" s="1"/>
  <c r="L81" i="9"/>
  <c r="M81" i="9" s="1"/>
  <c r="N81" i="9" s="1"/>
  <c r="L424" i="9"/>
  <c r="M424" i="9" s="1"/>
  <c r="N424" i="9" s="1"/>
  <c r="L581" i="9"/>
  <c r="M581" i="9" s="1"/>
  <c r="N581" i="9" s="1"/>
  <c r="L333" i="9"/>
  <c r="M333" i="9" s="1"/>
  <c r="N333" i="9" s="1"/>
  <c r="L254" i="9"/>
  <c r="M254" i="9" s="1"/>
  <c r="N254" i="9" s="1"/>
  <c r="L986" i="9"/>
  <c r="M986" i="9" s="1"/>
  <c r="N986" i="9" s="1"/>
  <c r="L872" i="9"/>
  <c r="M872" i="9" s="1"/>
  <c r="N872" i="9" s="1"/>
  <c r="L44" i="9"/>
  <c r="M44" i="9" s="1"/>
  <c r="N44" i="9" s="1"/>
  <c r="L492" i="9"/>
  <c r="M492" i="9" s="1"/>
  <c r="N492" i="9" s="1"/>
  <c r="L330" i="9"/>
  <c r="M330" i="9" s="1"/>
  <c r="N330" i="9" s="1"/>
  <c r="L787" i="9"/>
  <c r="M787" i="9" s="1"/>
  <c r="N787" i="9" s="1"/>
  <c r="L167" i="9"/>
  <c r="M167" i="9" s="1"/>
  <c r="N167" i="9" s="1"/>
  <c r="L509" i="9"/>
  <c r="M509" i="9" s="1"/>
  <c r="N509" i="9" s="1"/>
  <c r="L793" i="9"/>
  <c r="M793" i="9" s="1"/>
  <c r="N793" i="9" s="1"/>
  <c r="L73" i="9"/>
  <c r="M73" i="9" s="1"/>
  <c r="N73" i="9" s="1"/>
  <c r="L430" i="9"/>
  <c r="M430" i="9" s="1"/>
  <c r="N430" i="9" s="1"/>
  <c r="L734" i="9"/>
  <c r="M734" i="9" s="1"/>
  <c r="N734" i="9" s="1"/>
  <c r="L990" i="9"/>
  <c r="M990" i="9" s="1"/>
  <c r="N990" i="9" s="1"/>
  <c r="L21" i="9"/>
  <c r="M21" i="9" s="1"/>
  <c r="N21" i="9" s="1"/>
  <c r="L888" i="9"/>
  <c r="M888" i="9" s="1"/>
  <c r="N888" i="9" s="1"/>
  <c r="L972" i="9"/>
  <c r="M972" i="9" s="1"/>
  <c r="N972" i="9" s="1"/>
  <c r="L36" i="9"/>
  <c r="M36" i="9" s="1"/>
  <c r="N36" i="9" s="1"/>
  <c r="L292" i="9"/>
  <c r="M292" i="9" s="1"/>
  <c r="N292" i="9" s="1"/>
  <c r="L548" i="9"/>
  <c r="M548" i="9" s="1"/>
  <c r="N548" i="9" s="1"/>
  <c r="L234" i="9"/>
  <c r="M234" i="9" s="1"/>
  <c r="N234" i="9" s="1"/>
  <c r="L575" i="9"/>
  <c r="M575" i="9" s="1"/>
  <c r="N575" i="9" s="1"/>
  <c r="L843" i="9"/>
  <c r="M843" i="9" s="1"/>
  <c r="N843" i="9" s="1"/>
  <c r="L157" i="9"/>
  <c r="M157" i="9" s="1"/>
  <c r="N157" i="9" s="1"/>
  <c r="L498" i="9"/>
  <c r="M498" i="9" s="1"/>
  <c r="N498" i="9" s="1"/>
  <c r="L785" i="9"/>
  <c r="M785" i="9" s="1"/>
  <c r="N785" i="9" s="1"/>
  <c r="L57" i="9"/>
  <c r="M57" i="9" s="1"/>
  <c r="N57" i="9" s="1"/>
  <c r="L419" i="9"/>
  <c r="M419" i="9" s="1"/>
  <c r="N419" i="9" s="1"/>
  <c r="L726" i="9"/>
  <c r="M726" i="9" s="1"/>
  <c r="N726" i="9" s="1"/>
  <c r="L982" i="9"/>
  <c r="M982" i="9" s="1"/>
  <c r="N982" i="9" s="1"/>
  <c r="L438" i="9"/>
  <c r="M438" i="9" s="1"/>
  <c r="N438" i="9" s="1"/>
  <c r="L856" i="9"/>
  <c r="M856" i="9" s="1"/>
  <c r="N856" i="9" s="1"/>
  <c r="L708" i="9"/>
  <c r="M708" i="9" s="1"/>
  <c r="N708" i="9" s="1"/>
  <c r="L103" i="9"/>
  <c r="M103" i="9" s="1"/>
  <c r="N103" i="9" s="1"/>
  <c r="L286" i="9"/>
  <c r="M286" i="9" s="1"/>
  <c r="N286" i="9" s="1"/>
  <c r="L29" i="9"/>
  <c r="M29" i="9" s="1"/>
  <c r="N29" i="9" s="1"/>
  <c r="L128" i="9"/>
  <c r="M128" i="9" s="1"/>
  <c r="N128" i="9" s="1"/>
  <c r="L432" i="9"/>
  <c r="M432" i="9" s="1"/>
  <c r="N432" i="9" s="1"/>
  <c r="L80" i="9"/>
  <c r="M80" i="9" s="1"/>
  <c r="N80" i="9" s="1"/>
  <c r="L386" i="9"/>
  <c r="M386" i="9" s="1"/>
  <c r="N386" i="9" s="1"/>
  <c r="L563" i="9"/>
  <c r="M563" i="9" s="1"/>
  <c r="N563" i="9" s="1"/>
  <c r="L868" i="9"/>
  <c r="M868" i="9" s="1"/>
  <c r="N868" i="9" s="1"/>
  <c r="L733" i="9"/>
  <c r="M733" i="9" s="1"/>
  <c r="N733" i="9" s="1"/>
  <c r="L143" i="9"/>
  <c r="M143" i="9" s="1"/>
  <c r="N143" i="9" s="1"/>
  <c r="L653" i="9"/>
  <c r="M653" i="9" s="1"/>
  <c r="N653" i="9" s="1"/>
  <c r="L786" i="9"/>
  <c r="M786" i="9" s="1"/>
  <c r="N786" i="9" s="1"/>
  <c r="L924" i="9"/>
  <c r="M924" i="9" s="1"/>
  <c r="N924" i="9" s="1"/>
  <c r="L866" i="9"/>
  <c r="M866" i="9" s="1"/>
  <c r="N866" i="9" s="1"/>
  <c r="L120" i="9"/>
  <c r="M120" i="9" s="1"/>
  <c r="N120" i="9" s="1"/>
  <c r="L376" i="9"/>
  <c r="M376" i="9" s="1"/>
  <c r="N376" i="9" s="1"/>
  <c r="L75" i="9"/>
  <c r="M75" i="9" s="1"/>
  <c r="N75" i="9" s="1"/>
  <c r="L431" i="9"/>
  <c r="M431" i="9" s="1"/>
  <c r="N431" i="9" s="1"/>
  <c r="L735" i="9"/>
  <c r="M735" i="9" s="1"/>
  <c r="N735" i="9" s="1"/>
  <c r="L991" i="9"/>
  <c r="M991" i="9" s="1"/>
  <c r="N991" i="9" s="1"/>
  <c r="L354" i="9"/>
  <c r="M354" i="9" s="1"/>
  <c r="N354" i="9" s="1"/>
  <c r="L677" i="9"/>
  <c r="M677" i="9" s="1"/>
  <c r="N677" i="9" s="1"/>
  <c r="L933" i="9"/>
  <c r="M933" i="9" s="1"/>
  <c r="N933" i="9" s="1"/>
  <c r="L275" i="9"/>
  <c r="M275" i="9" s="1"/>
  <c r="N275" i="9" s="1"/>
  <c r="L617" i="9"/>
  <c r="M617" i="9" s="1"/>
  <c r="N617" i="9" s="1"/>
  <c r="L874" i="9"/>
  <c r="M874" i="9" s="1"/>
  <c r="N874" i="9" s="1"/>
  <c r="L582" i="9"/>
  <c r="M582" i="9" s="1"/>
  <c r="N582" i="9" s="1"/>
  <c r="L358" i="9"/>
  <c r="M358" i="9" s="1"/>
  <c r="N358" i="9" s="1"/>
  <c r="L470" i="9"/>
  <c r="M470" i="9" s="1"/>
  <c r="N470" i="9" s="1"/>
  <c r="L60" i="9"/>
  <c r="M60" i="9" s="1"/>
  <c r="N60" i="9" s="1"/>
  <c r="L316" i="9"/>
  <c r="M316" i="9" s="1"/>
  <c r="N316" i="9" s="1"/>
  <c r="L572" i="9"/>
  <c r="M572" i="9" s="1"/>
  <c r="N572" i="9" s="1"/>
  <c r="L351" i="9"/>
  <c r="M351" i="9" s="1"/>
  <c r="N351" i="9" s="1"/>
  <c r="L675" i="9"/>
  <c r="M675" i="9" s="1"/>
  <c r="N675" i="9" s="1"/>
  <c r="L931" i="9"/>
  <c r="M931" i="9" s="1"/>
  <c r="N931" i="9" s="1"/>
  <c r="L274" i="9"/>
  <c r="M274" i="9" s="1"/>
  <c r="N274" i="9" s="1"/>
  <c r="L615" i="9"/>
  <c r="M615" i="9" s="1"/>
  <c r="N615" i="9" s="1"/>
  <c r="L873" i="9"/>
  <c r="M873" i="9" s="1"/>
  <c r="N873" i="9" s="1"/>
  <c r="L195" i="9"/>
  <c r="M195" i="9" s="1"/>
  <c r="N195" i="9" s="1"/>
  <c r="L537" i="9"/>
  <c r="M537" i="9" s="1"/>
  <c r="N537" i="9" s="1"/>
  <c r="L814" i="9"/>
  <c r="M814" i="9" s="1"/>
  <c r="N814" i="9" s="1"/>
  <c r="L262" i="9"/>
  <c r="M262" i="9" s="1"/>
  <c r="N262" i="9" s="1"/>
  <c r="L660" i="9"/>
  <c r="M660" i="9" s="1"/>
  <c r="N660" i="9" s="1"/>
  <c r="L150" i="9"/>
  <c r="M150" i="9" s="1"/>
  <c r="N150" i="9" s="1"/>
  <c r="L964" i="9"/>
  <c r="M964" i="9" s="1"/>
  <c r="N964" i="9" s="1"/>
  <c r="L180" i="9"/>
  <c r="M180" i="9" s="1"/>
  <c r="N180" i="9" s="1"/>
  <c r="L436" i="9"/>
  <c r="M436" i="9" s="1"/>
  <c r="N436" i="9" s="1"/>
  <c r="L170" i="9"/>
  <c r="M170" i="9" s="1"/>
  <c r="N170" i="9" s="1"/>
  <c r="L511" i="9"/>
  <c r="M511" i="9" s="1"/>
  <c r="N511" i="9" s="1"/>
  <c r="L795" i="9"/>
  <c r="M795" i="9" s="1"/>
  <c r="N795" i="9" s="1"/>
  <c r="L79" i="9"/>
  <c r="M79" i="9" s="1"/>
  <c r="N79" i="9" s="1"/>
  <c r="L434" i="9"/>
  <c r="M434" i="9" s="1"/>
  <c r="N434" i="9" s="1"/>
  <c r="L737" i="9"/>
  <c r="M737" i="9" s="1"/>
  <c r="N737" i="9" s="1"/>
  <c r="L993" i="9"/>
  <c r="M993" i="9" s="1"/>
  <c r="N993" i="9" s="1"/>
  <c r="L355" i="9"/>
  <c r="M355" i="9" s="1"/>
  <c r="N355" i="9" s="1"/>
  <c r="L678" i="9"/>
  <c r="M678" i="9" s="1"/>
  <c r="N678" i="9" s="1"/>
  <c r="L934" i="9"/>
  <c r="M934" i="9" s="1"/>
  <c r="N934" i="9" s="1"/>
  <c r="L832" i="9"/>
  <c r="M832" i="9" s="1"/>
  <c r="N832" i="9" s="1"/>
  <c r="L664" i="9"/>
  <c r="M664" i="9" s="1"/>
  <c r="N664" i="9" s="1"/>
  <c r="L748" i="9"/>
  <c r="M748" i="9" s="1"/>
  <c r="N748" i="9" s="1"/>
  <c r="L679" i="9"/>
  <c r="M679" i="9" s="1"/>
  <c r="N679" i="9" s="1"/>
  <c r="L813" i="9"/>
  <c r="M813" i="9" s="1"/>
  <c r="N813" i="9" s="1"/>
  <c r="L880" i="9"/>
  <c r="M880" i="9" s="1"/>
  <c r="N880" i="9" s="1"/>
  <c r="L544" i="9"/>
  <c r="M544" i="9" s="1"/>
  <c r="N544" i="9" s="1"/>
  <c r="L576" i="9"/>
  <c r="M576" i="9" s="1"/>
  <c r="N576" i="9" s="1"/>
  <c r="L224" i="9"/>
  <c r="M224" i="9" s="1"/>
  <c r="N224" i="9" s="1"/>
  <c r="L293" i="9"/>
  <c r="M293" i="9" s="1"/>
  <c r="N293" i="9" s="1"/>
  <c r="L471" i="9"/>
  <c r="M471" i="9" s="1"/>
  <c r="N471" i="9" s="1"/>
  <c r="L898" i="9"/>
  <c r="M898" i="9" s="1"/>
  <c r="N898" i="9" s="1"/>
  <c r="L727" i="9"/>
  <c r="M727" i="9" s="1"/>
  <c r="N727" i="9" s="1"/>
  <c r="L930" i="9"/>
  <c r="M930" i="9" s="1"/>
  <c r="N930" i="9" s="1"/>
  <c r="L839" i="9"/>
  <c r="M839" i="9" s="1"/>
  <c r="N839" i="9" s="1"/>
  <c r="L973" i="9"/>
  <c r="M973" i="9" s="1"/>
  <c r="N973" i="9" s="1"/>
  <c r="L454" i="9"/>
  <c r="M454" i="9" s="1"/>
  <c r="N454" i="9" s="1"/>
  <c r="L173" i="9"/>
  <c r="M173" i="9" s="1"/>
  <c r="N173" i="9" s="1"/>
  <c r="L648" i="9"/>
  <c r="M648" i="9" s="1"/>
  <c r="N648" i="9" s="1"/>
  <c r="L552" i="9"/>
  <c r="M552" i="9" s="1"/>
  <c r="N552" i="9" s="1"/>
  <c r="L975" i="9"/>
  <c r="M975" i="9" s="1"/>
  <c r="N975" i="9" s="1"/>
  <c r="L981" i="9"/>
  <c r="M981" i="9" s="1"/>
  <c r="N981" i="9" s="1"/>
  <c r="L922" i="9"/>
  <c r="M922" i="9" s="1"/>
  <c r="N922" i="9" s="1"/>
  <c r="L956" i="9"/>
  <c r="M956" i="9" s="1"/>
  <c r="N956" i="9" s="1"/>
  <c r="L620" i="9"/>
  <c r="M620" i="9" s="1"/>
  <c r="N620" i="9" s="1"/>
  <c r="L915" i="9"/>
  <c r="M915" i="9" s="1"/>
  <c r="N915" i="9" s="1"/>
  <c r="L136" i="9"/>
  <c r="M136" i="9" s="1"/>
  <c r="N136" i="9" s="1"/>
  <c r="L392" i="9"/>
  <c r="M392" i="9" s="1"/>
  <c r="N392" i="9" s="1"/>
  <c r="L107" i="9"/>
  <c r="M107" i="9" s="1"/>
  <c r="N107" i="9" s="1"/>
  <c r="L453" i="9"/>
  <c r="M453" i="9" s="1"/>
  <c r="N453" i="9" s="1"/>
  <c r="L751" i="9"/>
  <c r="M751" i="9" s="1"/>
  <c r="N751" i="9" s="1"/>
  <c r="L1007" i="9"/>
  <c r="M1007" i="9" s="1"/>
  <c r="N1007" i="9" s="1"/>
  <c r="L375" i="9"/>
  <c r="M375" i="9" s="1"/>
  <c r="N375" i="9" s="1"/>
  <c r="L693" i="9"/>
  <c r="M693" i="9" s="1"/>
  <c r="N693" i="9" s="1"/>
  <c r="L698" i="9"/>
  <c r="M698" i="9" s="1"/>
  <c r="N698" i="9" s="1"/>
  <c r="L954" i="9"/>
  <c r="M954" i="9" s="1"/>
  <c r="N954" i="9" s="1"/>
  <c r="L203" i="9"/>
  <c r="M203" i="9" s="1"/>
  <c r="N203" i="9" s="1"/>
  <c r="L744" i="9"/>
  <c r="M744" i="9" s="1"/>
  <c r="N744" i="9" s="1"/>
  <c r="L828" i="9"/>
  <c r="M828" i="9" s="1"/>
  <c r="N828" i="9" s="1"/>
  <c r="L12" i="9"/>
  <c r="M12" i="9" s="1"/>
  <c r="N12" i="9" s="1"/>
  <c r="L268" i="9"/>
  <c r="M268" i="9" s="1"/>
  <c r="N268" i="9" s="1"/>
  <c r="L627" i="9"/>
  <c r="M627" i="9" s="1"/>
  <c r="N627" i="9" s="1"/>
  <c r="L295" i="9"/>
  <c r="M295" i="9" s="1"/>
  <c r="N295" i="9" s="1"/>
  <c r="L302" i="9"/>
  <c r="M302" i="9" s="1"/>
  <c r="N302" i="9" s="1"/>
  <c r="L894" i="9"/>
  <c r="M894" i="9" s="1"/>
  <c r="N894" i="9" s="1"/>
  <c r="L844" i="9"/>
  <c r="M844" i="9" s="1"/>
  <c r="N844" i="9" s="1"/>
  <c r="L68" i="9"/>
  <c r="M68" i="9" s="1"/>
  <c r="N68" i="9" s="1"/>
  <c r="L362" i="9"/>
  <c r="M362" i="9" s="1"/>
  <c r="N362" i="9" s="1"/>
  <c r="L285" i="9"/>
  <c r="M285" i="9" s="1"/>
  <c r="N285" i="9" s="1"/>
  <c r="L625" i="9"/>
  <c r="M625" i="9" s="1"/>
  <c r="N625" i="9" s="1"/>
  <c r="L547" i="9"/>
  <c r="M547" i="9" s="1"/>
  <c r="N547" i="9" s="1"/>
  <c r="L640" i="9"/>
  <c r="M640" i="9" s="1"/>
  <c r="N640" i="9" s="1"/>
  <c r="L193" i="9"/>
  <c r="M193" i="9" s="1"/>
  <c r="N193" i="9" s="1"/>
  <c r="L457" i="9"/>
  <c r="M457" i="9" s="1"/>
  <c r="N457" i="9" s="1"/>
  <c r="L796" i="9"/>
  <c r="M796" i="9" s="1"/>
  <c r="N796" i="9" s="1"/>
  <c r="L695" i="9"/>
  <c r="M695" i="9" s="1"/>
  <c r="N695" i="9" s="1"/>
  <c r="L250" i="9"/>
  <c r="M250" i="9" s="1"/>
  <c r="N250" i="9" s="1"/>
  <c r="L606" i="9"/>
  <c r="M606" i="9" s="1"/>
  <c r="N606" i="9" s="1"/>
  <c r="L752" i="9"/>
  <c r="M752" i="9" s="1"/>
  <c r="N752" i="9" s="1"/>
  <c r="L539" i="9"/>
  <c r="M539" i="9" s="1"/>
  <c r="N539" i="9" s="1"/>
  <c r="L911" i="9"/>
  <c r="M911" i="9" s="1"/>
  <c r="N911" i="9" s="1"/>
  <c r="L102" i="9"/>
  <c r="M102" i="9" s="1"/>
  <c r="N102" i="9" s="1"/>
  <c r="L216" i="9"/>
  <c r="M216" i="9" s="1"/>
  <c r="N216" i="9" s="1"/>
  <c r="L559" i="9"/>
  <c r="M559" i="9" s="1"/>
  <c r="N559" i="9" s="1"/>
  <c r="L831" i="9"/>
  <c r="M831" i="9" s="1"/>
  <c r="N831" i="9" s="1"/>
  <c r="L773" i="9"/>
  <c r="M773" i="9" s="1"/>
  <c r="N773" i="9" s="1"/>
  <c r="L714" i="9"/>
  <c r="M714" i="9" s="1"/>
  <c r="N714" i="9" s="1"/>
  <c r="L970" i="9"/>
  <c r="M970" i="9" s="1"/>
  <c r="N970" i="9" s="1"/>
  <c r="L892" i="9"/>
  <c r="M892" i="9" s="1"/>
  <c r="N892" i="9" s="1"/>
  <c r="L540" i="9"/>
  <c r="M540" i="9" s="1"/>
  <c r="N540" i="9" s="1"/>
  <c r="L223" i="9"/>
  <c r="M223" i="9" s="1"/>
  <c r="N223" i="9" s="1"/>
  <c r="L146" i="9"/>
  <c r="M146" i="9" s="1"/>
  <c r="N146" i="9" s="1"/>
  <c r="L41" i="9"/>
  <c r="M41" i="9" s="1"/>
  <c r="N41" i="9" s="1"/>
  <c r="L718" i="9"/>
  <c r="M718" i="9" s="1"/>
  <c r="N718" i="9" s="1"/>
  <c r="L992" i="9"/>
  <c r="M992" i="9" s="1"/>
  <c r="N992" i="9" s="1"/>
  <c r="L20" i="9"/>
  <c r="M20" i="9" s="1"/>
  <c r="N20" i="9" s="1"/>
  <c r="L276" i="9"/>
  <c r="M276" i="9" s="1"/>
  <c r="N276" i="9" s="1"/>
  <c r="L635" i="9"/>
  <c r="M635" i="9" s="1"/>
  <c r="N635" i="9" s="1"/>
  <c r="L562" i="9"/>
  <c r="M562" i="9" s="1"/>
  <c r="N562" i="9" s="1"/>
  <c r="L833" i="9"/>
  <c r="M833" i="9" s="1"/>
  <c r="N833" i="9" s="1"/>
  <c r="L774" i="9"/>
  <c r="M774" i="9" s="1"/>
  <c r="N774" i="9" s="1"/>
  <c r="L289" i="9"/>
  <c r="M289" i="9" s="1"/>
  <c r="N289" i="9" s="1"/>
  <c r="L876" i="9"/>
  <c r="M876" i="9" s="1"/>
  <c r="N876" i="9" s="1"/>
  <c r="L692" i="9"/>
  <c r="M692" i="9" s="1"/>
  <c r="N692" i="9" s="1"/>
  <c r="L352" i="9"/>
  <c r="M352" i="9" s="1"/>
  <c r="N352" i="9" s="1"/>
  <c r="L301" i="9"/>
  <c r="M301" i="9" s="1"/>
  <c r="N301" i="9" s="1"/>
  <c r="L674" i="9"/>
  <c r="M674" i="9" s="1"/>
  <c r="N674" i="9" s="1"/>
  <c r="L845" i="9"/>
  <c r="M845" i="9" s="1"/>
  <c r="N845" i="9" s="1"/>
  <c r="L335" i="9"/>
  <c r="M335" i="9" s="1"/>
  <c r="N335" i="9" s="1"/>
  <c r="K277" i="5"/>
  <c r="L277" i="5" s="1"/>
  <c r="K293" i="5"/>
  <c r="L293" i="5" s="1"/>
  <c r="K309" i="5"/>
  <c r="L309" i="5" s="1"/>
  <c r="M309" i="5" s="1"/>
  <c r="K341" i="5"/>
  <c r="L341" i="5" s="1"/>
  <c r="M341" i="5" s="1"/>
  <c r="K357" i="5"/>
  <c r="L357" i="5" s="1"/>
  <c r="K373" i="5"/>
  <c r="L373" i="5" s="1"/>
  <c r="K405" i="5"/>
  <c r="L405" i="5" s="1"/>
  <c r="K421" i="5"/>
  <c r="L421" i="5" s="1"/>
  <c r="M421" i="5" s="1"/>
  <c r="K437" i="5"/>
  <c r="L437" i="5" s="1"/>
  <c r="K469" i="5"/>
  <c r="L469" i="5" s="1"/>
  <c r="K485" i="5"/>
  <c r="L485" i="5" s="1"/>
  <c r="K730" i="5"/>
  <c r="L730" i="5" s="1"/>
  <c r="M730" i="5" s="1"/>
  <c r="K987" i="5"/>
  <c r="L987" i="5" s="1"/>
  <c r="K915" i="5"/>
  <c r="L915" i="5" s="1"/>
  <c r="K11" i="5"/>
  <c r="L11" i="5" s="1"/>
  <c r="K43" i="5"/>
  <c r="L43" i="5" s="1"/>
  <c r="M43" i="5" s="1"/>
  <c r="K75" i="5"/>
  <c r="L75" i="5" s="1"/>
  <c r="K467" i="5"/>
  <c r="L467" i="5" s="1"/>
  <c r="K499" i="5"/>
  <c r="L499" i="5" s="1"/>
  <c r="K699" i="5"/>
  <c r="L699" i="5" s="1"/>
  <c r="M699" i="5" s="1"/>
  <c r="K731" i="5"/>
  <c r="L731" i="5" s="1"/>
  <c r="K604" i="5"/>
  <c r="L604" i="5" s="1"/>
  <c r="K732" i="5"/>
  <c r="L732" i="5" s="1"/>
  <c r="M732" i="5" s="1"/>
  <c r="K924" i="5"/>
  <c r="L924" i="5" s="1"/>
  <c r="K28" i="5"/>
  <c r="L28" i="5" s="1"/>
  <c r="K60" i="5"/>
  <c r="L60" i="5" s="1"/>
  <c r="K72" i="5"/>
  <c r="L72" i="5" s="1"/>
  <c r="M72" i="5" s="1"/>
  <c r="K92" i="5"/>
  <c r="L92" i="5" s="1"/>
  <c r="K104" i="5"/>
  <c r="L104" i="5" s="1"/>
  <c r="K124" i="5"/>
  <c r="L124" i="5" s="1"/>
  <c r="K156" i="5"/>
  <c r="L156" i="5" s="1"/>
  <c r="M156" i="5" s="1"/>
  <c r="K188" i="5"/>
  <c r="L188" i="5" s="1"/>
  <c r="M188" i="5" s="1"/>
  <c r="K220" i="5"/>
  <c r="L220" i="5" s="1"/>
  <c r="K232" i="5"/>
  <c r="L232" i="5" s="1"/>
  <c r="K252" i="5"/>
  <c r="L252" i="5" s="1"/>
  <c r="K284" i="5"/>
  <c r="L284" i="5" s="1"/>
  <c r="M284" i="5" s="1"/>
  <c r="K316" i="5"/>
  <c r="L316" i="5" s="1"/>
  <c r="K495" i="5"/>
  <c r="L495" i="5" s="1"/>
  <c r="K935" i="5"/>
  <c r="L935" i="5" s="1"/>
  <c r="K772" i="5"/>
  <c r="L772" i="5" s="1"/>
  <c r="K50" i="5"/>
  <c r="L50" i="5" s="1"/>
  <c r="K82" i="5"/>
  <c r="L82" i="5" s="1"/>
  <c r="K114" i="5"/>
  <c r="L114" i="5" s="1"/>
  <c r="M114" i="5" s="1"/>
  <c r="K146" i="5"/>
  <c r="L146" i="5" s="1"/>
  <c r="M146" i="5" s="1"/>
  <c r="K178" i="5"/>
  <c r="L178" i="5" s="1"/>
  <c r="K210" i="5"/>
  <c r="L210" i="5" s="1"/>
  <c r="K274" i="5"/>
  <c r="L274" i="5" s="1"/>
  <c r="K306" i="5"/>
  <c r="L306" i="5" s="1"/>
  <c r="M306" i="5" s="1"/>
  <c r="K338" i="5"/>
  <c r="L338" i="5" s="1"/>
  <c r="K370" i="5"/>
  <c r="L370" i="5" s="1"/>
  <c r="K27" i="5"/>
  <c r="L27" i="5" s="1"/>
  <c r="M27" i="5" s="1"/>
  <c r="K451" i="5"/>
  <c r="L451" i="5" s="1"/>
  <c r="M451" i="5" s="1"/>
  <c r="K483" i="5"/>
  <c r="L483" i="5" s="1"/>
  <c r="K683" i="5"/>
  <c r="L683" i="5" s="1"/>
  <c r="K715" i="5"/>
  <c r="L715" i="5" s="1"/>
  <c r="M715" i="5" s="1"/>
  <c r="K858" i="5"/>
  <c r="L858" i="5" s="1"/>
  <c r="M858" i="5" s="1"/>
  <c r="K890" i="5"/>
  <c r="L890" i="5" s="1"/>
  <c r="K968" i="5"/>
  <c r="L968" i="5" s="1"/>
  <c r="K708" i="5"/>
  <c r="L708" i="5" s="1"/>
  <c r="M708" i="5" s="1"/>
  <c r="K34" i="5"/>
  <c r="L34" i="5" s="1"/>
  <c r="K66" i="5"/>
  <c r="L66" i="5" s="1"/>
  <c r="K98" i="5"/>
  <c r="L98" i="5" s="1"/>
  <c r="K130" i="5"/>
  <c r="L130" i="5" s="1"/>
  <c r="K162" i="5"/>
  <c r="L162" i="5" s="1"/>
  <c r="K194" i="5"/>
  <c r="L194" i="5" s="1"/>
  <c r="K226" i="5"/>
  <c r="L226" i="5" s="1"/>
  <c r="K258" i="5"/>
  <c r="L258" i="5" s="1"/>
  <c r="K290" i="5"/>
  <c r="L290" i="5" s="1"/>
  <c r="K322" i="5"/>
  <c r="L322" i="5" s="1"/>
  <c r="K386" i="5"/>
  <c r="L386" i="5" s="1"/>
  <c r="K660" i="5"/>
  <c r="L660" i="5" s="1"/>
  <c r="M660" i="5" s="1"/>
  <c r="K868" i="5"/>
  <c r="L868" i="5" s="1"/>
  <c r="M868" i="5" s="1"/>
  <c r="K867" i="5"/>
  <c r="L867" i="5" s="1"/>
  <c r="K955" i="5"/>
  <c r="L955" i="5" s="1"/>
  <c r="K348" i="5"/>
  <c r="L348" i="5" s="1"/>
  <c r="K380" i="5"/>
  <c r="L380" i="5" s="1"/>
  <c r="M380" i="5" s="1"/>
  <c r="K476" i="5"/>
  <c r="L476" i="5" s="1"/>
  <c r="K508" i="5"/>
  <c r="L508" i="5" s="1"/>
  <c r="M508" i="5" s="1"/>
  <c r="K527" i="5"/>
  <c r="L527" i="5" s="1"/>
  <c r="M527" i="5" s="1"/>
  <c r="K776" i="5"/>
  <c r="L776" i="5" s="1"/>
  <c r="M776" i="5" s="1"/>
  <c r="K265" i="5"/>
  <c r="L265" i="5" s="1"/>
  <c r="K281" i="5"/>
  <c r="L281" i="5" s="1"/>
  <c r="M281" i="5" s="1"/>
  <c r="K297" i="5"/>
  <c r="L297" i="5" s="1"/>
  <c r="M297" i="5" s="1"/>
  <c r="K313" i="5"/>
  <c r="L313" i="5" s="1"/>
  <c r="K329" i="5"/>
  <c r="L329" i="5" s="1"/>
  <c r="K345" i="5"/>
  <c r="L345" i="5" s="1"/>
  <c r="M345" i="5" s="1"/>
  <c r="K361" i="5"/>
  <c r="L361" i="5" s="1"/>
  <c r="M361" i="5" s="1"/>
  <c r="K377" i="5"/>
  <c r="L377" i="5" s="1"/>
  <c r="M377" i="5" s="1"/>
  <c r="K393" i="5"/>
  <c r="L393" i="5" s="1"/>
  <c r="K409" i="5"/>
  <c r="L409" i="5" s="1"/>
  <c r="M409" i="5" s="1"/>
  <c r="K425" i="5"/>
  <c r="L425" i="5" s="1"/>
  <c r="M425" i="5" s="1"/>
  <c r="K441" i="5"/>
  <c r="L441" i="5" s="1"/>
  <c r="K457" i="5"/>
  <c r="L457" i="5" s="1"/>
  <c r="K473" i="5"/>
  <c r="L473" i="5" s="1"/>
  <c r="M473" i="5" s="1"/>
  <c r="K891" i="5"/>
  <c r="L891" i="5" s="1"/>
  <c r="M891" i="5" s="1"/>
  <c r="K910" i="5"/>
  <c r="L910" i="5" s="1"/>
  <c r="K572" i="5"/>
  <c r="L572" i="5" s="1"/>
  <c r="K636" i="5"/>
  <c r="L636" i="5" s="1"/>
  <c r="M636" i="5" s="1"/>
  <c r="K956" i="5"/>
  <c r="L956" i="5" s="1"/>
  <c r="M956" i="5" s="1"/>
  <c r="K639" i="5"/>
  <c r="L639" i="5" s="1"/>
  <c r="M639" i="5" s="1"/>
  <c r="K648" i="5"/>
  <c r="L648" i="5" s="1"/>
  <c r="K412" i="5"/>
  <c r="L412" i="5" s="1"/>
  <c r="M412" i="5" s="1"/>
  <c r="K444" i="5"/>
  <c r="L444" i="5" s="1"/>
  <c r="M444" i="5" s="1"/>
  <c r="K540" i="5"/>
  <c r="L540" i="5" s="1"/>
  <c r="M540" i="5" s="1"/>
  <c r="K823" i="5"/>
  <c r="L823" i="5" s="1"/>
  <c r="K959" i="5"/>
  <c r="L959" i="5" s="1"/>
  <c r="M959" i="5" s="1"/>
  <c r="K991" i="5"/>
  <c r="L991" i="5" s="1"/>
  <c r="M991" i="5" s="1"/>
  <c r="K10" i="5"/>
  <c r="L10" i="5" s="1"/>
  <c r="M10" i="5" s="1"/>
  <c r="K42" i="5"/>
  <c r="L42" i="5" s="1"/>
  <c r="K74" i="5"/>
  <c r="L74" i="5" s="1"/>
  <c r="K106" i="5"/>
  <c r="L106" i="5" s="1"/>
  <c r="M106" i="5" s="1"/>
  <c r="K138" i="5"/>
  <c r="L138" i="5" s="1"/>
  <c r="K170" i="5"/>
  <c r="L170" i="5" s="1"/>
  <c r="K202" i="5"/>
  <c r="L202" i="5" s="1"/>
  <c r="K234" i="5"/>
  <c r="L234" i="5" s="1"/>
  <c r="M234" i="5" s="1"/>
  <c r="K266" i="5"/>
  <c r="L266" i="5" s="1"/>
  <c r="K298" i="5"/>
  <c r="L298" i="5" s="1"/>
  <c r="K330" i="5"/>
  <c r="L330" i="5" s="1"/>
  <c r="K906" i="5"/>
  <c r="L906" i="5" s="1"/>
  <c r="K19" i="5"/>
  <c r="L19" i="5" s="1"/>
  <c r="M19" i="5" s="1"/>
  <c r="K51" i="5"/>
  <c r="L51" i="5" s="1"/>
  <c r="K475" i="5"/>
  <c r="L475" i="5" s="1"/>
  <c r="K707" i="5"/>
  <c r="L707" i="5" s="1"/>
  <c r="M707" i="5" s="1"/>
  <c r="K739" i="5"/>
  <c r="L739" i="5" s="1"/>
  <c r="K771" i="5"/>
  <c r="L771" i="5" s="1"/>
  <c r="K936" i="5"/>
  <c r="L936" i="5" s="1"/>
  <c r="M936" i="5" s="1"/>
  <c r="K1000" i="5"/>
  <c r="L1000" i="5" s="1"/>
  <c r="M1000" i="5" s="1"/>
  <c r="K16" i="5"/>
  <c r="L16" i="5" s="1"/>
  <c r="M16" i="5" s="1"/>
  <c r="K63" i="5"/>
  <c r="L63" i="5" s="1"/>
  <c r="K80" i="5"/>
  <c r="L80" i="5" s="1"/>
  <c r="M80" i="5" s="1"/>
  <c r="K112" i="5"/>
  <c r="L112" i="5" s="1"/>
  <c r="M112" i="5" s="1"/>
  <c r="K127" i="5"/>
  <c r="L127" i="5" s="1"/>
  <c r="K159" i="5"/>
  <c r="L159" i="5" s="1"/>
  <c r="M955" i="5"/>
  <c r="M418" i="5"/>
  <c r="M482" i="5"/>
  <c r="M731" i="5"/>
  <c r="M863" i="5"/>
  <c r="M29" i="5"/>
  <c r="M61" i="5"/>
  <c r="M93" i="5"/>
  <c r="M125" i="5"/>
  <c r="M173" i="5"/>
  <c r="M205" i="5"/>
  <c r="M253" i="5"/>
  <c r="M285" i="5"/>
  <c r="M317" i="5"/>
  <c r="M349" i="5"/>
  <c r="M397" i="5"/>
  <c r="M445" i="5"/>
  <c r="M493" i="5"/>
  <c r="M525" i="5"/>
  <c r="M557" i="5"/>
  <c r="M605" i="5"/>
  <c r="M637" i="5"/>
  <c r="M685" i="5"/>
  <c r="M717" i="5"/>
  <c r="M765" i="5"/>
  <c r="M797" i="5"/>
  <c r="M829" i="5"/>
  <c r="M947" i="5"/>
  <c r="M186" i="5"/>
  <c r="M314" i="5"/>
  <c r="M410" i="5"/>
  <c r="M506" i="5"/>
  <c r="M570" i="5"/>
  <c r="M634" i="5"/>
  <c r="M794" i="5"/>
  <c r="M67" i="5"/>
  <c r="M459" i="5"/>
  <c r="M951" i="5"/>
  <c r="M354" i="5"/>
  <c r="M890" i="5"/>
  <c r="M892" i="5"/>
  <c r="M81" i="5"/>
  <c r="M145" i="5"/>
  <c r="M209" i="5"/>
  <c r="M273" i="5"/>
  <c r="M337" i="5"/>
  <c r="M433" i="5"/>
  <c r="M497" i="5"/>
  <c r="M561" i="5"/>
  <c r="M625" i="5"/>
  <c r="M689" i="5"/>
  <c r="M753" i="5"/>
  <c r="M817" i="5"/>
  <c r="M913" i="5"/>
  <c r="M907" i="5"/>
  <c r="M983" i="5"/>
  <c r="M163" i="5"/>
  <c r="M227" i="5"/>
  <c r="M259" i="5"/>
  <c r="M291" i="5"/>
  <c r="M523" i="5"/>
  <c r="M587" i="5"/>
  <c r="M651" i="5"/>
  <c r="M827" i="5"/>
  <c r="M927" i="5"/>
  <c r="M66" i="5"/>
  <c r="M194" i="5"/>
  <c r="M322" i="5"/>
  <c r="M546" i="5"/>
  <c r="M610" i="5"/>
  <c r="M674" i="5"/>
  <c r="M738" i="5"/>
  <c r="M802" i="5"/>
  <c r="M862" i="5"/>
  <c r="M926" i="5"/>
  <c r="M470" i="5"/>
  <c r="M766" i="5"/>
  <c r="M897" i="5"/>
  <c r="M981" i="5"/>
  <c r="M499" i="5"/>
  <c r="M763" i="5"/>
  <c r="M895" i="5"/>
  <c r="M963" i="5"/>
  <c r="M9" i="5"/>
  <c r="M25" i="5"/>
  <c r="M41" i="5"/>
  <c r="M57" i="5"/>
  <c r="M73" i="5"/>
  <c r="M89" i="5"/>
  <c r="M105" i="5"/>
  <c r="M121" i="5"/>
  <c r="M137" i="5"/>
  <c r="M153" i="5"/>
  <c r="M169" i="5"/>
  <c r="M185" i="5"/>
  <c r="M201" i="5"/>
  <c r="M217" i="5"/>
  <c r="M233" i="5"/>
  <c r="M249" i="5"/>
  <c r="M265" i="5"/>
  <c r="M313" i="5"/>
  <c r="M329" i="5"/>
  <c r="M393" i="5"/>
  <c r="M457" i="5"/>
  <c r="M489" i="5"/>
  <c r="M505" i="5"/>
  <c r="M521" i="5"/>
  <c r="M537" i="5"/>
  <c r="M553" i="5"/>
  <c r="M569" i="5"/>
  <c r="M585" i="5"/>
  <c r="M601" i="5"/>
  <c r="M617" i="5"/>
  <c r="M633" i="5"/>
  <c r="M649" i="5"/>
  <c r="M665" i="5"/>
  <c r="M681" i="5"/>
  <c r="M697" i="5"/>
  <c r="M713" i="5"/>
  <c r="M729" i="5"/>
  <c r="M745" i="5"/>
  <c r="M761" i="5"/>
  <c r="M777" i="5"/>
  <c r="M793" i="5"/>
  <c r="M809" i="5"/>
  <c r="M825" i="5"/>
  <c r="M841" i="5"/>
  <c r="M857" i="5"/>
  <c r="M921" i="5"/>
  <c r="M33" i="5"/>
  <c r="M65" i="5"/>
  <c r="M97" i="5"/>
  <c r="M129" i="5"/>
  <c r="M161" i="5"/>
  <c r="M193" i="5"/>
  <c r="M225" i="5"/>
  <c r="M257" i="5"/>
  <c r="M289" i="5"/>
  <c r="M321" i="5"/>
  <c r="M353" i="5"/>
  <c r="M385" i="5"/>
  <c r="M417" i="5"/>
  <c r="M449" i="5"/>
  <c r="M481" i="5"/>
  <c r="M513" i="5"/>
  <c r="M545" i="5"/>
  <c r="M577" i="5"/>
  <c r="M609" i="5"/>
  <c r="M641" i="5"/>
  <c r="M673" i="5"/>
  <c r="M705" i="5"/>
  <c r="M737" i="5"/>
  <c r="M769" i="5"/>
  <c r="M801" i="5"/>
  <c r="M833" i="5"/>
  <c r="M50" i="5"/>
  <c r="M178" i="5"/>
  <c r="M594" i="5"/>
  <c r="M722" i="5"/>
  <c r="M786" i="5"/>
  <c r="M850" i="5"/>
  <c r="M683" i="5"/>
  <c r="M979" i="5"/>
  <c r="M86" i="5"/>
  <c r="M118" i="5"/>
  <c r="M150" i="5"/>
  <c r="M182" i="5"/>
  <c r="M214" i="5"/>
  <c r="M246" i="5"/>
  <c r="M278" i="5"/>
  <c r="M310" i="5"/>
  <c r="M342" i="5"/>
  <c r="M374" i="5"/>
  <c r="M406" i="5"/>
  <c r="M443" i="5"/>
  <c r="M483" i="5"/>
  <c r="M774" i="5"/>
  <c r="M899" i="5"/>
  <c r="M946" i="5"/>
  <c r="M18" i="5"/>
  <c r="M282" i="5"/>
  <c r="M554" i="5"/>
  <c r="M818" i="5"/>
  <c r="M620" i="5"/>
  <c r="M748" i="5"/>
  <c r="M876" i="5"/>
  <c r="M13" i="5"/>
  <c r="M45" i="5"/>
  <c r="M77" i="5"/>
  <c r="M109" i="5"/>
  <c r="M141" i="5"/>
  <c r="M157" i="5"/>
  <c r="M189" i="5"/>
  <c r="M221" i="5"/>
  <c r="M237" i="5"/>
  <c r="M269" i="5"/>
  <c r="M301" i="5"/>
  <c r="M333" i="5"/>
  <c r="M365" i="5"/>
  <c r="M381" i="5"/>
  <c r="M413" i="5"/>
  <c r="M429" i="5"/>
  <c r="M461" i="5"/>
  <c r="M477" i="5"/>
  <c r="M509" i="5"/>
  <c r="M541" i="5"/>
  <c r="M573" i="5"/>
  <c r="M589" i="5"/>
  <c r="M621" i="5"/>
  <c r="M653" i="5"/>
  <c r="M669" i="5"/>
  <c r="M701" i="5"/>
  <c r="M733" i="5"/>
  <c r="M749" i="5"/>
  <c r="M781" i="5"/>
  <c r="M813" i="5"/>
  <c r="M845" i="5"/>
  <c r="M975" i="5"/>
  <c r="M58" i="5"/>
  <c r="M122" i="5"/>
  <c r="M250" i="5"/>
  <c r="M346" i="5"/>
  <c r="M474" i="5"/>
  <c r="M538" i="5"/>
  <c r="M602" i="5"/>
  <c r="M666" i="5"/>
  <c r="M922" i="5"/>
  <c r="M723" i="5"/>
  <c r="M787" i="5"/>
  <c r="M1003" i="5"/>
  <c r="M90" i="5"/>
  <c r="M618" i="5"/>
  <c r="M17" i="5"/>
  <c r="M49" i="5"/>
  <c r="M113" i="5"/>
  <c r="M177" i="5"/>
  <c r="M241" i="5"/>
  <c r="M305" i="5"/>
  <c r="M369" i="5"/>
  <c r="M401" i="5"/>
  <c r="M465" i="5"/>
  <c r="M529" i="5"/>
  <c r="M593" i="5"/>
  <c r="M657" i="5"/>
  <c r="M721" i="5"/>
  <c r="M785" i="5"/>
  <c r="M849" i="5"/>
  <c r="M945" i="5"/>
  <c r="M961" i="5"/>
  <c r="M985" i="5"/>
  <c r="M867" i="5"/>
  <c r="M909" i="5"/>
  <c r="M99" i="5"/>
  <c r="M131" i="5"/>
  <c r="M195" i="5"/>
  <c r="M323" i="5"/>
  <c r="M355" i="5"/>
  <c r="M387" i="5"/>
  <c r="M419" i="5"/>
  <c r="M555" i="5"/>
  <c r="M619" i="5"/>
  <c r="M795" i="5"/>
  <c r="M869" i="5"/>
  <c r="M98" i="5"/>
  <c r="M226" i="5"/>
  <c r="M386" i="5"/>
  <c r="M450" i="5"/>
  <c r="M514" i="5"/>
  <c r="M578" i="5"/>
  <c r="M642" i="5"/>
  <c r="M706" i="5"/>
  <c r="M770" i="5"/>
  <c r="M834" i="5"/>
  <c r="M894" i="5"/>
  <c r="M30" i="5"/>
  <c r="M70" i="5"/>
  <c r="M694" i="5"/>
  <c r="M11" i="5"/>
  <c r="M75" i="5"/>
  <c r="M467" i="5"/>
  <c r="M931" i="5"/>
  <c r="M995" i="5"/>
  <c r="M914" i="5"/>
  <c r="M984" i="5"/>
  <c r="M59" i="5"/>
  <c r="M462" i="5"/>
  <c r="M691" i="5"/>
  <c r="M755" i="5"/>
  <c r="M883" i="5"/>
  <c r="M939" i="5"/>
  <c r="M971" i="5"/>
  <c r="M154" i="5"/>
  <c r="M690" i="5"/>
  <c r="M588" i="5"/>
  <c r="M716" i="5"/>
  <c r="M844" i="5"/>
  <c r="M905" i="5"/>
  <c r="M42" i="5"/>
  <c r="M74" i="5"/>
  <c r="M170" i="5"/>
  <c r="M202" i="5"/>
  <c r="M266" i="5"/>
  <c r="M298" i="5"/>
  <c r="M330" i="5"/>
  <c r="M426" i="5"/>
  <c r="M522" i="5"/>
  <c r="M586" i="5"/>
  <c r="M650" i="5"/>
  <c r="M714" i="5"/>
  <c r="M778" i="5"/>
  <c r="M842" i="5"/>
  <c r="M874" i="5"/>
  <c r="M51" i="5"/>
  <c r="M475" i="5"/>
  <c r="M739" i="5"/>
  <c r="M771" i="5"/>
  <c r="M507" i="5"/>
  <c r="M534" i="5"/>
  <c r="M566" i="5"/>
  <c r="M598" i="5"/>
  <c r="M630" i="5"/>
  <c r="M662" i="5"/>
  <c r="M798" i="5"/>
  <c r="M830" i="5"/>
  <c r="M915" i="5"/>
  <c r="M987" i="5"/>
  <c r="M218" i="5"/>
  <c r="M754" i="5"/>
  <c r="M934" i="5"/>
  <c r="M966" i="5"/>
  <c r="M998" i="5"/>
  <c r="M604" i="5"/>
  <c r="M668" i="5"/>
  <c r="M796" i="5"/>
  <c r="M860" i="5"/>
  <c r="M924" i="5"/>
  <c r="M988" i="5"/>
  <c r="M8" i="5"/>
  <c r="M15" i="5"/>
  <c r="M28" i="5"/>
  <c r="M40" i="5"/>
  <c r="M60" i="5"/>
  <c r="M79" i="5"/>
  <c r="M87" i="5"/>
  <c r="M92" i="5"/>
  <c r="M104" i="5"/>
  <c r="K111" i="5"/>
  <c r="L111" i="5" s="1"/>
  <c r="M124" i="5"/>
  <c r="M136" i="5"/>
  <c r="M168" i="5"/>
  <c r="M200" i="5"/>
  <c r="M215" i="5"/>
  <c r="M220" i="5"/>
  <c r="M232" i="5"/>
  <c r="K239" i="5"/>
  <c r="L239" i="5" s="1"/>
  <c r="M252" i="5"/>
  <c r="M264" i="5"/>
  <c r="K271" i="5"/>
  <c r="L271" i="5" s="1"/>
  <c r="M296" i="5"/>
  <c r="M316" i="5"/>
  <c r="M328" i="5"/>
  <c r="M360" i="5"/>
  <c r="K367" i="5"/>
  <c r="L367" i="5" s="1"/>
  <c r="M392" i="5"/>
  <c r="K399" i="5"/>
  <c r="L399" i="5" s="1"/>
  <c r="M424" i="5"/>
  <c r="K431" i="5"/>
  <c r="L431" i="5" s="1"/>
  <c r="K463" i="5"/>
  <c r="L463" i="5" s="1"/>
  <c r="M476" i="5"/>
  <c r="M488" i="5"/>
  <c r="M495" i="5"/>
  <c r="K567" i="5"/>
  <c r="L567" i="5" s="1"/>
  <c r="M684" i="5"/>
  <c r="M767" i="5"/>
  <c r="M788" i="5"/>
  <c r="M800" i="5"/>
  <c r="M812" i="5"/>
  <c r="M916" i="5"/>
  <c r="M964" i="5"/>
  <c r="M938" i="5"/>
  <c r="M362" i="5"/>
  <c r="M873" i="5"/>
  <c r="M21" i="5"/>
  <c r="M53" i="5"/>
  <c r="M85" i="5"/>
  <c r="M117" i="5"/>
  <c r="M149" i="5"/>
  <c r="M181" i="5"/>
  <c r="M213" i="5"/>
  <c r="M229" i="5"/>
  <c r="M261" i="5"/>
  <c r="M293" i="5"/>
  <c r="M325" i="5"/>
  <c r="M373" i="5"/>
  <c r="M405" i="5"/>
  <c r="M437" i="5"/>
  <c r="M469" i="5"/>
  <c r="M501" i="5"/>
  <c r="M533" i="5"/>
  <c r="M565" i="5"/>
  <c r="M597" i="5"/>
  <c r="M629" i="5"/>
  <c r="M661" i="5"/>
  <c r="M709" i="5"/>
  <c r="M881" i="5"/>
  <c r="M941" i="5"/>
  <c r="M957" i="5"/>
  <c r="M973" i="5"/>
  <c r="M877" i="5"/>
  <c r="M91" i="5"/>
  <c r="M123" i="5"/>
  <c r="M155" i="5"/>
  <c r="M187" i="5"/>
  <c r="M219" i="5"/>
  <c r="M251" i="5"/>
  <c r="M283" i="5"/>
  <c r="M315" i="5"/>
  <c r="M347" i="5"/>
  <c r="M379" i="5"/>
  <c r="M411" i="5"/>
  <c r="M515" i="5"/>
  <c r="M547" i="5"/>
  <c r="M579" i="5"/>
  <c r="M611" i="5"/>
  <c r="M643" i="5"/>
  <c r="M675" i="5"/>
  <c r="M819" i="5"/>
  <c r="M851" i="5"/>
  <c r="M917" i="5"/>
  <c r="M26" i="5"/>
  <c r="M378" i="5"/>
  <c r="M442" i="5"/>
  <c r="M698" i="5"/>
  <c r="M762" i="5"/>
  <c r="M826" i="5"/>
  <c r="M22" i="5"/>
  <c r="M54" i="5"/>
  <c r="M454" i="5"/>
  <c r="M678" i="5"/>
  <c r="M750" i="5"/>
  <c r="M875" i="5"/>
  <c r="M977" i="5"/>
  <c r="M1001" i="5"/>
  <c r="M893" i="5"/>
  <c r="M968" i="5"/>
  <c r="M110" i="5"/>
  <c r="M142" i="5"/>
  <c r="M174" i="5"/>
  <c r="M206" i="5"/>
  <c r="M238" i="5"/>
  <c r="M270" i="5"/>
  <c r="M302" i="5"/>
  <c r="M334" i="5"/>
  <c r="M366" i="5"/>
  <c r="M398" i="5"/>
  <c r="M430" i="5"/>
  <c r="M478" i="5"/>
  <c r="M526" i="5"/>
  <c r="M558" i="5"/>
  <c r="M590" i="5"/>
  <c r="M622" i="5"/>
  <c r="M654" i="5"/>
  <c r="M686" i="5"/>
  <c r="M726" i="5"/>
  <c r="M747" i="5"/>
  <c r="M790" i="5"/>
  <c r="M822" i="5"/>
  <c r="M854" i="5"/>
  <c r="M879" i="5"/>
  <c r="M911" i="5"/>
  <c r="M935" i="5"/>
  <c r="M967" i="5"/>
  <c r="M999" i="5"/>
  <c r="M930" i="5"/>
  <c r="M994" i="5"/>
  <c r="M402" i="5"/>
  <c r="M466" i="5"/>
  <c r="M898" i="5"/>
  <c r="M958" i="5"/>
  <c r="M990" i="5"/>
  <c r="M908" i="5"/>
  <c r="M972" i="5"/>
  <c r="M7" i="5"/>
  <c r="M20" i="5"/>
  <c r="M32" i="5"/>
  <c r="M39" i="5"/>
  <c r="M47" i="5"/>
  <c r="M52" i="5"/>
  <c r="M64" i="5"/>
  <c r="M84" i="5"/>
  <c r="K96" i="5"/>
  <c r="L96" i="5" s="1"/>
  <c r="M116" i="5"/>
  <c r="M128" i="5"/>
  <c r="K135" i="5"/>
  <c r="L135" i="5" s="1"/>
  <c r="K143" i="5"/>
  <c r="L143" i="5" s="1"/>
  <c r="M148" i="5"/>
  <c r="M160" i="5"/>
  <c r="K167" i="5"/>
  <c r="L167" i="5" s="1"/>
  <c r="K175" i="5"/>
  <c r="L175" i="5" s="1"/>
  <c r="M180" i="5"/>
  <c r="M192" i="5"/>
  <c r="K199" i="5"/>
  <c r="L199" i="5" s="1"/>
  <c r="K207" i="5"/>
  <c r="L207" i="5" s="1"/>
  <c r="M212" i="5"/>
  <c r="M224" i="5"/>
  <c r="M244" i="5"/>
  <c r="M256" i="5"/>
  <c r="K263" i="5"/>
  <c r="L263" i="5" s="1"/>
  <c r="M276" i="5"/>
  <c r="M288" i="5"/>
  <c r="K295" i="5"/>
  <c r="L295" i="5" s="1"/>
  <c r="K303" i="5"/>
  <c r="L303" i="5" s="1"/>
  <c r="M308" i="5"/>
  <c r="M320" i="5"/>
  <c r="K327" i="5"/>
  <c r="L327" i="5" s="1"/>
  <c r="K335" i="5"/>
  <c r="L335" i="5" s="1"/>
  <c r="M340" i="5"/>
  <c r="M352" i="5"/>
  <c r="K359" i="5"/>
  <c r="L359" i="5" s="1"/>
  <c r="M372" i="5"/>
  <c r="M384" i="5"/>
  <c r="K391" i="5"/>
  <c r="L391" i="5" s="1"/>
  <c r="M404" i="5"/>
  <c r="M416" i="5"/>
  <c r="K423" i="5"/>
  <c r="L423" i="5" s="1"/>
  <c r="M436" i="5"/>
  <c r="M448" i="5"/>
  <c r="M455" i="5"/>
  <c r="M468" i="5"/>
  <c r="M480" i="5"/>
  <c r="M487" i="5"/>
  <c r="M500" i="5"/>
  <c r="M512" i="5"/>
  <c r="K519" i="5"/>
  <c r="L519" i="5" s="1"/>
  <c r="M532" i="5"/>
  <c r="M544" i="5"/>
  <c r="K552" i="5"/>
  <c r="L552" i="5" s="1"/>
  <c r="M564" i="5"/>
  <c r="M576" i="5"/>
  <c r="K599" i="5"/>
  <c r="L599" i="5" s="1"/>
  <c r="K671" i="5"/>
  <c r="L671" i="5" s="1"/>
  <c r="K680" i="5"/>
  <c r="L680" i="5" s="1"/>
  <c r="M692" i="5"/>
  <c r="M704" i="5"/>
  <c r="K727" i="5"/>
  <c r="L727" i="5" s="1"/>
  <c r="K799" i="5"/>
  <c r="L799" i="5" s="1"/>
  <c r="K808" i="5"/>
  <c r="L808" i="5" s="1"/>
  <c r="M820" i="5"/>
  <c r="M832" i="5"/>
  <c r="K855" i="5"/>
  <c r="L855" i="5" s="1"/>
  <c r="M928" i="5"/>
  <c r="M960" i="5"/>
  <c r="M992" i="5"/>
  <c r="M866" i="5"/>
  <c r="M986" i="5"/>
  <c r="M456" i="5"/>
  <c r="M520" i="5"/>
  <c r="M556" i="5"/>
  <c r="M648" i="5"/>
  <c r="M672" i="5"/>
  <c r="M695" i="5"/>
  <c r="M823" i="5"/>
  <c r="M932" i="5"/>
  <c r="M996" i="5"/>
  <c r="M1002" i="5"/>
  <c r="M242" i="5"/>
  <c r="M490" i="5"/>
  <c r="M5" i="5"/>
  <c r="M37" i="5"/>
  <c r="M69" i="5"/>
  <c r="M101" i="5"/>
  <c r="M133" i="5"/>
  <c r="M165" i="5"/>
  <c r="M197" i="5"/>
  <c r="M245" i="5"/>
  <c r="M277" i="5"/>
  <c r="M357" i="5"/>
  <c r="M389" i="5"/>
  <c r="M453" i="5"/>
  <c r="M485" i="5"/>
  <c r="M517" i="5"/>
  <c r="M549" i="5"/>
  <c r="M581" i="5"/>
  <c r="M613" i="5"/>
  <c r="M645" i="5"/>
  <c r="M677" i="5"/>
  <c r="M693" i="5"/>
  <c r="M725" i="5"/>
  <c r="M741" i="5"/>
  <c r="M757" i="5"/>
  <c r="M773" i="5"/>
  <c r="M789" i="5"/>
  <c r="M805" i="5"/>
  <c r="M821" i="5"/>
  <c r="M837" i="5"/>
  <c r="M853" i="5"/>
  <c r="M929" i="5"/>
  <c r="M949" i="5"/>
  <c r="M965" i="5"/>
  <c r="M993" i="5"/>
  <c r="M925" i="5"/>
  <c r="M107" i="5"/>
  <c r="M139" i="5"/>
  <c r="M171" i="5"/>
  <c r="M203" i="5"/>
  <c r="M235" i="5"/>
  <c r="M267" i="5"/>
  <c r="M299" i="5"/>
  <c r="M331" i="5"/>
  <c r="M363" i="5"/>
  <c r="M395" i="5"/>
  <c r="M427" i="5"/>
  <c r="M531" i="5"/>
  <c r="M563" i="5"/>
  <c r="M595" i="5"/>
  <c r="M627" i="5"/>
  <c r="M659" i="5"/>
  <c r="M803" i="5"/>
  <c r="M835" i="5"/>
  <c r="M885" i="5"/>
  <c r="M394" i="5"/>
  <c r="M458" i="5"/>
  <c r="M682" i="5"/>
  <c r="M746" i="5"/>
  <c r="M810" i="5"/>
  <c r="M6" i="5"/>
  <c r="M38" i="5"/>
  <c r="M78" i="5"/>
  <c r="M486" i="5"/>
  <c r="M710" i="5"/>
  <c r="M782" i="5"/>
  <c r="M923" i="5"/>
  <c r="M989" i="5"/>
  <c r="M35" i="5"/>
  <c r="M62" i="5"/>
  <c r="M94" i="5"/>
  <c r="M126" i="5"/>
  <c r="M158" i="5"/>
  <c r="M190" i="5"/>
  <c r="M222" i="5"/>
  <c r="M254" i="5"/>
  <c r="M286" i="5"/>
  <c r="M318" i="5"/>
  <c r="M350" i="5"/>
  <c r="M382" i="5"/>
  <c r="M414" i="5"/>
  <c r="M446" i="5"/>
  <c r="M491" i="5"/>
  <c r="M510" i="5"/>
  <c r="M542" i="5"/>
  <c r="M574" i="5"/>
  <c r="M606" i="5"/>
  <c r="M638" i="5"/>
  <c r="M670" i="5"/>
  <c r="M718" i="5"/>
  <c r="M758" i="5"/>
  <c r="M779" i="5"/>
  <c r="M806" i="5"/>
  <c r="M838" i="5"/>
  <c r="M886" i="5"/>
  <c r="M902" i="5"/>
  <c r="M918" i="5"/>
  <c r="M943" i="5"/>
  <c r="M889" i="5"/>
  <c r="M962" i="5"/>
  <c r="M370" i="5"/>
  <c r="M434" i="5"/>
  <c r="M942" i="5"/>
  <c r="M974" i="5"/>
  <c r="M940" i="5"/>
  <c r="M4" i="5"/>
  <c r="M23" i="5"/>
  <c r="M31" i="5"/>
  <c r="K36" i="5"/>
  <c r="L36" i="5" s="1"/>
  <c r="K48" i="5"/>
  <c r="L48" i="5" s="1"/>
  <c r="M55" i="5"/>
  <c r="M63" i="5"/>
  <c r="K68" i="5"/>
  <c r="L68" i="5" s="1"/>
  <c r="K100" i="5"/>
  <c r="L100" i="5" s="1"/>
  <c r="K119" i="5"/>
  <c r="L119" i="5" s="1"/>
  <c r="K132" i="5"/>
  <c r="L132" i="5" s="1"/>
  <c r="K144" i="5"/>
  <c r="L144" i="5" s="1"/>
  <c r="K151" i="5"/>
  <c r="L151" i="5" s="1"/>
  <c r="M159" i="5"/>
  <c r="K164" i="5"/>
  <c r="L164" i="5" s="1"/>
  <c r="K607" i="5"/>
  <c r="L607" i="5" s="1"/>
  <c r="K616" i="5"/>
  <c r="L616" i="5" s="1"/>
  <c r="M628" i="5"/>
  <c r="M640" i="5"/>
  <c r="M652" i="5"/>
  <c r="K663" i="5"/>
  <c r="L663" i="5" s="1"/>
  <c r="M735" i="5"/>
  <c r="K744" i="5"/>
  <c r="L744" i="5" s="1"/>
  <c r="M756" i="5"/>
  <c r="M768" i="5"/>
  <c r="M780" i="5"/>
  <c r="K791" i="5"/>
  <c r="L791" i="5" s="1"/>
  <c r="M864" i="5"/>
  <c r="M888" i="5"/>
  <c r="K903" i="5"/>
  <c r="L903" i="5" s="1"/>
  <c r="K919" i="5"/>
  <c r="L919" i="5" s="1"/>
  <c r="M944" i="5"/>
  <c r="M976" i="5"/>
  <c r="M882" i="5"/>
  <c r="M530" i="5"/>
  <c r="M658" i="5"/>
  <c r="M865" i="5"/>
  <c r="M937" i="5"/>
  <c r="M953" i="5"/>
  <c r="M969" i="5"/>
  <c r="M83" i="5"/>
  <c r="M115" i="5"/>
  <c r="M147" i="5"/>
  <c r="M179" i="5"/>
  <c r="M211" i="5"/>
  <c r="M243" i="5"/>
  <c r="M275" i="5"/>
  <c r="M307" i="5"/>
  <c r="M339" i="5"/>
  <c r="M371" i="5"/>
  <c r="M403" i="5"/>
  <c r="M435" i="5"/>
  <c r="M539" i="5"/>
  <c r="M571" i="5"/>
  <c r="M603" i="5"/>
  <c r="M635" i="5"/>
  <c r="M667" i="5"/>
  <c r="M811" i="5"/>
  <c r="M843" i="5"/>
  <c r="M901" i="5"/>
  <c r="M82" i="5"/>
  <c r="M210" i="5"/>
  <c r="M274" i="5"/>
  <c r="M338" i="5"/>
  <c r="M498" i="5"/>
  <c r="M562" i="5"/>
  <c r="M626" i="5"/>
  <c r="M878" i="5"/>
  <c r="M14" i="5"/>
  <c r="M46" i="5"/>
  <c r="M438" i="5"/>
  <c r="M502" i="5"/>
  <c r="M734" i="5"/>
  <c r="M859" i="5"/>
  <c r="M933" i="5"/>
  <c r="M997" i="5"/>
  <c r="M861" i="5"/>
  <c r="M952" i="5"/>
  <c r="M102" i="5"/>
  <c r="M134" i="5"/>
  <c r="M166" i="5"/>
  <c r="M198" i="5"/>
  <c r="M230" i="5"/>
  <c r="M262" i="5"/>
  <c r="M294" i="5"/>
  <c r="M326" i="5"/>
  <c r="M358" i="5"/>
  <c r="M390" i="5"/>
  <c r="M422" i="5"/>
  <c r="M494" i="5"/>
  <c r="M518" i="5"/>
  <c r="M550" i="5"/>
  <c r="M582" i="5"/>
  <c r="M614" i="5"/>
  <c r="M646" i="5"/>
  <c r="M702" i="5"/>
  <c r="M742" i="5"/>
  <c r="M814" i="5"/>
  <c r="M846" i="5"/>
  <c r="M870" i="5"/>
  <c r="M978" i="5"/>
  <c r="M950" i="5"/>
  <c r="M982" i="5"/>
  <c r="M572" i="5"/>
  <c r="M700" i="5"/>
  <c r="M764" i="5"/>
  <c r="M828" i="5"/>
  <c r="K12" i="5"/>
  <c r="L12" i="5" s="1"/>
  <c r="K24" i="5"/>
  <c r="L24" i="5" s="1"/>
  <c r="K44" i="5"/>
  <c r="L44" i="5" s="1"/>
  <c r="K56" i="5"/>
  <c r="L56" i="5" s="1"/>
  <c r="M71" i="5"/>
  <c r="K76" i="5"/>
  <c r="L76" i="5" s="1"/>
  <c r="K88" i="5"/>
  <c r="L88" i="5" s="1"/>
  <c r="K575" i="5"/>
  <c r="L575" i="5" s="1"/>
  <c r="K584" i="5"/>
  <c r="L584" i="5" s="1"/>
  <c r="M596" i="5"/>
  <c r="M608" i="5"/>
  <c r="K631" i="5"/>
  <c r="L631" i="5" s="1"/>
  <c r="K703" i="5"/>
  <c r="L703" i="5" s="1"/>
  <c r="K712" i="5"/>
  <c r="L712" i="5" s="1"/>
  <c r="M724" i="5"/>
  <c r="M736" i="5"/>
  <c r="K759" i="5"/>
  <c r="L759" i="5" s="1"/>
  <c r="K831" i="5"/>
  <c r="L831" i="5" s="1"/>
  <c r="K840" i="5"/>
  <c r="L840" i="5" s="1"/>
  <c r="M852" i="5"/>
  <c r="M880" i="5"/>
  <c r="K904" i="5"/>
  <c r="L904" i="5" s="1"/>
  <c r="M948" i="5"/>
  <c r="M980" i="5"/>
  <c r="K95" i="5"/>
  <c r="L95" i="5" s="1"/>
  <c r="K103" i="5"/>
  <c r="L103" i="5" s="1"/>
  <c r="K108" i="5"/>
  <c r="L108" i="5" s="1"/>
  <c r="K120" i="5"/>
  <c r="L120" i="5" s="1"/>
  <c r="K140" i="5"/>
  <c r="L140" i="5" s="1"/>
  <c r="K152" i="5"/>
  <c r="L152" i="5" s="1"/>
  <c r="K172" i="5"/>
  <c r="L172" i="5" s="1"/>
  <c r="K184" i="5"/>
  <c r="L184" i="5" s="1"/>
  <c r="K204" i="5"/>
  <c r="L204" i="5" s="1"/>
  <c r="K216" i="5"/>
  <c r="L216" i="5" s="1"/>
  <c r="K223" i="5"/>
  <c r="L223" i="5" s="1"/>
  <c r="K231" i="5"/>
  <c r="L231" i="5" s="1"/>
  <c r="K236" i="5"/>
  <c r="L236" i="5" s="1"/>
  <c r="K248" i="5"/>
  <c r="L248" i="5" s="1"/>
  <c r="K268" i="5"/>
  <c r="L268" i="5" s="1"/>
  <c r="K280" i="5"/>
  <c r="L280" i="5" s="1"/>
  <c r="K300" i="5"/>
  <c r="L300" i="5" s="1"/>
  <c r="K312" i="5"/>
  <c r="L312" i="5" s="1"/>
  <c r="K332" i="5"/>
  <c r="L332" i="5" s="1"/>
  <c r="K344" i="5"/>
  <c r="L344" i="5" s="1"/>
  <c r="K351" i="5"/>
  <c r="L351" i="5" s="1"/>
  <c r="K364" i="5"/>
  <c r="L364" i="5" s="1"/>
  <c r="K376" i="5"/>
  <c r="L376" i="5" s="1"/>
  <c r="K383" i="5"/>
  <c r="L383" i="5" s="1"/>
  <c r="K396" i="5"/>
  <c r="L396" i="5" s="1"/>
  <c r="K408" i="5"/>
  <c r="L408" i="5" s="1"/>
  <c r="K415" i="5"/>
  <c r="L415" i="5" s="1"/>
  <c r="K428" i="5"/>
  <c r="L428" i="5" s="1"/>
  <c r="K440" i="5"/>
  <c r="L440" i="5" s="1"/>
  <c r="K447" i="5"/>
  <c r="L447" i="5" s="1"/>
  <c r="K460" i="5"/>
  <c r="L460" i="5" s="1"/>
  <c r="K472" i="5"/>
  <c r="L472" i="5" s="1"/>
  <c r="K479" i="5"/>
  <c r="L479" i="5" s="1"/>
  <c r="K492" i="5"/>
  <c r="L492" i="5" s="1"/>
  <c r="K504" i="5"/>
  <c r="L504" i="5" s="1"/>
  <c r="K511" i="5"/>
  <c r="L511" i="5" s="1"/>
  <c r="K524" i="5"/>
  <c r="L524" i="5" s="1"/>
  <c r="K536" i="5"/>
  <c r="L536" i="5" s="1"/>
  <c r="K551" i="5"/>
  <c r="L551" i="5" s="1"/>
  <c r="M560" i="5"/>
  <c r="K583" i="5"/>
  <c r="L583" i="5" s="1"/>
  <c r="M592" i="5"/>
  <c r="K615" i="5"/>
  <c r="L615" i="5" s="1"/>
  <c r="M624" i="5"/>
  <c r="K647" i="5"/>
  <c r="L647" i="5" s="1"/>
  <c r="M656" i="5"/>
  <c r="M679" i="5"/>
  <c r="M688" i="5"/>
  <c r="M711" i="5"/>
  <c r="M720" i="5"/>
  <c r="K743" i="5"/>
  <c r="L743" i="5" s="1"/>
  <c r="M752" i="5"/>
  <c r="K775" i="5"/>
  <c r="L775" i="5" s="1"/>
  <c r="M784" i="5"/>
  <c r="K807" i="5"/>
  <c r="L807" i="5" s="1"/>
  <c r="M816" i="5"/>
  <c r="K839" i="5"/>
  <c r="L839" i="5" s="1"/>
  <c r="M848" i="5"/>
  <c r="K872" i="5"/>
  <c r="L872" i="5" s="1"/>
  <c r="K887" i="5"/>
  <c r="L887" i="5" s="1"/>
  <c r="M900" i="5"/>
  <c r="M912" i="5"/>
  <c r="M970" i="5"/>
  <c r="K176" i="5"/>
  <c r="L176" i="5" s="1"/>
  <c r="K183" i="5"/>
  <c r="L183" i="5" s="1"/>
  <c r="K191" i="5"/>
  <c r="L191" i="5" s="1"/>
  <c r="K196" i="5"/>
  <c r="L196" i="5" s="1"/>
  <c r="K208" i="5"/>
  <c r="L208" i="5" s="1"/>
  <c r="K228" i="5"/>
  <c r="L228" i="5" s="1"/>
  <c r="K240" i="5"/>
  <c r="L240" i="5" s="1"/>
  <c r="K247" i="5"/>
  <c r="L247" i="5" s="1"/>
  <c r="K255" i="5"/>
  <c r="L255" i="5" s="1"/>
  <c r="K260" i="5"/>
  <c r="L260" i="5" s="1"/>
  <c r="K272" i="5"/>
  <c r="L272" i="5" s="1"/>
  <c r="K279" i="5"/>
  <c r="L279" i="5" s="1"/>
  <c r="K287" i="5"/>
  <c r="L287" i="5" s="1"/>
  <c r="K292" i="5"/>
  <c r="L292" i="5" s="1"/>
  <c r="K304" i="5"/>
  <c r="L304" i="5" s="1"/>
  <c r="K311" i="5"/>
  <c r="L311" i="5" s="1"/>
  <c r="K319" i="5"/>
  <c r="L319" i="5" s="1"/>
  <c r="K324" i="5"/>
  <c r="L324" i="5" s="1"/>
  <c r="K336" i="5"/>
  <c r="L336" i="5" s="1"/>
  <c r="K343" i="5"/>
  <c r="L343" i="5" s="1"/>
  <c r="K356" i="5"/>
  <c r="L356" i="5" s="1"/>
  <c r="K368" i="5"/>
  <c r="L368" i="5" s="1"/>
  <c r="K375" i="5"/>
  <c r="L375" i="5" s="1"/>
  <c r="K388" i="5"/>
  <c r="L388" i="5" s="1"/>
  <c r="K400" i="5"/>
  <c r="L400" i="5" s="1"/>
  <c r="K407" i="5"/>
  <c r="L407" i="5" s="1"/>
  <c r="K420" i="5"/>
  <c r="L420" i="5" s="1"/>
  <c r="K432" i="5"/>
  <c r="L432" i="5" s="1"/>
  <c r="M439" i="5"/>
  <c r="K452" i="5"/>
  <c r="L452" i="5" s="1"/>
  <c r="K464" i="5"/>
  <c r="L464" i="5" s="1"/>
  <c r="M471" i="5"/>
  <c r="K484" i="5"/>
  <c r="L484" i="5" s="1"/>
  <c r="K496" i="5"/>
  <c r="L496" i="5" s="1"/>
  <c r="M503" i="5"/>
  <c r="K516" i="5"/>
  <c r="L516" i="5" s="1"/>
  <c r="K528" i="5"/>
  <c r="L528" i="5" s="1"/>
  <c r="K535" i="5"/>
  <c r="L535" i="5" s="1"/>
  <c r="K543" i="5"/>
  <c r="L543" i="5" s="1"/>
  <c r="K548" i="5"/>
  <c r="L548" i="5" s="1"/>
  <c r="K559" i="5"/>
  <c r="L559" i="5" s="1"/>
  <c r="K568" i="5"/>
  <c r="L568" i="5" s="1"/>
  <c r="M580" i="5"/>
  <c r="K591" i="5"/>
  <c r="L591" i="5" s="1"/>
  <c r="K600" i="5"/>
  <c r="L600" i="5" s="1"/>
  <c r="M612" i="5"/>
  <c r="K623" i="5"/>
  <c r="L623" i="5" s="1"/>
  <c r="K632" i="5"/>
  <c r="L632" i="5" s="1"/>
  <c r="M644" i="5"/>
  <c r="K655" i="5"/>
  <c r="L655" i="5" s="1"/>
  <c r="K664" i="5"/>
  <c r="L664" i="5" s="1"/>
  <c r="M676" i="5"/>
  <c r="K687" i="5"/>
  <c r="L687" i="5" s="1"/>
  <c r="K696" i="5"/>
  <c r="L696" i="5" s="1"/>
  <c r="K719" i="5"/>
  <c r="L719" i="5" s="1"/>
  <c r="K728" i="5"/>
  <c r="L728" i="5" s="1"/>
  <c r="M740" i="5"/>
  <c r="M751" i="5"/>
  <c r="K760" i="5"/>
  <c r="L760" i="5" s="1"/>
  <c r="M783" i="5"/>
  <c r="K792" i="5"/>
  <c r="L792" i="5" s="1"/>
  <c r="M804" i="5"/>
  <c r="K815" i="5"/>
  <c r="L815" i="5" s="1"/>
  <c r="K824" i="5"/>
  <c r="L824" i="5" s="1"/>
  <c r="M836" i="5"/>
  <c r="K847" i="5"/>
  <c r="L847" i="5" s="1"/>
  <c r="K856" i="5"/>
  <c r="L856" i="5" s="1"/>
  <c r="K871" i="5"/>
  <c r="L871" i="5" s="1"/>
  <c r="M884" i="5"/>
  <c r="M896" i="5"/>
  <c r="K920" i="5"/>
  <c r="L920" i="5" s="1"/>
  <c r="M954" i="5"/>
  <c r="O10" i="9" l="1"/>
  <c r="O26" i="9"/>
  <c r="O42" i="9"/>
  <c r="O58" i="9"/>
  <c r="O74" i="9"/>
  <c r="O90" i="9"/>
  <c r="O106" i="9"/>
  <c r="O122" i="9"/>
  <c r="O138" i="9"/>
  <c r="O154" i="9"/>
  <c r="O170" i="9"/>
  <c r="O186" i="9"/>
  <c r="O202" i="9"/>
  <c r="O218" i="9"/>
  <c r="O234" i="9"/>
  <c r="O250" i="9"/>
  <c r="O266" i="9"/>
  <c r="O282" i="9"/>
  <c r="O298" i="9"/>
  <c r="O314" i="9"/>
  <c r="O330" i="9"/>
  <c r="O346" i="9"/>
  <c r="O28" i="9"/>
  <c r="O49" i="9"/>
  <c r="O71" i="9"/>
  <c r="O92" i="9"/>
  <c r="O113" i="9"/>
  <c r="O135" i="9"/>
  <c r="O156" i="9"/>
  <c r="O177" i="9"/>
  <c r="O199" i="9"/>
  <c r="O220" i="9"/>
  <c r="O241" i="9"/>
  <c r="O263" i="9"/>
  <c r="O284" i="9"/>
  <c r="O305" i="9"/>
  <c r="O327" i="9"/>
  <c r="O348" i="9"/>
  <c r="O364" i="9"/>
  <c r="O380" i="9"/>
  <c r="O396" i="9"/>
  <c r="O412" i="9"/>
  <c r="O428" i="9"/>
  <c r="O25" i="9"/>
  <c r="O53" i="9"/>
  <c r="O83" i="9"/>
  <c r="O111" i="9"/>
  <c r="O139" i="9"/>
  <c r="O168" i="9"/>
  <c r="O196" i="9"/>
  <c r="O224" i="9"/>
  <c r="O253" i="9"/>
  <c r="O281" i="9"/>
  <c r="O309" i="9"/>
  <c r="O339" i="9"/>
  <c r="O362" i="9"/>
  <c r="O383" i="9"/>
  <c r="O405" i="9"/>
  <c r="O426" i="9"/>
  <c r="O444" i="9"/>
  <c r="O460" i="9"/>
  <c r="O476" i="9"/>
  <c r="O492" i="9"/>
  <c r="O508" i="9"/>
  <c r="O524" i="9"/>
  <c r="O540" i="9"/>
  <c r="O556" i="9"/>
  <c r="O572" i="9"/>
  <c r="O588" i="9"/>
  <c r="O604" i="9"/>
  <c r="O620" i="9"/>
  <c r="O636" i="9"/>
  <c r="O652" i="9"/>
  <c r="O668" i="9"/>
  <c r="O684" i="9"/>
  <c r="O700" i="9"/>
  <c r="O716" i="9"/>
  <c r="O732" i="9"/>
  <c r="O748" i="9"/>
  <c r="O764" i="9"/>
  <c r="O780" i="9"/>
  <c r="O796" i="9"/>
  <c r="O812" i="9"/>
  <c r="O828" i="9"/>
  <c r="O27" i="9"/>
  <c r="O56" i="9"/>
  <c r="O84" i="9"/>
  <c r="O112" i="9"/>
  <c r="O141" i="9"/>
  <c r="O169" i="9"/>
  <c r="O197" i="9"/>
  <c r="O227" i="9"/>
  <c r="O255" i="9"/>
  <c r="O283" i="9"/>
  <c r="O312" i="9"/>
  <c r="O340" i="9"/>
  <c r="O363" i="9"/>
  <c r="O385" i="9"/>
  <c r="O406" i="9"/>
  <c r="O427" i="9"/>
  <c r="O445" i="9"/>
  <c r="O461" i="9"/>
  <c r="O477" i="9"/>
  <c r="O493" i="9"/>
  <c r="O509" i="9"/>
  <c r="O525" i="9"/>
  <c r="O541" i="9"/>
  <c r="O557" i="9"/>
  <c r="O573" i="9"/>
  <c r="O589" i="9"/>
  <c r="O605" i="9"/>
  <c r="O621" i="9"/>
  <c r="O637" i="9"/>
  <c r="O653" i="9"/>
  <c r="O669" i="9"/>
  <c r="O685" i="9"/>
  <c r="O701" i="9"/>
  <c r="O717" i="9"/>
  <c r="O733" i="9"/>
  <c r="O749" i="9"/>
  <c r="O765" i="9"/>
  <c r="O781" i="9"/>
  <c r="O797" i="9"/>
  <c r="O813" i="9"/>
  <c r="O829" i="9"/>
  <c r="O845" i="9"/>
  <c r="O15" i="9"/>
  <c r="O72" i="9"/>
  <c r="O128" i="9"/>
  <c r="O185" i="9"/>
  <c r="O243" i="9"/>
  <c r="O299" i="9"/>
  <c r="O354" i="9"/>
  <c r="O397" i="9"/>
  <c r="O438" i="9"/>
  <c r="O470" i="9"/>
  <c r="O502" i="9"/>
  <c r="O534" i="9"/>
  <c r="O566" i="9"/>
  <c r="O598" i="9"/>
  <c r="O630" i="9"/>
  <c r="O662" i="9"/>
  <c r="O694" i="9"/>
  <c r="O726" i="9"/>
  <c r="O758" i="9"/>
  <c r="O790" i="9"/>
  <c r="O822" i="9"/>
  <c r="O847" i="9"/>
  <c r="O866" i="9"/>
  <c r="O882" i="9"/>
  <c r="O898" i="9"/>
  <c r="O914" i="9"/>
  <c r="O930" i="9"/>
  <c r="O946" i="9"/>
  <c r="O962" i="9"/>
  <c r="O978" i="9"/>
  <c r="O994" i="9"/>
  <c r="O1010" i="9"/>
  <c r="O121" i="9"/>
  <c r="O235" i="9"/>
  <c r="O349" i="9"/>
  <c r="O442" i="9"/>
  <c r="O506" i="9"/>
  <c r="O562" i="9"/>
  <c r="O634" i="9"/>
  <c r="O690" i="9"/>
  <c r="O762" i="9"/>
  <c r="O826" i="9"/>
  <c r="O868" i="9"/>
  <c r="O45" i="9"/>
  <c r="O101" i="9"/>
  <c r="O159" i="9"/>
  <c r="O216" i="9"/>
  <c r="O272" i="9"/>
  <c r="O329" i="9"/>
  <c r="O377" i="9"/>
  <c r="O419" i="9"/>
  <c r="O455" i="9"/>
  <c r="O487" i="9"/>
  <c r="O519" i="9"/>
  <c r="O551" i="9"/>
  <c r="O583" i="9"/>
  <c r="O615" i="9"/>
  <c r="O647" i="9"/>
  <c r="O679" i="9"/>
  <c r="O711" i="9"/>
  <c r="O743" i="9"/>
  <c r="O775" i="9"/>
  <c r="O807" i="9"/>
  <c r="O838" i="9"/>
  <c r="O859" i="9"/>
  <c r="O875" i="9"/>
  <c r="O891" i="9"/>
  <c r="O907" i="9"/>
  <c r="O923" i="9"/>
  <c r="O939" i="9"/>
  <c r="O955" i="9"/>
  <c r="O971" i="9"/>
  <c r="O987" i="9"/>
  <c r="O1003" i="9"/>
  <c r="O51" i="9"/>
  <c r="O164" i="9"/>
  <c r="O277" i="9"/>
  <c r="O381" i="9"/>
  <c r="O450" i="9"/>
  <c r="O514" i="9"/>
  <c r="O578" i="9"/>
  <c r="O642" i="9"/>
  <c r="O714" i="9"/>
  <c r="O770" i="9"/>
  <c r="O834" i="9"/>
  <c r="O872" i="9"/>
  <c r="O977" i="9"/>
  <c r="O913" i="9"/>
  <c r="O787" i="9"/>
  <c r="O531" i="9"/>
  <c r="O180" i="9"/>
  <c r="O992" i="9"/>
  <c r="O960" i="9"/>
  <c r="O928" i="9"/>
  <c r="O896" i="9"/>
  <c r="O840" i="9"/>
  <c r="O715" i="9"/>
  <c r="O587" i="9"/>
  <c r="O459" i="9"/>
  <c r="O280" i="9"/>
  <c r="O1005" i="9"/>
  <c r="O973" i="9"/>
  <c r="O941" i="9"/>
  <c r="O909" i="9"/>
  <c r="O873" i="9"/>
  <c r="O771" i="9"/>
  <c r="O643" i="9"/>
  <c r="O515" i="9"/>
  <c r="O371" i="9"/>
  <c r="O152" i="9"/>
  <c r="O985" i="9"/>
  <c r="O921" i="9"/>
  <c r="O819" i="9"/>
  <c r="O563" i="9"/>
  <c r="O237" i="9"/>
  <c r="O996" i="9"/>
  <c r="O964" i="9"/>
  <c r="O932" i="9"/>
  <c r="O900" i="9"/>
  <c r="O851" i="9"/>
  <c r="O731" i="9"/>
  <c r="O603" i="9"/>
  <c r="O475" i="9"/>
  <c r="O308" i="9"/>
  <c r="O80" i="9"/>
  <c r="O14" i="9"/>
  <c r="O30" i="9"/>
  <c r="O46" i="9"/>
  <c r="O62" i="9"/>
  <c r="O78" i="9"/>
  <c r="O94" i="9"/>
  <c r="O110" i="9"/>
  <c r="O126" i="9"/>
  <c r="O142" i="9"/>
  <c r="O158" i="9"/>
  <c r="O174" i="9"/>
  <c r="O190" i="9"/>
  <c r="O206" i="9"/>
  <c r="O222" i="9"/>
  <c r="O238" i="9"/>
  <c r="O254" i="9"/>
  <c r="O270" i="9"/>
  <c r="O286" i="9"/>
  <c r="O302" i="9"/>
  <c r="O318" i="9"/>
  <c r="O334" i="9"/>
  <c r="O12" i="9"/>
  <c r="O33" i="9"/>
  <c r="O55" i="9"/>
  <c r="O76" i="9"/>
  <c r="O97" i="9"/>
  <c r="O119" i="9"/>
  <c r="O140" i="9"/>
  <c r="O161" i="9"/>
  <c r="O183" i="9"/>
  <c r="O204" i="9"/>
  <c r="O225" i="9"/>
  <c r="O247" i="9"/>
  <c r="O268" i="9"/>
  <c r="O289" i="9"/>
  <c r="O311" i="9"/>
  <c r="O332" i="9"/>
  <c r="O352" i="9"/>
  <c r="O368" i="9"/>
  <c r="O384" i="9"/>
  <c r="O400" i="9"/>
  <c r="O416" i="9"/>
  <c r="O432" i="9"/>
  <c r="O32" i="9"/>
  <c r="O61" i="9"/>
  <c r="O89" i="9"/>
  <c r="O117" i="9"/>
  <c r="O147" i="9"/>
  <c r="O175" i="9"/>
  <c r="O203" i="9"/>
  <c r="O232" i="9"/>
  <c r="O260" i="9"/>
  <c r="O288" i="9"/>
  <c r="O317" i="9"/>
  <c r="O345" i="9"/>
  <c r="O367" i="9"/>
  <c r="O389" i="9"/>
  <c r="O410" i="9"/>
  <c r="O431" i="9"/>
  <c r="O448" i="9"/>
  <c r="O464" i="9"/>
  <c r="O480" i="9"/>
  <c r="O496" i="9"/>
  <c r="O512" i="9"/>
  <c r="O528" i="9"/>
  <c r="O544" i="9"/>
  <c r="O560" i="9"/>
  <c r="O576" i="9"/>
  <c r="O592" i="9"/>
  <c r="O608" i="9"/>
  <c r="O624" i="9"/>
  <c r="O640" i="9"/>
  <c r="O656" i="9"/>
  <c r="O672" i="9"/>
  <c r="O688" i="9"/>
  <c r="O704" i="9"/>
  <c r="O720" i="9"/>
  <c r="O736" i="9"/>
  <c r="O752" i="9"/>
  <c r="O768" i="9"/>
  <c r="O784" i="9"/>
  <c r="O800" i="9"/>
  <c r="O816" i="9"/>
  <c r="O832" i="9"/>
  <c r="O35" i="9"/>
  <c r="O63" i="9"/>
  <c r="O91" i="9"/>
  <c r="O120" i="9"/>
  <c r="O148" i="9"/>
  <c r="O176" i="9"/>
  <c r="O205" i="9"/>
  <c r="O233" i="9"/>
  <c r="O261" i="9"/>
  <c r="O291" i="9"/>
  <c r="O319" i="9"/>
  <c r="O347" i="9"/>
  <c r="O369" i="9"/>
  <c r="O390" i="9"/>
  <c r="O411" i="9"/>
  <c r="O433" i="9"/>
  <c r="O449" i="9"/>
  <c r="O465" i="9"/>
  <c r="O481" i="9"/>
  <c r="O497" i="9"/>
  <c r="O513" i="9"/>
  <c r="O529" i="9"/>
  <c r="O545" i="9"/>
  <c r="O561" i="9"/>
  <c r="O577" i="9"/>
  <c r="O593" i="9"/>
  <c r="O609" i="9"/>
  <c r="O625" i="9"/>
  <c r="O641" i="9"/>
  <c r="O657" i="9"/>
  <c r="O673" i="9"/>
  <c r="O689" i="9"/>
  <c r="O705" i="9"/>
  <c r="O721" i="9"/>
  <c r="O737" i="9"/>
  <c r="O753" i="9"/>
  <c r="O769" i="9"/>
  <c r="O785" i="9"/>
  <c r="O801" i="9"/>
  <c r="O817" i="9"/>
  <c r="O833" i="9"/>
  <c r="O849" i="9"/>
  <c r="O29" i="9"/>
  <c r="O85" i="9"/>
  <c r="O143" i="9"/>
  <c r="O200" i="9"/>
  <c r="O256" i="9"/>
  <c r="O313" i="9"/>
  <c r="O365" i="9"/>
  <c r="O407" i="9"/>
  <c r="O446" i="9"/>
  <c r="O478" i="9"/>
  <c r="O510" i="9"/>
  <c r="O542" i="9"/>
  <c r="O574" i="9"/>
  <c r="O606" i="9"/>
  <c r="O638" i="9"/>
  <c r="O670" i="9"/>
  <c r="O702" i="9"/>
  <c r="O734" i="9"/>
  <c r="O766" i="9"/>
  <c r="O798" i="9"/>
  <c r="O830" i="9"/>
  <c r="O852" i="9"/>
  <c r="O870" i="9"/>
  <c r="O886" i="9"/>
  <c r="O902" i="9"/>
  <c r="O918" i="9"/>
  <c r="O934" i="9"/>
  <c r="O950" i="9"/>
  <c r="O966" i="9"/>
  <c r="O982" i="9"/>
  <c r="O998" i="9"/>
  <c r="O21" i="9"/>
  <c r="O149" i="9"/>
  <c r="O264" i="9"/>
  <c r="O370" i="9"/>
  <c r="O458" i="9"/>
  <c r="O522" i="9"/>
  <c r="O586" i="9"/>
  <c r="O650" i="9"/>
  <c r="O706" i="9"/>
  <c r="O778" i="9"/>
  <c r="O839" i="9"/>
  <c r="O876" i="9"/>
  <c r="O59" i="9"/>
  <c r="O116" i="9"/>
  <c r="O173" i="9"/>
  <c r="O229" i="9"/>
  <c r="O287" i="9"/>
  <c r="O344" i="9"/>
  <c r="O387" i="9"/>
  <c r="O430" i="9"/>
  <c r="O463" i="9"/>
  <c r="O495" i="9"/>
  <c r="O527" i="9"/>
  <c r="O559" i="9"/>
  <c r="O591" i="9"/>
  <c r="O623" i="9"/>
  <c r="O655" i="9"/>
  <c r="O687" i="9"/>
  <c r="O719" i="9"/>
  <c r="O751" i="9"/>
  <c r="O783" i="9"/>
  <c r="O815" i="9"/>
  <c r="O843" i="9"/>
  <c r="O863" i="9"/>
  <c r="O879" i="9"/>
  <c r="O895" i="9"/>
  <c r="O911" i="9"/>
  <c r="O927" i="9"/>
  <c r="O943" i="9"/>
  <c r="O959" i="9"/>
  <c r="O975" i="9"/>
  <c r="O991" i="9"/>
  <c r="O1007" i="9"/>
  <c r="O79" i="9"/>
  <c r="O192" i="9"/>
  <c r="O307" i="9"/>
  <c r="O402" i="9"/>
  <c r="O466" i="9"/>
  <c r="O530" i="9"/>
  <c r="O594" i="9"/>
  <c r="O658" i="9"/>
  <c r="O722" i="9"/>
  <c r="O786" i="9"/>
  <c r="O844" i="9"/>
  <c r="O880" i="9"/>
  <c r="O961" i="9"/>
  <c r="O897" i="9"/>
  <c r="O723" i="9"/>
  <c r="O467" i="9"/>
  <c r="O67" i="9"/>
  <c r="O984" i="9"/>
  <c r="O952" i="9"/>
  <c r="O920" i="9"/>
  <c r="O888" i="9"/>
  <c r="O811" i="9"/>
  <c r="O683" i="9"/>
  <c r="O555" i="9"/>
  <c r="O425" i="9"/>
  <c r="O223" i="9"/>
  <c r="O997" i="9"/>
  <c r="O965" i="9"/>
  <c r="O933" i="9"/>
  <c r="O901" i="9"/>
  <c r="O856" i="9"/>
  <c r="O739" i="9"/>
  <c r="O611" i="9"/>
  <c r="O483" i="9"/>
  <c r="O323" i="9"/>
  <c r="O95" i="9"/>
  <c r="O969" i="9"/>
  <c r="O905" i="9"/>
  <c r="O755" i="9"/>
  <c r="O499" i="9"/>
  <c r="O123" i="9"/>
  <c r="O988" i="9"/>
  <c r="O956" i="9"/>
  <c r="O924" i="9"/>
  <c r="O892" i="9"/>
  <c r="O827" i="9"/>
  <c r="O699" i="9"/>
  <c r="O571" i="9"/>
  <c r="O443" i="9"/>
  <c r="O251" i="9"/>
  <c r="O24" i="9"/>
  <c r="O22" i="9"/>
  <c r="O38" i="9"/>
  <c r="O54" i="9"/>
  <c r="O70" i="9"/>
  <c r="O86" i="9"/>
  <c r="O102" i="9"/>
  <c r="O118" i="9"/>
  <c r="O134" i="9"/>
  <c r="O150" i="9"/>
  <c r="O166" i="9"/>
  <c r="O182" i="9"/>
  <c r="O198" i="9"/>
  <c r="O214" i="9"/>
  <c r="O230" i="9"/>
  <c r="O246" i="9"/>
  <c r="O262" i="9"/>
  <c r="O278" i="9"/>
  <c r="O294" i="9"/>
  <c r="O310" i="9"/>
  <c r="O326" i="9"/>
  <c r="O342" i="9"/>
  <c r="O23" i="9"/>
  <c r="O44" i="9"/>
  <c r="O65" i="9"/>
  <c r="O87" i="9"/>
  <c r="O108" i="9"/>
  <c r="O129" i="9"/>
  <c r="O151" i="9"/>
  <c r="O172" i="9"/>
  <c r="O193" i="9"/>
  <c r="O215" i="9"/>
  <c r="O236" i="9"/>
  <c r="O257" i="9"/>
  <c r="O279" i="9"/>
  <c r="O300" i="9"/>
  <c r="O321" i="9"/>
  <c r="O343" i="9"/>
  <c r="O360" i="9"/>
  <c r="O376" i="9"/>
  <c r="O392" i="9"/>
  <c r="O408" i="9"/>
  <c r="O424" i="9"/>
  <c r="O19" i="9"/>
  <c r="O47" i="9"/>
  <c r="O75" i="9"/>
  <c r="O104" i="9"/>
  <c r="O132" i="9"/>
  <c r="O160" i="9"/>
  <c r="O189" i="9"/>
  <c r="O217" i="9"/>
  <c r="O245" i="9"/>
  <c r="O275" i="9"/>
  <c r="O303" i="9"/>
  <c r="O331" i="9"/>
  <c r="O357" i="9"/>
  <c r="O378" i="9"/>
  <c r="O399" i="9"/>
  <c r="O421" i="9"/>
  <c r="O440" i="9"/>
  <c r="O456" i="9"/>
  <c r="O472" i="9"/>
  <c r="O488" i="9"/>
  <c r="O504" i="9"/>
  <c r="O520" i="9"/>
  <c r="O536" i="9"/>
  <c r="O552" i="9"/>
  <c r="O568" i="9"/>
  <c r="O584" i="9"/>
  <c r="O600" i="9"/>
  <c r="O616" i="9"/>
  <c r="O632" i="9"/>
  <c r="O648" i="9"/>
  <c r="O664" i="9"/>
  <c r="O680" i="9"/>
  <c r="O696" i="9"/>
  <c r="O712" i="9"/>
  <c r="O728" i="9"/>
  <c r="O744" i="9"/>
  <c r="O760" i="9"/>
  <c r="O776" i="9"/>
  <c r="O792" i="9"/>
  <c r="O808" i="9"/>
  <c r="O824" i="9"/>
  <c r="O20" i="9"/>
  <c r="O48" i="9"/>
  <c r="O77" i="9"/>
  <c r="O105" i="9"/>
  <c r="O133" i="9"/>
  <c r="O163" i="9"/>
  <c r="O191" i="9"/>
  <c r="O219" i="9"/>
  <c r="O248" i="9"/>
  <c r="O276" i="9"/>
  <c r="O304" i="9"/>
  <c r="O333" i="9"/>
  <c r="O358" i="9"/>
  <c r="O379" i="9"/>
  <c r="O401" i="9"/>
  <c r="O422" i="9"/>
  <c r="O441" i="9"/>
  <c r="O457" i="9"/>
  <c r="O473" i="9"/>
  <c r="O489" i="9"/>
  <c r="O505" i="9"/>
  <c r="O521" i="9"/>
  <c r="O537" i="9"/>
  <c r="O553" i="9"/>
  <c r="O569" i="9"/>
  <c r="O585" i="9"/>
  <c r="O601" i="9"/>
  <c r="O617" i="9"/>
  <c r="O633" i="9"/>
  <c r="O649" i="9"/>
  <c r="O665" i="9"/>
  <c r="O681" i="9"/>
  <c r="O697" i="9"/>
  <c r="O713" i="9"/>
  <c r="O729" i="9"/>
  <c r="O745" i="9"/>
  <c r="O761" i="9"/>
  <c r="O777" i="9"/>
  <c r="O793" i="9"/>
  <c r="O809" i="9"/>
  <c r="O825" i="9"/>
  <c r="O841" i="9"/>
  <c r="O857" i="9"/>
  <c r="O57" i="9"/>
  <c r="O115" i="9"/>
  <c r="O171" i="9"/>
  <c r="O228" i="9"/>
  <c r="O285" i="9"/>
  <c r="O341" i="9"/>
  <c r="O386" i="9"/>
  <c r="O429" i="9"/>
  <c r="O462" i="9"/>
  <c r="O494" i="9"/>
  <c r="O526" i="9"/>
  <c r="O558" i="9"/>
  <c r="O590" i="9"/>
  <c r="O622" i="9"/>
  <c r="O654" i="9"/>
  <c r="O686" i="9"/>
  <c r="O718" i="9"/>
  <c r="O750" i="9"/>
  <c r="O782" i="9"/>
  <c r="O814" i="9"/>
  <c r="O842" i="9"/>
  <c r="O862" i="9"/>
  <c r="O878" i="9"/>
  <c r="O894" i="9"/>
  <c r="O910" i="9"/>
  <c r="O926" i="9"/>
  <c r="O942" i="9"/>
  <c r="O958" i="9"/>
  <c r="O974" i="9"/>
  <c r="O990" i="9"/>
  <c r="O1006" i="9"/>
  <c r="O93" i="9"/>
  <c r="O207" i="9"/>
  <c r="O320" i="9"/>
  <c r="O423" i="9"/>
  <c r="O490" i="9"/>
  <c r="O554" i="9"/>
  <c r="O618" i="9"/>
  <c r="O682" i="9"/>
  <c r="O746" i="9"/>
  <c r="O810" i="9"/>
  <c r="O860" i="9"/>
  <c r="O31" i="9"/>
  <c r="O88" i="9"/>
  <c r="O144" i="9"/>
  <c r="O201" i="9"/>
  <c r="O259" i="9"/>
  <c r="O315" i="9"/>
  <c r="O366" i="9"/>
  <c r="O409" i="9"/>
  <c r="O447" i="9"/>
  <c r="O479" i="9"/>
  <c r="O511" i="9"/>
  <c r="O543" i="9"/>
  <c r="O575" i="9"/>
  <c r="O607" i="9"/>
  <c r="O639" i="9"/>
  <c r="O671" i="9"/>
  <c r="O703" i="9"/>
  <c r="O735" i="9"/>
  <c r="O767" i="9"/>
  <c r="O799" i="9"/>
  <c r="O831" i="9"/>
  <c r="O854" i="9"/>
  <c r="O871" i="9"/>
  <c r="O887" i="9"/>
  <c r="O903" i="9"/>
  <c r="O919" i="9"/>
  <c r="O935" i="9"/>
  <c r="O951" i="9"/>
  <c r="O967" i="9"/>
  <c r="O983" i="9"/>
  <c r="O999" i="9"/>
  <c r="O36" i="9"/>
  <c r="O136" i="9"/>
  <c r="O249" i="9"/>
  <c r="O359" i="9"/>
  <c r="O434" i="9"/>
  <c r="O498" i="9"/>
  <c r="O570" i="9"/>
  <c r="O626" i="9"/>
  <c r="O698" i="9"/>
  <c r="O754" i="9"/>
  <c r="O818" i="9"/>
  <c r="O864" i="9"/>
  <c r="O993" i="9"/>
  <c r="O929" i="9"/>
  <c r="O846" i="9"/>
  <c r="O595" i="9"/>
  <c r="O293" i="9"/>
  <c r="O1000" i="9"/>
  <c r="O968" i="9"/>
  <c r="O936" i="9"/>
  <c r="O904" i="9"/>
  <c r="O861" i="9"/>
  <c r="O747" i="9"/>
  <c r="O619" i="9"/>
  <c r="O491" i="9"/>
  <c r="O336" i="9"/>
  <c r="O52" i="9"/>
  <c r="O981" i="9"/>
  <c r="O949" i="9"/>
  <c r="O917" i="9"/>
  <c r="O885" i="9"/>
  <c r="O803" i="9"/>
  <c r="O675" i="9"/>
  <c r="O547" i="9"/>
  <c r="O414" i="9"/>
  <c r="O208" i="9"/>
  <c r="O1001" i="9"/>
  <c r="O937" i="9"/>
  <c r="O865" i="9"/>
  <c r="O627" i="9"/>
  <c r="O350" i="9"/>
  <c r="O1004" i="9"/>
  <c r="O972" i="9"/>
  <c r="O940" i="9"/>
  <c r="O908" i="9"/>
  <c r="O869" i="9"/>
  <c r="O763" i="9"/>
  <c r="O635" i="9"/>
  <c r="O507" i="9"/>
  <c r="O361" i="9"/>
  <c r="O137" i="9"/>
  <c r="O18" i="9"/>
  <c r="O82" i="9"/>
  <c r="O146" i="9"/>
  <c r="O210" i="9"/>
  <c r="O274" i="9"/>
  <c r="O338" i="9"/>
  <c r="O81" i="9"/>
  <c r="O167" i="9"/>
  <c r="O252" i="9"/>
  <c r="O337" i="9"/>
  <c r="O404" i="9"/>
  <c r="O68" i="9"/>
  <c r="O181" i="9"/>
  <c r="O296" i="9"/>
  <c r="O394" i="9"/>
  <c r="O468" i="9"/>
  <c r="O532" i="9"/>
  <c r="O596" i="9"/>
  <c r="O660" i="9"/>
  <c r="O724" i="9"/>
  <c r="O788" i="9"/>
  <c r="O41" i="9"/>
  <c r="O155" i="9"/>
  <c r="O269" i="9"/>
  <c r="O374" i="9"/>
  <c r="O453" i="9"/>
  <c r="O517" i="9"/>
  <c r="O581" i="9"/>
  <c r="O645" i="9"/>
  <c r="O709" i="9"/>
  <c r="O773" i="9"/>
  <c r="O837" i="9"/>
  <c r="O157" i="9"/>
  <c r="O375" i="9"/>
  <c r="O518" i="9"/>
  <c r="O646" i="9"/>
  <c r="O774" i="9"/>
  <c r="O874" i="9"/>
  <c r="O938" i="9"/>
  <c r="O1002" i="9"/>
  <c r="O391" i="9"/>
  <c r="O666" i="9"/>
  <c r="O16" i="9"/>
  <c r="O244" i="9"/>
  <c r="O439" i="9"/>
  <c r="O567" i="9"/>
  <c r="O695" i="9"/>
  <c r="O823" i="9"/>
  <c r="O899" i="9"/>
  <c r="O963" i="9"/>
  <c r="O107" i="9"/>
  <c r="O482" i="9"/>
  <c r="O738" i="9"/>
  <c r="O945" i="9"/>
  <c r="O1008" i="9"/>
  <c r="O877" i="9"/>
  <c r="O382" i="9"/>
  <c r="O925" i="9"/>
  <c r="O579" i="9"/>
  <c r="O953" i="9"/>
  <c r="O109" i="9"/>
  <c r="O884" i="9"/>
  <c r="O403" i="9"/>
  <c r="O34" i="9"/>
  <c r="O98" i="9"/>
  <c r="O162" i="9"/>
  <c r="O226" i="9"/>
  <c r="O290" i="9"/>
  <c r="O17" i="9"/>
  <c r="O103" i="9"/>
  <c r="O188" i="9"/>
  <c r="O273" i="9"/>
  <c r="O356" i="9"/>
  <c r="O420" i="9"/>
  <c r="O96" i="9"/>
  <c r="O211" i="9"/>
  <c r="O324" i="9"/>
  <c r="O415" i="9"/>
  <c r="O484" i="9"/>
  <c r="O548" i="9"/>
  <c r="O612" i="9"/>
  <c r="O676" i="9"/>
  <c r="O740" i="9"/>
  <c r="O804" i="9"/>
  <c r="O69" i="9"/>
  <c r="O184" i="9"/>
  <c r="O297" i="9"/>
  <c r="O395" i="9"/>
  <c r="O469" i="9"/>
  <c r="O533" i="9"/>
  <c r="O597" i="9"/>
  <c r="O661" i="9"/>
  <c r="O725" i="9"/>
  <c r="O789" i="9"/>
  <c r="O853" i="9"/>
  <c r="O213" i="9"/>
  <c r="O418" i="9"/>
  <c r="O550" i="9"/>
  <c r="O678" i="9"/>
  <c r="O806" i="9"/>
  <c r="O890" i="9"/>
  <c r="O954" i="9"/>
  <c r="O64" i="9"/>
  <c r="O474" i="9"/>
  <c r="O730" i="9"/>
  <c r="O73" i="9"/>
  <c r="O301" i="9"/>
  <c r="O471" i="9"/>
  <c r="O599" i="9"/>
  <c r="O727" i="9"/>
  <c r="O848" i="9"/>
  <c r="O915" i="9"/>
  <c r="O979" i="9"/>
  <c r="O221" i="9"/>
  <c r="O546" i="9"/>
  <c r="O802" i="9"/>
  <c r="O881" i="9"/>
  <c r="O976" i="9"/>
  <c r="O779" i="9"/>
  <c r="O165" i="9"/>
  <c r="O893" i="9"/>
  <c r="O451" i="9"/>
  <c r="O889" i="9"/>
  <c r="O980" i="9"/>
  <c r="O795" i="9"/>
  <c r="O195" i="9"/>
  <c r="O50" i="9"/>
  <c r="O114" i="9"/>
  <c r="O178" i="9"/>
  <c r="O242" i="9"/>
  <c r="O306" i="9"/>
  <c r="O39" i="9"/>
  <c r="O124" i="9"/>
  <c r="O209" i="9"/>
  <c r="O295" i="9"/>
  <c r="O372" i="9"/>
  <c r="O11" i="9"/>
  <c r="O125" i="9"/>
  <c r="O239" i="9"/>
  <c r="O351" i="9"/>
  <c r="O436" i="9"/>
  <c r="O500" i="9"/>
  <c r="O564" i="9"/>
  <c r="O628" i="9"/>
  <c r="O692" i="9"/>
  <c r="O756" i="9"/>
  <c r="O820" i="9"/>
  <c r="O99" i="9"/>
  <c r="O212" i="9"/>
  <c r="O325" i="9"/>
  <c r="O417" i="9"/>
  <c r="O485" i="9"/>
  <c r="O549" i="9"/>
  <c r="O613" i="9"/>
  <c r="O677" i="9"/>
  <c r="O741" i="9"/>
  <c r="O805" i="9"/>
  <c r="O43" i="9"/>
  <c r="O271" i="9"/>
  <c r="O454" i="9"/>
  <c r="O582" i="9"/>
  <c r="O710" i="9"/>
  <c r="O836" i="9"/>
  <c r="O906" i="9"/>
  <c r="O970" i="9"/>
  <c r="O179" i="9"/>
  <c r="O538" i="9"/>
  <c r="O794" i="9"/>
  <c r="O131" i="9"/>
  <c r="O355" i="9"/>
  <c r="O503" i="9"/>
  <c r="O631" i="9"/>
  <c r="O759" i="9"/>
  <c r="O867" i="9"/>
  <c r="O931" i="9"/>
  <c r="O995" i="9"/>
  <c r="O335" i="9"/>
  <c r="O610" i="9"/>
  <c r="O855" i="9"/>
  <c r="O659" i="9"/>
  <c r="O944" i="9"/>
  <c r="O651" i="9"/>
  <c r="O989" i="9"/>
  <c r="O835" i="9"/>
  <c r="O265" i="9"/>
  <c r="O691" i="9"/>
  <c r="O948" i="9"/>
  <c r="O667" i="9"/>
  <c r="O66" i="9"/>
  <c r="O130" i="9"/>
  <c r="O194" i="9"/>
  <c r="O258" i="9"/>
  <c r="O322" i="9"/>
  <c r="O60" i="9"/>
  <c r="O145" i="9"/>
  <c r="O231" i="9"/>
  <c r="O316" i="9"/>
  <c r="O388" i="9"/>
  <c r="O40" i="9"/>
  <c r="O153" i="9"/>
  <c r="O267" i="9"/>
  <c r="O373" i="9"/>
  <c r="O452" i="9"/>
  <c r="O516" i="9"/>
  <c r="O580" i="9"/>
  <c r="O644" i="9"/>
  <c r="O708" i="9"/>
  <c r="O772" i="9"/>
  <c r="O13" i="9"/>
  <c r="O127" i="9"/>
  <c r="O240" i="9"/>
  <c r="O353" i="9"/>
  <c r="O437" i="9"/>
  <c r="O501" i="9"/>
  <c r="O565" i="9"/>
  <c r="O629" i="9"/>
  <c r="O693" i="9"/>
  <c r="O757" i="9"/>
  <c r="O821" i="9"/>
  <c r="O100" i="9"/>
  <c r="O328" i="9"/>
  <c r="O486" i="9"/>
  <c r="O614" i="9"/>
  <c r="O742" i="9"/>
  <c r="O858" i="9"/>
  <c r="O922" i="9"/>
  <c r="O986" i="9"/>
  <c r="O292" i="9"/>
  <c r="O602" i="9"/>
  <c r="O850" i="9"/>
  <c r="O187" i="9"/>
  <c r="O398" i="9"/>
  <c r="O535" i="9"/>
  <c r="O663" i="9"/>
  <c r="O791" i="9"/>
  <c r="O883" i="9"/>
  <c r="O947" i="9"/>
  <c r="O9" i="9"/>
  <c r="O413" i="9"/>
  <c r="O674" i="9"/>
  <c r="O1009" i="9"/>
  <c r="O393" i="9"/>
  <c r="O912" i="9"/>
  <c r="O523" i="9"/>
  <c r="O957" i="9"/>
  <c r="O707" i="9"/>
  <c r="O37" i="9"/>
  <c r="O435" i="9"/>
  <c r="O916" i="9"/>
  <c r="O539" i="9"/>
  <c r="P5" i="5"/>
  <c r="P9" i="5"/>
  <c r="P6" i="5"/>
  <c r="P10" i="5"/>
  <c r="P7" i="5"/>
  <c r="P8" i="5"/>
  <c r="AB4" i="5" s="1"/>
  <c r="P11" i="5"/>
  <c r="P4" i="5"/>
  <c r="M772" i="5"/>
  <c r="M127" i="5"/>
  <c r="M138" i="5"/>
  <c r="M290" i="5"/>
  <c r="M162" i="5"/>
  <c r="M34" i="5"/>
  <c r="M910" i="5"/>
  <c r="M441" i="5"/>
  <c r="M130" i="5"/>
  <c r="M348" i="5"/>
  <c r="M258" i="5"/>
  <c r="M906" i="5"/>
  <c r="M824" i="5"/>
  <c r="M792" i="5"/>
  <c r="M548" i="5"/>
  <c r="M484" i="5"/>
  <c r="M452" i="5"/>
  <c r="M375" i="5"/>
  <c r="M272" i="5"/>
  <c r="M191" i="5"/>
  <c r="M807" i="5"/>
  <c r="M615" i="5"/>
  <c r="M524" i="5"/>
  <c r="M440" i="5"/>
  <c r="M396" i="5"/>
  <c r="M300" i="5"/>
  <c r="M204" i="5"/>
  <c r="M95" i="5"/>
  <c r="M56" i="5"/>
  <c r="M132" i="5"/>
  <c r="M855" i="5"/>
  <c r="M519" i="5"/>
  <c r="M335" i="5"/>
  <c r="M167" i="5"/>
  <c r="M431" i="5"/>
  <c r="M239" i="5"/>
  <c r="M324" i="5"/>
  <c r="M260" i="5"/>
  <c r="M839" i="5"/>
  <c r="M511" i="5"/>
  <c r="M383" i="5"/>
  <c r="M280" i="5"/>
  <c r="M184" i="5"/>
  <c r="M904" i="5"/>
  <c r="M831" i="5"/>
  <c r="M76" i="5"/>
  <c r="M616" i="5"/>
  <c r="M207" i="5"/>
  <c r="M399" i="5"/>
  <c r="M920" i="5"/>
  <c r="M728" i="5"/>
  <c r="M696" i="5"/>
  <c r="M664" i="5"/>
  <c r="M632" i="5"/>
  <c r="M600" i="5"/>
  <c r="M568" i="5"/>
  <c r="M535" i="5"/>
  <c r="M400" i="5"/>
  <c r="M356" i="5"/>
  <c r="M319" i="5"/>
  <c r="M287" i="5"/>
  <c r="M255" i="5"/>
  <c r="M208" i="5"/>
  <c r="M176" i="5"/>
  <c r="M872" i="5"/>
  <c r="M743" i="5"/>
  <c r="M551" i="5"/>
  <c r="M504" i="5"/>
  <c r="M460" i="5"/>
  <c r="M415" i="5"/>
  <c r="M376" i="5"/>
  <c r="M332" i="5"/>
  <c r="M268" i="5"/>
  <c r="M223" i="5"/>
  <c r="M172" i="5"/>
  <c r="M108" i="5"/>
  <c r="M759" i="5"/>
  <c r="M584" i="5"/>
  <c r="M24" i="5"/>
  <c r="M919" i="5"/>
  <c r="M663" i="5"/>
  <c r="M607" i="5"/>
  <c r="M151" i="5"/>
  <c r="M100" i="5"/>
  <c r="M48" i="5"/>
  <c r="M799" i="5"/>
  <c r="M599" i="5"/>
  <c r="M391" i="5"/>
  <c r="M303" i="5"/>
  <c r="M199" i="5"/>
  <c r="M135" i="5"/>
  <c r="M567" i="5"/>
  <c r="M367" i="5"/>
  <c r="M856" i="5"/>
  <c r="M516" i="5"/>
  <c r="M420" i="5"/>
  <c r="M336" i="5"/>
  <c r="M304" i="5"/>
  <c r="M240" i="5"/>
  <c r="M479" i="5"/>
  <c r="M351" i="5"/>
  <c r="M236" i="5"/>
  <c r="M140" i="5"/>
  <c r="M840" i="5"/>
  <c r="M703" i="5"/>
  <c r="M88" i="5"/>
  <c r="M791" i="5"/>
  <c r="M680" i="5"/>
  <c r="M263" i="5"/>
  <c r="M847" i="5"/>
  <c r="M815" i="5"/>
  <c r="M760" i="5"/>
  <c r="M543" i="5"/>
  <c r="M407" i="5"/>
  <c r="M368" i="5"/>
  <c r="M292" i="5"/>
  <c r="M228" i="5"/>
  <c r="M183" i="5"/>
  <c r="M887" i="5"/>
  <c r="M647" i="5"/>
  <c r="M472" i="5"/>
  <c r="M428" i="5"/>
  <c r="M344" i="5"/>
  <c r="M231" i="5"/>
  <c r="M120" i="5"/>
  <c r="M631" i="5"/>
  <c r="M44" i="5"/>
  <c r="M68" i="5"/>
  <c r="M808" i="5"/>
  <c r="M671" i="5"/>
  <c r="M423" i="5"/>
  <c r="M327" i="5"/>
  <c r="M143" i="5"/>
  <c r="M871" i="5"/>
  <c r="M719" i="5"/>
  <c r="M687" i="5"/>
  <c r="M655" i="5"/>
  <c r="M623" i="5"/>
  <c r="M591" i="5"/>
  <c r="M559" i="5"/>
  <c r="M528" i="5"/>
  <c r="M496" i="5"/>
  <c r="M464" i="5"/>
  <c r="M432" i="5"/>
  <c r="M388" i="5"/>
  <c r="M343" i="5"/>
  <c r="M311" i="5"/>
  <c r="M279" i="5"/>
  <c r="M247" i="5"/>
  <c r="M196" i="5"/>
  <c r="M775" i="5"/>
  <c r="M583" i="5"/>
  <c r="M536" i="5"/>
  <c r="M492" i="5"/>
  <c r="M447" i="5"/>
  <c r="M408" i="5"/>
  <c r="M364" i="5"/>
  <c r="M312" i="5"/>
  <c r="M248" i="5"/>
  <c r="M216" i="5"/>
  <c r="M152" i="5"/>
  <c r="M103" i="5"/>
  <c r="M712" i="5"/>
  <c r="M575" i="5"/>
  <c r="M12" i="5"/>
  <c r="M903" i="5"/>
  <c r="M744" i="5"/>
  <c r="M164" i="5"/>
  <c r="M144" i="5"/>
  <c r="M119" i="5"/>
  <c r="M36" i="5"/>
  <c r="M727" i="5"/>
  <c r="M552" i="5"/>
  <c r="M359" i="5"/>
  <c r="M295" i="5"/>
  <c r="M175" i="5"/>
  <c r="M96" i="5"/>
  <c r="M463" i="5"/>
  <c r="M271" i="5"/>
  <c r="M111" i="5"/>
  <c r="P21" i="5" l="1"/>
  <c r="P18" i="5"/>
  <c r="P34" i="5"/>
  <c r="P50" i="5"/>
  <c r="P66" i="5"/>
  <c r="AB16" i="5" s="1"/>
  <c r="P82" i="5"/>
  <c r="P98" i="5"/>
  <c r="P114" i="5"/>
  <c r="AB34" i="5" s="1"/>
  <c r="P130" i="5"/>
  <c r="P146" i="5"/>
  <c r="P162" i="5"/>
  <c r="P178" i="5"/>
  <c r="P194" i="5"/>
  <c r="P210" i="5"/>
  <c r="P226" i="5"/>
  <c r="P242" i="5"/>
  <c r="P258" i="5"/>
  <c r="P274" i="5"/>
  <c r="P290" i="5"/>
  <c r="P306" i="5"/>
  <c r="P322" i="5"/>
  <c r="P338" i="5"/>
  <c r="P23" i="5"/>
  <c r="P44" i="5"/>
  <c r="P65" i="5"/>
  <c r="P87" i="5"/>
  <c r="P108" i="5"/>
  <c r="AB32" i="5" s="1"/>
  <c r="P129" i="5"/>
  <c r="P151" i="5"/>
  <c r="AB55" i="5" s="1"/>
  <c r="P172" i="5"/>
  <c r="P193" i="5"/>
  <c r="P215" i="5"/>
  <c r="P236" i="5"/>
  <c r="P257" i="5"/>
  <c r="P279" i="5"/>
  <c r="P300" i="5"/>
  <c r="P321" i="5"/>
  <c r="P343" i="5"/>
  <c r="P359" i="5"/>
  <c r="P375" i="5"/>
  <c r="P391" i="5"/>
  <c r="P407" i="5"/>
  <c r="P423" i="5"/>
  <c r="P16" i="5"/>
  <c r="P40" i="5"/>
  <c r="P61" i="5"/>
  <c r="P83" i="5"/>
  <c r="AB21" i="5" s="1"/>
  <c r="P104" i="5"/>
  <c r="P125" i="5"/>
  <c r="P147" i="5"/>
  <c r="AB53" i="5" s="1"/>
  <c r="P168" i="5"/>
  <c r="AB66" i="5" s="1"/>
  <c r="P189" i="5"/>
  <c r="P211" i="5"/>
  <c r="P232" i="5"/>
  <c r="P253" i="5"/>
  <c r="P275" i="5"/>
  <c r="P296" i="5"/>
  <c r="P317" i="5"/>
  <c r="P339" i="5"/>
  <c r="P356" i="5"/>
  <c r="P372" i="5"/>
  <c r="P388" i="5"/>
  <c r="P404" i="5"/>
  <c r="P420" i="5"/>
  <c r="P57" i="5"/>
  <c r="P100" i="5"/>
  <c r="P143" i="5"/>
  <c r="P185" i="5"/>
  <c r="P228" i="5"/>
  <c r="P271" i="5"/>
  <c r="P313" i="5"/>
  <c r="P353" i="5"/>
  <c r="P385" i="5"/>
  <c r="P417" i="5"/>
  <c r="P441" i="5"/>
  <c r="P457" i="5"/>
  <c r="P473" i="5"/>
  <c r="P489" i="5"/>
  <c r="P505" i="5"/>
  <c r="P521" i="5"/>
  <c r="P537" i="5"/>
  <c r="P553" i="5"/>
  <c r="P569" i="5"/>
  <c r="P585" i="5"/>
  <c r="P601" i="5"/>
  <c r="P617" i="5"/>
  <c r="P633" i="5"/>
  <c r="P649" i="5"/>
  <c r="P665" i="5"/>
  <c r="P681" i="5"/>
  <c r="P697" i="5"/>
  <c r="P713" i="5"/>
  <c r="P729" i="5"/>
  <c r="P745" i="5"/>
  <c r="P761" i="5"/>
  <c r="P777" i="5"/>
  <c r="P793" i="5"/>
  <c r="P809" i="5"/>
  <c r="P825" i="5"/>
  <c r="P841" i="5"/>
  <c r="P857" i="5"/>
  <c r="P873" i="5"/>
  <c r="P889" i="5"/>
  <c r="P905" i="5"/>
  <c r="P921" i="5"/>
  <c r="P937" i="5"/>
  <c r="P37" i="5"/>
  <c r="P80" i="5"/>
  <c r="P123" i="5"/>
  <c r="AB38" i="5" s="1"/>
  <c r="P165" i="5"/>
  <c r="P208" i="5"/>
  <c r="P251" i="5"/>
  <c r="P293" i="5"/>
  <c r="P336" i="5"/>
  <c r="P370" i="5"/>
  <c r="P402" i="5"/>
  <c r="P434" i="5"/>
  <c r="P450" i="5"/>
  <c r="P466" i="5"/>
  <c r="P482" i="5"/>
  <c r="P498" i="5"/>
  <c r="P514" i="5"/>
  <c r="P530" i="5"/>
  <c r="P546" i="5"/>
  <c r="P562" i="5"/>
  <c r="P578" i="5"/>
  <c r="P594" i="5"/>
  <c r="P610" i="5"/>
  <c r="P626" i="5"/>
  <c r="P642" i="5"/>
  <c r="P658" i="5"/>
  <c r="P674" i="5"/>
  <c r="P690" i="5"/>
  <c r="P706" i="5"/>
  <c r="P722" i="5"/>
  <c r="P738" i="5"/>
  <c r="P754" i="5"/>
  <c r="P770" i="5"/>
  <c r="P786" i="5"/>
  <c r="P802" i="5"/>
  <c r="P818" i="5"/>
  <c r="P834" i="5"/>
  <c r="P850" i="5"/>
  <c r="P866" i="5"/>
  <c r="P882" i="5"/>
  <c r="P898" i="5"/>
  <c r="P914" i="5"/>
  <c r="P930" i="5"/>
  <c r="P19" i="5"/>
  <c r="P105" i="5"/>
  <c r="AB31" i="5" s="1"/>
  <c r="P191" i="5"/>
  <c r="P276" i="5"/>
  <c r="P357" i="5"/>
  <c r="P421" i="5"/>
  <c r="P459" i="5"/>
  <c r="P491" i="5"/>
  <c r="P523" i="5"/>
  <c r="P555" i="5"/>
  <c r="P587" i="5"/>
  <c r="P619" i="5"/>
  <c r="P651" i="5"/>
  <c r="P683" i="5"/>
  <c r="P715" i="5"/>
  <c r="P747" i="5"/>
  <c r="P779" i="5"/>
  <c r="P811" i="5"/>
  <c r="P843" i="5"/>
  <c r="P875" i="5"/>
  <c r="P907" i="5"/>
  <c r="P939" i="5"/>
  <c r="P957" i="5"/>
  <c r="P973" i="5"/>
  <c r="P989" i="5"/>
  <c r="P85" i="5"/>
  <c r="AB22" i="5" s="1"/>
  <c r="P171" i="5"/>
  <c r="AB67" i="5" s="1"/>
  <c r="P256" i="5"/>
  <c r="P341" i="5"/>
  <c r="P406" i="5"/>
  <c r="P452" i="5"/>
  <c r="P484" i="5"/>
  <c r="P516" i="5"/>
  <c r="P548" i="5"/>
  <c r="P580" i="5"/>
  <c r="P612" i="5"/>
  <c r="P644" i="5"/>
  <c r="P676" i="5"/>
  <c r="P708" i="5"/>
  <c r="P740" i="5"/>
  <c r="P772" i="5"/>
  <c r="P804" i="5"/>
  <c r="P836" i="5"/>
  <c r="P868" i="5"/>
  <c r="P900" i="5"/>
  <c r="P932" i="5"/>
  <c r="P954" i="5"/>
  <c r="P970" i="5"/>
  <c r="P986" i="5"/>
  <c r="P1002" i="5"/>
  <c r="P159" i="5"/>
  <c r="P329" i="5"/>
  <c r="P447" i="5"/>
  <c r="P511" i="5"/>
  <c r="P575" i="5"/>
  <c r="P639" i="5"/>
  <c r="P703" i="5"/>
  <c r="P767" i="5"/>
  <c r="P831" i="5"/>
  <c r="P895" i="5"/>
  <c r="P951" i="5"/>
  <c r="P983" i="5"/>
  <c r="P888" i="5"/>
  <c r="P32" i="5"/>
  <c r="AB8" i="5" s="1"/>
  <c r="P203" i="5"/>
  <c r="P366" i="5"/>
  <c r="P464" i="5"/>
  <c r="P528" i="5"/>
  <c r="P592" i="5"/>
  <c r="P656" i="5"/>
  <c r="P720" i="5"/>
  <c r="P784" i="5"/>
  <c r="P848" i="5"/>
  <c r="P912" i="5"/>
  <c r="P960" i="5"/>
  <c r="P992" i="5"/>
  <c r="P137" i="5"/>
  <c r="P308" i="5"/>
  <c r="P439" i="5"/>
  <c r="P503" i="5"/>
  <c r="P567" i="5"/>
  <c r="P631" i="5"/>
  <c r="P695" i="5"/>
  <c r="P759" i="5"/>
  <c r="P823" i="5"/>
  <c r="P887" i="5"/>
  <c r="P947" i="5"/>
  <c r="P979" i="5"/>
  <c r="P53" i="5"/>
  <c r="AB13" i="5" s="1"/>
  <c r="P267" i="5"/>
  <c r="P414" i="5"/>
  <c r="P488" i="5"/>
  <c r="P552" i="5"/>
  <c r="P616" i="5"/>
  <c r="P680" i="5"/>
  <c r="P744" i="5"/>
  <c r="P808" i="5"/>
  <c r="P872" i="5"/>
  <c r="P948" i="5"/>
  <c r="P1004" i="5"/>
  <c r="P202" i="5"/>
  <c r="P380" i="5"/>
  <c r="P36" i="5"/>
  <c r="AB9" i="5" s="1"/>
  <c r="P164" i="5"/>
  <c r="AB64" i="5" s="1"/>
  <c r="P249" i="5"/>
  <c r="P335" i="5"/>
  <c r="P401" i="5"/>
  <c r="P449" i="5"/>
  <c r="P481" i="5"/>
  <c r="P513" i="5"/>
  <c r="P545" i="5"/>
  <c r="P577" i="5"/>
  <c r="P609" i="5"/>
  <c r="P641" i="5"/>
  <c r="P673" i="5"/>
  <c r="P705" i="5"/>
  <c r="P737" i="5"/>
  <c r="P769" i="5"/>
  <c r="P801" i="5"/>
  <c r="P833" i="5"/>
  <c r="P865" i="5"/>
  <c r="P897" i="5"/>
  <c r="P929" i="5"/>
  <c r="P59" i="5"/>
  <c r="P144" i="5"/>
  <c r="P187" i="5"/>
  <c r="P272" i="5"/>
  <c r="P354" i="5"/>
  <c r="P418" i="5"/>
  <c r="P458" i="5"/>
  <c r="P490" i="5"/>
  <c r="P522" i="5"/>
  <c r="P554" i="5"/>
  <c r="P586" i="5"/>
  <c r="P618" i="5"/>
  <c r="P650" i="5"/>
  <c r="P682" i="5"/>
  <c r="P714" i="5"/>
  <c r="P746" i="5"/>
  <c r="P778" i="5"/>
  <c r="P810" i="5"/>
  <c r="P842" i="5"/>
  <c r="P874" i="5"/>
  <c r="P906" i="5"/>
  <c r="P938" i="5"/>
  <c r="P148" i="5"/>
  <c r="P319" i="5"/>
  <c r="P443" i="5"/>
  <c r="P507" i="5"/>
  <c r="P571" i="5"/>
  <c r="P667" i="5"/>
  <c r="P731" i="5"/>
  <c r="P795" i="5"/>
  <c r="P859" i="5"/>
  <c r="P923" i="5"/>
  <c r="P965" i="5"/>
  <c r="P997" i="5"/>
  <c r="P128" i="5"/>
  <c r="AB41" i="5" s="1"/>
  <c r="P299" i="5"/>
  <c r="P436" i="5"/>
  <c r="P500" i="5"/>
  <c r="P564" i="5"/>
  <c r="P628" i="5"/>
  <c r="P692" i="5"/>
  <c r="P756" i="5"/>
  <c r="P820" i="5"/>
  <c r="P884" i="5"/>
  <c r="P946" i="5"/>
  <c r="P978" i="5"/>
  <c r="P73" i="5"/>
  <c r="AB18" i="5" s="1"/>
  <c r="P397" i="5"/>
  <c r="P543" i="5"/>
  <c r="P671" i="5"/>
  <c r="P799" i="5"/>
  <c r="P927" i="5"/>
  <c r="P999" i="5"/>
  <c r="P117" i="5"/>
  <c r="P430" i="5"/>
  <c r="P560" i="5"/>
  <c r="P752" i="5"/>
  <c r="P880" i="5"/>
  <c r="P976" i="5"/>
  <c r="P223" i="5"/>
  <c r="P471" i="5"/>
  <c r="P599" i="5"/>
  <c r="P727" i="5"/>
  <c r="P855" i="5"/>
  <c r="P963" i="5"/>
  <c r="P181" i="5"/>
  <c r="P456" i="5"/>
  <c r="P584" i="5"/>
  <c r="P712" i="5"/>
  <c r="P840" i="5"/>
  <c r="P22" i="5"/>
  <c r="AB6" i="5" s="1"/>
  <c r="P38" i="5"/>
  <c r="P54" i="5"/>
  <c r="P70" i="5"/>
  <c r="AB17" i="5" s="1"/>
  <c r="P86" i="5"/>
  <c r="P102" i="5"/>
  <c r="P118" i="5"/>
  <c r="P134" i="5"/>
  <c r="AB45" i="5" s="1"/>
  <c r="P150" i="5"/>
  <c r="P166" i="5"/>
  <c r="AB65" i="5" s="1"/>
  <c r="P182" i="5"/>
  <c r="P198" i="5"/>
  <c r="P214" i="5"/>
  <c r="P230" i="5"/>
  <c r="P246" i="5"/>
  <c r="P262" i="5"/>
  <c r="P278" i="5"/>
  <c r="P294" i="5"/>
  <c r="P310" i="5"/>
  <c r="P326" i="5"/>
  <c r="P342" i="5"/>
  <c r="P28" i="5"/>
  <c r="P49" i="5"/>
  <c r="P71" i="5"/>
  <c r="P92" i="5"/>
  <c r="P113" i="5"/>
  <c r="P135" i="5"/>
  <c r="P156" i="5"/>
  <c r="AB60" i="5" s="1"/>
  <c r="P177" i="5"/>
  <c r="P199" i="5"/>
  <c r="P220" i="5"/>
  <c r="P241" i="5"/>
  <c r="P263" i="5"/>
  <c r="P284" i="5"/>
  <c r="P305" i="5"/>
  <c r="P327" i="5"/>
  <c r="P347" i="5"/>
  <c r="P363" i="5"/>
  <c r="P379" i="5"/>
  <c r="P395" i="5"/>
  <c r="P411" i="5"/>
  <c r="P427" i="5"/>
  <c r="P24" i="5"/>
  <c r="P45" i="5"/>
  <c r="AB11" i="5" s="1"/>
  <c r="P67" i="5"/>
  <c r="P88" i="5"/>
  <c r="P109" i="5"/>
  <c r="P131" i="5"/>
  <c r="AB42" i="5" s="1"/>
  <c r="P152" i="5"/>
  <c r="P173" i="5"/>
  <c r="P195" i="5"/>
  <c r="P216" i="5"/>
  <c r="P237" i="5"/>
  <c r="P259" i="5"/>
  <c r="P280" i="5"/>
  <c r="P301" i="5"/>
  <c r="P323" i="5"/>
  <c r="P344" i="5"/>
  <c r="P360" i="5"/>
  <c r="P376" i="5"/>
  <c r="P392" i="5"/>
  <c r="P408" i="5"/>
  <c r="P424" i="5"/>
  <c r="P25" i="5"/>
  <c r="P68" i="5"/>
  <c r="P111" i="5"/>
  <c r="AB33" i="5" s="1"/>
  <c r="P153" i="5"/>
  <c r="P196" i="5"/>
  <c r="P239" i="5"/>
  <c r="P281" i="5"/>
  <c r="P324" i="5"/>
  <c r="P361" i="5"/>
  <c r="P393" i="5"/>
  <c r="P425" i="5"/>
  <c r="P445" i="5"/>
  <c r="P461" i="5"/>
  <c r="P477" i="5"/>
  <c r="P493" i="5"/>
  <c r="P509" i="5"/>
  <c r="P525" i="5"/>
  <c r="P541" i="5"/>
  <c r="P557" i="5"/>
  <c r="P573" i="5"/>
  <c r="P589" i="5"/>
  <c r="P605" i="5"/>
  <c r="P621" i="5"/>
  <c r="P637" i="5"/>
  <c r="P653" i="5"/>
  <c r="P669" i="5"/>
  <c r="P685" i="5"/>
  <c r="P701" i="5"/>
  <c r="P717" i="5"/>
  <c r="P733" i="5"/>
  <c r="P749" i="5"/>
  <c r="P765" i="5"/>
  <c r="P781" i="5"/>
  <c r="P797" i="5"/>
  <c r="P813" i="5"/>
  <c r="P829" i="5"/>
  <c r="P845" i="5"/>
  <c r="P861" i="5"/>
  <c r="P877" i="5"/>
  <c r="P893" i="5"/>
  <c r="P909" i="5"/>
  <c r="P925" i="5"/>
  <c r="P941" i="5"/>
  <c r="P48" i="5"/>
  <c r="P91" i="5"/>
  <c r="P133" i="5"/>
  <c r="P176" i="5"/>
  <c r="AB71" i="5" s="1"/>
  <c r="P219" i="5"/>
  <c r="P261" i="5"/>
  <c r="P304" i="5"/>
  <c r="P346" i="5"/>
  <c r="P378" i="5"/>
  <c r="P410" i="5"/>
  <c r="P438" i="5"/>
  <c r="P454" i="5"/>
  <c r="P470" i="5"/>
  <c r="P486" i="5"/>
  <c r="P502" i="5"/>
  <c r="P518" i="5"/>
  <c r="P534" i="5"/>
  <c r="P550" i="5"/>
  <c r="P566" i="5"/>
  <c r="P582" i="5"/>
  <c r="P598" i="5"/>
  <c r="P614" i="5"/>
  <c r="P630" i="5"/>
  <c r="P646" i="5"/>
  <c r="P662" i="5"/>
  <c r="P678" i="5"/>
  <c r="P694" i="5"/>
  <c r="P710" i="5"/>
  <c r="P726" i="5"/>
  <c r="P742" i="5"/>
  <c r="P758" i="5"/>
  <c r="P774" i="5"/>
  <c r="P790" i="5"/>
  <c r="P806" i="5"/>
  <c r="P822" i="5"/>
  <c r="P838" i="5"/>
  <c r="P854" i="5"/>
  <c r="P870" i="5"/>
  <c r="P886" i="5"/>
  <c r="P902" i="5"/>
  <c r="P918" i="5"/>
  <c r="P934" i="5"/>
  <c r="P41" i="5"/>
  <c r="P127" i="5"/>
  <c r="P212" i="5"/>
  <c r="P297" i="5"/>
  <c r="P373" i="5"/>
  <c r="P435" i="5"/>
  <c r="P467" i="5"/>
  <c r="P499" i="5"/>
  <c r="P531" i="5"/>
  <c r="P563" i="5"/>
  <c r="P595" i="5"/>
  <c r="P627" i="5"/>
  <c r="P659" i="5"/>
  <c r="P691" i="5"/>
  <c r="P723" i="5"/>
  <c r="P755" i="5"/>
  <c r="P787" i="5"/>
  <c r="P819" i="5"/>
  <c r="P851" i="5"/>
  <c r="P883" i="5"/>
  <c r="P915" i="5"/>
  <c r="P945" i="5"/>
  <c r="P961" i="5"/>
  <c r="P977" i="5"/>
  <c r="P993" i="5"/>
  <c r="P20" i="5"/>
  <c r="P107" i="5"/>
  <c r="P192" i="5"/>
  <c r="P277" i="5"/>
  <c r="P358" i="5"/>
  <c r="P422" i="5"/>
  <c r="P460" i="5"/>
  <c r="P492" i="5"/>
  <c r="P524" i="5"/>
  <c r="P556" i="5"/>
  <c r="P588" i="5"/>
  <c r="P620" i="5"/>
  <c r="P652" i="5"/>
  <c r="P684" i="5"/>
  <c r="P716" i="5"/>
  <c r="P748" i="5"/>
  <c r="P780" i="5"/>
  <c r="P812" i="5"/>
  <c r="P844" i="5"/>
  <c r="P876" i="5"/>
  <c r="P908" i="5"/>
  <c r="P940" i="5"/>
  <c r="P958" i="5"/>
  <c r="P974" i="5"/>
  <c r="P990" i="5"/>
  <c r="P31" i="5"/>
  <c r="P201" i="5"/>
  <c r="P365" i="5"/>
  <c r="P463" i="5"/>
  <c r="P527" i="5"/>
  <c r="P591" i="5"/>
  <c r="P655" i="5"/>
  <c r="P719" i="5"/>
  <c r="P783" i="5"/>
  <c r="P847" i="5"/>
  <c r="P911" i="5"/>
  <c r="P959" i="5"/>
  <c r="P991" i="5"/>
  <c r="P956" i="5"/>
  <c r="P75" i="5"/>
  <c r="P245" i="5"/>
  <c r="P398" i="5"/>
  <c r="P480" i="5"/>
  <c r="P544" i="5"/>
  <c r="P608" i="5"/>
  <c r="P672" i="5"/>
  <c r="P736" i="5"/>
  <c r="P800" i="5"/>
  <c r="P864" i="5"/>
  <c r="P928" i="5"/>
  <c r="P968" i="5"/>
  <c r="P1000" i="5"/>
  <c r="P180" i="5"/>
  <c r="P349" i="5"/>
  <c r="P455" i="5"/>
  <c r="P519" i="5"/>
  <c r="P583" i="5"/>
  <c r="P647" i="5"/>
  <c r="P711" i="5"/>
  <c r="P775" i="5"/>
  <c r="P839" i="5"/>
  <c r="P903" i="5"/>
  <c r="P955" i="5"/>
  <c r="P987" i="5"/>
  <c r="P139" i="5"/>
  <c r="P309" i="5"/>
  <c r="P440" i="5"/>
  <c r="P504" i="5"/>
  <c r="P568" i="5"/>
  <c r="P632" i="5"/>
  <c r="P696" i="5"/>
  <c r="P760" i="5"/>
  <c r="P824" i="5"/>
  <c r="P904" i="5"/>
  <c r="P964" i="5"/>
  <c r="P13" i="5"/>
  <c r="P26" i="5"/>
  <c r="AB7" i="5" s="1"/>
  <c r="P42" i="5"/>
  <c r="P58" i="5"/>
  <c r="P74" i="5"/>
  <c r="P90" i="5"/>
  <c r="P106" i="5"/>
  <c r="P122" i="5"/>
  <c r="P138" i="5"/>
  <c r="AB47" i="5" s="1"/>
  <c r="P154" i="5"/>
  <c r="AB59" i="5" s="1"/>
  <c r="P170" i="5"/>
  <c r="P186" i="5"/>
  <c r="P218" i="5"/>
  <c r="P234" i="5"/>
  <c r="P250" i="5"/>
  <c r="P266" i="5"/>
  <c r="P282" i="5"/>
  <c r="P298" i="5"/>
  <c r="P314" i="5"/>
  <c r="P330" i="5"/>
  <c r="P33" i="5"/>
  <c r="P55" i="5"/>
  <c r="P76" i="5"/>
  <c r="P97" i="5"/>
  <c r="P119" i="5"/>
  <c r="AB36" i="5" s="1"/>
  <c r="P140" i="5"/>
  <c r="AB48" i="5" s="1"/>
  <c r="P161" i="5"/>
  <c r="AB62" i="5" s="1"/>
  <c r="P183" i="5"/>
  <c r="P204" i="5"/>
  <c r="P225" i="5"/>
  <c r="P247" i="5"/>
  <c r="P268" i="5"/>
  <c r="P289" i="5"/>
  <c r="P311" i="5"/>
  <c r="P332" i="5"/>
  <c r="P351" i="5"/>
  <c r="P367" i="5"/>
  <c r="P383" i="5"/>
  <c r="P399" i="5"/>
  <c r="P415" i="5"/>
  <c r="P431" i="5"/>
  <c r="P29" i="5"/>
  <c r="P51" i="5"/>
  <c r="AB12" i="5" s="1"/>
  <c r="P72" i="5"/>
  <c r="P93" i="5"/>
  <c r="P115" i="5"/>
  <c r="P136" i="5"/>
  <c r="AB46" i="5" s="1"/>
  <c r="P157" i="5"/>
  <c r="P179" i="5"/>
  <c r="P200" i="5"/>
  <c r="P221" i="5"/>
  <c r="P243" i="5"/>
  <c r="P264" i="5"/>
  <c r="P285" i="5"/>
  <c r="P307" i="5"/>
  <c r="P328" i="5"/>
  <c r="P348" i="5"/>
  <c r="P364" i="5"/>
  <c r="P396" i="5"/>
  <c r="P412" i="5"/>
  <c r="P428" i="5"/>
  <c r="P79" i="5"/>
  <c r="P121" i="5"/>
  <c r="AB37" i="5" s="1"/>
  <c r="P207" i="5"/>
  <c r="P292" i="5"/>
  <c r="P369" i="5"/>
  <c r="P433" i="5"/>
  <c r="P465" i="5"/>
  <c r="P497" i="5"/>
  <c r="P529" i="5"/>
  <c r="P561" i="5"/>
  <c r="P593" i="5"/>
  <c r="P625" i="5"/>
  <c r="P657" i="5"/>
  <c r="P689" i="5"/>
  <c r="P721" i="5"/>
  <c r="P753" i="5"/>
  <c r="P785" i="5"/>
  <c r="P817" i="5"/>
  <c r="P849" i="5"/>
  <c r="P881" i="5"/>
  <c r="P913" i="5"/>
  <c r="P12" i="5"/>
  <c r="P101" i="5"/>
  <c r="P229" i="5"/>
  <c r="P315" i="5"/>
  <c r="P386" i="5"/>
  <c r="P442" i="5"/>
  <c r="P474" i="5"/>
  <c r="P506" i="5"/>
  <c r="P538" i="5"/>
  <c r="P570" i="5"/>
  <c r="P602" i="5"/>
  <c r="P634" i="5"/>
  <c r="P666" i="5"/>
  <c r="P698" i="5"/>
  <c r="P730" i="5"/>
  <c r="P762" i="5"/>
  <c r="P794" i="5"/>
  <c r="P826" i="5"/>
  <c r="P858" i="5"/>
  <c r="P890" i="5"/>
  <c r="P922" i="5"/>
  <c r="P63" i="5"/>
  <c r="P233" i="5"/>
  <c r="P389" i="5"/>
  <c r="P475" i="5"/>
  <c r="P539" i="5"/>
  <c r="P603" i="5"/>
  <c r="P635" i="5"/>
  <c r="P699" i="5"/>
  <c r="P763" i="5"/>
  <c r="P827" i="5"/>
  <c r="P891" i="5"/>
  <c r="P949" i="5"/>
  <c r="P981" i="5"/>
  <c r="P43" i="5"/>
  <c r="AB10" i="5" s="1"/>
  <c r="P213" i="5"/>
  <c r="P374" i="5"/>
  <c r="P468" i="5"/>
  <c r="P532" i="5"/>
  <c r="P596" i="5"/>
  <c r="P660" i="5"/>
  <c r="P724" i="5"/>
  <c r="P788" i="5"/>
  <c r="P852" i="5"/>
  <c r="P916" i="5"/>
  <c r="P962" i="5"/>
  <c r="P994" i="5"/>
  <c r="P244" i="5"/>
  <c r="P479" i="5"/>
  <c r="P607" i="5"/>
  <c r="P735" i="5"/>
  <c r="P863" i="5"/>
  <c r="P967" i="5"/>
  <c r="P972" i="5"/>
  <c r="P288" i="5"/>
  <c r="P496" i="5"/>
  <c r="P624" i="5"/>
  <c r="P688" i="5"/>
  <c r="P816" i="5"/>
  <c r="P944" i="5"/>
  <c r="P52" i="5"/>
  <c r="P381" i="5"/>
  <c r="P535" i="5"/>
  <c r="P663" i="5"/>
  <c r="P791" i="5"/>
  <c r="P919" i="5"/>
  <c r="P995" i="5"/>
  <c r="P350" i="5"/>
  <c r="P520" i="5"/>
  <c r="P648" i="5"/>
  <c r="P776" i="5"/>
  <c r="P920" i="5"/>
  <c r="P936" i="5"/>
  <c r="P664" i="5"/>
  <c r="P382" i="5"/>
  <c r="P935" i="5"/>
  <c r="P679" i="5"/>
  <c r="P413" i="5"/>
  <c r="P952" i="5"/>
  <c r="P704" i="5"/>
  <c r="P448" i="5"/>
  <c r="P96" i="5"/>
  <c r="P815" i="5"/>
  <c r="P559" i="5"/>
  <c r="P116" i="5"/>
  <c r="AB35" i="5" s="1"/>
  <c r="P950" i="5"/>
  <c r="P828" i="5"/>
  <c r="P700" i="5"/>
  <c r="P572" i="5"/>
  <c r="P444" i="5"/>
  <c r="P149" i="5"/>
  <c r="AB54" i="5" s="1"/>
  <c r="P985" i="5"/>
  <c r="P899" i="5"/>
  <c r="P771" i="5"/>
  <c r="P643" i="5"/>
  <c r="P515" i="5"/>
  <c r="P340" i="5"/>
  <c r="P942" i="5"/>
  <c r="P878" i="5"/>
  <c r="P814" i="5"/>
  <c r="P750" i="5"/>
  <c r="P686" i="5"/>
  <c r="P622" i="5"/>
  <c r="P558" i="5"/>
  <c r="P494" i="5"/>
  <c r="P426" i="5"/>
  <c r="P283" i="5"/>
  <c r="P112" i="5"/>
  <c r="P917" i="5"/>
  <c r="P853" i="5"/>
  <c r="P789" i="5"/>
  <c r="P725" i="5"/>
  <c r="P661" i="5"/>
  <c r="P597" i="5"/>
  <c r="P533" i="5"/>
  <c r="P469" i="5"/>
  <c r="P377" i="5"/>
  <c r="P217" i="5"/>
  <c r="P47" i="5"/>
  <c r="P400" i="5"/>
  <c r="P333" i="5"/>
  <c r="P248" i="5"/>
  <c r="P163" i="5"/>
  <c r="AB63" i="5" s="1"/>
  <c r="P77" i="5"/>
  <c r="AB19" i="5" s="1"/>
  <c r="P419" i="5"/>
  <c r="P355" i="5"/>
  <c r="P273" i="5"/>
  <c r="P188" i="5"/>
  <c r="P103" i="5"/>
  <c r="P15" i="5"/>
  <c r="P302" i="5"/>
  <c r="P238" i="5"/>
  <c r="P174" i="5"/>
  <c r="P110" i="5"/>
  <c r="P46" i="5"/>
  <c r="P856" i="5"/>
  <c r="P600" i="5"/>
  <c r="P224" i="5"/>
  <c r="P871" i="5"/>
  <c r="P615" i="5"/>
  <c r="P265" i="5"/>
  <c r="P896" i="5"/>
  <c r="P640" i="5"/>
  <c r="P331" i="5"/>
  <c r="P975" i="5"/>
  <c r="P751" i="5"/>
  <c r="P495" i="5"/>
  <c r="P998" i="5"/>
  <c r="P924" i="5"/>
  <c r="P796" i="5"/>
  <c r="P668" i="5"/>
  <c r="P540" i="5"/>
  <c r="P390" i="5"/>
  <c r="P64" i="5"/>
  <c r="P969" i="5"/>
  <c r="P867" i="5"/>
  <c r="P739" i="5"/>
  <c r="P611" i="5"/>
  <c r="P483" i="5"/>
  <c r="P255" i="5"/>
  <c r="P926" i="5"/>
  <c r="P862" i="5"/>
  <c r="P798" i="5"/>
  <c r="P734" i="5"/>
  <c r="P670" i="5"/>
  <c r="P606" i="5"/>
  <c r="P542" i="5"/>
  <c r="P478" i="5"/>
  <c r="P394" i="5"/>
  <c r="P240" i="5"/>
  <c r="P69" i="5"/>
  <c r="P901" i="5"/>
  <c r="P837" i="5"/>
  <c r="P773" i="5"/>
  <c r="P709" i="5"/>
  <c r="P645" i="5"/>
  <c r="P581" i="5"/>
  <c r="P517" i="5"/>
  <c r="P453" i="5"/>
  <c r="P345" i="5"/>
  <c r="P175" i="5"/>
  <c r="AB70" i="5" s="1"/>
  <c r="P384" i="5"/>
  <c r="P312" i="5"/>
  <c r="P227" i="5"/>
  <c r="P141" i="5"/>
  <c r="P56" i="5"/>
  <c r="AB14" i="5" s="1"/>
  <c r="P403" i="5"/>
  <c r="P337" i="5"/>
  <c r="P252" i="5"/>
  <c r="P167" i="5"/>
  <c r="P81" i="5"/>
  <c r="AB20" i="5" s="1"/>
  <c r="P286" i="5"/>
  <c r="P222" i="5"/>
  <c r="P158" i="5"/>
  <c r="AB61" i="5" s="1"/>
  <c r="P94" i="5"/>
  <c r="P30" i="5"/>
  <c r="P17" i="5"/>
  <c r="P988" i="5"/>
  <c r="P792" i="5"/>
  <c r="P536" i="5"/>
  <c r="P1003" i="5"/>
  <c r="P807" i="5"/>
  <c r="P551" i="5"/>
  <c r="P95" i="5"/>
  <c r="AB26" i="5" s="1"/>
  <c r="P832" i="5"/>
  <c r="P576" i="5"/>
  <c r="P160" i="5"/>
  <c r="P943" i="5"/>
  <c r="P687" i="5"/>
  <c r="P429" i="5"/>
  <c r="P982" i="5"/>
  <c r="P892" i="5"/>
  <c r="P764" i="5"/>
  <c r="P636" i="5"/>
  <c r="P508" i="5"/>
  <c r="P320" i="5"/>
  <c r="P953" i="5"/>
  <c r="P835" i="5"/>
  <c r="P707" i="5"/>
  <c r="P579" i="5"/>
  <c r="P451" i="5"/>
  <c r="P169" i="5"/>
  <c r="P910" i="5"/>
  <c r="P846" i="5"/>
  <c r="P782" i="5"/>
  <c r="P718" i="5"/>
  <c r="P654" i="5"/>
  <c r="P590" i="5"/>
  <c r="P526" i="5"/>
  <c r="P462" i="5"/>
  <c r="P362" i="5"/>
  <c r="P197" i="5"/>
  <c r="P27" i="5"/>
  <c r="P885" i="5"/>
  <c r="P821" i="5"/>
  <c r="P757" i="5"/>
  <c r="P693" i="5"/>
  <c r="P629" i="5"/>
  <c r="P565" i="5"/>
  <c r="P501" i="5"/>
  <c r="P437" i="5"/>
  <c r="P303" i="5"/>
  <c r="P132" i="5"/>
  <c r="P432" i="5"/>
  <c r="P368" i="5"/>
  <c r="P291" i="5"/>
  <c r="P205" i="5"/>
  <c r="P120" i="5"/>
  <c r="P35" i="5"/>
  <c r="P387" i="5"/>
  <c r="P316" i="5"/>
  <c r="P231" i="5"/>
  <c r="P145" i="5"/>
  <c r="AB52" i="5" s="1"/>
  <c r="P60" i="5"/>
  <c r="P334" i="5"/>
  <c r="P270" i="5"/>
  <c r="P206" i="5"/>
  <c r="P142" i="5"/>
  <c r="P78" i="5"/>
  <c r="P14" i="5"/>
  <c r="AB5" i="5" s="1"/>
  <c r="P980" i="5"/>
  <c r="P728" i="5"/>
  <c r="P472" i="5"/>
  <c r="P971" i="5"/>
  <c r="P743" i="5"/>
  <c r="P487" i="5"/>
  <c r="P984" i="5"/>
  <c r="P768" i="5"/>
  <c r="P512" i="5"/>
  <c r="P996" i="5"/>
  <c r="P879" i="5"/>
  <c r="P623" i="5"/>
  <c r="P287" i="5"/>
  <c r="P966" i="5"/>
  <c r="P860" i="5"/>
  <c r="P732" i="5"/>
  <c r="P604" i="5"/>
  <c r="P476" i="5"/>
  <c r="P235" i="5"/>
  <c r="P1001" i="5"/>
  <c r="P931" i="5"/>
  <c r="P803" i="5"/>
  <c r="P675" i="5"/>
  <c r="P547" i="5"/>
  <c r="P405" i="5"/>
  <c r="P84" i="5"/>
  <c r="P894" i="5"/>
  <c r="P830" i="5"/>
  <c r="P766" i="5"/>
  <c r="P702" i="5"/>
  <c r="P638" i="5"/>
  <c r="P574" i="5"/>
  <c r="P510" i="5"/>
  <c r="P446" i="5"/>
  <c r="P325" i="5"/>
  <c r="P155" i="5"/>
  <c r="P933" i="5"/>
  <c r="P869" i="5"/>
  <c r="P805" i="5"/>
  <c r="P741" i="5"/>
  <c r="P677" i="5"/>
  <c r="P613" i="5"/>
  <c r="P549" i="5"/>
  <c r="P485" i="5"/>
  <c r="P409" i="5"/>
  <c r="P260" i="5"/>
  <c r="P89" i="5"/>
  <c r="AB23" i="5" s="1"/>
  <c r="P416" i="5"/>
  <c r="P352" i="5"/>
  <c r="P269" i="5"/>
  <c r="P184" i="5"/>
  <c r="P99" i="5"/>
  <c r="AB27" i="5" s="1"/>
  <c r="P371" i="5"/>
  <c r="P295" i="5"/>
  <c r="P209" i="5"/>
  <c r="P124" i="5"/>
  <c r="AB39" i="5" s="1"/>
  <c r="P39" i="5"/>
  <c r="P318" i="5"/>
  <c r="P254" i="5"/>
  <c r="P190" i="5"/>
  <c r="P126" i="5"/>
  <c r="AB40" i="5" s="1"/>
  <c r="P62" i="5"/>
  <c r="AB15" i="5" s="1"/>
  <c r="AB28" i="5" l="1"/>
  <c r="AB29" i="5"/>
  <c r="AB30" i="5"/>
  <c r="AB68" i="5"/>
  <c r="AB69" i="5"/>
  <c r="AB24" i="5"/>
  <c r="AB25" i="5"/>
  <c r="AB43" i="5"/>
  <c r="AB44" i="5"/>
  <c r="AB56" i="5"/>
  <c r="AB57" i="5"/>
  <c r="AB58" i="5"/>
  <c r="AB75" i="5"/>
  <c r="AB79" i="5"/>
  <c r="AB83" i="5"/>
  <c r="AB87" i="5"/>
  <c r="AB91" i="5"/>
  <c r="AB95" i="5"/>
  <c r="AB99" i="5"/>
  <c r="AB103" i="5"/>
  <c r="AB107" i="5"/>
  <c r="AB111" i="5"/>
  <c r="AB115" i="5"/>
  <c r="AB119" i="5"/>
  <c r="AB123" i="5"/>
  <c r="AB127" i="5"/>
  <c r="AB131" i="5"/>
  <c r="AB135" i="5"/>
  <c r="AB139" i="5"/>
  <c r="AB143" i="5"/>
  <c r="AB147" i="5"/>
  <c r="AB151" i="5"/>
  <c r="AB155" i="5"/>
  <c r="AB159" i="5"/>
  <c r="AB163" i="5"/>
  <c r="AB167" i="5"/>
  <c r="AB171" i="5"/>
  <c r="AB175" i="5"/>
  <c r="AB179" i="5"/>
  <c r="AB183" i="5"/>
  <c r="AB187" i="5"/>
  <c r="AB191" i="5"/>
  <c r="AB195" i="5"/>
  <c r="AB199" i="5"/>
  <c r="AB203" i="5"/>
  <c r="AB207" i="5"/>
  <c r="AB211" i="5"/>
  <c r="AB215" i="5"/>
  <c r="AB219" i="5"/>
  <c r="AB223" i="5"/>
  <c r="AB227" i="5"/>
  <c r="AB231" i="5"/>
  <c r="AB235" i="5"/>
  <c r="AB239" i="5"/>
  <c r="AB243" i="5"/>
  <c r="AB247" i="5"/>
  <c r="AB251" i="5"/>
  <c r="AB255" i="5"/>
  <c r="AB259" i="5"/>
  <c r="AB263" i="5"/>
  <c r="AB267" i="5"/>
  <c r="AB271" i="5"/>
  <c r="AB275" i="5"/>
  <c r="AB279" i="5"/>
  <c r="AB283" i="5"/>
  <c r="AB287" i="5"/>
  <c r="AB291" i="5"/>
  <c r="AB295" i="5"/>
  <c r="AB299" i="5"/>
  <c r="AB303" i="5"/>
  <c r="AB307" i="5"/>
  <c r="AB311" i="5"/>
  <c r="AB315" i="5"/>
  <c r="AB319" i="5"/>
  <c r="AB323" i="5"/>
  <c r="AB327" i="5"/>
  <c r="AB331" i="5"/>
  <c r="AB335" i="5"/>
  <c r="AB339" i="5"/>
  <c r="AB343" i="5"/>
  <c r="AB72" i="5"/>
  <c r="AB76" i="5"/>
  <c r="AB80" i="5"/>
  <c r="AB84" i="5"/>
  <c r="AB88" i="5"/>
  <c r="AB92" i="5"/>
  <c r="AB96" i="5"/>
  <c r="AB100" i="5"/>
  <c r="AB104" i="5"/>
  <c r="AB108" i="5"/>
  <c r="AB112" i="5"/>
  <c r="AB116" i="5"/>
  <c r="AB120" i="5"/>
  <c r="AB124" i="5"/>
  <c r="AB128" i="5"/>
  <c r="AB132" i="5"/>
  <c r="AB136" i="5"/>
  <c r="AB140" i="5"/>
  <c r="AB144" i="5"/>
  <c r="AB148" i="5"/>
  <c r="AB152" i="5"/>
  <c r="AB156" i="5"/>
  <c r="AB160" i="5"/>
  <c r="AB164" i="5"/>
  <c r="AB168" i="5"/>
  <c r="AB172" i="5"/>
  <c r="AB176" i="5"/>
  <c r="AB180" i="5"/>
  <c r="AB184" i="5"/>
  <c r="AB188" i="5"/>
  <c r="AB192" i="5"/>
  <c r="AB196" i="5"/>
  <c r="AB200" i="5"/>
  <c r="AB204" i="5"/>
  <c r="AB208" i="5"/>
  <c r="AB212" i="5"/>
  <c r="AB216" i="5"/>
  <c r="AB220" i="5"/>
  <c r="AB224" i="5"/>
  <c r="AB228" i="5"/>
  <c r="AB232" i="5"/>
  <c r="AB236" i="5"/>
  <c r="AB240" i="5"/>
  <c r="AB244" i="5"/>
  <c r="AB248" i="5"/>
  <c r="AB252" i="5"/>
  <c r="AB256" i="5"/>
  <c r="AB260" i="5"/>
  <c r="AB264" i="5"/>
  <c r="AB268" i="5"/>
  <c r="AB272" i="5"/>
  <c r="AB276" i="5"/>
  <c r="AB280" i="5"/>
  <c r="AB284" i="5"/>
  <c r="AB288" i="5"/>
  <c r="AB292" i="5"/>
  <c r="AB296" i="5"/>
  <c r="AB300" i="5"/>
  <c r="AB304" i="5"/>
  <c r="AB308" i="5"/>
  <c r="AB312" i="5"/>
  <c r="AB316" i="5"/>
  <c r="AB320" i="5"/>
  <c r="AB324" i="5"/>
  <c r="AB328" i="5"/>
  <c r="AB332" i="5"/>
  <c r="AB336" i="5"/>
  <c r="AB73" i="5"/>
  <c r="AB81" i="5"/>
  <c r="AB89" i="5"/>
  <c r="AB97" i="5"/>
  <c r="AB105" i="5"/>
  <c r="AB113" i="5"/>
  <c r="AB121" i="5"/>
  <c r="AB129" i="5"/>
  <c r="AB137" i="5"/>
  <c r="AB145" i="5"/>
  <c r="AB153" i="5"/>
  <c r="AB161" i="5"/>
  <c r="AB169" i="5"/>
  <c r="AB177" i="5"/>
  <c r="AB185" i="5"/>
  <c r="AB193" i="5"/>
  <c r="AB201" i="5"/>
  <c r="AB209" i="5"/>
  <c r="AB217" i="5"/>
  <c r="AB225" i="5"/>
  <c r="AB233" i="5"/>
  <c r="AB241" i="5"/>
  <c r="AB249" i="5"/>
  <c r="AB257" i="5"/>
  <c r="AB265" i="5"/>
  <c r="AB273" i="5"/>
  <c r="AB281" i="5"/>
  <c r="AB289" i="5"/>
  <c r="AB297" i="5"/>
  <c r="AB305" i="5"/>
  <c r="AB313" i="5"/>
  <c r="AB321" i="5"/>
  <c r="AB329" i="5"/>
  <c r="AB337" i="5"/>
  <c r="AB342" i="5"/>
  <c r="AB347" i="5"/>
  <c r="AB351" i="5"/>
  <c r="AB355" i="5"/>
  <c r="AB359" i="5"/>
  <c r="AB363" i="5"/>
  <c r="AB367" i="5"/>
  <c r="AB371" i="5"/>
  <c r="AB375" i="5"/>
  <c r="AB379" i="5"/>
  <c r="AB383" i="5"/>
  <c r="AB387" i="5"/>
  <c r="AB391" i="5"/>
  <c r="AB395" i="5"/>
  <c r="AB399" i="5"/>
  <c r="AB403" i="5"/>
  <c r="AB407" i="5"/>
  <c r="AB411" i="5"/>
  <c r="AB415" i="5"/>
  <c r="AB419" i="5"/>
  <c r="AB423" i="5"/>
  <c r="AB427" i="5"/>
  <c r="AB431" i="5"/>
  <c r="AB435" i="5"/>
  <c r="AB439" i="5"/>
  <c r="AB443" i="5"/>
  <c r="AB447" i="5"/>
  <c r="AB451" i="5"/>
  <c r="AB455" i="5"/>
  <c r="AB459" i="5"/>
  <c r="AB463" i="5"/>
  <c r="AB467" i="5"/>
  <c r="AB471" i="5"/>
  <c r="AB475" i="5"/>
  <c r="AB479" i="5"/>
  <c r="AB483" i="5"/>
  <c r="AB487" i="5"/>
  <c r="AB491" i="5"/>
  <c r="AB495" i="5"/>
  <c r="AB499" i="5"/>
  <c r="AB503" i="5"/>
  <c r="AB507" i="5"/>
  <c r="AB511" i="5"/>
  <c r="AB515" i="5"/>
  <c r="AB519" i="5"/>
  <c r="AB523" i="5"/>
  <c r="AB74" i="5"/>
  <c r="AB82" i="5"/>
  <c r="AB90" i="5"/>
  <c r="AB98" i="5"/>
  <c r="AB106" i="5"/>
  <c r="AB114" i="5"/>
  <c r="AB122" i="5"/>
  <c r="AB130" i="5"/>
  <c r="AB138" i="5"/>
  <c r="AB146" i="5"/>
  <c r="AB154" i="5"/>
  <c r="AB162" i="5"/>
  <c r="AB170" i="5"/>
  <c r="AB178" i="5"/>
  <c r="AB186" i="5"/>
  <c r="AB194" i="5"/>
  <c r="AB202" i="5"/>
  <c r="AB210" i="5"/>
  <c r="AB218" i="5"/>
  <c r="AB226" i="5"/>
  <c r="AB234" i="5"/>
  <c r="AB242" i="5"/>
  <c r="AB250" i="5"/>
  <c r="AB258" i="5"/>
  <c r="AB266" i="5"/>
  <c r="AB274" i="5"/>
  <c r="AB282" i="5"/>
  <c r="AB290" i="5"/>
  <c r="AB298" i="5"/>
  <c r="AB306" i="5"/>
  <c r="AB314" i="5"/>
  <c r="AB322" i="5"/>
  <c r="AB330" i="5"/>
  <c r="AB338" i="5"/>
  <c r="AB344" i="5"/>
  <c r="AB348" i="5"/>
  <c r="AB352" i="5"/>
  <c r="AB356" i="5"/>
  <c r="AB360" i="5"/>
  <c r="AB364" i="5"/>
  <c r="AB368" i="5"/>
  <c r="AB372" i="5"/>
  <c r="AB376" i="5"/>
  <c r="AB380" i="5"/>
  <c r="AB384" i="5"/>
  <c r="AB388" i="5"/>
  <c r="AB392" i="5"/>
  <c r="AB396" i="5"/>
  <c r="AB400" i="5"/>
  <c r="AB404" i="5"/>
  <c r="AB408" i="5"/>
  <c r="AB412" i="5"/>
  <c r="AB416" i="5"/>
  <c r="AB420" i="5"/>
  <c r="AB424" i="5"/>
  <c r="AB428" i="5"/>
  <c r="AB432" i="5"/>
  <c r="AB436" i="5"/>
  <c r="AB440" i="5"/>
  <c r="AB444" i="5"/>
  <c r="AB448" i="5"/>
  <c r="AB452" i="5"/>
  <c r="AB456" i="5"/>
  <c r="AB460" i="5"/>
  <c r="AB464" i="5"/>
  <c r="AB468" i="5"/>
  <c r="AB472" i="5"/>
  <c r="AB476" i="5"/>
  <c r="AB480" i="5"/>
  <c r="AB484" i="5"/>
  <c r="AB488" i="5"/>
  <c r="AB492" i="5"/>
  <c r="AB496" i="5"/>
  <c r="AB500" i="5"/>
  <c r="AB504" i="5"/>
  <c r="AB508" i="5"/>
  <c r="AB512" i="5"/>
  <c r="AB77" i="5"/>
  <c r="AB93" i="5"/>
  <c r="AB109" i="5"/>
  <c r="AB125" i="5"/>
  <c r="AB141" i="5"/>
  <c r="AB157" i="5"/>
  <c r="AB173" i="5"/>
  <c r="AB189" i="5"/>
  <c r="AB205" i="5"/>
  <c r="AB221" i="5"/>
  <c r="AB237" i="5"/>
  <c r="AB253" i="5"/>
  <c r="AB269" i="5"/>
  <c r="AB285" i="5"/>
  <c r="AB301" i="5"/>
  <c r="AB317" i="5"/>
  <c r="AB333" i="5"/>
  <c r="AB345" i="5"/>
  <c r="AB353" i="5"/>
  <c r="AB361" i="5"/>
  <c r="AB369" i="5"/>
  <c r="AB377" i="5"/>
  <c r="AB385" i="5"/>
  <c r="AB393" i="5"/>
  <c r="AB401" i="5"/>
  <c r="AB409" i="5"/>
  <c r="AB417" i="5"/>
  <c r="AB425" i="5"/>
  <c r="AB433" i="5"/>
  <c r="AB441" i="5"/>
  <c r="AB449" i="5"/>
  <c r="AB457" i="5"/>
  <c r="AB465" i="5"/>
  <c r="AB473" i="5"/>
  <c r="AB481" i="5"/>
  <c r="AB489" i="5"/>
  <c r="AB497" i="5"/>
  <c r="AB505" i="5"/>
  <c r="AB513" i="5"/>
  <c r="AB518" i="5"/>
  <c r="AB524" i="5"/>
  <c r="AB528" i="5"/>
  <c r="AB532" i="5"/>
  <c r="AB536" i="5"/>
  <c r="AB540" i="5"/>
  <c r="AB544" i="5"/>
  <c r="AB548" i="5"/>
  <c r="AB552" i="5"/>
  <c r="AB556" i="5"/>
  <c r="AB560" i="5"/>
  <c r="AB564" i="5"/>
  <c r="AB568" i="5"/>
  <c r="AB572" i="5"/>
  <c r="AB576" i="5"/>
  <c r="AB580" i="5"/>
  <c r="AB584" i="5"/>
  <c r="AB588" i="5"/>
  <c r="AB592" i="5"/>
  <c r="AB596" i="5"/>
  <c r="AB600" i="5"/>
  <c r="AB604" i="5"/>
  <c r="AB608" i="5"/>
  <c r="AB612" i="5"/>
  <c r="AB616" i="5"/>
  <c r="AB620" i="5"/>
  <c r="AB624" i="5"/>
  <c r="AB628" i="5"/>
  <c r="AB632" i="5"/>
  <c r="AB636" i="5"/>
  <c r="AB640" i="5"/>
  <c r="AB644" i="5"/>
  <c r="AB648" i="5"/>
  <c r="AB652" i="5"/>
  <c r="AB656" i="5"/>
  <c r="AB660" i="5"/>
  <c r="AB664" i="5"/>
  <c r="AB668" i="5"/>
  <c r="AB672" i="5"/>
  <c r="AB676" i="5"/>
  <c r="AB680" i="5"/>
  <c r="AB684" i="5"/>
  <c r="AB688" i="5"/>
  <c r="AB692" i="5"/>
  <c r="AB696" i="5"/>
  <c r="AB700" i="5"/>
  <c r="AB704" i="5"/>
  <c r="AB708" i="5"/>
  <c r="AB712" i="5"/>
  <c r="AB716" i="5"/>
  <c r="AB720" i="5"/>
  <c r="AB724" i="5"/>
  <c r="AB728" i="5"/>
  <c r="AB732" i="5"/>
  <c r="AB736" i="5"/>
  <c r="AB740" i="5"/>
  <c r="AB744" i="5"/>
  <c r="AB748" i="5"/>
  <c r="AB752" i="5"/>
  <c r="AB756" i="5"/>
  <c r="AB760" i="5"/>
  <c r="AB764" i="5"/>
  <c r="AB768" i="5"/>
  <c r="AB772" i="5"/>
  <c r="AB776" i="5"/>
  <c r="AB780" i="5"/>
  <c r="AB784" i="5"/>
  <c r="AB788" i="5"/>
  <c r="AB792" i="5"/>
  <c r="AB796" i="5"/>
  <c r="AB800" i="5"/>
  <c r="AB804" i="5"/>
  <c r="AB808" i="5"/>
  <c r="AB812" i="5"/>
  <c r="AB816" i="5"/>
  <c r="AB820" i="5"/>
  <c r="AB824" i="5"/>
  <c r="AB828" i="5"/>
  <c r="AB832" i="5"/>
  <c r="AB836" i="5"/>
  <c r="AB840" i="5"/>
  <c r="AB844" i="5"/>
  <c r="AB848" i="5"/>
  <c r="AB852" i="5"/>
  <c r="AB856" i="5"/>
  <c r="AB860" i="5"/>
  <c r="AB864" i="5"/>
  <c r="AB868" i="5"/>
  <c r="AB872" i="5"/>
  <c r="AB876" i="5"/>
  <c r="AB880" i="5"/>
  <c r="AB884" i="5"/>
  <c r="AB888" i="5"/>
  <c r="AB892" i="5"/>
  <c r="AB896" i="5"/>
  <c r="AB900" i="5"/>
  <c r="AB904" i="5"/>
  <c r="AB908" i="5"/>
  <c r="AB912" i="5"/>
  <c r="AB916" i="5"/>
  <c r="AB920" i="5"/>
  <c r="AB924" i="5"/>
  <c r="AB928" i="5"/>
  <c r="AB932" i="5"/>
  <c r="AB936" i="5"/>
  <c r="AB940" i="5"/>
  <c r="AB944" i="5"/>
  <c r="AB948" i="5"/>
  <c r="AB952" i="5"/>
  <c r="AB956" i="5"/>
  <c r="AB960" i="5"/>
  <c r="AB964" i="5"/>
  <c r="AB968" i="5"/>
  <c r="AB972" i="5"/>
  <c r="AB976" i="5"/>
  <c r="AB980" i="5"/>
  <c r="AB984" i="5"/>
  <c r="AB988" i="5"/>
  <c r="AB992" i="5"/>
  <c r="AB996" i="5"/>
  <c r="AB1000" i="5"/>
  <c r="AB85" i="5"/>
  <c r="AB117" i="5"/>
  <c r="AB78" i="5"/>
  <c r="AB94" i="5"/>
  <c r="AB110" i="5"/>
  <c r="AB126" i="5"/>
  <c r="AB142" i="5"/>
  <c r="AB158" i="5"/>
  <c r="AB174" i="5"/>
  <c r="AB190" i="5"/>
  <c r="AB206" i="5"/>
  <c r="AB222" i="5"/>
  <c r="AB238" i="5"/>
  <c r="AB254" i="5"/>
  <c r="AB270" i="5"/>
  <c r="AB286" i="5"/>
  <c r="AB302" i="5"/>
  <c r="AB318" i="5"/>
  <c r="AB334" i="5"/>
  <c r="AB346" i="5"/>
  <c r="AB354" i="5"/>
  <c r="AB362" i="5"/>
  <c r="AB370" i="5"/>
  <c r="AB378" i="5"/>
  <c r="AB386" i="5"/>
  <c r="AB394" i="5"/>
  <c r="AB402" i="5"/>
  <c r="AB410" i="5"/>
  <c r="AB418" i="5"/>
  <c r="AB426" i="5"/>
  <c r="AB434" i="5"/>
  <c r="AB442" i="5"/>
  <c r="AB450" i="5"/>
  <c r="AB458" i="5"/>
  <c r="AB466" i="5"/>
  <c r="AB474" i="5"/>
  <c r="AB482" i="5"/>
  <c r="AB490" i="5"/>
  <c r="AB498" i="5"/>
  <c r="AB506" i="5"/>
  <c r="AB514" i="5"/>
  <c r="AB520" i="5"/>
  <c r="AB525" i="5"/>
  <c r="AB529" i="5"/>
  <c r="AB533" i="5"/>
  <c r="AB537" i="5"/>
  <c r="AB541" i="5"/>
  <c r="AB545" i="5"/>
  <c r="AB549" i="5"/>
  <c r="AB553" i="5"/>
  <c r="AB557" i="5"/>
  <c r="AB561" i="5"/>
  <c r="AB565" i="5"/>
  <c r="AB569" i="5"/>
  <c r="AB573" i="5"/>
  <c r="AB577" i="5"/>
  <c r="AB581" i="5"/>
  <c r="AB585" i="5"/>
  <c r="AB589" i="5"/>
  <c r="AB593" i="5"/>
  <c r="AB597" i="5"/>
  <c r="AB601" i="5"/>
  <c r="AB605" i="5"/>
  <c r="AB609" i="5"/>
  <c r="AB613" i="5"/>
  <c r="AB617" i="5"/>
  <c r="AB621" i="5"/>
  <c r="AB625" i="5"/>
  <c r="AB629" i="5"/>
  <c r="AB633" i="5"/>
  <c r="AB637" i="5"/>
  <c r="AB641" i="5"/>
  <c r="AB645" i="5"/>
  <c r="AB649" i="5"/>
  <c r="AB653" i="5"/>
  <c r="AB657" i="5"/>
  <c r="AB661" i="5"/>
  <c r="AB665" i="5"/>
  <c r="AB669" i="5"/>
  <c r="AB673" i="5"/>
  <c r="AB677" i="5"/>
  <c r="AB681" i="5"/>
  <c r="AB685" i="5"/>
  <c r="AB689" i="5"/>
  <c r="AB693" i="5"/>
  <c r="AB697" i="5"/>
  <c r="AB701" i="5"/>
  <c r="AB705" i="5"/>
  <c r="AB709" i="5"/>
  <c r="AB713" i="5"/>
  <c r="AB717" i="5"/>
  <c r="AB721" i="5"/>
  <c r="AB725" i="5"/>
  <c r="AB729" i="5"/>
  <c r="AB733" i="5"/>
  <c r="AB737" i="5"/>
  <c r="AB741" i="5"/>
  <c r="AB745" i="5"/>
  <c r="AB749" i="5"/>
  <c r="AB753" i="5"/>
  <c r="AB757" i="5"/>
  <c r="AB761" i="5"/>
  <c r="AB765" i="5"/>
  <c r="AB769" i="5"/>
  <c r="AB773" i="5"/>
  <c r="AB777" i="5"/>
  <c r="AB781" i="5"/>
  <c r="AB785" i="5"/>
  <c r="AB789" i="5"/>
  <c r="AB793" i="5"/>
  <c r="AB797" i="5"/>
  <c r="AB801" i="5"/>
  <c r="AB805" i="5"/>
  <c r="AB809" i="5"/>
  <c r="AB813" i="5"/>
  <c r="AB817" i="5"/>
  <c r="AB821" i="5"/>
  <c r="AB825" i="5"/>
  <c r="AB829" i="5"/>
  <c r="AB833" i="5"/>
  <c r="AB837" i="5"/>
  <c r="AB841" i="5"/>
  <c r="AB845" i="5"/>
  <c r="AB849" i="5"/>
  <c r="AB853" i="5"/>
  <c r="AB857" i="5"/>
  <c r="AB861" i="5"/>
  <c r="AB865" i="5"/>
  <c r="AB869" i="5"/>
  <c r="AB873" i="5"/>
  <c r="AB877" i="5"/>
  <c r="AB881" i="5"/>
  <c r="AB885" i="5"/>
  <c r="AB889" i="5"/>
  <c r="AB893" i="5"/>
  <c r="AB897" i="5"/>
  <c r="AB901" i="5"/>
  <c r="AB905" i="5"/>
  <c r="AB909" i="5"/>
  <c r="AB913" i="5"/>
  <c r="AB917" i="5"/>
  <c r="AB921" i="5"/>
  <c r="AB925" i="5"/>
  <c r="AB929" i="5"/>
  <c r="AB933" i="5"/>
  <c r="AB937" i="5"/>
  <c r="AB941" i="5"/>
  <c r="AB945" i="5"/>
  <c r="AB949" i="5"/>
  <c r="AB953" i="5"/>
  <c r="AB957" i="5"/>
  <c r="AB961" i="5"/>
  <c r="AB965" i="5"/>
  <c r="AB969" i="5"/>
  <c r="AB973" i="5"/>
  <c r="AB977" i="5"/>
  <c r="AB981" i="5"/>
  <c r="AB985" i="5"/>
  <c r="AB989" i="5"/>
  <c r="AB993" i="5"/>
  <c r="AB997" i="5"/>
  <c r="AB1001" i="5"/>
  <c r="AB101" i="5"/>
  <c r="AB102" i="5"/>
  <c r="AB149" i="5"/>
  <c r="AB181" i="5"/>
  <c r="AB213" i="5"/>
  <c r="AB245" i="5"/>
  <c r="AB277" i="5"/>
  <c r="AB309" i="5"/>
  <c r="AB340" i="5"/>
  <c r="AB357" i="5"/>
  <c r="AB373" i="5"/>
  <c r="AB389" i="5"/>
  <c r="AB405" i="5"/>
  <c r="AB421" i="5"/>
  <c r="AB437" i="5"/>
  <c r="AB453" i="5"/>
  <c r="AB469" i="5"/>
  <c r="AB485" i="5"/>
  <c r="AB501" i="5"/>
  <c r="AB516" i="5"/>
  <c r="AB526" i="5"/>
  <c r="AB534" i="5"/>
  <c r="AB542" i="5"/>
  <c r="AB550" i="5"/>
  <c r="AB558" i="5"/>
  <c r="AB566" i="5"/>
  <c r="AB574" i="5"/>
  <c r="AB582" i="5"/>
  <c r="AB590" i="5"/>
  <c r="AB598" i="5"/>
  <c r="AB606" i="5"/>
  <c r="AB614" i="5"/>
  <c r="AB622" i="5"/>
  <c r="AB630" i="5"/>
  <c r="AB638" i="5"/>
  <c r="AB646" i="5"/>
  <c r="AB654" i="5"/>
  <c r="AB662" i="5"/>
  <c r="AB670" i="5"/>
  <c r="AB678" i="5"/>
  <c r="AB686" i="5"/>
  <c r="AB694" i="5"/>
  <c r="AB702" i="5"/>
  <c r="AB710" i="5"/>
  <c r="AB718" i="5"/>
  <c r="AB726" i="5"/>
  <c r="AB734" i="5"/>
  <c r="AB742" i="5"/>
  <c r="AB750" i="5"/>
  <c r="AB758" i="5"/>
  <c r="AB766" i="5"/>
  <c r="AB774" i="5"/>
  <c r="AB782" i="5"/>
  <c r="AB790" i="5"/>
  <c r="AB798" i="5"/>
  <c r="AB806" i="5"/>
  <c r="AB814" i="5"/>
  <c r="AB822" i="5"/>
  <c r="AB830" i="5"/>
  <c r="AB838" i="5"/>
  <c r="AB846" i="5"/>
  <c r="AB854" i="5"/>
  <c r="AB862" i="5"/>
  <c r="AB870" i="5"/>
  <c r="AB878" i="5"/>
  <c r="AB886" i="5"/>
  <c r="AB894" i="5"/>
  <c r="AB902" i="5"/>
  <c r="AB910" i="5"/>
  <c r="AB918" i="5"/>
  <c r="AB926" i="5"/>
  <c r="AB934" i="5"/>
  <c r="AB942" i="5"/>
  <c r="AB950" i="5"/>
  <c r="AB958" i="5"/>
  <c r="AB966" i="5"/>
  <c r="AB974" i="5"/>
  <c r="AB982" i="5"/>
  <c r="AB990" i="5"/>
  <c r="AB998" i="5"/>
  <c r="AB118" i="5"/>
  <c r="AB150" i="5"/>
  <c r="AB182" i="5"/>
  <c r="AB214" i="5"/>
  <c r="AB246" i="5"/>
  <c r="AB133" i="5"/>
  <c r="AB165" i="5"/>
  <c r="AB197" i="5"/>
  <c r="AB229" i="5"/>
  <c r="AB261" i="5"/>
  <c r="AB293" i="5"/>
  <c r="AB325" i="5"/>
  <c r="AB349" i="5"/>
  <c r="AB365" i="5"/>
  <c r="AB381" i="5"/>
  <c r="AB397" i="5"/>
  <c r="AB413" i="5"/>
  <c r="AB429" i="5"/>
  <c r="AB445" i="5"/>
  <c r="AB461" i="5"/>
  <c r="AB477" i="5"/>
  <c r="AB493" i="5"/>
  <c r="AB509" i="5"/>
  <c r="AB521" i="5"/>
  <c r="AB530" i="5"/>
  <c r="AB538" i="5"/>
  <c r="AB546" i="5"/>
  <c r="AB554" i="5"/>
  <c r="AB562" i="5"/>
  <c r="AB570" i="5"/>
  <c r="AB578" i="5"/>
  <c r="AB586" i="5"/>
  <c r="AB594" i="5"/>
  <c r="AB602" i="5"/>
  <c r="AB610" i="5"/>
  <c r="AB618" i="5"/>
  <c r="AB626" i="5"/>
  <c r="AB634" i="5"/>
  <c r="AB642" i="5"/>
  <c r="AB650" i="5"/>
  <c r="AB658" i="5"/>
  <c r="AB666" i="5"/>
  <c r="AB674" i="5"/>
  <c r="AB682" i="5"/>
  <c r="AB690" i="5"/>
  <c r="AB698" i="5"/>
  <c r="AB706" i="5"/>
  <c r="AB714" i="5"/>
  <c r="AB722" i="5"/>
  <c r="AB730" i="5"/>
  <c r="AB738" i="5"/>
  <c r="AB746" i="5"/>
  <c r="AB754" i="5"/>
  <c r="AB762" i="5"/>
  <c r="AB770" i="5"/>
  <c r="AB778" i="5"/>
  <c r="AB786" i="5"/>
  <c r="AB794" i="5"/>
  <c r="AB802" i="5"/>
  <c r="AB810" i="5"/>
  <c r="AB818" i="5"/>
  <c r="AB826" i="5"/>
  <c r="AB834" i="5"/>
  <c r="AB842" i="5"/>
  <c r="AB850" i="5"/>
  <c r="AB858" i="5"/>
  <c r="AB866" i="5"/>
  <c r="AB874" i="5"/>
  <c r="AB882" i="5"/>
  <c r="AB890" i="5"/>
  <c r="AB898" i="5"/>
  <c r="AB906" i="5"/>
  <c r="AB914" i="5"/>
  <c r="AB922" i="5"/>
  <c r="AB930" i="5"/>
  <c r="AB938" i="5"/>
  <c r="AB946" i="5"/>
  <c r="AB954" i="5"/>
  <c r="AB962" i="5"/>
  <c r="AB970" i="5"/>
  <c r="AB978" i="5"/>
  <c r="AB986" i="5"/>
  <c r="AB994" i="5"/>
  <c r="AB1002" i="5"/>
  <c r="AB86" i="5"/>
  <c r="AB134" i="5"/>
  <c r="AB166" i="5"/>
  <c r="AB262" i="5"/>
  <c r="AB326" i="5"/>
  <c r="AB366" i="5"/>
  <c r="AB398" i="5"/>
  <c r="AB430" i="5"/>
  <c r="AB462" i="5"/>
  <c r="AB494" i="5"/>
  <c r="AB522" i="5"/>
  <c r="AB539" i="5"/>
  <c r="AB555" i="5"/>
  <c r="AB571" i="5"/>
  <c r="AB587" i="5"/>
  <c r="AB603" i="5"/>
  <c r="AB619" i="5"/>
  <c r="AB635" i="5"/>
  <c r="AB651" i="5"/>
  <c r="AB667" i="5"/>
  <c r="AB683" i="5"/>
  <c r="AB699" i="5"/>
  <c r="AB715" i="5"/>
  <c r="AB731" i="5"/>
  <c r="AB747" i="5"/>
  <c r="AB763" i="5"/>
  <c r="AB779" i="5"/>
  <c r="AB795" i="5"/>
  <c r="AB811" i="5"/>
  <c r="AB827" i="5"/>
  <c r="AB843" i="5"/>
  <c r="AB859" i="5"/>
  <c r="AB875" i="5"/>
  <c r="AB891" i="5"/>
  <c r="AB907" i="5"/>
  <c r="AB923" i="5"/>
  <c r="AB939" i="5"/>
  <c r="AB955" i="5"/>
  <c r="AB971" i="5"/>
  <c r="AB987" i="5"/>
  <c r="AB1003" i="5"/>
  <c r="AB350" i="5"/>
  <c r="AB446" i="5"/>
  <c r="AB278" i="5"/>
  <c r="AB341" i="5"/>
  <c r="AB374" i="5"/>
  <c r="AB406" i="5"/>
  <c r="AB438" i="5"/>
  <c r="AB470" i="5"/>
  <c r="AB502" i="5"/>
  <c r="AB527" i="5"/>
  <c r="AB543" i="5"/>
  <c r="AB559" i="5"/>
  <c r="AB575" i="5"/>
  <c r="AB591" i="5"/>
  <c r="AB607" i="5"/>
  <c r="AB623" i="5"/>
  <c r="AB639" i="5"/>
  <c r="AB655" i="5"/>
  <c r="AB671" i="5"/>
  <c r="AB687" i="5"/>
  <c r="AB703" i="5"/>
  <c r="AB719" i="5"/>
  <c r="AB735" i="5"/>
  <c r="AB751" i="5"/>
  <c r="AB767" i="5"/>
  <c r="AB783" i="5"/>
  <c r="AB799" i="5"/>
  <c r="AB815" i="5"/>
  <c r="AB831" i="5"/>
  <c r="AB847" i="5"/>
  <c r="AB863" i="5"/>
  <c r="AB879" i="5"/>
  <c r="AB895" i="5"/>
  <c r="AB911" i="5"/>
  <c r="AB927" i="5"/>
  <c r="AB943" i="5"/>
  <c r="AB959" i="5"/>
  <c r="AB975" i="5"/>
  <c r="AB991" i="5"/>
  <c r="AB198" i="5"/>
  <c r="AB294" i="5"/>
  <c r="AB382" i="5"/>
  <c r="AB414" i="5"/>
  <c r="AB478" i="5"/>
  <c r="AB510" i="5"/>
  <c r="AB531" i="5"/>
  <c r="AB547" i="5"/>
  <c r="AB563" i="5"/>
  <c r="AB579" i="5"/>
  <c r="AB595" i="5"/>
  <c r="AB611" i="5"/>
  <c r="AB627" i="5"/>
  <c r="AB643" i="5"/>
  <c r="AB659" i="5"/>
  <c r="AB675" i="5"/>
  <c r="AB691" i="5"/>
  <c r="AB707" i="5"/>
  <c r="AB723" i="5"/>
  <c r="AB739" i="5"/>
  <c r="AB755" i="5"/>
  <c r="AB771" i="5"/>
  <c r="AB787" i="5"/>
  <c r="AB803" i="5"/>
  <c r="AB819" i="5"/>
  <c r="AB835" i="5"/>
  <c r="AB851" i="5"/>
  <c r="AB867" i="5"/>
  <c r="AB883" i="5"/>
  <c r="AB899" i="5"/>
  <c r="AB915" i="5"/>
  <c r="AB931" i="5"/>
  <c r="AB947" i="5"/>
  <c r="AB963" i="5"/>
  <c r="AB979" i="5"/>
  <c r="AB995" i="5"/>
  <c r="AB935" i="5"/>
  <c r="AB983" i="5"/>
  <c r="AB230" i="5"/>
  <c r="AB310" i="5"/>
  <c r="AB358" i="5"/>
  <c r="AB390" i="5"/>
  <c r="AB422" i="5"/>
  <c r="AB454" i="5"/>
  <c r="AB486" i="5"/>
  <c r="AB517" i="5"/>
  <c r="AB535" i="5"/>
  <c r="AB551" i="5"/>
  <c r="AB567" i="5"/>
  <c r="AB583" i="5"/>
  <c r="AB599" i="5"/>
  <c r="AB615" i="5"/>
  <c r="AB631" i="5"/>
  <c r="AB647" i="5"/>
  <c r="AB663" i="5"/>
  <c r="AB679" i="5"/>
  <c r="AB695" i="5"/>
  <c r="AB711" i="5"/>
  <c r="AB727" i="5"/>
  <c r="AB743" i="5"/>
  <c r="AB759" i="5"/>
  <c r="AB775" i="5"/>
  <c r="AB791" i="5"/>
  <c r="AB807" i="5"/>
  <c r="AB823" i="5"/>
  <c r="AB839" i="5"/>
  <c r="AB855" i="5"/>
  <c r="AB871" i="5"/>
  <c r="AB887" i="5"/>
  <c r="AB903" i="5"/>
  <c r="AB919" i="5"/>
  <c r="AB951" i="5"/>
  <c r="AB967" i="5"/>
  <c r="AB999" i="5"/>
  <c r="AB51" i="5"/>
  <c r="AB49" i="5"/>
  <c r="AB50" i="5"/>
  <c r="N1009" i="9" l="1"/>
  <c r="AR1009" i="9"/>
  <c r="N1010" i="9"/>
  <c r="AM1009" i="9"/>
  <c r="AO1009" i="9"/>
  <c r="AQ1009" i="9"/>
  <c r="AP1009" i="9"/>
  <c r="K1010" i="9"/>
  <c r="L1010" i="9"/>
  <c r="M1010" i="9"/>
</calcChain>
</file>

<file path=xl/sharedStrings.xml><?xml version="1.0" encoding="utf-8"?>
<sst xmlns="http://schemas.openxmlformats.org/spreadsheetml/2006/main" count="593" uniqueCount="343">
  <si>
    <t>id</t>
    <phoneticPr fontId="2" type="noConversion"/>
  </si>
  <si>
    <t>name</t>
    <phoneticPr fontId="2" type="noConversion"/>
  </si>
  <si>
    <t>rare</t>
    <phoneticPr fontId="2" type="noConversion"/>
  </si>
  <si>
    <t>name_CN</t>
    <phoneticPr fontId="2" type="noConversion"/>
  </si>
  <si>
    <t>desc</t>
    <phoneticPr fontId="2" type="noConversion"/>
  </si>
  <si>
    <t>Small Bone</t>
    <phoneticPr fontId="2" type="noConversion"/>
  </si>
  <si>
    <t>Middle Bone</t>
    <phoneticPr fontId="2" type="noConversion"/>
  </si>
  <si>
    <t>Large Bone</t>
    <phoneticPr fontId="2" type="noConversion"/>
  </si>
  <si>
    <t>Hard Bone</t>
    <phoneticPr fontId="2" type="noConversion"/>
  </si>
  <si>
    <t>小骨</t>
    <phoneticPr fontId="2" type="noConversion"/>
  </si>
  <si>
    <t>中骨</t>
    <phoneticPr fontId="2" type="noConversion"/>
  </si>
  <si>
    <t>大骨</t>
    <phoneticPr fontId="2" type="noConversion"/>
  </si>
  <si>
    <t>硬骨</t>
    <phoneticPr fontId="2" type="noConversion"/>
  </si>
  <si>
    <t>Raw Meat</t>
    <phoneticPr fontId="2" type="noConversion"/>
  </si>
  <si>
    <t>生肉</t>
    <phoneticPr fontId="2" type="noConversion"/>
  </si>
  <si>
    <t>Steak</t>
    <phoneticPr fontId="2" type="noConversion"/>
  </si>
  <si>
    <t>烤肉</t>
    <phoneticPr fontId="2" type="noConversion"/>
  </si>
  <si>
    <t>铁矿</t>
    <phoneticPr fontId="2" type="noConversion"/>
  </si>
  <si>
    <t>铁锭</t>
    <phoneticPr fontId="2" type="noConversion"/>
  </si>
  <si>
    <t>Iron Ore</t>
    <phoneticPr fontId="2" type="noConversion"/>
  </si>
  <si>
    <t>Iron Bar</t>
    <phoneticPr fontId="2" type="noConversion"/>
  </si>
  <si>
    <t>钢锭</t>
    <phoneticPr fontId="2" type="noConversion"/>
  </si>
  <si>
    <t>Steel Bar</t>
    <phoneticPr fontId="2" type="noConversion"/>
  </si>
  <si>
    <t>小石块</t>
    <phoneticPr fontId="2" type="noConversion"/>
  </si>
  <si>
    <t>Stone</t>
    <phoneticPr fontId="2" type="noConversion"/>
  </si>
  <si>
    <t>鳞</t>
    <phoneticPr fontId="2" type="noConversion"/>
  </si>
  <si>
    <t>角</t>
    <phoneticPr fontId="2" type="noConversion"/>
  </si>
  <si>
    <t>火焰精华</t>
    <phoneticPr fontId="2" type="noConversion"/>
  </si>
  <si>
    <t>魔力精华</t>
    <phoneticPr fontId="2" type="noConversion"/>
  </si>
  <si>
    <t>铜矿</t>
    <phoneticPr fontId="2" type="noConversion"/>
  </si>
  <si>
    <t>铜锭</t>
    <phoneticPr fontId="2" type="noConversion"/>
  </si>
  <si>
    <t>齿轮</t>
    <phoneticPr fontId="2" type="noConversion"/>
  </si>
  <si>
    <t>大地精华</t>
    <phoneticPr fontId="2" type="noConversion"/>
  </si>
  <si>
    <t>空气精华</t>
    <phoneticPr fontId="2" type="noConversion"/>
  </si>
  <si>
    <t>流水精华</t>
    <phoneticPr fontId="2" type="noConversion"/>
  </si>
  <si>
    <t>Copper Ore</t>
    <phoneticPr fontId="2" type="noConversion"/>
  </si>
  <si>
    <t>Copper Bar</t>
    <phoneticPr fontId="2" type="noConversion"/>
  </si>
  <si>
    <t>Gear</t>
    <phoneticPr fontId="2" type="noConversion"/>
  </si>
  <si>
    <t>生命精华</t>
    <phoneticPr fontId="2" type="noConversion"/>
  </si>
  <si>
    <t>Essence of Water</t>
    <phoneticPr fontId="2" type="noConversion"/>
  </si>
  <si>
    <t>Essence of Fie</t>
    <phoneticPr fontId="2" type="noConversion"/>
  </si>
  <si>
    <t>Essence of Air</t>
    <phoneticPr fontId="2" type="noConversion"/>
  </si>
  <si>
    <t>Essence of Earth</t>
    <phoneticPr fontId="2" type="noConversion"/>
  </si>
  <si>
    <t>Essence of Magic</t>
    <phoneticPr fontId="2" type="noConversion"/>
  </si>
  <si>
    <t>Essence of Life</t>
    <phoneticPr fontId="2" type="noConversion"/>
  </si>
  <si>
    <t>Scale</t>
    <phoneticPr fontId="2" type="noConversion"/>
  </si>
  <si>
    <t>Horn</t>
    <phoneticPr fontId="2" type="noConversion"/>
  </si>
  <si>
    <t>牙</t>
    <phoneticPr fontId="2" type="noConversion"/>
  </si>
  <si>
    <t>Fang</t>
    <phoneticPr fontId="2" type="noConversion"/>
  </si>
  <si>
    <t>羽毛</t>
    <phoneticPr fontId="2" type="noConversion"/>
  </si>
  <si>
    <t>Feather</t>
    <phoneticPr fontId="2" type="noConversion"/>
  </si>
  <si>
    <t>壳</t>
    <phoneticPr fontId="2" type="noConversion"/>
  </si>
  <si>
    <t>Shell</t>
    <phoneticPr fontId="2" type="noConversion"/>
  </si>
  <si>
    <t>皮</t>
    <phoneticPr fontId="2" type="noConversion"/>
  </si>
  <si>
    <t>血</t>
    <phoneticPr fontId="2" type="noConversion"/>
  </si>
  <si>
    <t>Hide</t>
    <phoneticPr fontId="2" type="noConversion"/>
  </si>
  <si>
    <t>Blood</t>
    <phoneticPr fontId="2" type="noConversion"/>
  </si>
  <si>
    <t>爪</t>
    <phoneticPr fontId="2" type="noConversion"/>
  </si>
  <si>
    <t>尾</t>
    <phoneticPr fontId="2" type="noConversion"/>
  </si>
  <si>
    <t>Claw</t>
    <phoneticPr fontId="2" type="noConversion"/>
  </si>
  <si>
    <t>Tail</t>
    <phoneticPr fontId="2" type="noConversion"/>
  </si>
  <si>
    <t>class</t>
    <phoneticPr fontId="2" type="noConversion"/>
  </si>
  <si>
    <t>Drop</t>
    <phoneticPr fontId="2" type="noConversion"/>
  </si>
  <si>
    <t>Cook</t>
    <phoneticPr fontId="2" type="noConversion"/>
  </si>
  <si>
    <t>Mine</t>
    <phoneticPr fontId="2" type="noConversion"/>
  </si>
  <si>
    <t>Craft</t>
    <phoneticPr fontId="2" type="noConversion"/>
  </si>
  <si>
    <t>loot</t>
    <phoneticPr fontId="2" type="noConversion"/>
  </si>
  <si>
    <t>hp</t>
    <phoneticPr fontId="2" type="noConversion"/>
  </si>
  <si>
    <t xml:space="preserve">bounty </t>
    <phoneticPr fontId="2" type="noConversion"/>
  </si>
  <si>
    <t>Iron Ingot</t>
    <phoneticPr fontId="2" type="noConversion"/>
  </si>
  <si>
    <t>Steel Ingot</t>
    <phoneticPr fontId="2" type="noConversion"/>
  </si>
  <si>
    <t>Copper Ingot</t>
    <phoneticPr fontId="2" type="noConversion"/>
  </si>
  <si>
    <t>RescourceCheck</t>
    <phoneticPr fontId="2" type="noConversion"/>
  </si>
  <si>
    <t>OrLeather</t>
    <phoneticPr fontId="2" type="noConversion"/>
  </si>
  <si>
    <t>Temp</t>
    <phoneticPr fontId="2" type="noConversion"/>
  </si>
  <si>
    <t>Essence of Water</t>
    <phoneticPr fontId="2" type="noConversion"/>
  </si>
  <si>
    <t>Essence of Fie</t>
    <phoneticPr fontId="2" type="noConversion"/>
  </si>
  <si>
    <t>MisSpell</t>
    <phoneticPr fontId="2" type="noConversion"/>
  </si>
  <si>
    <t>stage</t>
    <phoneticPr fontId="2" type="noConversion"/>
  </si>
  <si>
    <t>monsterIndex</t>
    <phoneticPr fontId="2" type="noConversion"/>
  </si>
  <si>
    <t>公共变量</t>
    <phoneticPr fontId="2" type="noConversion"/>
  </si>
  <si>
    <t>值</t>
    <phoneticPr fontId="2" type="noConversion"/>
  </si>
  <si>
    <t>monsterNumInStage</t>
    <phoneticPr fontId="2" type="noConversion"/>
  </si>
  <si>
    <t>monsterHpf</t>
    <phoneticPr fontId="2" type="noConversion"/>
  </si>
  <si>
    <t>monsterHpi</t>
    <phoneticPr fontId="2" type="noConversion"/>
  </si>
  <si>
    <t>备注</t>
    <phoneticPr fontId="2" type="noConversion"/>
  </si>
  <si>
    <t>每个stage怪物数</t>
    <phoneticPr fontId="2" type="noConversion"/>
  </si>
  <si>
    <t>monsterHpModifier</t>
    <phoneticPr fontId="2" type="noConversion"/>
  </si>
  <si>
    <t>由于不是狂点，而是点泡泡，需要除一个数</t>
    <phoneticPr fontId="2" type="noConversion"/>
  </si>
  <si>
    <t>bossMultier</t>
  </si>
  <si>
    <t>bossMultiplier</t>
    <phoneticPr fontId="2" type="noConversion"/>
  </si>
  <si>
    <t>monsterHp</t>
    <phoneticPr fontId="2" type="noConversion"/>
  </si>
  <si>
    <t>monsterGoldi</t>
    <phoneticPr fontId="2" type="noConversion"/>
  </si>
  <si>
    <t>所需时间</t>
  </si>
  <si>
    <t>时间轴</t>
  </si>
  <si>
    <t>体验描述</t>
  </si>
  <si>
    <t>这15秒用来培养一个基本概念，点击造成伤害，对于第一次玩这种游戏的玩家而言，这个值比较合理</t>
  </si>
  <si>
    <t>在第15秒，就用DPS加倍营造了第一个小高潮，爽点就出来了</t>
  </si>
  <si>
    <t>2倍时间差距其实不是很敏感</t>
  </si>
  <si>
    <t>掉落9个和2的比较初步给玩家灌输了打BOSS有好康这个概念</t>
  </si>
  <si>
    <t>在前一分钟，所需时间的趋势是越来越短的，有一种渐入佳境，瞬间秒杀的快感。</t>
  </si>
  <si>
    <t>这个8秒就对体验影响比较大了，玩家可以明显的感觉到了要打很久，但由于之前一个BOSS的体验，玩家会预期接下来有好康，所以愿意打一打。而打完爆了17个金币，如果玩家不是频繁升级，足够升2-3级，很爽。</t>
  </si>
  <si>
    <t>而在1分半，遇到了一个大卡点。经过了之前对升级，BOSS等概念的灌输，可以想象玩家这时候会全力升级。当克服了这个困难后，整整39个金币，只需要再稍微努力一点点，就可以升级之前眼馋了很久自动打怪。1分半解锁新系统，不错的节奏。</t>
  </si>
  <si>
    <t>如果玩家继续玩，秒杀一次6个金币的奖励也给了玩家足够的动力。</t>
  </si>
  <si>
    <t>TAP体验轴</t>
    <phoneticPr fontId="2" type="noConversion"/>
  </si>
  <si>
    <t>playerLevel</t>
    <phoneticPr fontId="2" type="noConversion"/>
  </si>
  <si>
    <t>playerDamage</t>
    <phoneticPr fontId="2" type="noConversion"/>
  </si>
  <si>
    <t>playerLevelCost</t>
    <phoneticPr fontId="2" type="noConversion"/>
  </si>
  <si>
    <t>monsterGoldTT</t>
    <phoneticPr fontId="2" type="noConversion"/>
  </si>
  <si>
    <t>monsterGoldMH</t>
    <phoneticPr fontId="2" type="noConversion"/>
  </si>
  <si>
    <t>monsterGoldiMH</t>
    <phoneticPr fontId="2" type="noConversion"/>
  </si>
  <si>
    <t>PlayerGoldSum</t>
    <phoneticPr fontId="2" type="noConversion"/>
  </si>
  <si>
    <t>PlayerLevelTT</t>
    <phoneticPr fontId="2" type="noConversion"/>
  </si>
  <si>
    <t>playerLevelTotal</t>
    <phoneticPr fontId="2" type="noConversion"/>
  </si>
  <si>
    <t>value_BAK</t>
    <phoneticPr fontId="2" type="noConversion"/>
  </si>
  <si>
    <t>value</t>
    <phoneticPr fontId="2" type="noConversion"/>
  </si>
  <si>
    <t>MonsterIndex</t>
    <phoneticPr fontId="2" type="noConversion"/>
  </si>
  <si>
    <t>MonsterGold</t>
    <phoneticPr fontId="2" type="noConversion"/>
  </si>
  <si>
    <t>MonsterLoot1</t>
    <phoneticPr fontId="2" type="noConversion"/>
  </si>
  <si>
    <t>MonsterLoot2</t>
    <phoneticPr fontId="2" type="noConversion"/>
  </si>
  <si>
    <t>逻辑怎么写</t>
    <phoneticPr fontId="2" type="noConversion"/>
  </si>
  <si>
    <t>总LOOT数量控制在10个内，优先用</t>
    <phoneticPr fontId="2" type="noConversion"/>
  </si>
  <si>
    <t>Num</t>
    <phoneticPr fontId="2" type="noConversion"/>
  </si>
  <si>
    <t>TotalValue</t>
    <phoneticPr fontId="2" type="noConversion"/>
  </si>
  <si>
    <t>妈了个B，搞了半天得出来一个结论，直接把TT数值中的金币转化成物品时绝对不合理的！！</t>
    <phoneticPr fontId="2" type="noConversion"/>
  </si>
  <si>
    <t>点击泡泡造成伤害的核心玩法是没问题的。那么接下来就是数值和系统的问题。</t>
    <phoneticPr fontId="2" type="noConversion"/>
  </si>
  <si>
    <t>由于希望强化点击玩法，所以在数值上，除了升级以外还需要别的系统来强化。</t>
    <phoneticPr fontId="2" type="noConversion"/>
  </si>
  <si>
    <t>武器系统当然没有问题，那么开始设计武器系统。</t>
    <phoneticPr fontId="2" type="noConversion"/>
  </si>
  <si>
    <t>武器系统怎么作用于战斗数值</t>
    <phoneticPr fontId="2" type="noConversion"/>
  </si>
  <si>
    <t>武器系统的输入是什么</t>
    <phoneticPr fontId="2" type="noConversion"/>
  </si>
  <si>
    <t>武器系统的UI</t>
    <phoneticPr fontId="2" type="noConversion"/>
  </si>
  <si>
    <t>武器系统给玩家的体验</t>
    <phoneticPr fontId="2" type="noConversion"/>
  </si>
  <si>
    <t>追求好武器，扩大需求（强化，宝石，符文），最好一开始别太坑太复杂</t>
    <phoneticPr fontId="2" type="noConversion"/>
  </si>
  <si>
    <t>在一开始的战斗过程中，玩家会收集到一些熔铸武器的素材，然后武器系统解锁，造一个武器，DPS爆炸一波。这体验很好。</t>
    <phoneticPr fontId="2" type="noConversion"/>
  </si>
  <si>
    <t>那么决定了输入可以从战斗中获取。</t>
    <phoneticPr fontId="2" type="noConversion"/>
  </si>
  <si>
    <t>输入的种类应该是多种多样的还是单一的？</t>
    <phoneticPr fontId="2" type="noConversion"/>
  </si>
  <si>
    <t>武器的种类和合成素材种类应该是多种多样的还是单一的？</t>
    <phoneticPr fontId="2" type="noConversion"/>
  </si>
  <si>
    <t>武器的铸造应不应该有随机性？</t>
    <phoneticPr fontId="2" type="noConversion"/>
  </si>
  <si>
    <t>是不是应该添加一个符合世界观的核心主线？让辅助系统成为帮助而不是必须。核心经济循环的线要多复杂。</t>
    <phoneticPr fontId="2" type="noConversion"/>
  </si>
  <si>
    <t>这个依照游戏类型不同差别很大。</t>
    <phoneticPr fontId="2" type="noConversion"/>
  </si>
  <si>
    <t>单机游戏MH里，只有二条线，造兵器，造套装。数值很简单，乐趣在于技巧提升。</t>
    <phoneticPr fontId="2" type="noConversion"/>
  </si>
  <si>
    <t>典型卡牌比如少三里，线就很多了，初期感受最强烈的是武将组合。但在过程中有很多坑要填，填一个坑战斗力都迅速上涨。</t>
    <phoneticPr fontId="2" type="noConversion"/>
  </si>
  <si>
    <t>在参考的挖洞游戏里，核心循环是解锁新科技，但提供的循环都反馈到了经济系统里。</t>
    <phoneticPr fontId="2" type="noConversion"/>
  </si>
  <si>
    <t>对于TAPTITANS，加战斗力的系统都是逐步解锁的，比较固化。但付费会破坏这个固化。</t>
    <phoneticPr fontId="2" type="noConversion"/>
  </si>
  <si>
    <t>玩家分配经济的行为应该有多复杂？</t>
    <phoneticPr fontId="2" type="noConversion"/>
  </si>
  <si>
    <t>画一下框图</t>
    <phoneticPr fontId="2" type="noConversion"/>
  </si>
  <si>
    <t>如何让资源始终是短缺的。</t>
    <phoneticPr fontId="2" type="noConversion"/>
  </si>
  <si>
    <t>在MH里，两个方式保证了素材的短缺性。一，多样的武器和护甲是刚需。二，稀有素材。</t>
    <phoneticPr fontId="2" type="noConversion"/>
  </si>
  <si>
    <t>典型卡牌里，两个方式保证了素材的短缺性。一，有多个武将需要升级。二，素材获取的随机性。</t>
    <phoneticPr fontId="2" type="noConversion"/>
  </si>
  <si>
    <t>挖洞游戏里，单个素材始终是不短缺的。短缺来源于卖钱。</t>
    <phoneticPr fontId="2" type="noConversion"/>
  </si>
  <si>
    <t>TAPTITANS里，资源总是可以无限使用，保证了短缺性。</t>
    <phoneticPr fontId="2" type="noConversion"/>
  </si>
  <si>
    <t>挂机游戏里，战斗力两个来源，英雄和装备，然后再不断细分。</t>
    <phoneticPr fontId="2" type="noConversion"/>
  </si>
  <si>
    <t>武器系统的概念说服力。</t>
    <phoneticPr fontId="2" type="noConversion"/>
  </si>
  <si>
    <t>感觉变成征途的武器了。。。一堆东西，不喜欢。不喜欢的原因是概念复杂，坑太深。</t>
    <phoneticPr fontId="2" type="noConversion"/>
  </si>
  <si>
    <t>同理，不喜欢武器无限强化概念。</t>
    <phoneticPr fontId="2" type="noConversion"/>
  </si>
  <si>
    <t>武器树状升级。</t>
    <phoneticPr fontId="2" type="noConversion"/>
  </si>
  <si>
    <t>武器一次成型。</t>
    <phoneticPr fontId="2" type="noConversion"/>
  </si>
  <si>
    <t>武器的需求量不大。</t>
    <phoneticPr fontId="2" type="noConversion"/>
  </si>
  <si>
    <t>一个固定大小的坑，一个不固定大小的坑。</t>
    <phoneticPr fontId="2" type="noConversion"/>
  </si>
  <si>
    <t>DIABOLO武器系统。</t>
    <phoneticPr fontId="2" type="noConversion"/>
  </si>
  <si>
    <t>后期用不同武器打BOSS？</t>
    <phoneticPr fontId="2" type="noConversion"/>
  </si>
  <si>
    <t>这个游戏要不要有随机性，预期成长高的坑。要，放哪里合适。</t>
    <phoneticPr fontId="2" type="noConversion"/>
  </si>
  <si>
    <t>来一个前期系统，玩家一看就知道是好东西，并且这玩意要是个坑。</t>
    <phoneticPr fontId="2" type="noConversion"/>
  </si>
  <si>
    <t>多样性和最优解。</t>
    <phoneticPr fontId="2" type="noConversion"/>
  </si>
  <si>
    <t>可以在手感上有变化的参数（泡泡大小，刷新数量，持续时间</t>
    <phoneticPr fontId="2" type="noConversion"/>
  </si>
  <si>
    <t>能不能赚钱就靠能不能设计一个好的坑点了！</t>
    <phoneticPr fontId="2" type="noConversion"/>
  </si>
  <si>
    <t>我觉得挖洞游戏付费冲动其实不是很强。。。</t>
    <phoneticPr fontId="2" type="noConversion"/>
  </si>
  <si>
    <t>预期的强大，毕业套~勾引付费~</t>
    <phoneticPr fontId="2" type="noConversion"/>
  </si>
  <si>
    <t>传奇武器兑换券，感觉就是用一次就没的东西</t>
    <phoneticPr fontId="2" type="noConversion"/>
  </si>
  <si>
    <t>决定了！就以武器品质的差异作为付费点。</t>
    <phoneticPr fontId="2" type="noConversion"/>
  </si>
  <si>
    <t>品质的差异影响成长值，有两种做法。一种是词缀的百分比数值不同。第二种是单纯的成长值不同。</t>
    <phoneticPr fontId="2" type="noConversion"/>
  </si>
  <si>
    <t>都要求武器能升级。武器升级是怎么样一个机制。</t>
    <phoneticPr fontId="2" type="noConversion"/>
  </si>
  <si>
    <t>武器的更新换代速度应该是怎么样的。</t>
    <phoneticPr fontId="2" type="noConversion"/>
  </si>
  <si>
    <t>玩家在随机获取武器，武器花钱升级这整一套下的体验。</t>
    <phoneticPr fontId="2" type="noConversion"/>
  </si>
  <si>
    <t>就抄这个挂机游戏，但他的一个刚需是不同的职业都要有。</t>
    <phoneticPr fontId="2" type="noConversion"/>
  </si>
  <si>
    <t>能不能设计一个系统，不同的武器都要有？</t>
    <phoneticPr fontId="2" type="noConversion"/>
  </si>
  <si>
    <t>而且是机制上决定都要有，而不是靠数值卡。</t>
    <phoneticPr fontId="2" type="noConversion"/>
  </si>
  <si>
    <t>这要不同的BOSS模式。</t>
    <phoneticPr fontId="2" type="noConversion"/>
  </si>
  <si>
    <t>核心玩法易简不宜多，不然无论从数值上还是从代码工作量上都容易崩</t>
    <phoneticPr fontId="2" type="noConversion"/>
  </si>
  <si>
    <t>传奇武器，传奇饰品</t>
    <phoneticPr fontId="2" type="noConversion"/>
  </si>
  <si>
    <t>武器的差别</t>
    <phoneticPr fontId="2" type="noConversion"/>
  </si>
  <si>
    <t>只有攻击力相关和技能相关</t>
    <phoneticPr fontId="2" type="noConversion"/>
  </si>
  <si>
    <t>词缀</t>
    <phoneticPr fontId="2" type="noConversion"/>
  </si>
  <si>
    <t>暴击率</t>
    <phoneticPr fontId="2" type="noConversion"/>
  </si>
  <si>
    <t>暴击伤害</t>
    <phoneticPr fontId="2" type="noConversion"/>
  </si>
  <si>
    <t>技能CD</t>
    <phoneticPr fontId="2" type="noConversion"/>
  </si>
  <si>
    <t>百分比伤害</t>
    <phoneticPr fontId="2" type="noConversion"/>
  </si>
  <si>
    <t>弱点伤害</t>
    <phoneticPr fontId="2" type="noConversion"/>
  </si>
  <si>
    <t>弱点发现率</t>
    <phoneticPr fontId="2" type="noConversion"/>
  </si>
  <si>
    <t>攻击点刷新率</t>
    <phoneticPr fontId="2" type="noConversion"/>
  </si>
  <si>
    <t>攻击点大小</t>
    <phoneticPr fontId="2" type="noConversion"/>
  </si>
  <si>
    <t>名称</t>
    <phoneticPr fontId="2" type="noConversion"/>
  </si>
  <si>
    <t>嗜血</t>
    <phoneticPr fontId="2" type="noConversion"/>
  </si>
  <si>
    <t>残暴</t>
    <phoneticPr fontId="2" type="noConversion"/>
  </si>
  <si>
    <t>狡诈</t>
    <phoneticPr fontId="2" type="noConversion"/>
  </si>
  <si>
    <t>穿透</t>
    <phoneticPr fontId="2" type="noConversion"/>
  </si>
  <si>
    <t>狂怒</t>
    <phoneticPr fontId="2" type="noConversion"/>
  </si>
  <si>
    <t>机警</t>
    <phoneticPr fontId="2" type="noConversion"/>
  </si>
  <si>
    <t>沉重</t>
    <phoneticPr fontId="2" type="noConversion"/>
  </si>
  <si>
    <t>敏捷</t>
    <phoneticPr fontId="2" type="noConversion"/>
  </si>
  <si>
    <t>熔铸：有几率将武器的词缀转化到主武器上，只能转同级。高级的贵，成功率高。失败损失素材。</t>
    <phoneticPr fontId="2" type="noConversion"/>
  </si>
  <si>
    <t>强化：升级。简单升级。</t>
    <phoneticPr fontId="2" type="noConversion"/>
  </si>
  <si>
    <t>武器系统的输入</t>
    <phoneticPr fontId="2" type="noConversion"/>
  </si>
  <si>
    <t>百分比攻击力</t>
    <phoneticPr fontId="2" type="noConversion"/>
  </si>
  <si>
    <t>不同的素材的投入造出来的基础级别不一样。</t>
    <phoneticPr fontId="2" type="noConversion"/>
  </si>
  <si>
    <t>投入特殊素材进行附魔。</t>
    <phoneticPr fontId="2" type="noConversion"/>
  </si>
  <si>
    <t>词缀是否需要等级。。。。。。。。</t>
    <phoneticPr fontId="2" type="noConversion"/>
  </si>
  <si>
    <t>不行，附魔是渣渣。取消稀有素材设定。</t>
    <phoneticPr fontId="2" type="noConversion"/>
  </si>
  <si>
    <t>各种品质的武器差别，怎么弄成一个坑</t>
    <phoneticPr fontId="2" type="noConversion"/>
  </si>
  <si>
    <t>左手武器，主要影响内脏暴击，敏捷</t>
    <phoneticPr fontId="2" type="noConversion"/>
  </si>
  <si>
    <t>右手武器，主要影响平A，力量</t>
    <phoneticPr fontId="2" type="noConversion"/>
  </si>
  <si>
    <t>如何把数值分解到各个系统中。。。。。。。。。。。。。。。。。。。。。</t>
    <phoneticPr fontId="2" type="noConversion"/>
  </si>
  <si>
    <t>暴击率</t>
    <phoneticPr fontId="2" type="noConversion"/>
  </si>
  <si>
    <t>暴击伤害</t>
    <phoneticPr fontId="2" type="noConversion"/>
  </si>
  <si>
    <t>攻击点刷新率</t>
    <phoneticPr fontId="2" type="noConversion"/>
  </si>
  <si>
    <t>攻击点大小</t>
    <phoneticPr fontId="2" type="noConversion"/>
  </si>
  <si>
    <t>饰品，主要影响技能</t>
    <phoneticPr fontId="2" type="noConversion"/>
  </si>
  <si>
    <t>技能等级</t>
    <phoneticPr fontId="2" type="noConversion"/>
  </si>
  <si>
    <t>技能CD</t>
    <phoneticPr fontId="2" type="noConversion"/>
  </si>
  <si>
    <t>技能伤害</t>
    <phoneticPr fontId="2" type="noConversion"/>
  </si>
  <si>
    <t>百分比伤害</t>
    <phoneticPr fontId="2" type="noConversion"/>
  </si>
  <si>
    <t>弱点伤害</t>
    <phoneticPr fontId="2" type="noConversion"/>
  </si>
  <si>
    <t>弱点发现率</t>
    <phoneticPr fontId="2" type="noConversion"/>
  </si>
  <si>
    <t>弱点消失速度</t>
    <phoneticPr fontId="2" type="noConversion"/>
  </si>
  <si>
    <t>弱点大小</t>
    <phoneticPr fontId="2" type="noConversion"/>
  </si>
  <si>
    <t>属性随机？属性成长？武器品种差异？</t>
    <phoneticPr fontId="2" type="noConversion"/>
  </si>
  <si>
    <t>太刀</t>
    <phoneticPr fontId="2" type="noConversion"/>
  </si>
  <si>
    <t>大剑</t>
    <phoneticPr fontId="2" type="noConversion"/>
  </si>
  <si>
    <t>斧子</t>
    <phoneticPr fontId="2" type="noConversion"/>
  </si>
  <si>
    <t>短刀</t>
    <phoneticPr fontId="2" type="noConversion"/>
  </si>
  <si>
    <t>左轮</t>
    <phoneticPr fontId="2" type="noConversion"/>
  </si>
  <si>
    <t>霰弹枪</t>
    <phoneticPr fontId="2" type="noConversion"/>
  </si>
  <si>
    <t>猎枪</t>
    <phoneticPr fontId="2" type="noConversion"/>
  </si>
  <si>
    <t>+</t>
    <phoneticPr fontId="2" type="noConversion"/>
  </si>
  <si>
    <t>-</t>
    <phoneticPr fontId="2" type="noConversion"/>
  </si>
  <si>
    <t>-</t>
    <phoneticPr fontId="2" type="noConversion"/>
  </si>
  <si>
    <t>+</t>
    <phoneticPr fontId="2" type="noConversion"/>
  </si>
  <si>
    <t>-</t>
    <phoneticPr fontId="2" type="noConversion"/>
  </si>
  <si>
    <t>不同品质的差别</t>
    <phoneticPr fontId="2" type="noConversion"/>
  </si>
  <si>
    <t>斩味</t>
    <phoneticPr fontId="2" type="noConversion"/>
  </si>
  <si>
    <t>攻击力</t>
    <phoneticPr fontId="2" type="noConversion"/>
  </si>
  <si>
    <t>属性</t>
    <phoneticPr fontId="2" type="noConversion"/>
  </si>
  <si>
    <t>（挂机时间）</t>
    <phoneticPr fontId="2" type="noConversion"/>
  </si>
  <si>
    <t>（自动攻击）</t>
    <phoneticPr fontId="2" type="noConversion"/>
  </si>
  <si>
    <t>左右武器斩味相加就行</t>
    <phoneticPr fontId="2" type="noConversion"/>
  </si>
  <si>
    <t>挂机收益等于十分之一的攻击力在不断杀同一只怪</t>
    <phoneticPr fontId="2" type="noConversion"/>
  </si>
  <si>
    <t>做简单一点，不同属性再来个名字就够了。</t>
    <phoneticPr fontId="2" type="noConversion"/>
  </si>
  <si>
    <t>武器数值和UI展示</t>
    <phoneticPr fontId="2" type="noConversion"/>
  </si>
  <si>
    <t>升级等级线性增加力量</t>
    <phoneticPr fontId="2" type="noConversion"/>
  </si>
  <si>
    <t>每次关键升级增加百分比伤害，属性跳跃式增加</t>
    <phoneticPr fontId="2" type="noConversion"/>
  </si>
  <si>
    <t>力量</t>
    <phoneticPr fontId="2" type="noConversion"/>
  </si>
  <si>
    <t>敏捷</t>
    <phoneticPr fontId="2" type="noConversion"/>
  </si>
  <si>
    <t>这个似乎不是很直观？</t>
    <phoneticPr fontId="2" type="noConversion"/>
  </si>
  <si>
    <t>（百分比增加攻击伤害）</t>
    <phoneticPr fontId="2" type="noConversion"/>
  </si>
  <si>
    <t>（百分比增加弱点攻击伤害）</t>
    <phoneticPr fontId="2" type="noConversion"/>
  </si>
  <si>
    <t>耳环</t>
    <phoneticPr fontId="2" type="noConversion"/>
  </si>
  <si>
    <t>戒指</t>
    <phoneticPr fontId="2" type="noConversion"/>
  </si>
  <si>
    <t>项链</t>
    <phoneticPr fontId="2" type="noConversion"/>
  </si>
  <si>
    <t>来个浮动值？</t>
    <phoneticPr fontId="2" type="noConversion"/>
  </si>
  <si>
    <t>这个要搞完技能再说</t>
    <phoneticPr fontId="2" type="noConversion"/>
  </si>
  <si>
    <t>大类</t>
    <phoneticPr fontId="2" type="noConversion"/>
  </si>
  <si>
    <t>小类</t>
    <phoneticPr fontId="2" type="noConversion"/>
  </si>
  <si>
    <t>品质</t>
    <phoneticPr fontId="2" type="noConversion"/>
  </si>
  <si>
    <t>等级</t>
    <phoneticPr fontId="2" type="noConversion"/>
  </si>
  <si>
    <t>强化</t>
    <phoneticPr fontId="2" type="noConversion"/>
  </si>
  <si>
    <t>哪些东西放到逻辑里，哪些东西放到数据库里？</t>
    <phoneticPr fontId="2" type="noConversion"/>
  </si>
  <si>
    <t>太刀</t>
    <phoneticPr fontId="2" type="noConversion"/>
  </si>
  <si>
    <t>大剑</t>
    <phoneticPr fontId="2" type="noConversion"/>
  </si>
  <si>
    <t>斧子</t>
    <phoneticPr fontId="2" type="noConversion"/>
  </si>
  <si>
    <t>短刀</t>
    <phoneticPr fontId="2" type="noConversion"/>
  </si>
  <si>
    <t>类型</t>
    <phoneticPr fontId="2" type="noConversion"/>
  </si>
  <si>
    <t>暴击率</t>
    <phoneticPr fontId="2" type="noConversion"/>
  </si>
  <si>
    <t>暴击伤害</t>
    <phoneticPr fontId="2" type="noConversion"/>
  </si>
  <si>
    <t>攻击点刷新率</t>
    <phoneticPr fontId="2" type="noConversion"/>
  </si>
  <si>
    <t>攻击点大小</t>
    <phoneticPr fontId="2" type="noConversion"/>
  </si>
  <si>
    <t>强化等级</t>
    <phoneticPr fontId="2" type="noConversion"/>
  </si>
  <si>
    <t>需要等级</t>
    <phoneticPr fontId="2" type="noConversion"/>
  </si>
  <si>
    <t>需要素材</t>
    <phoneticPr fontId="2" type="noConversion"/>
  </si>
  <si>
    <t>百分比伤害值</t>
    <phoneticPr fontId="2" type="noConversion"/>
  </si>
  <si>
    <t>Level</t>
    <phoneticPr fontId="2" type="noConversion"/>
  </si>
  <si>
    <t>Cost</t>
    <phoneticPr fontId="2" type="noConversion"/>
  </si>
  <si>
    <t>Weapon</t>
    <phoneticPr fontId="2" type="noConversion"/>
  </si>
  <si>
    <t>Attack</t>
    <phoneticPr fontId="2" type="noConversion"/>
  </si>
  <si>
    <t>Execute</t>
    <phoneticPr fontId="2" type="noConversion"/>
  </si>
  <si>
    <t>Monster</t>
    <phoneticPr fontId="2" type="noConversion"/>
  </si>
  <si>
    <t>Index</t>
    <phoneticPr fontId="2" type="noConversion"/>
  </si>
  <si>
    <t>Hp</t>
    <phoneticPr fontId="2" type="noConversion"/>
  </si>
  <si>
    <t>Gold</t>
    <phoneticPr fontId="2" type="noConversion"/>
  </si>
  <si>
    <t>Loot</t>
    <phoneticPr fontId="2" type="noConversion"/>
  </si>
  <si>
    <t>Strength</t>
    <phoneticPr fontId="2" type="noConversion"/>
  </si>
  <si>
    <t>Cost</t>
    <phoneticPr fontId="2" type="noConversion"/>
  </si>
  <si>
    <t>Champion</t>
    <phoneticPr fontId="2" type="noConversion"/>
  </si>
  <si>
    <t>Keen</t>
    <phoneticPr fontId="2" type="noConversion"/>
  </si>
  <si>
    <t>Rare</t>
    <phoneticPr fontId="2" type="noConversion"/>
  </si>
  <si>
    <t>Gun</t>
    <phoneticPr fontId="2" type="noConversion"/>
  </si>
  <si>
    <t>MonsterIndex</t>
    <phoneticPr fontId="2" type="noConversion"/>
  </si>
  <si>
    <t>打表常用变量</t>
    <phoneticPr fontId="2" type="noConversion"/>
  </si>
  <si>
    <t>自然数列</t>
    <phoneticPr fontId="2" type="noConversion"/>
  </si>
  <si>
    <t>图例</t>
    <phoneticPr fontId="2" type="noConversion"/>
  </si>
  <si>
    <t>过程变量</t>
    <phoneticPr fontId="2" type="noConversion"/>
  </si>
  <si>
    <t>预设值</t>
    <phoneticPr fontId="2" type="noConversion"/>
  </si>
  <si>
    <t>处决倍率</t>
    <phoneticPr fontId="2" type="noConversion"/>
  </si>
  <si>
    <t>stage</t>
    <phoneticPr fontId="2" type="noConversion"/>
  </si>
  <si>
    <t>monsterHpExponent</t>
    <phoneticPr fontId="2" type="noConversion"/>
  </si>
  <si>
    <t>monsterHpInit</t>
    <phoneticPr fontId="2" type="noConversion"/>
  </si>
  <si>
    <t>RealHp</t>
    <phoneticPr fontId="2" type="noConversion"/>
  </si>
  <si>
    <t>BasicGold</t>
    <phoneticPr fontId="2" type="noConversion"/>
  </si>
  <si>
    <t>StageBonus</t>
    <phoneticPr fontId="2" type="noConversion"/>
  </si>
  <si>
    <t>BasicGoldMod</t>
    <phoneticPr fontId="2" type="noConversion"/>
  </si>
  <si>
    <t>StageBonusMod</t>
    <phoneticPr fontId="2" type="noConversion"/>
  </si>
  <si>
    <t>BossHpParam</t>
    <phoneticPr fontId="2" type="noConversion"/>
  </si>
  <si>
    <t>BubbleClickRate</t>
    <phoneticPr fontId="2" type="noConversion"/>
  </si>
  <si>
    <t>PlayerGold</t>
    <phoneticPr fontId="2" type="noConversion"/>
  </si>
  <si>
    <t>PlayerLevel</t>
    <phoneticPr fontId="2" type="noConversion"/>
  </si>
  <si>
    <t>PlayerDamage</t>
    <phoneticPr fontId="2" type="noConversion"/>
  </si>
  <si>
    <t>TotalCost</t>
    <phoneticPr fontId="2" type="noConversion"/>
  </si>
  <si>
    <t>TotalGold</t>
    <phoneticPr fontId="2" type="noConversion"/>
  </si>
  <si>
    <t>15秒第一个小高潮</t>
    <phoneticPr fontId="2" type="noConversion"/>
  </si>
  <si>
    <t>解锁新玩法</t>
    <phoneticPr fontId="2" type="noConversion"/>
  </si>
  <si>
    <t>目标体验轴-3MIN</t>
    <phoneticPr fontId="2" type="noConversion"/>
  </si>
  <si>
    <t>实际体验轴-3MIN</t>
    <phoneticPr fontId="2" type="noConversion"/>
  </si>
  <si>
    <t>目标体验轴-DAY1</t>
    <phoneticPr fontId="2" type="noConversion"/>
  </si>
  <si>
    <t>目标体验轴-WEEK1</t>
    <phoneticPr fontId="2" type="noConversion"/>
  </si>
  <si>
    <t>Event</t>
    <phoneticPr fontId="2" type="noConversion"/>
  </si>
  <si>
    <t>升级前</t>
    <phoneticPr fontId="2" type="noConversion"/>
  </si>
  <si>
    <t>升级后</t>
    <phoneticPr fontId="2" type="noConversion"/>
  </si>
  <si>
    <t>技能解锁后</t>
    <phoneticPr fontId="2" type="noConversion"/>
  </si>
  <si>
    <t>处决解锁前</t>
    <phoneticPr fontId="2" type="noConversion"/>
  </si>
  <si>
    <t>处决解锁后</t>
    <phoneticPr fontId="2" type="noConversion"/>
  </si>
  <si>
    <t>技能解锁前</t>
    <phoneticPr fontId="2" type="noConversion"/>
  </si>
  <si>
    <t>核心玩法</t>
    <phoneticPr fontId="2" type="noConversion"/>
  </si>
  <si>
    <t>1.点击泡泡造成伤害</t>
    <phoneticPr fontId="2" type="noConversion"/>
  </si>
  <si>
    <t>2.点击特殊泡泡进行处决</t>
    <phoneticPr fontId="2" type="noConversion"/>
  </si>
  <si>
    <t>3.高挂机产出</t>
    <phoneticPr fontId="2" type="noConversion"/>
  </si>
  <si>
    <t>4.技能连招</t>
    <phoneticPr fontId="2" type="noConversion"/>
  </si>
  <si>
    <t>5.简单但有些坑的经济系统</t>
    <phoneticPr fontId="2" type="noConversion"/>
  </si>
  <si>
    <t>付费点</t>
    <phoneticPr fontId="2" type="noConversion"/>
  </si>
  <si>
    <t>1.武器</t>
    <phoneticPr fontId="2" type="noConversion"/>
  </si>
  <si>
    <t>2.加速经济建设</t>
    <phoneticPr fontId="2" type="noConversion"/>
  </si>
  <si>
    <t>Time</t>
    <phoneticPr fontId="2" type="noConversion"/>
  </si>
  <si>
    <t>UIUnlock</t>
    <phoneticPr fontId="2" type="noConversion"/>
  </si>
  <si>
    <t>备注</t>
    <phoneticPr fontId="2" type="noConversion"/>
  </si>
  <si>
    <t>需要平衡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</si>
</sst>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1" fillId="0" borderId="0">
      <alignment vertical="center"/>
    </xf>
  </cellStyleXfs>
  <cellXfs count="19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0" fontId="4" fillId="0" borderId="0" xfId="0" applyFont="1"/>
    <xf numFmtId="0" fontId="0" fillId="0" borderId="0" xfId="0"/>
    <xf numFmtId="0" fontId="0" fillId="0" borderId="1" xfId="0" applyBorder="1"/>
    <xf numFmtId="9" fontId="0" fillId="0" borderId="0" xfId="0" applyNumberFormat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/>
    <xf numFmtId="0" fontId="3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0" fillId="0" borderId="0" xfId="0" applyFill="1" applyAlignment="1">
      <alignment wrapText="1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体验!$F$9:$F$183</c:f>
              <c:numCache>
                <c:formatCode>General</c:formatCode>
                <c:ptCount val="17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1.45</c:v>
                </c:pt>
                <c:pt idx="6">
                  <c:v>1.45</c:v>
                </c:pt>
                <c:pt idx="7">
                  <c:v>1.45</c:v>
                </c:pt>
                <c:pt idx="8">
                  <c:v>1.45</c:v>
                </c:pt>
                <c:pt idx="9">
                  <c:v>2.9</c:v>
                </c:pt>
                <c:pt idx="10">
                  <c:v>2.2999999999999998</c:v>
                </c:pt>
                <c:pt idx="11">
                  <c:v>1.5333333333333334</c:v>
                </c:pt>
                <c:pt idx="12">
                  <c:v>1.5333333333333334</c:v>
                </c:pt>
                <c:pt idx="13">
                  <c:v>1.5333333333333334</c:v>
                </c:pt>
                <c:pt idx="14">
                  <c:v>1.5333333333333334</c:v>
                </c:pt>
                <c:pt idx="15">
                  <c:v>1.5333333333333334</c:v>
                </c:pt>
                <c:pt idx="16">
                  <c:v>1.5333333333333334</c:v>
                </c:pt>
                <c:pt idx="17">
                  <c:v>1.5333333333333334</c:v>
                </c:pt>
                <c:pt idx="18">
                  <c:v>1.5333333333333334</c:v>
                </c:pt>
                <c:pt idx="19">
                  <c:v>3.6399999999999997</c:v>
                </c:pt>
                <c:pt idx="20">
                  <c:v>1.44</c:v>
                </c:pt>
                <c:pt idx="21">
                  <c:v>1.44</c:v>
                </c:pt>
                <c:pt idx="22">
                  <c:v>1.44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5.375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1.1199999999999999</c:v>
                </c:pt>
                <c:pt idx="34">
                  <c:v>1.1199999999999999</c:v>
                </c:pt>
                <c:pt idx="35">
                  <c:v>1.1199999999999999</c:v>
                </c:pt>
                <c:pt idx="36">
                  <c:v>1.1199999999999999</c:v>
                </c:pt>
                <c:pt idx="37">
                  <c:v>1.1199999999999999</c:v>
                </c:pt>
                <c:pt idx="38">
                  <c:v>1.1199999999999999</c:v>
                </c:pt>
                <c:pt idx="39">
                  <c:v>7.87</c:v>
                </c:pt>
                <c:pt idx="40">
                  <c:v>1.4666666666666666</c:v>
                </c:pt>
                <c:pt idx="41">
                  <c:v>1.4666666666666666</c:v>
                </c:pt>
                <c:pt idx="42">
                  <c:v>1.2571428571428571</c:v>
                </c:pt>
                <c:pt idx="43">
                  <c:v>1.2571428571428571</c:v>
                </c:pt>
                <c:pt idx="44">
                  <c:v>1.2571428571428571</c:v>
                </c:pt>
                <c:pt idx="45">
                  <c:v>1.2571428571428571</c:v>
                </c:pt>
                <c:pt idx="46">
                  <c:v>1.2571428571428571</c:v>
                </c:pt>
                <c:pt idx="47">
                  <c:v>1.2571428571428571</c:v>
                </c:pt>
                <c:pt idx="48">
                  <c:v>1.1000000000000001</c:v>
                </c:pt>
                <c:pt idx="49">
                  <c:v>11.03125</c:v>
                </c:pt>
                <c:pt idx="50">
                  <c:v>1.4578947368421054</c:v>
                </c:pt>
                <c:pt idx="51">
                  <c:v>1.4578947368421054</c:v>
                </c:pt>
                <c:pt idx="52">
                  <c:v>1.4578947368421054</c:v>
                </c:pt>
                <c:pt idx="53">
                  <c:v>1.2590909090909093</c:v>
                </c:pt>
                <c:pt idx="54">
                  <c:v>1.2590909090909093</c:v>
                </c:pt>
                <c:pt idx="55">
                  <c:v>1.2590909090909093</c:v>
                </c:pt>
                <c:pt idx="56">
                  <c:v>1.2590909090909093</c:v>
                </c:pt>
                <c:pt idx="57">
                  <c:v>1.2590909090909093</c:v>
                </c:pt>
                <c:pt idx="58">
                  <c:v>1.2590909090909093</c:v>
                </c:pt>
                <c:pt idx="59">
                  <c:v>2.2160000000000002</c:v>
                </c:pt>
                <c:pt idx="60">
                  <c:v>1.7399999999999998</c:v>
                </c:pt>
                <c:pt idx="61">
                  <c:v>1.7399999999999998</c:v>
                </c:pt>
                <c:pt idx="62">
                  <c:v>1.7399999999999998</c:v>
                </c:pt>
                <c:pt idx="63">
                  <c:v>1.5535714285714286</c:v>
                </c:pt>
                <c:pt idx="64">
                  <c:v>1.5535714285714286</c:v>
                </c:pt>
                <c:pt idx="65">
                  <c:v>1.5535714285714286</c:v>
                </c:pt>
                <c:pt idx="66">
                  <c:v>1.5535714285714286</c:v>
                </c:pt>
                <c:pt idx="67">
                  <c:v>1.403225806451613</c:v>
                </c:pt>
                <c:pt idx="68">
                  <c:v>1.403225806451613</c:v>
                </c:pt>
                <c:pt idx="69">
                  <c:v>5.612903225806452</c:v>
                </c:pt>
                <c:pt idx="70">
                  <c:v>1.9514285714285715</c:v>
                </c:pt>
                <c:pt idx="71">
                  <c:v>1.9514285714285715</c:v>
                </c:pt>
                <c:pt idx="72">
                  <c:v>1.9514285714285715</c:v>
                </c:pt>
                <c:pt idx="73">
                  <c:v>1.9514285714285715</c:v>
                </c:pt>
                <c:pt idx="74">
                  <c:v>1.7512820512820515</c:v>
                </c:pt>
                <c:pt idx="75">
                  <c:v>1.7512820512820515</c:v>
                </c:pt>
                <c:pt idx="76">
                  <c:v>1.7512820512820515</c:v>
                </c:pt>
                <c:pt idx="77">
                  <c:v>1.7512820512820515</c:v>
                </c:pt>
                <c:pt idx="78">
                  <c:v>1.5883720930232559</c:v>
                </c:pt>
                <c:pt idx="79">
                  <c:v>9.5302325581395344</c:v>
                </c:pt>
                <c:pt idx="80">
                  <c:v>2.2333333333333334</c:v>
                </c:pt>
                <c:pt idx="81">
                  <c:v>2.2333333333333334</c:v>
                </c:pt>
                <c:pt idx="82">
                  <c:v>2.0226415094339623</c:v>
                </c:pt>
                <c:pt idx="83">
                  <c:v>2.0226415094339623</c:v>
                </c:pt>
                <c:pt idx="84">
                  <c:v>2.0226415094339623</c:v>
                </c:pt>
                <c:pt idx="85">
                  <c:v>2.0226415094339623</c:v>
                </c:pt>
                <c:pt idx="86">
                  <c:v>1.8169491525423731</c:v>
                </c:pt>
                <c:pt idx="87">
                  <c:v>1.8169491525423731</c:v>
                </c:pt>
                <c:pt idx="88">
                  <c:v>1.8169491525423731</c:v>
                </c:pt>
                <c:pt idx="89">
                  <c:v>12.720338983050848</c:v>
                </c:pt>
                <c:pt idx="90">
                  <c:v>2.3704225352112678</c:v>
                </c:pt>
                <c:pt idx="91">
                  <c:v>2.3704225352112678</c:v>
                </c:pt>
                <c:pt idx="92">
                  <c:v>2.1857142857142859</c:v>
                </c:pt>
                <c:pt idx="93">
                  <c:v>2.1857142857142859</c:v>
                </c:pt>
                <c:pt idx="94">
                  <c:v>2.1857142857142859</c:v>
                </c:pt>
                <c:pt idx="95">
                  <c:v>2.1857142857142859</c:v>
                </c:pt>
                <c:pt idx="96">
                  <c:v>1.98</c:v>
                </c:pt>
                <c:pt idx="97">
                  <c:v>1.98</c:v>
                </c:pt>
                <c:pt idx="98">
                  <c:v>1.98</c:v>
                </c:pt>
                <c:pt idx="99">
                  <c:v>19.803529411764707</c:v>
                </c:pt>
                <c:pt idx="100">
                  <c:v>2.4027272727272728</c:v>
                </c:pt>
                <c:pt idx="101">
                  <c:v>2.4027272727272728</c:v>
                </c:pt>
                <c:pt idx="102">
                  <c:v>2.2210084033613446</c:v>
                </c:pt>
                <c:pt idx="103">
                  <c:v>2.2210084033613446</c:v>
                </c:pt>
                <c:pt idx="104">
                  <c:v>2.2210084033613446</c:v>
                </c:pt>
                <c:pt idx="105">
                  <c:v>2.0330769230769232</c:v>
                </c:pt>
                <c:pt idx="106">
                  <c:v>2.0330769230769232</c:v>
                </c:pt>
                <c:pt idx="107">
                  <c:v>2.0330769230769232</c:v>
                </c:pt>
                <c:pt idx="108">
                  <c:v>1.8744680851063831</c:v>
                </c:pt>
                <c:pt idx="109">
                  <c:v>3.7489361702127662</c:v>
                </c:pt>
                <c:pt idx="110">
                  <c:v>2.9425531914893619</c:v>
                </c:pt>
                <c:pt idx="111">
                  <c:v>2.7296052631578949</c:v>
                </c:pt>
                <c:pt idx="112">
                  <c:v>2.7296052631578949</c:v>
                </c:pt>
                <c:pt idx="113">
                  <c:v>2.5145454545454546</c:v>
                </c:pt>
                <c:pt idx="114">
                  <c:v>2.5145454545454546</c:v>
                </c:pt>
                <c:pt idx="115">
                  <c:v>2.5145454545454546</c:v>
                </c:pt>
                <c:pt idx="116">
                  <c:v>2.3178770949720673</c:v>
                </c:pt>
                <c:pt idx="117">
                  <c:v>2.3178770949720673</c:v>
                </c:pt>
                <c:pt idx="118">
                  <c:v>2.1497409326424872</c:v>
                </c:pt>
                <c:pt idx="119">
                  <c:v>8.5994818652849752</c:v>
                </c:pt>
                <c:pt idx="120">
                  <c:v>3.1167464114832537</c:v>
                </c:pt>
                <c:pt idx="121">
                  <c:v>2.895111111111111</c:v>
                </c:pt>
                <c:pt idx="122">
                  <c:v>2.895111111111111</c:v>
                </c:pt>
                <c:pt idx="123">
                  <c:v>2.6806584362139918</c:v>
                </c:pt>
                <c:pt idx="124">
                  <c:v>2.6806584362139918</c:v>
                </c:pt>
                <c:pt idx="125">
                  <c:v>2.4957854406130267</c:v>
                </c:pt>
                <c:pt idx="126">
                  <c:v>2.4957854406130267</c:v>
                </c:pt>
                <c:pt idx="127">
                  <c:v>2.4957854406130267</c:v>
                </c:pt>
                <c:pt idx="128">
                  <c:v>2.3099290780141843</c:v>
                </c:pt>
                <c:pt idx="129">
                  <c:v>13.860283687943262</c:v>
                </c:pt>
                <c:pt idx="130">
                  <c:v>3.1371165644171777</c:v>
                </c:pt>
                <c:pt idx="131">
                  <c:v>2.9219999999999997</c:v>
                </c:pt>
                <c:pt idx="132">
                  <c:v>2.9219999999999997</c:v>
                </c:pt>
                <c:pt idx="133">
                  <c:v>2.7127320954907161</c:v>
                </c:pt>
                <c:pt idx="134">
                  <c:v>2.7127320954907161</c:v>
                </c:pt>
                <c:pt idx="135">
                  <c:v>2.5314356435643566</c:v>
                </c:pt>
                <c:pt idx="136">
                  <c:v>2.5314356435643566</c:v>
                </c:pt>
                <c:pt idx="137">
                  <c:v>2.3564516129032258</c:v>
                </c:pt>
                <c:pt idx="138">
                  <c:v>2.3564516129032258</c:v>
                </c:pt>
                <c:pt idx="139">
                  <c:v>16.495852534562211</c:v>
                </c:pt>
                <c:pt idx="140">
                  <c:v>3.0013084112149531</c:v>
                </c:pt>
                <c:pt idx="141">
                  <c:v>3.0013084112149531</c:v>
                </c:pt>
                <c:pt idx="142">
                  <c:v>2.8022687609075043</c:v>
                </c:pt>
                <c:pt idx="143">
                  <c:v>2.8022687609075043</c:v>
                </c:pt>
                <c:pt idx="144">
                  <c:v>2.6151465798045601</c:v>
                </c:pt>
                <c:pt idx="145">
                  <c:v>2.6151465798045601</c:v>
                </c:pt>
                <c:pt idx="146">
                  <c:v>2.4439878234398784</c:v>
                </c:pt>
                <c:pt idx="147">
                  <c:v>2.4439878234398784</c:v>
                </c:pt>
                <c:pt idx="148">
                  <c:v>2.2808238636363636</c:v>
                </c:pt>
                <c:pt idx="149">
                  <c:v>22.808380681818182</c:v>
                </c:pt>
                <c:pt idx="150">
                  <c:v>2.9279907084785135</c:v>
                </c:pt>
                <c:pt idx="151">
                  <c:v>2.7402173913043475</c:v>
                </c:pt>
                <c:pt idx="152">
                  <c:v>2.7402173913043475</c:v>
                </c:pt>
                <c:pt idx="153">
                  <c:v>2.5645981688708037</c:v>
                </c:pt>
                <c:pt idx="154">
                  <c:v>2.5645981688708037</c:v>
                </c:pt>
                <c:pt idx="155">
                  <c:v>2.4009523809523809</c:v>
                </c:pt>
                <c:pt idx="156">
                  <c:v>2.4009523809523809</c:v>
                </c:pt>
                <c:pt idx="157">
                  <c:v>2.4009523809523809</c:v>
                </c:pt>
                <c:pt idx="158">
                  <c:v>2.2488849241748441</c:v>
                </c:pt>
                <c:pt idx="159">
                  <c:v>4.497680642283675</c:v>
                </c:pt>
                <c:pt idx="160">
                  <c:v>3.3092809364548494</c:v>
                </c:pt>
                <c:pt idx="161">
                  <c:v>3.0993735317149569</c:v>
                </c:pt>
                <c:pt idx="162">
                  <c:v>3.0993735317149569</c:v>
                </c:pt>
                <c:pt idx="163">
                  <c:v>2.9059471365638769</c:v>
                </c:pt>
                <c:pt idx="164">
                  <c:v>2.9059471365638769</c:v>
                </c:pt>
                <c:pt idx="165">
                  <c:v>2.7239504473503096</c:v>
                </c:pt>
                <c:pt idx="166">
                  <c:v>2.7239504473503096</c:v>
                </c:pt>
                <c:pt idx="167">
                  <c:v>2.7239504473503096</c:v>
                </c:pt>
                <c:pt idx="168">
                  <c:v>2.5534838709677419</c:v>
                </c:pt>
                <c:pt idx="169">
                  <c:v>10.213935483870968</c:v>
                </c:pt>
                <c:pt idx="170">
                  <c:v>3.5286201022146506</c:v>
                </c:pt>
                <c:pt idx="171">
                  <c:v>3.5286201022146506</c:v>
                </c:pt>
                <c:pt idx="172">
                  <c:v>3.3105487480021312</c:v>
                </c:pt>
                <c:pt idx="173">
                  <c:v>3.1085042521260631</c:v>
                </c:pt>
                <c:pt idx="174">
                  <c:v>18.651075537768882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5872"/>
        <c:axId val="108786432"/>
      </c:lineChart>
      <c:catAx>
        <c:axId val="66255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8786432"/>
        <c:crosses val="autoZero"/>
        <c:auto val="1"/>
        <c:lblAlgn val="ctr"/>
        <c:lblOffset val="100"/>
        <c:noMultiLvlLbl val="0"/>
      </c:catAx>
      <c:valAx>
        <c:axId val="10878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255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体验!$N$9:$N$183</c:f>
              <c:numCache>
                <c:formatCode>General</c:formatCode>
                <c:ptCount val="175"/>
                <c:pt idx="0">
                  <c:v>2.6666666666666665</c:v>
                </c:pt>
                <c:pt idx="1">
                  <c:v>2.6666666666666665</c:v>
                </c:pt>
                <c:pt idx="2">
                  <c:v>2.6666666666666665</c:v>
                </c:pt>
                <c:pt idx="3">
                  <c:v>2.6666666666666665</c:v>
                </c:pt>
                <c:pt idx="4">
                  <c:v>2.6666666666666665</c:v>
                </c:pt>
                <c:pt idx="5">
                  <c:v>1.3333333333333333</c:v>
                </c:pt>
                <c:pt idx="6">
                  <c:v>3</c:v>
                </c:pt>
                <c:pt idx="7">
                  <c:v>2.3333333333333335</c:v>
                </c:pt>
                <c:pt idx="8">
                  <c:v>2.3333333333333335</c:v>
                </c:pt>
                <c:pt idx="9">
                  <c:v>2.3333333333333335</c:v>
                </c:pt>
                <c:pt idx="10">
                  <c:v>2.3333333333333335</c:v>
                </c:pt>
                <c:pt idx="11">
                  <c:v>2.3333333333333335</c:v>
                </c:pt>
                <c:pt idx="12">
                  <c:v>1.5555555555555556</c:v>
                </c:pt>
                <c:pt idx="13">
                  <c:v>6</c:v>
                </c:pt>
                <c:pt idx="14">
                  <c:v>2.4444444444444442</c:v>
                </c:pt>
                <c:pt idx="15">
                  <c:v>2.4444444444444442</c:v>
                </c:pt>
                <c:pt idx="16">
                  <c:v>1.4666666666666668</c:v>
                </c:pt>
                <c:pt idx="17">
                  <c:v>1.4666666666666668</c:v>
                </c:pt>
                <c:pt idx="18">
                  <c:v>1.4666666666666668</c:v>
                </c:pt>
                <c:pt idx="19">
                  <c:v>1.4666666666666668</c:v>
                </c:pt>
                <c:pt idx="20">
                  <c:v>8.5333333333333332</c:v>
                </c:pt>
                <c:pt idx="21">
                  <c:v>1.8888888888888891</c:v>
                </c:pt>
                <c:pt idx="22">
                  <c:v>1.8888888888888891</c:v>
                </c:pt>
                <c:pt idx="23">
                  <c:v>1.4166666666666667</c:v>
                </c:pt>
                <c:pt idx="24">
                  <c:v>1.4166666666666667</c:v>
                </c:pt>
                <c:pt idx="25">
                  <c:v>1.4166666666666667</c:v>
                </c:pt>
                <c:pt idx="26">
                  <c:v>1.4166666666666667</c:v>
                </c:pt>
                <c:pt idx="27">
                  <c:v>9.8333333333333339</c:v>
                </c:pt>
                <c:pt idx="28">
                  <c:v>1.7333333333333334</c:v>
                </c:pt>
                <c:pt idx="29">
                  <c:v>1.4444444444444444</c:v>
                </c:pt>
                <c:pt idx="30">
                  <c:v>1.4444444444444444</c:v>
                </c:pt>
                <c:pt idx="31">
                  <c:v>1.4444444444444444</c:v>
                </c:pt>
                <c:pt idx="32">
                  <c:v>1.4444444444444444</c:v>
                </c:pt>
                <c:pt idx="33">
                  <c:v>1.2380952380952381</c:v>
                </c:pt>
                <c:pt idx="34">
                  <c:v>8.8095238095238084</c:v>
                </c:pt>
                <c:pt idx="35">
                  <c:v>1.75</c:v>
                </c:pt>
                <c:pt idx="36">
                  <c:v>1.75</c:v>
                </c:pt>
                <c:pt idx="37">
                  <c:v>1.4736842105263159</c:v>
                </c:pt>
                <c:pt idx="38">
                  <c:v>1.4736842105263159</c:v>
                </c:pt>
                <c:pt idx="39">
                  <c:v>1.4736842105263159</c:v>
                </c:pt>
                <c:pt idx="40">
                  <c:v>1.4736842105263159</c:v>
                </c:pt>
                <c:pt idx="41">
                  <c:v>10.210526315789474</c:v>
                </c:pt>
                <c:pt idx="42">
                  <c:v>1.7333333333333334</c:v>
                </c:pt>
                <c:pt idx="43">
                  <c:v>1.7333333333333334</c:v>
                </c:pt>
                <c:pt idx="44">
                  <c:v>1.5476190476190477</c:v>
                </c:pt>
                <c:pt idx="45">
                  <c:v>1.5476190476190477</c:v>
                </c:pt>
                <c:pt idx="46">
                  <c:v>1.5476190476190477</c:v>
                </c:pt>
                <c:pt idx="47">
                  <c:v>1.5476190476190477</c:v>
                </c:pt>
                <c:pt idx="48">
                  <c:v>14.021505376344086</c:v>
                </c:pt>
                <c:pt idx="49">
                  <c:v>1.7435897435897436</c:v>
                </c:pt>
                <c:pt idx="50">
                  <c:v>1.7435897435897436</c:v>
                </c:pt>
                <c:pt idx="51">
                  <c:v>1.5813953488372094</c:v>
                </c:pt>
                <c:pt idx="52">
                  <c:v>1.5813953488372094</c:v>
                </c:pt>
                <c:pt idx="53">
                  <c:v>1.5813953488372094</c:v>
                </c:pt>
                <c:pt idx="54">
                  <c:v>1.4166666666666667</c:v>
                </c:pt>
                <c:pt idx="55">
                  <c:v>2.8472222222222219</c:v>
                </c:pt>
                <c:pt idx="56">
                  <c:v>2.2361111111111112</c:v>
                </c:pt>
                <c:pt idx="57">
                  <c:v>2.0251572327044025</c:v>
                </c:pt>
                <c:pt idx="58">
                  <c:v>2.0251572327044025</c:v>
                </c:pt>
                <c:pt idx="59">
                  <c:v>1.8192090395480225</c:v>
                </c:pt>
                <c:pt idx="60">
                  <c:v>1.8192090395480225</c:v>
                </c:pt>
                <c:pt idx="61">
                  <c:v>1.8192090395480225</c:v>
                </c:pt>
                <c:pt idx="62">
                  <c:v>6.697916666666667</c:v>
                </c:pt>
                <c:pt idx="63">
                  <c:v>2.3661971830985915</c:v>
                </c:pt>
                <c:pt idx="64">
                  <c:v>2.3661971830985915</c:v>
                </c:pt>
                <c:pt idx="65">
                  <c:v>2.1818181818181821</c:v>
                </c:pt>
                <c:pt idx="66">
                  <c:v>2.1818181818181821</c:v>
                </c:pt>
                <c:pt idx="67">
                  <c:v>1.9764705882352942</c:v>
                </c:pt>
                <c:pt idx="68">
                  <c:v>1.9764705882352942</c:v>
                </c:pt>
                <c:pt idx="69">
                  <c:v>10.978260869565217</c:v>
                </c:pt>
                <c:pt idx="70">
                  <c:v>2.4</c:v>
                </c:pt>
                <c:pt idx="71">
                  <c:v>2.4</c:v>
                </c:pt>
                <c:pt idx="72">
                  <c:v>2.2184873949579833</c:v>
                </c:pt>
                <c:pt idx="73">
                  <c:v>2.2184873949579833</c:v>
                </c:pt>
                <c:pt idx="74">
                  <c:v>2.0307692307692307</c:v>
                </c:pt>
                <c:pt idx="75">
                  <c:v>2.0307692307692307</c:v>
                </c:pt>
                <c:pt idx="76">
                  <c:v>13.120567375886525</c:v>
                </c:pt>
                <c:pt idx="77">
                  <c:v>2.5131313131313129</c:v>
                </c:pt>
                <c:pt idx="78">
                  <c:v>2.3165735567970205</c:v>
                </c:pt>
                <c:pt idx="79">
                  <c:v>2.3165735567970205</c:v>
                </c:pt>
                <c:pt idx="80">
                  <c:v>2.1485319516407597</c:v>
                </c:pt>
                <c:pt idx="81">
                  <c:v>2.1485319516407597</c:v>
                </c:pt>
                <c:pt idx="82">
                  <c:v>1.9840510366826158</c:v>
                </c:pt>
                <c:pt idx="83">
                  <c:v>13.897926634768739</c:v>
                </c:pt>
                <c:pt idx="84">
                  <c:v>2.495530012771392</c:v>
                </c:pt>
                <c:pt idx="85">
                  <c:v>2.3096926713947989</c:v>
                </c:pt>
                <c:pt idx="86">
                  <c:v>2.3096926713947989</c:v>
                </c:pt>
                <c:pt idx="87">
                  <c:v>2.1496149614961495</c:v>
                </c:pt>
                <c:pt idx="88">
                  <c:v>2.1496149614961495</c:v>
                </c:pt>
                <c:pt idx="89">
                  <c:v>1.9979550102249488</c:v>
                </c:pt>
                <c:pt idx="90">
                  <c:v>13.987730061349694</c:v>
                </c:pt>
                <c:pt idx="91">
                  <c:v>2.5313531353135312</c:v>
                </c:pt>
                <c:pt idx="92">
                  <c:v>2.3563748079877112</c:v>
                </c:pt>
                <c:pt idx="93">
                  <c:v>2.3563748079877112</c:v>
                </c:pt>
                <c:pt idx="94">
                  <c:v>2.1945636623748213</c:v>
                </c:pt>
                <c:pt idx="95">
                  <c:v>2.1945636623748213</c:v>
                </c:pt>
                <c:pt idx="96">
                  <c:v>2.049432197728791</c:v>
                </c:pt>
                <c:pt idx="97">
                  <c:v>20.495657982631929</c:v>
                </c:pt>
                <c:pt idx="98">
                  <c:v>2.28125</c:v>
                </c:pt>
                <c:pt idx="99">
                  <c:v>2.28125</c:v>
                </c:pt>
                <c:pt idx="100">
                  <c:v>2.1328021248339972</c:v>
                </c:pt>
                <c:pt idx="101">
                  <c:v>2.1328021248339972</c:v>
                </c:pt>
                <c:pt idx="102">
                  <c:v>1.995031055900621</c:v>
                </c:pt>
                <c:pt idx="103">
                  <c:v>1.995031055900621</c:v>
                </c:pt>
                <c:pt idx="104">
                  <c:v>3.7297715834301202</c:v>
                </c:pt>
                <c:pt idx="105">
                  <c:v>2.7398550724637682</c:v>
                </c:pt>
                <c:pt idx="106">
                  <c:v>2.7398550724637682</c:v>
                </c:pt>
                <c:pt idx="107">
                  <c:v>2.5642590708714819</c:v>
                </c:pt>
                <c:pt idx="108">
                  <c:v>2.4006349206349209</c:v>
                </c:pt>
                <c:pt idx="109">
                  <c:v>2.4006349206349209</c:v>
                </c:pt>
                <c:pt idx="110">
                  <c:v>2.2485875706214689</c:v>
                </c:pt>
                <c:pt idx="111">
                  <c:v>8.9955396966993764</c:v>
                </c:pt>
                <c:pt idx="112">
                  <c:v>2.9060205580029366</c:v>
                </c:pt>
                <c:pt idx="113">
                  <c:v>2.9060205580029366</c:v>
                </c:pt>
                <c:pt idx="114">
                  <c:v>2.7240192704748796</c:v>
                </c:pt>
                <c:pt idx="115">
                  <c:v>2.5535483870967743</c:v>
                </c:pt>
                <c:pt idx="116">
                  <c:v>2.5535483870967743</c:v>
                </c:pt>
                <c:pt idx="117">
                  <c:v>2.3958837772397095</c:v>
                </c:pt>
                <c:pt idx="118">
                  <c:v>13.48514101836078</c:v>
                </c:pt>
                <c:pt idx="119">
                  <c:v>2.9173708920187793</c:v>
                </c:pt>
                <c:pt idx="120">
                  <c:v>2.7398589065255732</c:v>
                </c:pt>
                <c:pt idx="121">
                  <c:v>2.7398589065255732</c:v>
                </c:pt>
                <c:pt idx="122">
                  <c:v>2.5730848861283646</c:v>
                </c:pt>
                <c:pt idx="123">
                  <c:v>2.4169583819525475</c:v>
                </c:pt>
                <c:pt idx="124">
                  <c:v>2.4169583819525475</c:v>
                </c:pt>
                <c:pt idx="125">
                  <c:v>15.892339544513456</c:v>
                </c:pt>
                <c:pt idx="126">
                  <c:v>2.7826583000570451</c:v>
                </c:pt>
                <c:pt idx="127">
                  <c:v>2.6162510056315367</c:v>
                </c:pt>
                <c:pt idx="128">
                  <c:v>2.6162510056315367</c:v>
                </c:pt>
                <c:pt idx="129">
                  <c:v>2.4605296343001259</c:v>
                </c:pt>
                <c:pt idx="130">
                  <c:v>2.314590747330961</c:v>
                </c:pt>
                <c:pt idx="131">
                  <c:v>2.314590747330961</c:v>
                </c:pt>
                <c:pt idx="132">
                  <c:v>15.240050583947037</c:v>
                </c:pt>
                <c:pt idx="133">
                  <c:v>2.6814892623716151</c:v>
                </c:pt>
                <c:pt idx="134">
                  <c:v>2.6814892623716151</c:v>
                </c:pt>
                <c:pt idx="135">
                  <c:v>2.5245865611779572</c:v>
                </c:pt>
                <c:pt idx="136">
                  <c:v>2.3768880612456029</c:v>
                </c:pt>
                <c:pt idx="137">
                  <c:v>2.3768880612456029</c:v>
                </c:pt>
                <c:pt idx="138">
                  <c:v>2.2382970432071705</c:v>
                </c:pt>
                <c:pt idx="139">
                  <c:v>14.755940912010276</c:v>
                </c:pt>
                <c:pt idx="140">
                  <c:v>2.7669236374793851</c:v>
                </c:pt>
                <c:pt idx="141">
                  <c:v>2.6070396068227812</c:v>
                </c:pt>
                <c:pt idx="142">
                  <c:v>2.4568178722244927</c:v>
                </c:pt>
                <c:pt idx="143">
                  <c:v>2.3153604210796588</c:v>
                </c:pt>
                <c:pt idx="144">
                  <c:v>2.3153604210796588</c:v>
                </c:pt>
                <c:pt idx="145">
                  <c:v>2.1823516955561604</c:v>
                </c:pt>
                <c:pt idx="146">
                  <c:v>21.823395952445775</c:v>
                </c:pt>
                <c:pt idx="147">
                  <c:v>2.4077806122448977</c:v>
                </c:pt>
                <c:pt idx="148">
                  <c:v>2.4077806122448977</c:v>
                </c:pt>
                <c:pt idx="149">
                  <c:v>2.2711905191601995</c:v>
                </c:pt>
                <c:pt idx="150">
                  <c:v>2.1424355918737938</c:v>
                </c:pt>
                <c:pt idx="151">
                  <c:v>2.1424355918737938</c:v>
                </c:pt>
                <c:pt idx="152">
                  <c:v>2.0210920770877947</c:v>
                </c:pt>
                <c:pt idx="153">
                  <c:v>4.0421841541755894</c:v>
                </c:pt>
                <c:pt idx="154">
                  <c:v>2.993787565028537</c:v>
                </c:pt>
                <c:pt idx="155">
                  <c:v>2.8248582185578801</c:v>
                </c:pt>
                <c:pt idx="156">
                  <c:v>2.6656772800863462</c:v>
                </c:pt>
                <c:pt idx="157">
                  <c:v>2.5156608097784567</c:v>
                </c:pt>
                <c:pt idx="158">
                  <c:v>2.3742839975966352</c:v>
                </c:pt>
                <c:pt idx="159">
                  <c:v>2.3742839975966352</c:v>
                </c:pt>
                <c:pt idx="160">
                  <c:v>8.963931947069943</c:v>
                </c:pt>
                <c:pt idx="161">
                  <c:v>3.1353391058252753</c:v>
                </c:pt>
                <c:pt idx="162">
                  <c:v>2.9600178122713827</c:v>
                </c:pt>
                <c:pt idx="163">
                  <c:v>2.7947624481950868</c:v>
                </c:pt>
                <c:pt idx="164">
                  <c:v>2.6389519056261341</c:v>
                </c:pt>
                <c:pt idx="165">
                  <c:v>2.4919665809768636</c:v>
                </c:pt>
                <c:pt idx="166">
                  <c:v>2.4919665809768636</c:v>
                </c:pt>
                <c:pt idx="167">
                  <c:v>14.120341569093561</c:v>
                </c:pt>
                <c:pt idx="168">
                  <c:v>2.9408425756325354</c:v>
                </c:pt>
                <c:pt idx="169">
                  <c:v>2.7782235828785491</c:v>
                </c:pt>
                <c:pt idx="170">
                  <c:v>2.6247484909456742</c:v>
                </c:pt>
                <c:pt idx="171">
                  <c:v>2.6247484909456742</c:v>
                </c:pt>
                <c:pt idx="172">
                  <c:v>2.4799117372485786</c:v>
                </c:pt>
                <c:pt idx="173">
                  <c:v>2.3432503087360268</c:v>
                </c:pt>
                <c:pt idx="174">
                  <c:v>15.499666585838993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835840"/>
        <c:axId val="266837376"/>
      </c:lineChart>
      <c:catAx>
        <c:axId val="266835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66837376"/>
        <c:crosses val="autoZero"/>
        <c:auto val="1"/>
        <c:lblAlgn val="ctr"/>
        <c:lblOffset val="100"/>
        <c:noMultiLvlLbl val="0"/>
      </c:catAx>
      <c:valAx>
        <c:axId val="26683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835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352426</xdr:colOff>
      <xdr:row>0</xdr:row>
      <xdr:rowOff>76200</xdr:rowOff>
    </xdr:from>
    <xdr:to>
      <xdr:col>7</xdr:col>
      <xdr:colOff>1495426</xdr:colOff>
      <xdr:row>4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476250</xdr:colOff>
      <xdr:row>0</xdr:row>
      <xdr:rowOff>19050</xdr:rowOff>
    </xdr:from>
    <xdr:to>
      <xdr:col>15</xdr:col>
      <xdr:colOff>581025</xdr:colOff>
      <xdr:row>3</xdr:row>
      <xdr:rowOff>333375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2"/>
  <sheetViews>
    <sheetView tabSelected="1" workbookViewId="0">
      <selection activeCell="B7" sqref="B7"/>
    </sheetView>
  </sheetViews>
  <sheetFormatPr defaultRowHeight="13.5" x14ac:dyDescent="0.15"/>
  <sheetData>
    <row r="3" spans="2:2" x14ac:dyDescent="0.15">
      <c r="B3" t="s">
        <v>330</v>
      </c>
    </row>
    <row r="4" spans="2:2" x14ac:dyDescent="0.15">
      <c r="B4" t="s">
        <v>331</v>
      </c>
    </row>
    <row r="5" spans="2:2" x14ac:dyDescent="0.15">
      <c r="B5" t="s">
        <v>332</v>
      </c>
    </row>
    <row r="6" spans="2:2" x14ac:dyDescent="0.15">
      <c r="B6" t="s">
        <v>333</v>
      </c>
    </row>
    <row r="7" spans="2:2" x14ac:dyDescent="0.15">
      <c r="B7" t="s">
        <v>334</v>
      </c>
    </row>
    <row r="8" spans="2:2" x14ac:dyDescent="0.15">
      <c r="B8" t="s">
        <v>335</v>
      </c>
    </row>
    <row r="10" spans="2:2" x14ac:dyDescent="0.15">
      <c r="B10" t="s">
        <v>336</v>
      </c>
    </row>
    <row r="11" spans="2:2" x14ac:dyDescent="0.15">
      <c r="B11" t="s">
        <v>337</v>
      </c>
    </row>
    <row r="12" spans="2:2" x14ac:dyDescent="0.15">
      <c r="B12" t="s">
        <v>338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1010"/>
  <sheetViews>
    <sheetView workbookViewId="0">
      <selection activeCell="A14" sqref="A14"/>
    </sheetView>
  </sheetViews>
  <sheetFormatPr defaultRowHeight="13.5" x14ac:dyDescent="0.15"/>
  <cols>
    <col min="1" max="2" width="9" style="5"/>
    <col min="3" max="3" width="1.25" style="12" customWidth="1"/>
    <col min="4" max="4" width="12.125" style="5" customWidth="1"/>
    <col min="5" max="7" width="9" style="5"/>
    <col min="8" max="8" width="22.875" style="5" customWidth="1"/>
    <col min="9" max="9" width="1.625" style="12" customWidth="1"/>
    <col min="10" max="10" width="12" style="5" customWidth="1"/>
    <col min="11" max="13" width="9" style="5"/>
    <col min="14" max="15" width="12.75" style="5" bestFit="1" customWidth="1"/>
    <col min="16" max="16" width="9" style="5"/>
    <col min="17" max="17" width="1.625" style="12" customWidth="1"/>
    <col min="18" max="18" width="11.625" style="18" customWidth="1"/>
    <col min="19" max="20" width="6.625" style="18" customWidth="1"/>
    <col min="21" max="21" width="13.5" style="18" customWidth="1"/>
    <col min="22" max="23" width="6.625" style="18" customWidth="1"/>
    <col min="24" max="24" width="13.125" style="18" customWidth="1"/>
    <col min="25" max="25" width="6.625" style="18" customWidth="1"/>
    <col min="26" max="29" width="9" style="5"/>
    <col min="30" max="30" width="1.125" style="12" customWidth="1"/>
    <col min="31" max="35" width="9" style="5"/>
    <col min="36" max="36" width="1.5" style="12" customWidth="1"/>
    <col min="37" max="37" width="11.625" style="5" customWidth="1"/>
    <col min="38" max="38" width="9" style="5"/>
    <col min="39" max="39" width="12.75" style="5" bestFit="1" customWidth="1"/>
    <col min="40" max="42" width="9" style="5"/>
    <col min="43" max="43" width="9.5" style="5" bestFit="1" customWidth="1"/>
    <col min="44" max="44" width="12.75" style="5" bestFit="1" customWidth="1"/>
    <col min="45" max="45" width="12.75" style="5" customWidth="1"/>
    <col min="46" max="46" width="9" style="5"/>
    <col min="47" max="47" width="1.125" style="12" customWidth="1"/>
    <col min="48" max="52" width="9" style="5"/>
    <col min="53" max="53" width="1" style="12" customWidth="1"/>
    <col min="54" max="16384" width="9" style="5"/>
  </cols>
  <sheetData>
    <row r="1" spans="1:58" ht="27" x14ac:dyDescent="0.15">
      <c r="J1" s="5" t="s">
        <v>311</v>
      </c>
      <c r="K1" s="5">
        <v>1.5</v>
      </c>
      <c r="AE1" s="5" t="s">
        <v>301</v>
      </c>
      <c r="AF1" s="5">
        <v>10</v>
      </c>
      <c r="AK1" s="5" t="s">
        <v>82</v>
      </c>
      <c r="AL1" s="5">
        <v>7</v>
      </c>
      <c r="AM1" s="5" t="s">
        <v>89</v>
      </c>
      <c r="AN1" s="5">
        <v>0</v>
      </c>
      <c r="AO1" s="5">
        <v>10</v>
      </c>
      <c r="AQ1" s="5" t="s">
        <v>306</v>
      </c>
      <c r="AR1" s="5">
        <v>0.02</v>
      </c>
    </row>
    <row r="2" spans="1:58" ht="27" x14ac:dyDescent="0.15">
      <c r="AK2" s="5" t="s">
        <v>87</v>
      </c>
      <c r="AL2" s="5">
        <v>0.15</v>
      </c>
      <c r="AN2" s="5">
        <v>1</v>
      </c>
      <c r="AO2" s="5">
        <v>2</v>
      </c>
      <c r="AQ2" s="5" t="s">
        <v>307</v>
      </c>
      <c r="AR2" s="5">
        <v>4.4999999999999999E-4</v>
      </c>
    </row>
    <row r="3" spans="1:58" ht="27" x14ac:dyDescent="0.15">
      <c r="AK3" s="5" t="s">
        <v>303</v>
      </c>
      <c r="AL3" s="5">
        <v>1.57</v>
      </c>
      <c r="AN3" s="5">
        <v>2</v>
      </c>
      <c r="AO3" s="5">
        <v>4</v>
      </c>
      <c r="AQ3" s="5" t="s">
        <v>308</v>
      </c>
      <c r="AR3" s="5">
        <f>AR1/AL2</f>
        <v>0.13333333333333333</v>
      </c>
    </row>
    <row r="4" spans="1:58" ht="27" x14ac:dyDescent="0.15">
      <c r="AK4" s="5" t="s">
        <v>304</v>
      </c>
      <c r="AL4" s="5">
        <v>18.5</v>
      </c>
      <c r="AM4" s="7"/>
      <c r="AN4" s="5">
        <v>3</v>
      </c>
      <c r="AO4" s="7">
        <v>6</v>
      </c>
      <c r="AQ4" s="5" t="s">
        <v>309</v>
      </c>
      <c r="AR4" s="5">
        <f>AR2/AL2</f>
        <v>3.0000000000000001E-3</v>
      </c>
    </row>
    <row r="5" spans="1:58" x14ac:dyDescent="0.15">
      <c r="AM5" s="7"/>
      <c r="AN5" s="5">
        <v>4</v>
      </c>
      <c r="AO5" s="7">
        <v>7</v>
      </c>
    </row>
    <row r="6" spans="1:58" s="12" customFormat="1" ht="5.25" customHeight="1" x14ac:dyDescent="0.15">
      <c r="AM6" s="15"/>
      <c r="AO6" s="15"/>
    </row>
    <row r="7" spans="1:58" ht="40.5" x14ac:dyDescent="0.15">
      <c r="A7" s="5" t="s">
        <v>296</v>
      </c>
      <c r="D7" s="5" t="s">
        <v>319</v>
      </c>
      <c r="J7" s="5" t="s">
        <v>320</v>
      </c>
      <c r="R7" s="18" t="s">
        <v>321</v>
      </c>
      <c r="X7" s="18" t="s">
        <v>322</v>
      </c>
      <c r="AE7" s="5" t="s">
        <v>291</v>
      </c>
      <c r="AK7" s="5" t="s">
        <v>284</v>
      </c>
      <c r="AV7" s="5" t="s">
        <v>281</v>
      </c>
      <c r="BB7" s="5" t="s">
        <v>294</v>
      </c>
    </row>
    <row r="8" spans="1:58" ht="27" x14ac:dyDescent="0.15">
      <c r="A8" s="5" t="s">
        <v>297</v>
      </c>
      <c r="B8" s="5" t="s">
        <v>298</v>
      </c>
      <c r="D8" s="5" t="s">
        <v>295</v>
      </c>
      <c r="E8" s="5" t="s">
        <v>112</v>
      </c>
      <c r="F8" s="5" t="s">
        <v>93</v>
      </c>
      <c r="G8" s="5" t="s">
        <v>94</v>
      </c>
      <c r="H8" s="5" t="s">
        <v>95</v>
      </c>
      <c r="J8" s="5" t="s">
        <v>295</v>
      </c>
      <c r="K8" s="5" t="s">
        <v>312</v>
      </c>
      <c r="L8" s="5" t="s">
        <v>313</v>
      </c>
      <c r="M8" s="5" t="s">
        <v>314</v>
      </c>
      <c r="N8" s="5" t="s">
        <v>93</v>
      </c>
      <c r="O8" s="5" t="s">
        <v>94</v>
      </c>
      <c r="P8" s="5" t="s">
        <v>95</v>
      </c>
      <c r="R8" s="18" t="s">
        <v>323</v>
      </c>
      <c r="S8" s="18" t="s">
        <v>339</v>
      </c>
      <c r="T8" s="18" t="s">
        <v>340</v>
      </c>
      <c r="U8" s="18" t="s">
        <v>341</v>
      </c>
      <c r="AE8" s="5" t="s">
        <v>279</v>
      </c>
      <c r="AF8" s="14" t="s">
        <v>280</v>
      </c>
      <c r="AG8" s="5" t="s">
        <v>282</v>
      </c>
      <c r="AH8" s="5" t="s">
        <v>283</v>
      </c>
      <c r="AI8" s="5" t="s">
        <v>315</v>
      </c>
      <c r="AK8" s="5" t="s">
        <v>285</v>
      </c>
      <c r="AL8" s="5" t="s">
        <v>302</v>
      </c>
      <c r="AM8" s="5" t="s">
        <v>305</v>
      </c>
      <c r="AN8" s="13" t="s">
        <v>286</v>
      </c>
      <c r="AO8" s="13" t="s">
        <v>310</v>
      </c>
      <c r="AP8" s="5" t="s">
        <v>287</v>
      </c>
      <c r="AQ8" s="13" t="s">
        <v>306</v>
      </c>
      <c r="AR8" s="13" t="s">
        <v>307</v>
      </c>
      <c r="AS8" s="13" t="s">
        <v>316</v>
      </c>
      <c r="AT8" s="5" t="s">
        <v>288</v>
      </c>
      <c r="AV8" s="5" t="s">
        <v>279</v>
      </c>
      <c r="AW8" s="5" t="s">
        <v>293</v>
      </c>
      <c r="AX8" s="5" t="s">
        <v>290</v>
      </c>
      <c r="AY8" s="5" t="s">
        <v>289</v>
      </c>
      <c r="AZ8" s="5" t="s">
        <v>292</v>
      </c>
      <c r="BB8" s="5" t="s">
        <v>279</v>
      </c>
      <c r="BC8" s="5" t="s">
        <v>293</v>
      </c>
      <c r="BD8" s="5" t="s">
        <v>290</v>
      </c>
      <c r="BE8" s="5" t="s">
        <v>289</v>
      </c>
      <c r="BF8" s="5" t="s">
        <v>292</v>
      </c>
    </row>
    <row r="9" spans="1:58" x14ac:dyDescent="0.15">
      <c r="A9" s="5">
        <v>1</v>
      </c>
      <c r="B9" s="13" t="s">
        <v>299</v>
      </c>
      <c r="D9" s="5">
        <v>1</v>
      </c>
      <c r="E9" s="5">
        <v>1</v>
      </c>
      <c r="F9" s="5">
        <v>2.9</v>
      </c>
      <c r="G9" s="5">
        <v>2.9</v>
      </c>
      <c r="J9" s="5">
        <f>A9</f>
        <v>1</v>
      </c>
      <c r="K9" s="5">
        <v>0</v>
      </c>
      <c r="L9" s="5">
        <f>LOOKUP(K9,AI:AI,AE:AE)</f>
        <v>1</v>
      </c>
      <c r="M9" s="5">
        <f>LOOKUP(L9,AE:AE,AG:AG)</f>
        <v>1</v>
      </c>
      <c r="N9" s="5">
        <f>AM9/M9/$K$1</f>
        <v>2.6666666666666665</v>
      </c>
      <c r="O9" s="5">
        <f>SUM($N$9:N9)</f>
        <v>2.6666666666666665</v>
      </c>
      <c r="R9" s="18" t="s">
        <v>324</v>
      </c>
      <c r="S9" s="18">
        <v>3</v>
      </c>
      <c r="AE9" s="5">
        <f>A9</f>
        <v>1</v>
      </c>
      <c r="AF9" s="5">
        <f>ROUND(1.05^AE9*(AE9+4),0)</f>
        <v>5</v>
      </c>
      <c r="AG9" s="5">
        <f>ROUND(1.05^AE9*AE9,0)</f>
        <v>1</v>
      </c>
      <c r="AH9" s="5">
        <f>AG9*$AF$1</f>
        <v>10</v>
      </c>
      <c r="AI9" s="5">
        <v>0</v>
      </c>
      <c r="AK9" s="5">
        <f>A9</f>
        <v>1</v>
      </c>
      <c r="AL9" s="5">
        <f>ROUNDUP(AK9/$AL$1,0)</f>
        <v>1</v>
      </c>
      <c r="AM9" s="5">
        <f>ROUND(AN9*AO9,0)</f>
        <v>4</v>
      </c>
      <c r="AN9" s="5">
        <f>$AL$4*$AL$3^AL9*$AL$2</f>
        <v>4.3567499999999999</v>
      </c>
      <c r="AO9" s="5">
        <f>IF(AL9=AL10,1,LOOKUP(MOD(AL9,$AL$1),$AN$1:$AN$5,$AO$1:$AO$5))</f>
        <v>1</v>
      </c>
      <c r="AP9" s="5">
        <f>ROUND(AQ9+AR9,0)</f>
        <v>1</v>
      </c>
      <c r="AQ9" s="5">
        <f>AM9*$AR$3</f>
        <v>0.53333333333333333</v>
      </c>
      <c r="AR9" s="5">
        <f>AM9*AL9*$AR$4</f>
        <v>1.2E-2</v>
      </c>
      <c r="AS9" s="5">
        <v>0</v>
      </c>
    </row>
    <row r="10" spans="1:58" x14ac:dyDescent="0.15">
      <c r="A10" s="5">
        <v>2</v>
      </c>
      <c r="B10" s="14" t="s">
        <v>300</v>
      </c>
      <c r="D10" s="5">
        <v>2</v>
      </c>
      <c r="E10" s="5">
        <v>1</v>
      </c>
      <c r="F10" s="5">
        <v>2.9</v>
      </c>
      <c r="G10" s="5">
        <v>5.8</v>
      </c>
      <c r="J10" s="5">
        <f t="shared" ref="J10:J73" si="0">A10</f>
        <v>2</v>
      </c>
      <c r="K10" s="5">
        <f>SUM($AP$9:AP9)</f>
        <v>1</v>
      </c>
      <c r="L10" s="5">
        <f>LOOKUP(K10,AI:AI,AE:AE)</f>
        <v>1</v>
      </c>
      <c r="M10" s="5">
        <f>LOOKUP(L10,AE:AE,AG:AG)</f>
        <v>1</v>
      </c>
      <c r="N10" s="5">
        <f>AM10/M10/$K$1</f>
        <v>2.6666666666666665</v>
      </c>
      <c r="O10" s="5">
        <f>SUM($N$9:N10)</f>
        <v>5.333333333333333</v>
      </c>
      <c r="R10" s="18" t="s">
        <v>325</v>
      </c>
      <c r="S10" s="18">
        <v>1.5</v>
      </c>
      <c r="AE10" s="5">
        <f t="shared" ref="AE10:AE73" si="1">A10</f>
        <v>2</v>
      </c>
      <c r="AF10" s="5">
        <f t="shared" ref="AF10:AF73" si="2">ROUND(1.05^AE10*(AE10+4),0)</f>
        <v>7</v>
      </c>
      <c r="AG10" s="5">
        <f t="shared" ref="AG10:AG73" si="3">ROUND(1.05^AE10*AE10,0)</f>
        <v>2</v>
      </c>
      <c r="AH10" s="5">
        <f>AG10*$AF$1</f>
        <v>20</v>
      </c>
      <c r="AI10" s="5">
        <f>SUM($AF$9:AF9)</f>
        <v>5</v>
      </c>
      <c r="AK10" s="5">
        <f t="shared" ref="AK10:AK73" si="4">A10</f>
        <v>2</v>
      </c>
      <c r="AL10" s="5">
        <f t="shared" ref="AL10:AL73" si="5">ROUNDUP(AK10/$AL$1,0)</f>
        <v>1</v>
      </c>
      <c r="AM10" s="5">
        <f t="shared" ref="AM10:AM73" si="6">ROUND(AN10*AO10,0)</f>
        <v>4</v>
      </c>
      <c r="AN10" s="5">
        <f>$AL$4*$AL$3^AL10*$AL$2</f>
        <v>4.3567499999999999</v>
      </c>
      <c r="AO10" s="5">
        <f>IF(AL10=AL11,1,LOOKUP(MOD(AL10,$AL$1),$AN$1:$AN$5,$AO$1:$AO$5))</f>
        <v>1</v>
      </c>
      <c r="AP10" s="5">
        <f t="shared" ref="AP10:AP73" si="7">ROUND(AQ10+AR10,0)</f>
        <v>1</v>
      </c>
      <c r="AQ10" s="5">
        <f>AM10*$AR$3</f>
        <v>0.53333333333333333</v>
      </c>
      <c r="AR10" s="5">
        <f>AM10*AL10*$AR$4</f>
        <v>1.2E-2</v>
      </c>
      <c r="AS10" s="5">
        <f>SUM($AP$9:AP9)</f>
        <v>1</v>
      </c>
    </row>
    <row r="11" spans="1:58" ht="27" x14ac:dyDescent="0.15">
      <c r="A11" s="5">
        <v>3</v>
      </c>
      <c r="D11" s="5">
        <v>3</v>
      </c>
      <c r="E11" s="5">
        <v>1</v>
      </c>
      <c r="F11" s="5">
        <v>2.9</v>
      </c>
      <c r="G11" s="5">
        <v>8.6999999999999993</v>
      </c>
      <c r="J11" s="5">
        <f t="shared" si="0"/>
        <v>3</v>
      </c>
      <c r="K11" s="5">
        <f>SUM($AP$9:AP10)</f>
        <v>2</v>
      </c>
      <c r="L11" s="5">
        <f>LOOKUP(K11,AI:AI,AE:AE)</f>
        <v>1</v>
      </c>
      <c r="M11" s="5">
        <f>LOOKUP(L11,AE:AE,AG:AG)</f>
        <v>1</v>
      </c>
      <c r="N11" s="5">
        <f>AM11/M11/$K$1</f>
        <v>2.6666666666666665</v>
      </c>
      <c r="O11" s="5">
        <f>SUM($N$9:N11)</f>
        <v>8</v>
      </c>
      <c r="R11" s="18" t="s">
        <v>327</v>
      </c>
      <c r="S11" s="18">
        <v>10</v>
      </c>
      <c r="U11" s="18" t="s">
        <v>342</v>
      </c>
      <c r="AE11" s="5">
        <f t="shared" si="1"/>
        <v>3</v>
      </c>
      <c r="AF11" s="5">
        <f t="shared" si="2"/>
        <v>8</v>
      </c>
      <c r="AG11" s="5">
        <f t="shared" si="3"/>
        <v>3</v>
      </c>
      <c r="AH11" s="5">
        <f>AG11*$AF$1</f>
        <v>30</v>
      </c>
      <c r="AI11" s="5">
        <f>SUM($AF$9:AF10)</f>
        <v>12</v>
      </c>
      <c r="AK11" s="5">
        <f t="shared" si="4"/>
        <v>3</v>
      </c>
      <c r="AL11" s="5">
        <f t="shared" si="5"/>
        <v>1</v>
      </c>
      <c r="AM11" s="5">
        <f t="shared" si="6"/>
        <v>4</v>
      </c>
      <c r="AN11" s="5">
        <f>$AL$4*$AL$3^AL11*$AL$2</f>
        <v>4.3567499999999999</v>
      </c>
      <c r="AO11" s="5">
        <f>IF(AL11=AL12,1,LOOKUP(MOD(AL11,$AL$1),$AN$1:$AN$5,$AO$1:$AO$5))</f>
        <v>1</v>
      </c>
      <c r="AP11" s="5">
        <f t="shared" si="7"/>
        <v>1</v>
      </c>
      <c r="AQ11" s="5">
        <f>AM11*$AR$3</f>
        <v>0.53333333333333333</v>
      </c>
      <c r="AR11" s="5">
        <f>AM11*AL11*$AR$4</f>
        <v>1.2E-2</v>
      </c>
      <c r="AS11" s="5">
        <f>SUM($AP$9:AP10)</f>
        <v>2</v>
      </c>
    </row>
    <row r="12" spans="1:58" x14ac:dyDescent="0.15">
      <c r="A12" s="5">
        <v>4</v>
      </c>
      <c r="D12" s="5">
        <v>4</v>
      </c>
      <c r="E12" s="5">
        <v>1</v>
      </c>
      <c r="F12" s="5">
        <v>2.9</v>
      </c>
      <c r="G12" s="5">
        <v>11.6</v>
      </c>
      <c r="J12" s="5">
        <f t="shared" si="0"/>
        <v>4</v>
      </c>
      <c r="K12" s="5">
        <f>SUM($AP$9:AP11)</f>
        <v>3</v>
      </c>
      <c r="L12" s="5">
        <f>LOOKUP(K12,AI:AI,AE:AE)</f>
        <v>1</v>
      </c>
      <c r="M12" s="5">
        <f>LOOKUP(L12,AE:AE,AG:AG)</f>
        <v>1</v>
      </c>
      <c r="N12" s="5">
        <f>AM12/M12/$K$1</f>
        <v>2.6666666666666665</v>
      </c>
      <c r="O12" s="5">
        <f>SUM($N$9:N12)</f>
        <v>10.666666666666666</v>
      </c>
      <c r="R12" s="18" t="s">
        <v>328</v>
      </c>
      <c r="S12" s="18">
        <v>3</v>
      </c>
      <c r="AE12" s="5">
        <f t="shared" si="1"/>
        <v>4</v>
      </c>
      <c r="AF12" s="5">
        <f t="shared" si="2"/>
        <v>10</v>
      </c>
      <c r="AG12" s="5">
        <f t="shared" si="3"/>
        <v>5</v>
      </c>
      <c r="AH12" s="5">
        <f>AG12*$AF$1</f>
        <v>50</v>
      </c>
      <c r="AI12" s="5">
        <f>SUM($AF$9:AF11)</f>
        <v>20</v>
      </c>
      <c r="AK12" s="5">
        <f t="shared" si="4"/>
        <v>4</v>
      </c>
      <c r="AL12" s="5">
        <f t="shared" si="5"/>
        <v>1</v>
      </c>
      <c r="AM12" s="5">
        <f t="shared" si="6"/>
        <v>4</v>
      </c>
      <c r="AN12" s="5">
        <f>$AL$4*$AL$3^AL12*$AL$2</f>
        <v>4.3567499999999999</v>
      </c>
      <c r="AO12" s="5">
        <f>IF(AL12=AL13,1,LOOKUP(MOD(AL12,$AL$1),$AN$1:$AN$5,$AO$1:$AO$5))</f>
        <v>1</v>
      </c>
      <c r="AP12" s="5">
        <f t="shared" si="7"/>
        <v>1</v>
      </c>
      <c r="AQ12" s="5">
        <f>AM12*$AR$3</f>
        <v>0.53333333333333333</v>
      </c>
      <c r="AR12" s="5">
        <f>AM12*AL12*$AR$4</f>
        <v>1.2E-2</v>
      </c>
      <c r="AS12" s="5">
        <f>SUM($AP$9:AP11)</f>
        <v>3</v>
      </c>
    </row>
    <row r="13" spans="1:58" ht="54" x14ac:dyDescent="0.15">
      <c r="A13" s="5">
        <v>5</v>
      </c>
      <c r="D13" s="5">
        <v>5</v>
      </c>
      <c r="E13" s="5">
        <v>1</v>
      </c>
      <c r="F13" s="5">
        <v>2.9</v>
      </c>
      <c r="G13" s="5">
        <v>14.5</v>
      </c>
      <c r="H13" s="10" t="s">
        <v>96</v>
      </c>
      <c r="I13" s="16"/>
      <c r="J13" s="5">
        <f t="shared" si="0"/>
        <v>5</v>
      </c>
      <c r="K13" s="5">
        <f>SUM($AP$9:AP12)</f>
        <v>4</v>
      </c>
      <c r="L13" s="5">
        <f>LOOKUP(K13,AI:AI,AE:AE)</f>
        <v>1</v>
      </c>
      <c r="M13" s="5">
        <f>LOOKUP(L13,AE:AE,AG:AG)</f>
        <v>1</v>
      </c>
      <c r="N13" s="5">
        <f>AM13/M13/$K$1</f>
        <v>2.6666666666666665</v>
      </c>
      <c r="O13" s="5">
        <f>SUM($N$9:N13)</f>
        <v>13.333333333333332</v>
      </c>
      <c r="R13" s="18" t="s">
        <v>329</v>
      </c>
      <c r="AE13" s="5">
        <f t="shared" si="1"/>
        <v>5</v>
      </c>
      <c r="AF13" s="5">
        <f t="shared" si="2"/>
        <v>11</v>
      </c>
      <c r="AG13" s="5">
        <f t="shared" si="3"/>
        <v>6</v>
      </c>
      <c r="AH13" s="5">
        <f>AG13*$AF$1</f>
        <v>60</v>
      </c>
      <c r="AI13" s="5">
        <f>SUM($AF$9:AF12)</f>
        <v>30</v>
      </c>
      <c r="AK13" s="5">
        <f t="shared" si="4"/>
        <v>5</v>
      </c>
      <c r="AL13" s="5">
        <f t="shared" si="5"/>
        <v>1</v>
      </c>
      <c r="AM13" s="5">
        <f t="shared" si="6"/>
        <v>4</v>
      </c>
      <c r="AN13" s="5">
        <f>$AL$4*$AL$3^AL13*$AL$2</f>
        <v>4.3567499999999999</v>
      </c>
      <c r="AO13" s="5">
        <f>IF(AL13=AL14,1,LOOKUP(MOD(AL13,$AL$1),$AN$1:$AN$5,$AO$1:$AO$5))</f>
        <v>1</v>
      </c>
      <c r="AP13" s="5">
        <f t="shared" si="7"/>
        <v>1</v>
      </c>
      <c r="AQ13" s="5">
        <f>AM13*$AR$3</f>
        <v>0.53333333333333333</v>
      </c>
      <c r="AR13" s="5">
        <f>AM13*AL13*$AR$4</f>
        <v>1.2E-2</v>
      </c>
      <c r="AS13" s="5">
        <f>SUM($AP$9:AP12)</f>
        <v>4</v>
      </c>
    </row>
    <row r="14" spans="1:58" ht="40.5" x14ac:dyDescent="0.15">
      <c r="A14" s="5">
        <v>6</v>
      </c>
      <c r="D14" s="5">
        <v>6</v>
      </c>
      <c r="E14" s="5">
        <v>2</v>
      </c>
      <c r="F14" s="5">
        <v>1.45</v>
      </c>
      <c r="G14" s="5">
        <v>15.95</v>
      </c>
      <c r="H14" s="10" t="s">
        <v>97</v>
      </c>
      <c r="I14" s="16"/>
      <c r="J14" s="5">
        <f t="shared" si="0"/>
        <v>6</v>
      </c>
      <c r="K14" s="5">
        <f>SUM($AP$9:AP13)</f>
        <v>5</v>
      </c>
      <c r="L14" s="5">
        <f>LOOKUP(K14,AI:AI,AE:AE)</f>
        <v>2</v>
      </c>
      <c r="M14" s="5">
        <f>LOOKUP(L14,AE:AE,AG:AG)</f>
        <v>2</v>
      </c>
      <c r="N14" s="5">
        <f>AM14/M14/$K$1</f>
        <v>1.3333333333333333</v>
      </c>
      <c r="O14" s="5">
        <f>SUM($N$9:N14)</f>
        <v>14.666666666666666</v>
      </c>
      <c r="P14" s="10" t="s">
        <v>317</v>
      </c>
      <c r="R14" s="18" t="s">
        <v>326</v>
      </c>
      <c r="AE14" s="5">
        <f t="shared" si="1"/>
        <v>6</v>
      </c>
      <c r="AF14" s="5">
        <f t="shared" si="2"/>
        <v>13</v>
      </c>
      <c r="AG14" s="5">
        <f t="shared" si="3"/>
        <v>8</v>
      </c>
      <c r="AH14" s="5">
        <f>AG14*$AF$1</f>
        <v>80</v>
      </c>
      <c r="AI14" s="5">
        <f>SUM($AF$9:AF13)</f>
        <v>41</v>
      </c>
      <c r="AK14" s="5">
        <f t="shared" si="4"/>
        <v>6</v>
      </c>
      <c r="AL14" s="5">
        <f t="shared" si="5"/>
        <v>1</v>
      </c>
      <c r="AM14" s="5">
        <f t="shared" si="6"/>
        <v>4</v>
      </c>
      <c r="AN14" s="5">
        <f>$AL$4*$AL$3^AL14*$AL$2</f>
        <v>4.3567499999999999</v>
      </c>
      <c r="AO14" s="5">
        <f>IF(AL14=AL15,1,LOOKUP(MOD(AL14,$AL$1),$AN$1:$AN$5,$AO$1:$AO$5))</f>
        <v>1</v>
      </c>
      <c r="AP14" s="5">
        <f t="shared" si="7"/>
        <v>1</v>
      </c>
      <c r="AQ14" s="5">
        <f>AM14*$AR$3</f>
        <v>0.53333333333333333</v>
      </c>
      <c r="AR14" s="5">
        <f>AM14*AL14*$AR$4</f>
        <v>1.2E-2</v>
      </c>
      <c r="AS14" s="5">
        <f>SUM($AP$9:AP13)</f>
        <v>5</v>
      </c>
    </row>
    <row r="15" spans="1:58" x14ac:dyDescent="0.15">
      <c r="A15" s="5">
        <v>7</v>
      </c>
      <c r="D15" s="5">
        <v>7</v>
      </c>
      <c r="E15" s="5">
        <v>2</v>
      </c>
      <c r="F15" s="5">
        <v>1.45</v>
      </c>
      <c r="G15" s="5">
        <v>17.399999999999999</v>
      </c>
      <c r="J15" s="5">
        <f t="shared" si="0"/>
        <v>7</v>
      </c>
      <c r="K15" s="5">
        <f>SUM($AP$9:AP14)</f>
        <v>6</v>
      </c>
      <c r="L15" s="5">
        <f>LOOKUP(K15,AI:AI,AE:AE)</f>
        <v>2</v>
      </c>
      <c r="M15" s="5">
        <f>LOOKUP(L15,AE:AE,AG:AG)</f>
        <v>2</v>
      </c>
      <c r="N15" s="5">
        <f>AM15/M15/$K$1</f>
        <v>3</v>
      </c>
      <c r="O15" s="5">
        <f>SUM($N$9:N15)</f>
        <v>17.666666666666664</v>
      </c>
      <c r="AE15" s="5">
        <f t="shared" si="1"/>
        <v>7</v>
      </c>
      <c r="AF15" s="5">
        <f t="shared" si="2"/>
        <v>15</v>
      </c>
      <c r="AG15" s="5">
        <f t="shared" si="3"/>
        <v>10</v>
      </c>
      <c r="AH15" s="5">
        <f>AG15*$AF$1</f>
        <v>100</v>
      </c>
      <c r="AI15" s="5">
        <f>SUM($AF$9:AF14)</f>
        <v>54</v>
      </c>
      <c r="AK15" s="5">
        <f t="shared" si="4"/>
        <v>7</v>
      </c>
      <c r="AL15" s="5">
        <f t="shared" si="5"/>
        <v>1</v>
      </c>
      <c r="AM15" s="5">
        <f t="shared" si="6"/>
        <v>9</v>
      </c>
      <c r="AN15" s="5">
        <f>$AL$4*$AL$3^AL15*$AL$2</f>
        <v>4.3567499999999999</v>
      </c>
      <c r="AO15" s="5">
        <f>IF(AL15=AL16,1,LOOKUP(MOD(AL15,$AL$1),$AN$1:$AN$5,$AO$1:$AO$5))</f>
        <v>2</v>
      </c>
      <c r="AP15" s="5">
        <f t="shared" si="7"/>
        <v>1</v>
      </c>
      <c r="AQ15" s="5">
        <f>AM15*$AR$3</f>
        <v>1.2</v>
      </c>
      <c r="AR15" s="5">
        <f>AM15*AL15*$AR$4</f>
        <v>2.7E-2</v>
      </c>
      <c r="AS15" s="5">
        <f>SUM($AP$9:AP14)</f>
        <v>6</v>
      </c>
    </row>
    <row r="16" spans="1:58" x14ac:dyDescent="0.15">
      <c r="A16" s="5">
        <v>8</v>
      </c>
      <c r="D16" s="5">
        <v>8</v>
      </c>
      <c r="E16" s="5">
        <v>2</v>
      </c>
      <c r="F16" s="5">
        <v>1.45</v>
      </c>
      <c r="G16" s="5">
        <v>18.849999999999998</v>
      </c>
      <c r="J16" s="5">
        <f t="shared" si="0"/>
        <v>8</v>
      </c>
      <c r="K16" s="5">
        <f>SUM($AP$9:AP15)</f>
        <v>7</v>
      </c>
      <c r="L16" s="5">
        <f>LOOKUP(K16,AI:AI,AE:AE)</f>
        <v>2</v>
      </c>
      <c r="M16" s="5">
        <f>LOOKUP(L16,AE:AE,AG:AG)</f>
        <v>2</v>
      </c>
      <c r="N16" s="5">
        <f>AM16/M16/$K$1</f>
        <v>2.3333333333333335</v>
      </c>
      <c r="O16" s="5">
        <f>SUM($N$9:N16)</f>
        <v>19.999999999999996</v>
      </c>
      <c r="AE16" s="5">
        <f t="shared" si="1"/>
        <v>8</v>
      </c>
      <c r="AF16" s="5">
        <f t="shared" si="2"/>
        <v>18</v>
      </c>
      <c r="AG16" s="5">
        <f t="shared" si="3"/>
        <v>12</v>
      </c>
      <c r="AH16" s="5">
        <f>AG16*$AF$1</f>
        <v>120</v>
      </c>
      <c r="AI16" s="5">
        <f>SUM($AF$9:AF15)</f>
        <v>69</v>
      </c>
      <c r="AK16" s="5">
        <f t="shared" si="4"/>
        <v>8</v>
      </c>
      <c r="AL16" s="5">
        <f t="shared" si="5"/>
        <v>2</v>
      </c>
      <c r="AM16" s="5">
        <f t="shared" si="6"/>
        <v>7</v>
      </c>
      <c r="AN16" s="5">
        <f>$AL$4*$AL$3^AL16*$AL$2</f>
        <v>6.8400974999999997</v>
      </c>
      <c r="AO16" s="5">
        <f>IF(AL16=AL17,1,LOOKUP(MOD(AL16,$AL$1),$AN$1:$AN$5,$AO$1:$AO$5))</f>
        <v>1</v>
      </c>
      <c r="AP16" s="5">
        <f t="shared" si="7"/>
        <v>1</v>
      </c>
      <c r="AQ16" s="5">
        <f>AM16*$AR$3</f>
        <v>0.93333333333333335</v>
      </c>
      <c r="AR16" s="5">
        <f>AM16*AL16*$AR$4</f>
        <v>4.2000000000000003E-2</v>
      </c>
      <c r="AS16" s="5">
        <f>SUM($AP$9:AP15)</f>
        <v>7</v>
      </c>
    </row>
    <row r="17" spans="1:45" x14ac:dyDescent="0.15">
      <c r="A17" s="5">
        <v>9</v>
      </c>
      <c r="D17" s="5">
        <v>9</v>
      </c>
      <c r="E17" s="5">
        <v>2</v>
      </c>
      <c r="F17" s="5">
        <v>1.45</v>
      </c>
      <c r="G17" s="5">
        <v>20.299999999999997</v>
      </c>
      <c r="J17" s="5">
        <f t="shared" si="0"/>
        <v>9</v>
      </c>
      <c r="K17" s="5">
        <f>SUM($AP$9:AP16)</f>
        <v>8</v>
      </c>
      <c r="L17" s="5">
        <f>LOOKUP(K17,AI:AI,AE:AE)</f>
        <v>2</v>
      </c>
      <c r="M17" s="5">
        <f>LOOKUP(L17,AE:AE,AG:AG)</f>
        <v>2</v>
      </c>
      <c r="N17" s="5">
        <f>AM17/M17/$K$1</f>
        <v>2.3333333333333335</v>
      </c>
      <c r="O17" s="5">
        <f>SUM($N$9:N17)</f>
        <v>22.333333333333329</v>
      </c>
      <c r="AE17" s="5">
        <f t="shared" si="1"/>
        <v>9</v>
      </c>
      <c r="AF17" s="5">
        <f t="shared" si="2"/>
        <v>20</v>
      </c>
      <c r="AG17" s="5">
        <f t="shared" si="3"/>
        <v>14</v>
      </c>
      <c r="AH17" s="5">
        <f>AG17*$AF$1</f>
        <v>140</v>
      </c>
      <c r="AI17" s="5">
        <f>SUM($AF$9:AF16)</f>
        <v>87</v>
      </c>
      <c r="AK17" s="5">
        <f t="shared" si="4"/>
        <v>9</v>
      </c>
      <c r="AL17" s="5">
        <f t="shared" si="5"/>
        <v>2</v>
      </c>
      <c r="AM17" s="5">
        <f t="shared" si="6"/>
        <v>7</v>
      </c>
      <c r="AN17" s="5">
        <f>$AL$4*$AL$3^AL17*$AL$2</f>
        <v>6.8400974999999997</v>
      </c>
      <c r="AO17" s="5">
        <f>IF(AL17=AL18,1,LOOKUP(MOD(AL17,$AL$1),$AN$1:$AN$5,$AO$1:$AO$5))</f>
        <v>1</v>
      </c>
      <c r="AP17" s="5">
        <f t="shared" si="7"/>
        <v>1</v>
      </c>
      <c r="AQ17" s="5">
        <f>AM17*$AR$3</f>
        <v>0.93333333333333335</v>
      </c>
      <c r="AR17" s="5">
        <f>AM17*AL17*$AR$4</f>
        <v>4.2000000000000003E-2</v>
      </c>
      <c r="AS17" s="5">
        <f>SUM($AP$9:AP16)</f>
        <v>8</v>
      </c>
    </row>
    <row r="18" spans="1:45" ht="27" x14ac:dyDescent="0.15">
      <c r="A18" s="5">
        <v>10</v>
      </c>
      <c r="D18" s="5">
        <v>10</v>
      </c>
      <c r="E18" s="5">
        <v>2</v>
      </c>
      <c r="F18" s="5">
        <v>2.9</v>
      </c>
      <c r="G18" s="5">
        <v>23.199999999999996</v>
      </c>
      <c r="H18" s="11" t="s">
        <v>98</v>
      </c>
      <c r="I18" s="17"/>
      <c r="J18" s="5">
        <f t="shared" si="0"/>
        <v>10</v>
      </c>
      <c r="K18" s="5">
        <f>SUM($AP$9:AP17)</f>
        <v>9</v>
      </c>
      <c r="L18" s="5">
        <f>LOOKUP(K18,AI:AI,AE:AE)</f>
        <v>2</v>
      </c>
      <c r="M18" s="5">
        <f>LOOKUP(L18,AE:AE,AG:AG)</f>
        <v>2</v>
      </c>
      <c r="N18" s="5">
        <f>AM18/M18/$K$1</f>
        <v>2.3333333333333335</v>
      </c>
      <c r="O18" s="5">
        <f>SUM($N$9:N18)</f>
        <v>24.666666666666661</v>
      </c>
      <c r="AE18" s="5">
        <f t="shared" si="1"/>
        <v>10</v>
      </c>
      <c r="AF18" s="5">
        <f t="shared" si="2"/>
        <v>23</v>
      </c>
      <c r="AG18" s="5">
        <f t="shared" si="3"/>
        <v>16</v>
      </c>
      <c r="AH18" s="5">
        <f>AG18*$AF$1</f>
        <v>160</v>
      </c>
      <c r="AI18" s="5">
        <f>SUM($AF$9:AF17)</f>
        <v>107</v>
      </c>
      <c r="AK18" s="5">
        <f t="shared" si="4"/>
        <v>10</v>
      </c>
      <c r="AL18" s="5">
        <f t="shared" si="5"/>
        <v>2</v>
      </c>
      <c r="AM18" s="5">
        <f t="shared" si="6"/>
        <v>7</v>
      </c>
      <c r="AN18" s="5">
        <f>$AL$4*$AL$3^AL18*$AL$2</f>
        <v>6.8400974999999997</v>
      </c>
      <c r="AO18" s="5">
        <f>IF(AL18=AL19,1,LOOKUP(MOD(AL18,$AL$1),$AN$1:$AN$5,$AO$1:$AO$5))</f>
        <v>1</v>
      </c>
      <c r="AP18" s="5">
        <f t="shared" si="7"/>
        <v>1</v>
      </c>
      <c r="AQ18" s="5">
        <f>AM18*$AR$3</f>
        <v>0.93333333333333335</v>
      </c>
      <c r="AR18" s="5">
        <f>AM18*AL18*$AR$4</f>
        <v>4.2000000000000003E-2</v>
      </c>
      <c r="AS18" s="5">
        <f>SUM($AP$9:AP17)</f>
        <v>9</v>
      </c>
    </row>
    <row r="19" spans="1:45" x14ac:dyDescent="0.15">
      <c r="A19" s="5">
        <v>11</v>
      </c>
      <c r="D19" s="5">
        <v>11</v>
      </c>
      <c r="E19" s="5">
        <v>2</v>
      </c>
      <c r="F19" s="5">
        <v>2.2999999999999998</v>
      </c>
      <c r="G19" s="5">
        <v>25.499999999999996</v>
      </c>
      <c r="J19" s="5">
        <f t="shared" si="0"/>
        <v>11</v>
      </c>
      <c r="K19" s="5">
        <f>SUM($AP$9:AP18)</f>
        <v>10</v>
      </c>
      <c r="L19" s="5">
        <f>LOOKUP(K19,AI:AI,AE:AE)</f>
        <v>2</v>
      </c>
      <c r="M19" s="5">
        <f>LOOKUP(L19,AE:AE,AG:AG)</f>
        <v>2</v>
      </c>
      <c r="N19" s="5">
        <f>AM19/M19/$K$1</f>
        <v>2.3333333333333335</v>
      </c>
      <c r="O19" s="5">
        <f>SUM($N$9:N19)</f>
        <v>26.999999999999993</v>
      </c>
      <c r="AE19" s="5">
        <f t="shared" si="1"/>
        <v>11</v>
      </c>
      <c r="AF19" s="5">
        <f t="shared" si="2"/>
        <v>26</v>
      </c>
      <c r="AG19" s="5">
        <f t="shared" si="3"/>
        <v>19</v>
      </c>
      <c r="AH19" s="5">
        <f>AG19*$AF$1</f>
        <v>190</v>
      </c>
      <c r="AI19" s="5">
        <f>SUM($AF$9:AF18)</f>
        <v>130</v>
      </c>
      <c r="AK19" s="5">
        <f t="shared" si="4"/>
        <v>11</v>
      </c>
      <c r="AL19" s="5">
        <f t="shared" si="5"/>
        <v>2</v>
      </c>
      <c r="AM19" s="5">
        <f t="shared" si="6"/>
        <v>7</v>
      </c>
      <c r="AN19" s="5">
        <f>$AL$4*$AL$3^AL19*$AL$2</f>
        <v>6.8400974999999997</v>
      </c>
      <c r="AO19" s="5">
        <f>IF(AL19=AL20,1,LOOKUP(MOD(AL19,$AL$1),$AN$1:$AN$5,$AO$1:$AO$5))</f>
        <v>1</v>
      </c>
      <c r="AP19" s="5">
        <f t="shared" si="7"/>
        <v>1</v>
      </c>
      <c r="AQ19" s="5">
        <f>AM19*$AR$3</f>
        <v>0.93333333333333335</v>
      </c>
      <c r="AR19" s="5">
        <f>AM19*AL19*$AR$4</f>
        <v>4.2000000000000003E-2</v>
      </c>
      <c r="AS19" s="5">
        <f>SUM($AP$9:AP18)</f>
        <v>10</v>
      </c>
    </row>
    <row r="20" spans="1:45" x14ac:dyDescent="0.15">
      <c r="A20" s="5">
        <v>12</v>
      </c>
      <c r="D20" s="5">
        <v>12</v>
      </c>
      <c r="E20" s="5">
        <v>3</v>
      </c>
      <c r="F20" s="5">
        <v>1.5333333333333334</v>
      </c>
      <c r="G20" s="5">
        <v>27.033333333333331</v>
      </c>
      <c r="J20" s="5">
        <f t="shared" si="0"/>
        <v>12</v>
      </c>
      <c r="K20" s="5">
        <f>SUM($AP$9:AP19)</f>
        <v>11</v>
      </c>
      <c r="L20" s="5">
        <f>LOOKUP(K20,AI:AI,AE:AE)</f>
        <v>2</v>
      </c>
      <c r="M20" s="5">
        <f>LOOKUP(L20,AE:AE,AG:AG)</f>
        <v>2</v>
      </c>
      <c r="N20" s="5">
        <f>AM20/M20/$K$1</f>
        <v>2.3333333333333335</v>
      </c>
      <c r="O20" s="5">
        <f>SUM($N$9:N20)</f>
        <v>29.333333333333325</v>
      </c>
      <c r="AE20" s="5">
        <f t="shared" si="1"/>
        <v>12</v>
      </c>
      <c r="AF20" s="5">
        <f t="shared" si="2"/>
        <v>29</v>
      </c>
      <c r="AG20" s="5">
        <f t="shared" si="3"/>
        <v>22</v>
      </c>
      <c r="AH20" s="5">
        <f>AG20*$AF$1</f>
        <v>220</v>
      </c>
      <c r="AI20" s="5">
        <f>SUM($AF$9:AF19)</f>
        <v>156</v>
      </c>
      <c r="AK20" s="5">
        <f t="shared" si="4"/>
        <v>12</v>
      </c>
      <c r="AL20" s="5">
        <f t="shared" si="5"/>
        <v>2</v>
      </c>
      <c r="AM20" s="5">
        <f t="shared" si="6"/>
        <v>7</v>
      </c>
      <c r="AN20" s="5">
        <f>$AL$4*$AL$3^AL20*$AL$2</f>
        <v>6.8400974999999997</v>
      </c>
      <c r="AO20" s="5">
        <f>IF(AL20=AL21,1,LOOKUP(MOD(AL20,$AL$1),$AN$1:$AN$5,$AO$1:$AO$5))</f>
        <v>1</v>
      </c>
      <c r="AP20" s="5">
        <f t="shared" si="7"/>
        <v>1</v>
      </c>
      <c r="AQ20" s="5">
        <f>AM20*$AR$3</f>
        <v>0.93333333333333335</v>
      </c>
      <c r="AR20" s="5">
        <f>AM20*AL20*$AR$4</f>
        <v>4.2000000000000003E-2</v>
      </c>
      <c r="AS20" s="5">
        <f>SUM($AP$9:AP19)</f>
        <v>11</v>
      </c>
    </row>
    <row r="21" spans="1:45" x14ac:dyDescent="0.15">
      <c r="A21" s="5">
        <v>13</v>
      </c>
      <c r="D21" s="5">
        <v>13</v>
      </c>
      <c r="E21" s="5">
        <v>3</v>
      </c>
      <c r="F21" s="5">
        <v>1.5333333333333334</v>
      </c>
      <c r="G21" s="5">
        <v>28.566666666666666</v>
      </c>
      <c r="J21" s="5">
        <f t="shared" si="0"/>
        <v>13</v>
      </c>
      <c r="K21" s="5">
        <f>SUM($AP$9:AP20)</f>
        <v>12</v>
      </c>
      <c r="L21" s="5">
        <f>LOOKUP(K21,AI:AI,AE:AE)</f>
        <v>3</v>
      </c>
      <c r="M21" s="5">
        <f>LOOKUP(L21,AE:AE,AG:AG)</f>
        <v>3</v>
      </c>
      <c r="N21" s="5">
        <f>AM21/M21/$K$1</f>
        <v>1.5555555555555556</v>
      </c>
      <c r="O21" s="5">
        <f>SUM($N$9:N21)</f>
        <v>30.888888888888882</v>
      </c>
      <c r="AE21" s="5">
        <f t="shared" si="1"/>
        <v>13</v>
      </c>
      <c r="AF21" s="5">
        <f t="shared" si="2"/>
        <v>32</v>
      </c>
      <c r="AG21" s="5">
        <f t="shared" si="3"/>
        <v>25</v>
      </c>
      <c r="AH21" s="5">
        <f>AG21*$AF$1</f>
        <v>250</v>
      </c>
      <c r="AI21" s="5">
        <f>SUM($AF$9:AF20)</f>
        <v>185</v>
      </c>
      <c r="AK21" s="5">
        <f t="shared" si="4"/>
        <v>13</v>
      </c>
      <c r="AL21" s="5">
        <f t="shared" si="5"/>
        <v>2</v>
      </c>
      <c r="AM21" s="5">
        <f t="shared" si="6"/>
        <v>7</v>
      </c>
      <c r="AN21" s="5">
        <f>$AL$4*$AL$3^AL21*$AL$2</f>
        <v>6.8400974999999997</v>
      </c>
      <c r="AO21" s="5">
        <f>IF(AL21=AL22,1,LOOKUP(MOD(AL21,$AL$1),$AN$1:$AN$5,$AO$1:$AO$5))</f>
        <v>1</v>
      </c>
      <c r="AP21" s="5">
        <f t="shared" si="7"/>
        <v>1</v>
      </c>
      <c r="AQ21" s="5">
        <f>AM21*$AR$3</f>
        <v>0.93333333333333335</v>
      </c>
      <c r="AR21" s="5">
        <f>AM21*AL21*$AR$4</f>
        <v>4.2000000000000003E-2</v>
      </c>
      <c r="AS21" s="5">
        <f>SUM($AP$9:AP20)</f>
        <v>12</v>
      </c>
    </row>
    <row r="22" spans="1:45" x14ac:dyDescent="0.15">
      <c r="A22" s="5">
        <v>14</v>
      </c>
      <c r="D22" s="5">
        <v>14</v>
      </c>
      <c r="E22" s="5">
        <v>3</v>
      </c>
      <c r="F22" s="5">
        <v>1.5333333333333334</v>
      </c>
      <c r="G22" s="5">
        <v>30.1</v>
      </c>
      <c r="J22" s="5">
        <f t="shared" si="0"/>
        <v>14</v>
      </c>
      <c r="K22" s="5">
        <f>SUM($AP$9:AP21)</f>
        <v>13</v>
      </c>
      <c r="L22" s="5">
        <f>LOOKUP(K22,AI:AI,AE:AE)</f>
        <v>3</v>
      </c>
      <c r="M22" s="5">
        <f>LOOKUP(L22,AE:AE,AG:AG)</f>
        <v>3</v>
      </c>
      <c r="N22" s="5">
        <f>AM22/M22/$K$1</f>
        <v>6</v>
      </c>
      <c r="O22" s="5">
        <f>SUM($N$9:N22)</f>
        <v>36.888888888888886</v>
      </c>
      <c r="AE22" s="5">
        <f t="shared" si="1"/>
        <v>14</v>
      </c>
      <c r="AF22" s="5">
        <f t="shared" si="2"/>
        <v>36</v>
      </c>
      <c r="AG22" s="5">
        <f t="shared" si="3"/>
        <v>28</v>
      </c>
      <c r="AH22" s="5">
        <f>AG22*$AF$1</f>
        <v>280</v>
      </c>
      <c r="AI22" s="5">
        <f>SUM($AF$9:AF21)</f>
        <v>217</v>
      </c>
      <c r="AK22" s="5">
        <f t="shared" si="4"/>
        <v>14</v>
      </c>
      <c r="AL22" s="5">
        <f t="shared" si="5"/>
        <v>2</v>
      </c>
      <c r="AM22" s="5">
        <f t="shared" si="6"/>
        <v>27</v>
      </c>
      <c r="AN22" s="5">
        <f>$AL$4*$AL$3^AL22*$AL$2</f>
        <v>6.8400974999999997</v>
      </c>
      <c r="AO22" s="5">
        <f>IF(AL22=AL23,1,LOOKUP(MOD(AL22,$AL$1),$AN$1:$AN$5,$AO$1:$AO$5))</f>
        <v>4</v>
      </c>
      <c r="AP22" s="5">
        <f t="shared" si="7"/>
        <v>4</v>
      </c>
      <c r="AQ22" s="5">
        <f>AM22*$AR$3</f>
        <v>3.6</v>
      </c>
      <c r="AR22" s="5">
        <f>AM22*AL22*$AR$4</f>
        <v>0.16200000000000001</v>
      </c>
      <c r="AS22" s="5">
        <f>SUM($AP$9:AP21)</f>
        <v>13</v>
      </c>
    </row>
    <row r="23" spans="1:45" x14ac:dyDescent="0.15">
      <c r="A23" s="5">
        <v>15</v>
      </c>
      <c r="D23" s="5">
        <v>15</v>
      </c>
      <c r="E23" s="5">
        <v>3</v>
      </c>
      <c r="F23" s="5">
        <v>1.5333333333333334</v>
      </c>
      <c r="G23" s="5">
        <v>31.633333333333336</v>
      </c>
      <c r="J23" s="5">
        <f t="shared" si="0"/>
        <v>15</v>
      </c>
      <c r="K23" s="5">
        <f>SUM($AP$9:AP22)</f>
        <v>17</v>
      </c>
      <c r="L23" s="5">
        <f>LOOKUP(K23,AI:AI,AE:AE)</f>
        <v>3</v>
      </c>
      <c r="M23" s="5">
        <f>LOOKUP(L23,AE:AE,AG:AG)</f>
        <v>3</v>
      </c>
      <c r="N23" s="5">
        <f>AM23/M23/$K$1</f>
        <v>2.4444444444444442</v>
      </c>
      <c r="O23" s="5">
        <f>SUM($N$9:N23)</f>
        <v>39.333333333333329</v>
      </c>
      <c r="AE23" s="5">
        <f t="shared" si="1"/>
        <v>15</v>
      </c>
      <c r="AF23" s="5">
        <f t="shared" si="2"/>
        <v>39</v>
      </c>
      <c r="AG23" s="5">
        <f t="shared" si="3"/>
        <v>31</v>
      </c>
      <c r="AH23" s="5">
        <f>AG23*$AF$1</f>
        <v>310</v>
      </c>
      <c r="AI23" s="5">
        <f>SUM($AF$9:AF22)</f>
        <v>253</v>
      </c>
      <c r="AK23" s="5">
        <f t="shared" si="4"/>
        <v>15</v>
      </c>
      <c r="AL23" s="5">
        <f t="shared" si="5"/>
        <v>3</v>
      </c>
      <c r="AM23" s="5">
        <f t="shared" si="6"/>
        <v>11</v>
      </c>
      <c r="AN23" s="5">
        <f>$AL$4*$AL$3^AL23*$AL$2</f>
        <v>10.738953075000001</v>
      </c>
      <c r="AO23" s="5">
        <f>IF(AL23=AL24,1,LOOKUP(MOD(AL23,$AL$1),$AN$1:$AN$5,$AO$1:$AO$5))</f>
        <v>1</v>
      </c>
      <c r="AP23" s="5">
        <f t="shared" si="7"/>
        <v>2</v>
      </c>
      <c r="AQ23" s="5">
        <f>AM23*$AR$3</f>
        <v>1.4666666666666666</v>
      </c>
      <c r="AR23" s="5">
        <f>AM23*AL23*$AR$4</f>
        <v>9.9000000000000005E-2</v>
      </c>
      <c r="AS23" s="5">
        <f>SUM($AP$9:AP22)</f>
        <v>17</v>
      </c>
    </row>
    <row r="24" spans="1:45" x14ac:dyDescent="0.15">
      <c r="A24" s="5">
        <v>16</v>
      </c>
      <c r="D24" s="5">
        <v>16</v>
      </c>
      <c r="E24" s="5">
        <v>3</v>
      </c>
      <c r="F24" s="5">
        <v>1.5333333333333334</v>
      </c>
      <c r="G24" s="5">
        <v>33.166666666666671</v>
      </c>
      <c r="J24" s="5">
        <f t="shared" si="0"/>
        <v>16</v>
      </c>
      <c r="K24" s="5">
        <f>SUM($AP$9:AP23)</f>
        <v>19</v>
      </c>
      <c r="L24" s="5">
        <f>LOOKUP(K24,AI:AI,AE:AE)</f>
        <v>3</v>
      </c>
      <c r="M24" s="5">
        <f>LOOKUP(L24,AE:AE,AG:AG)</f>
        <v>3</v>
      </c>
      <c r="N24" s="5">
        <f>AM24/M24/$K$1</f>
        <v>2.4444444444444442</v>
      </c>
      <c r="O24" s="5">
        <f>SUM($N$9:N24)</f>
        <v>41.777777777777771</v>
      </c>
      <c r="AE24" s="5">
        <f t="shared" si="1"/>
        <v>16</v>
      </c>
      <c r="AF24" s="5">
        <f t="shared" si="2"/>
        <v>44</v>
      </c>
      <c r="AG24" s="5">
        <f t="shared" si="3"/>
        <v>35</v>
      </c>
      <c r="AH24" s="5">
        <f>AG24*$AF$1</f>
        <v>350</v>
      </c>
      <c r="AI24" s="5">
        <f>SUM($AF$9:AF23)</f>
        <v>292</v>
      </c>
      <c r="AK24" s="5">
        <f t="shared" si="4"/>
        <v>16</v>
      </c>
      <c r="AL24" s="5">
        <f t="shared" si="5"/>
        <v>3</v>
      </c>
      <c r="AM24" s="5">
        <f t="shared" si="6"/>
        <v>11</v>
      </c>
      <c r="AN24" s="5">
        <f>$AL$4*$AL$3^AL24*$AL$2</f>
        <v>10.738953075000001</v>
      </c>
      <c r="AO24" s="5">
        <f>IF(AL24=AL25,1,LOOKUP(MOD(AL24,$AL$1),$AN$1:$AN$5,$AO$1:$AO$5))</f>
        <v>1</v>
      </c>
      <c r="AP24" s="5">
        <f t="shared" si="7"/>
        <v>2</v>
      </c>
      <c r="AQ24" s="5">
        <f>AM24*$AR$3</f>
        <v>1.4666666666666666</v>
      </c>
      <c r="AR24" s="5">
        <f>AM24*AL24*$AR$4</f>
        <v>9.9000000000000005E-2</v>
      </c>
      <c r="AS24" s="5">
        <f>SUM($AP$9:AP23)</f>
        <v>19</v>
      </c>
    </row>
    <row r="25" spans="1:45" x14ac:dyDescent="0.15">
      <c r="A25" s="5">
        <v>17</v>
      </c>
      <c r="D25" s="5">
        <v>17</v>
      </c>
      <c r="E25" s="5">
        <v>3</v>
      </c>
      <c r="F25" s="5">
        <v>1.5333333333333334</v>
      </c>
      <c r="G25" s="5">
        <v>34.700000000000003</v>
      </c>
      <c r="J25" s="5">
        <f t="shared" si="0"/>
        <v>17</v>
      </c>
      <c r="K25" s="5">
        <f>SUM($AP$9:AP24)</f>
        <v>21</v>
      </c>
      <c r="L25" s="5">
        <f>LOOKUP(K25,AI:AI,AE:AE)</f>
        <v>4</v>
      </c>
      <c r="M25" s="5">
        <f>LOOKUP(L25,AE:AE,AG:AG)</f>
        <v>5</v>
      </c>
      <c r="N25" s="5">
        <f>AM25/M25/$K$1</f>
        <v>1.4666666666666668</v>
      </c>
      <c r="O25" s="5">
        <f>SUM($N$9:N25)</f>
        <v>43.24444444444444</v>
      </c>
      <c r="AE25" s="5">
        <f t="shared" si="1"/>
        <v>17</v>
      </c>
      <c r="AF25" s="5">
        <f t="shared" si="2"/>
        <v>48</v>
      </c>
      <c r="AG25" s="5">
        <f t="shared" si="3"/>
        <v>39</v>
      </c>
      <c r="AH25" s="5">
        <f>AG25*$AF$1</f>
        <v>390</v>
      </c>
      <c r="AI25" s="5">
        <f>SUM($AF$9:AF24)</f>
        <v>336</v>
      </c>
      <c r="AK25" s="5">
        <f t="shared" si="4"/>
        <v>17</v>
      </c>
      <c r="AL25" s="5">
        <f t="shared" si="5"/>
        <v>3</v>
      </c>
      <c r="AM25" s="5">
        <f t="shared" si="6"/>
        <v>11</v>
      </c>
      <c r="AN25" s="5">
        <f>$AL$4*$AL$3^AL25*$AL$2</f>
        <v>10.738953075000001</v>
      </c>
      <c r="AO25" s="5">
        <f>IF(AL25=AL26,1,LOOKUP(MOD(AL25,$AL$1),$AN$1:$AN$5,$AO$1:$AO$5))</f>
        <v>1</v>
      </c>
      <c r="AP25" s="5">
        <f t="shared" si="7"/>
        <v>2</v>
      </c>
      <c r="AQ25" s="5">
        <f>AM25*$AR$3</f>
        <v>1.4666666666666666</v>
      </c>
      <c r="AR25" s="5">
        <f>AM25*AL25*$AR$4</f>
        <v>9.9000000000000005E-2</v>
      </c>
      <c r="AS25" s="5">
        <f>SUM($AP$9:AP24)</f>
        <v>21</v>
      </c>
    </row>
    <row r="26" spans="1:45" x14ac:dyDescent="0.15">
      <c r="A26" s="5">
        <v>18</v>
      </c>
      <c r="D26" s="5">
        <v>18</v>
      </c>
      <c r="E26" s="5">
        <v>3</v>
      </c>
      <c r="F26" s="5">
        <v>1.5333333333333334</v>
      </c>
      <c r="G26" s="5">
        <v>36.233333333333334</v>
      </c>
      <c r="J26" s="5">
        <f t="shared" si="0"/>
        <v>18</v>
      </c>
      <c r="K26" s="5">
        <f>SUM($AP$9:AP25)</f>
        <v>23</v>
      </c>
      <c r="L26" s="5">
        <f>LOOKUP(K26,AI:AI,AE:AE)</f>
        <v>4</v>
      </c>
      <c r="M26" s="5">
        <f>LOOKUP(L26,AE:AE,AG:AG)</f>
        <v>5</v>
      </c>
      <c r="N26" s="5">
        <f>AM26/M26/$K$1</f>
        <v>1.4666666666666668</v>
      </c>
      <c r="O26" s="5">
        <f>SUM($N$9:N26)</f>
        <v>44.711111111111109</v>
      </c>
      <c r="AE26" s="5">
        <f t="shared" si="1"/>
        <v>18</v>
      </c>
      <c r="AF26" s="5">
        <f t="shared" si="2"/>
        <v>53</v>
      </c>
      <c r="AG26" s="5">
        <f t="shared" si="3"/>
        <v>43</v>
      </c>
      <c r="AH26" s="5">
        <f>AG26*$AF$1</f>
        <v>430</v>
      </c>
      <c r="AI26" s="5">
        <f>SUM($AF$9:AF25)</f>
        <v>384</v>
      </c>
      <c r="AK26" s="5">
        <f t="shared" si="4"/>
        <v>18</v>
      </c>
      <c r="AL26" s="5">
        <f t="shared" si="5"/>
        <v>3</v>
      </c>
      <c r="AM26" s="5">
        <f t="shared" si="6"/>
        <v>11</v>
      </c>
      <c r="AN26" s="5">
        <f>$AL$4*$AL$3^AL26*$AL$2</f>
        <v>10.738953075000001</v>
      </c>
      <c r="AO26" s="5">
        <f>IF(AL26=AL27,1,LOOKUP(MOD(AL26,$AL$1),$AN$1:$AN$5,$AO$1:$AO$5))</f>
        <v>1</v>
      </c>
      <c r="AP26" s="5">
        <f t="shared" si="7"/>
        <v>2</v>
      </c>
      <c r="AQ26" s="5">
        <f>AM26*$AR$3</f>
        <v>1.4666666666666666</v>
      </c>
      <c r="AR26" s="5">
        <f>AM26*AL26*$AR$4</f>
        <v>9.9000000000000005E-2</v>
      </c>
      <c r="AS26" s="5">
        <f>SUM($AP$9:AP25)</f>
        <v>23</v>
      </c>
    </row>
    <row r="27" spans="1:45" x14ac:dyDescent="0.15">
      <c r="A27" s="5">
        <v>19</v>
      </c>
      <c r="D27" s="5">
        <v>19</v>
      </c>
      <c r="E27" s="5">
        <v>3</v>
      </c>
      <c r="F27" s="5">
        <v>1.5333333333333334</v>
      </c>
      <c r="G27" s="5">
        <v>37.766666666666666</v>
      </c>
      <c r="J27" s="5">
        <f t="shared" si="0"/>
        <v>19</v>
      </c>
      <c r="K27" s="5">
        <f>SUM($AP$9:AP26)</f>
        <v>25</v>
      </c>
      <c r="L27" s="5">
        <f>LOOKUP(K27,AI:AI,AE:AE)</f>
        <v>4</v>
      </c>
      <c r="M27" s="5">
        <f>LOOKUP(L27,AE:AE,AG:AG)</f>
        <v>5</v>
      </c>
      <c r="N27" s="5">
        <f>AM27/M27/$K$1</f>
        <v>1.4666666666666668</v>
      </c>
      <c r="O27" s="5">
        <f>SUM($N$9:N27)</f>
        <v>46.177777777777777</v>
      </c>
      <c r="AE27" s="5">
        <f t="shared" si="1"/>
        <v>19</v>
      </c>
      <c r="AF27" s="5">
        <f t="shared" si="2"/>
        <v>58</v>
      </c>
      <c r="AG27" s="5">
        <f t="shared" si="3"/>
        <v>48</v>
      </c>
      <c r="AH27" s="5">
        <f>AG27*$AF$1</f>
        <v>480</v>
      </c>
      <c r="AI27" s="5">
        <f>SUM($AF$9:AF26)</f>
        <v>437</v>
      </c>
      <c r="AK27" s="5">
        <f t="shared" si="4"/>
        <v>19</v>
      </c>
      <c r="AL27" s="5">
        <f t="shared" si="5"/>
        <v>3</v>
      </c>
      <c r="AM27" s="5">
        <f t="shared" si="6"/>
        <v>11</v>
      </c>
      <c r="AN27" s="5">
        <f>$AL$4*$AL$3^AL27*$AL$2</f>
        <v>10.738953075000001</v>
      </c>
      <c r="AO27" s="5">
        <f>IF(AL27=AL28,1,LOOKUP(MOD(AL27,$AL$1),$AN$1:$AN$5,$AO$1:$AO$5))</f>
        <v>1</v>
      </c>
      <c r="AP27" s="5">
        <f t="shared" si="7"/>
        <v>2</v>
      </c>
      <c r="AQ27" s="5">
        <f>AM27*$AR$3</f>
        <v>1.4666666666666666</v>
      </c>
      <c r="AR27" s="5">
        <f>AM27*AL27*$AR$4</f>
        <v>9.9000000000000005E-2</v>
      </c>
      <c r="AS27" s="5">
        <f>SUM($AP$9:AP26)</f>
        <v>25</v>
      </c>
    </row>
    <row r="28" spans="1:45" x14ac:dyDescent="0.15">
      <c r="A28" s="5">
        <v>20</v>
      </c>
      <c r="D28" s="5">
        <v>20</v>
      </c>
      <c r="E28" s="5">
        <v>4</v>
      </c>
      <c r="F28" s="5">
        <v>3.6399999999999997</v>
      </c>
      <c r="G28" s="5">
        <v>41.406666666666666</v>
      </c>
      <c r="J28" s="5">
        <f t="shared" si="0"/>
        <v>20</v>
      </c>
      <c r="K28" s="5">
        <f>SUM($AP$9:AP27)</f>
        <v>27</v>
      </c>
      <c r="L28" s="5">
        <f>LOOKUP(K28,AI:AI,AE:AE)</f>
        <v>4</v>
      </c>
      <c r="M28" s="5">
        <f>LOOKUP(L28,AE:AE,AG:AG)</f>
        <v>5</v>
      </c>
      <c r="N28" s="5">
        <f>AM28/M28/$K$1</f>
        <v>1.4666666666666668</v>
      </c>
      <c r="O28" s="5">
        <f>SUM($N$9:N28)</f>
        <v>47.644444444444446</v>
      </c>
      <c r="AE28" s="5">
        <f t="shared" si="1"/>
        <v>20</v>
      </c>
      <c r="AF28" s="5">
        <f t="shared" si="2"/>
        <v>64</v>
      </c>
      <c r="AG28" s="5">
        <f t="shared" si="3"/>
        <v>53</v>
      </c>
      <c r="AH28" s="5">
        <f>AG28*$AF$1</f>
        <v>530</v>
      </c>
      <c r="AI28" s="5">
        <f>SUM($AF$9:AF27)</f>
        <v>495</v>
      </c>
      <c r="AK28" s="5">
        <f t="shared" si="4"/>
        <v>20</v>
      </c>
      <c r="AL28" s="5">
        <f t="shared" si="5"/>
        <v>3</v>
      </c>
      <c r="AM28" s="5">
        <f t="shared" si="6"/>
        <v>11</v>
      </c>
      <c r="AN28" s="5">
        <f>$AL$4*$AL$3^AL28*$AL$2</f>
        <v>10.738953075000001</v>
      </c>
      <c r="AO28" s="5">
        <f>IF(AL28=AL29,1,LOOKUP(MOD(AL28,$AL$1),$AN$1:$AN$5,$AO$1:$AO$5))</f>
        <v>1</v>
      </c>
      <c r="AP28" s="5">
        <f t="shared" si="7"/>
        <v>2</v>
      </c>
      <c r="AQ28" s="5">
        <f>AM28*$AR$3</f>
        <v>1.4666666666666666</v>
      </c>
      <c r="AR28" s="5">
        <f>AM28*AL28*$AR$4</f>
        <v>9.9000000000000005E-2</v>
      </c>
      <c r="AS28" s="5">
        <f>SUM($AP$9:AP27)</f>
        <v>27</v>
      </c>
    </row>
    <row r="29" spans="1:45" x14ac:dyDescent="0.15">
      <c r="A29" s="5">
        <v>21</v>
      </c>
      <c r="D29" s="5">
        <v>21</v>
      </c>
      <c r="E29" s="5">
        <v>4</v>
      </c>
      <c r="F29" s="5">
        <v>1.44</v>
      </c>
      <c r="G29" s="5">
        <v>42.846666666666664</v>
      </c>
      <c r="J29" s="5">
        <f t="shared" si="0"/>
        <v>21</v>
      </c>
      <c r="K29" s="5">
        <f>SUM($AP$9:AP28)</f>
        <v>29</v>
      </c>
      <c r="L29" s="5">
        <f>LOOKUP(K29,AI:AI,AE:AE)</f>
        <v>4</v>
      </c>
      <c r="M29" s="5">
        <f>LOOKUP(L29,AE:AE,AG:AG)</f>
        <v>5</v>
      </c>
      <c r="N29" s="5">
        <f>AM29/M29/$K$1</f>
        <v>8.5333333333333332</v>
      </c>
      <c r="O29" s="5">
        <f>SUM($N$9:N29)</f>
        <v>56.177777777777777</v>
      </c>
      <c r="AE29" s="5">
        <f t="shared" si="1"/>
        <v>21</v>
      </c>
      <c r="AF29" s="5">
        <f t="shared" si="2"/>
        <v>70</v>
      </c>
      <c r="AG29" s="5">
        <f t="shared" si="3"/>
        <v>59</v>
      </c>
      <c r="AH29" s="5">
        <f>AG29*$AF$1</f>
        <v>590</v>
      </c>
      <c r="AI29" s="5">
        <f>SUM($AF$9:AF28)</f>
        <v>559</v>
      </c>
      <c r="AK29" s="5">
        <f t="shared" si="4"/>
        <v>21</v>
      </c>
      <c r="AL29" s="5">
        <f t="shared" si="5"/>
        <v>3</v>
      </c>
      <c r="AM29" s="5">
        <f t="shared" si="6"/>
        <v>64</v>
      </c>
      <c r="AN29" s="5">
        <f>$AL$4*$AL$3^AL29*$AL$2</f>
        <v>10.738953075000001</v>
      </c>
      <c r="AO29" s="5">
        <f>IF(AL29=AL30,1,LOOKUP(MOD(AL29,$AL$1),$AN$1:$AN$5,$AO$1:$AO$5))</f>
        <v>6</v>
      </c>
      <c r="AP29" s="5">
        <f t="shared" si="7"/>
        <v>9</v>
      </c>
      <c r="AQ29" s="5">
        <f>AM29*$AR$3</f>
        <v>8.5333333333333332</v>
      </c>
      <c r="AR29" s="5">
        <f>AM29*AL29*$AR$4</f>
        <v>0.57600000000000007</v>
      </c>
      <c r="AS29" s="5">
        <f>SUM($AP$9:AP28)</f>
        <v>29</v>
      </c>
    </row>
    <row r="30" spans="1:45" x14ac:dyDescent="0.15">
      <c r="A30" s="5">
        <v>22</v>
      </c>
      <c r="D30" s="5">
        <v>22</v>
      </c>
      <c r="E30" s="5">
        <v>4</v>
      </c>
      <c r="F30" s="5">
        <v>1.44</v>
      </c>
      <c r="G30" s="5">
        <v>44.286666666666662</v>
      </c>
      <c r="J30" s="5">
        <f t="shared" si="0"/>
        <v>22</v>
      </c>
      <c r="K30" s="5">
        <f>SUM($AP$9:AP29)</f>
        <v>38</v>
      </c>
      <c r="L30" s="5">
        <f>LOOKUP(K30,AI:AI,AE:AE)</f>
        <v>5</v>
      </c>
      <c r="M30" s="5">
        <f>LOOKUP(L30,AE:AE,AG:AG)</f>
        <v>6</v>
      </c>
      <c r="N30" s="5">
        <f>AM30/M30/$K$1</f>
        <v>1.8888888888888891</v>
      </c>
      <c r="O30" s="5">
        <f>SUM($N$9:N30)</f>
        <v>58.066666666666663</v>
      </c>
      <c r="AE30" s="5">
        <f t="shared" si="1"/>
        <v>22</v>
      </c>
      <c r="AF30" s="5">
        <f t="shared" si="2"/>
        <v>76</v>
      </c>
      <c r="AG30" s="5">
        <f t="shared" si="3"/>
        <v>64</v>
      </c>
      <c r="AH30" s="5">
        <f>AG30*$AF$1</f>
        <v>640</v>
      </c>
      <c r="AI30" s="5">
        <f>SUM($AF$9:AF29)</f>
        <v>629</v>
      </c>
      <c r="AK30" s="5">
        <f t="shared" si="4"/>
        <v>22</v>
      </c>
      <c r="AL30" s="5">
        <f t="shared" si="5"/>
        <v>4</v>
      </c>
      <c r="AM30" s="5">
        <f t="shared" si="6"/>
        <v>17</v>
      </c>
      <c r="AN30" s="5">
        <f>$AL$4*$AL$3^AL30*$AL$2</f>
        <v>16.860156327750001</v>
      </c>
      <c r="AO30" s="5">
        <f>IF(AL30=AL31,1,LOOKUP(MOD(AL30,$AL$1),$AN$1:$AN$5,$AO$1:$AO$5))</f>
        <v>1</v>
      </c>
      <c r="AP30" s="5">
        <f t="shared" si="7"/>
        <v>2</v>
      </c>
      <c r="AQ30" s="5">
        <f>AM30*$AR$3</f>
        <v>2.2666666666666666</v>
      </c>
      <c r="AR30" s="5">
        <f>AM30*AL30*$AR$4</f>
        <v>0.20400000000000001</v>
      </c>
      <c r="AS30" s="5">
        <f>SUM($AP$9:AP29)</f>
        <v>38</v>
      </c>
    </row>
    <row r="31" spans="1:45" x14ac:dyDescent="0.15">
      <c r="A31" s="5">
        <v>23</v>
      </c>
      <c r="D31" s="5">
        <v>23</v>
      </c>
      <c r="E31" s="5">
        <v>4</v>
      </c>
      <c r="F31" s="5">
        <v>1.44</v>
      </c>
      <c r="G31" s="5">
        <v>45.726666666666659</v>
      </c>
      <c r="J31" s="5">
        <f t="shared" si="0"/>
        <v>23</v>
      </c>
      <c r="K31" s="5">
        <f>SUM($AP$9:AP30)</f>
        <v>40</v>
      </c>
      <c r="L31" s="5">
        <f>LOOKUP(K31,AI:AI,AE:AE)</f>
        <v>5</v>
      </c>
      <c r="M31" s="5">
        <f>LOOKUP(L31,AE:AE,AG:AG)</f>
        <v>6</v>
      </c>
      <c r="N31" s="5">
        <f>AM31/M31/$K$1</f>
        <v>1.8888888888888891</v>
      </c>
      <c r="O31" s="5">
        <f>SUM($N$9:N31)</f>
        <v>59.955555555555549</v>
      </c>
      <c r="AE31" s="5">
        <f t="shared" si="1"/>
        <v>23</v>
      </c>
      <c r="AF31" s="5">
        <f t="shared" si="2"/>
        <v>83</v>
      </c>
      <c r="AG31" s="5">
        <f t="shared" si="3"/>
        <v>71</v>
      </c>
      <c r="AH31" s="5">
        <f>AG31*$AF$1</f>
        <v>710</v>
      </c>
      <c r="AI31" s="5">
        <f>SUM($AF$9:AF30)</f>
        <v>705</v>
      </c>
      <c r="AK31" s="5">
        <f t="shared" si="4"/>
        <v>23</v>
      </c>
      <c r="AL31" s="5">
        <f t="shared" si="5"/>
        <v>4</v>
      </c>
      <c r="AM31" s="5">
        <f t="shared" si="6"/>
        <v>17</v>
      </c>
      <c r="AN31" s="5">
        <f>$AL$4*$AL$3^AL31*$AL$2</f>
        <v>16.860156327750001</v>
      </c>
      <c r="AO31" s="5">
        <f>IF(AL31=AL32,1,LOOKUP(MOD(AL31,$AL$1),$AN$1:$AN$5,$AO$1:$AO$5))</f>
        <v>1</v>
      </c>
      <c r="AP31" s="5">
        <f t="shared" si="7"/>
        <v>2</v>
      </c>
      <c r="AQ31" s="5">
        <f>AM31*$AR$3</f>
        <v>2.2666666666666666</v>
      </c>
      <c r="AR31" s="5">
        <f>AM31*AL31*$AR$4</f>
        <v>0.20400000000000001</v>
      </c>
      <c r="AS31" s="5">
        <f>SUM($AP$9:AP30)</f>
        <v>40</v>
      </c>
    </row>
    <row r="32" spans="1:45" x14ac:dyDescent="0.15">
      <c r="A32" s="5">
        <v>24</v>
      </c>
      <c r="D32" s="5">
        <v>24</v>
      </c>
      <c r="E32" s="5">
        <v>5</v>
      </c>
      <c r="F32" s="5">
        <v>1.2</v>
      </c>
      <c r="G32" s="5">
        <v>46.926666666666662</v>
      </c>
      <c r="J32" s="5">
        <f t="shared" si="0"/>
        <v>24</v>
      </c>
      <c r="K32" s="5">
        <f>SUM($AP$9:AP31)</f>
        <v>42</v>
      </c>
      <c r="L32" s="5">
        <f>LOOKUP(K32,AI:AI,AE:AE)</f>
        <v>6</v>
      </c>
      <c r="M32" s="5">
        <f>LOOKUP(L32,AE:AE,AG:AG)</f>
        <v>8</v>
      </c>
      <c r="N32" s="5">
        <f>AM32/M32/$K$1</f>
        <v>1.4166666666666667</v>
      </c>
      <c r="O32" s="5">
        <f>SUM($N$9:N32)</f>
        <v>61.372222222222213</v>
      </c>
      <c r="AE32" s="5">
        <f t="shared" si="1"/>
        <v>24</v>
      </c>
      <c r="AF32" s="5">
        <f t="shared" si="2"/>
        <v>90</v>
      </c>
      <c r="AG32" s="5">
        <f t="shared" si="3"/>
        <v>77</v>
      </c>
      <c r="AH32" s="5">
        <f>AG32*$AF$1</f>
        <v>770</v>
      </c>
      <c r="AI32" s="5">
        <f>SUM($AF$9:AF31)</f>
        <v>788</v>
      </c>
      <c r="AK32" s="5">
        <f t="shared" si="4"/>
        <v>24</v>
      </c>
      <c r="AL32" s="5">
        <f t="shared" si="5"/>
        <v>4</v>
      </c>
      <c r="AM32" s="5">
        <f t="shared" si="6"/>
        <v>17</v>
      </c>
      <c r="AN32" s="5">
        <f>$AL$4*$AL$3^AL32*$AL$2</f>
        <v>16.860156327750001</v>
      </c>
      <c r="AO32" s="5">
        <f>IF(AL32=AL33,1,LOOKUP(MOD(AL32,$AL$1),$AN$1:$AN$5,$AO$1:$AO$5))</f>
        <v>1</v>
      </c>
      <c r="AP32" s="5">
        <f t="shared" si="7"/>
        <v>2</v>
      </c>
      <c r="AQ32" s="5">
        <f>AM32*$AR$3</f>
        <v>2.2666666666666666</v>
      </c>
      <c r="AR32" s="5">
        <f>AM32*AL32*$AR$4</f>
        <v>0.20400000000000001</v>
      </c>
      <c r="AS32" s="5">
        <f>SUM($AP$9:AP31)</f>
        <v>42</v>
      </c>
    </row>
    <row r="33" spans="1:45" x14ac:dyDescent="0.15">
      <c r="A33" s="5">
        <v>25</v>
      </c>
      <c r="D33" s="5">
        <v>25</v>
      </c>
      <c r="E33" s="5">
        <v>5</v>
      </c>
      <c r="F33" s="5">
        <v>1.2</v>
      </c>
      <c r="G33" s="5">
        <v>48.126666666666665</v>
      </c>
      <c r="J33" s="5">
        <f t="shared" si="0"/>
        <v>25</v>
      </c>
      <c r="K33" s="5">
        <f>SUM($AP$9:AP32)</f>
        <v>44</v>
      </c>
      <c r="L33" s="5">
        <f>LOOKUP(K33,AI:AI,AE:AE)</f>
        <v>6</v>
      </c>
      <c r="M33" s="5">
        <f>LOOKUP(L33,AE:AE,AG:AG)</f>
        <v>8</v>
      </c>
      <c r="N33" s="5">
        <f>AM33/M33/$K$1</f>
        <v>1.4166666666666667</v>
      </c>
      <c r="O33" s="5">
        <f>SUM($N$9:N33)</f>
        <v>62.788888888888877</v>
      </c>
      <c r="AE33" s="5">
        <f t="shared" si="1"/>
        <v>25</v>
      </c>
      <c r="AF33" s="5">
        <f t="shared" si="2"/>
        <v>98</v>
      </c>
      <c r="AG33" s="5">
        <f t="shared" si="3"/>
        <v>85</v>
      </c>
      <c r="AH33" s="5">
        <f>AG33*$AF$1</f>
        <v>850</v>
      </c>
      <c r="AI33" s="5">
        <f>SUM($AF$9:AF32)</f>
        <v>878</v>
      </c>
      <c r="AK33" s="5">
        <f t="shared" si="4"/>
        <v>25</v>
      </c>
      <c r="AL33" s="5">
        <f t="shared" si="5"/>
        <v>4</v>
      </c>
      <c r="AM33" s="5">
        <f t="shared" si="6"/>
        <v>17</v>
      </c>
      <c r="AN33" s="5">
        <f>$AL$4*$AL$3^AL33*$AL$2</f>
        <v>16.860156327750001</v>
      </c>
      <c r="AO33" s="5">
        <f>IF(AL33=AL34,1,LOOKUP(MOD(AL33,$AL$1),$AN$1:$AN$5,$AO$1:$AO$5))</f>
        <v>1</v>
      </c>
      <c r="AP33" s="5">
        <f t="shared" si="7"/>
        <v>2</v>
      </c>
      <c r="AQ33" s="5">
        <f>AM33*$AR$3</f>
        <v>2.2666666666666666</v>
      </c>
      <c r="AR33" s="5">
        <f>AM33*AL33*$AR$4</f>
        <v>0.20400000000000001</v>
      </c>
      <c r="AS33" s="5">
        <f>SUM($AP$9:AP32)</f>
        <v>44</v>
      </c>
    </row>
    <row r="34" spans="1:45" x14ac:dyDescent="0.15">
      <c r="A34" s="5">
        <v>26</v>
      </c>
      <c r="D34" s="5">
        <v>26</v>
      </c>
      <c r="E34" s="5">
        <v>5</v>
      </c>
      <c r="F34" s="5">
        <v>1.2</v>
      </c>
      <c r="G34" s="5">
        <v>49.326666666666668</v>
      </c>
      <c r="J34" s="5">
        <f t="shared" si="0"/>
        <v>26</v>
      </c>
      <c r="K34" s="5">
        <f>SUM($AP$9:AP33)</f>
        <v>46</v>
      </c>
      <c r="L34" s="5">
        <f>LOOKUP(K34,AI:AI,AE:AE)</f>
        <v>6</v>
      </c>
      <c r="M34" s="5">
        <f>LOOKUP(L34,AE:AE,AG:AG)</f>
        <v>8</v>
      </c>
      <c r="N34" s="5">
        <f>AM34/M34/$K$1</f>
        <v>1.4166666666666667</v>
      </c>
      <c r="O34" s="5">
        <f>SUM($N$9:N34)</f>
        <v>64.205555555555549</v>
      </c>
      <c r="AE34" s="5">
        <f t="shared" si="1"/>
        <v>26</v>
      </c>
      <c r="AF34" s="5">
        <f t="shared" si="2"/>
        <v>107</v>
      </c>
      <c r="AG34" s="5">
        <f t="shared" si="3"/>
        <v>92</v>
      </c>
      <c r="AH34" s="5">
        <f>AG34*$AF$1</f>
        <v>920</v>
      </c>
      <c r="AI34" s="5">
        <f>SUM($AF$9:AF33)</f>
        <v>976</v>
      </c>
      <c r="AK34" s="5">
        <f t="shared" si="4"/>
        <v>26</v>
      </c>
      <c r="AL34" s="5">
        <f t="shared" si="5"/>
        <v>4</v>
      </c>
      <c r="AM34" s="5">
        <f t="shared" si="6"/>
        <v>17</v>
      </c>
      <c r="AN34" s="5">
        <f>$AL$4*$AL$3^AL34*$AL$2</f>
        <v>16.860156327750001</v>
      </c>
      <c r="AO34" s="5">
        <f>IF(AL34=AL35,1,LOOKUP(MOD(AL34,$AL$1),$AN$1:$AN$5,$AO$1:$AO$5))</f>
        <v>1</v>
      </c>
      <c r="AP34" s="5">
        <f t="shared" si="7"/>
        <v>2</v>
      </c>
      <c r="AQ34" s="5">
        <f>AM34*$AR$3</f>
        <v>2.2666666666666666</v>
      </c>
      <c r="AR34" s="5">
        <f>AM34*AL34*$AR$4</f>
        <v>0.20400000000000001</v>
      </c>
      <c r="AS34" s="5">
        <f>SUM($AP$9:AP33)</f>
        <v>46</v>
      </c>
    </row>
    <row r="35" spans="1:45" x14ac:dyDescent="0.15">
      <c r="A35" s="5">
        <v>27</v>
      </c>
      <c r="D35" s="5">
        <v>27</v>
      </c>
      <c r="E35" s="5">
        <v>5</v>
      </c>
      <c r="F35" s="5">
        <v>1.2</v>
      </c>
      <c r="G35" s="5">
        <v>50.526666666666671</v>
      </c>
      <c r="J35" s="5">
        <f t="shared" si="0"/>
        <v>27</v>
      </c>
      <c r="K35" s="5">
        <f>SUM($AP$9:AP34)</f>
        <v>48</v>
      </c>
      <c r="L35" s="5">
        <f>LOOKUP(K35,AI:AI,AE:AE)</f>
        <v>6</v>
      </c>
      <c r="M35" s="5">
        <f>LOOKUP(L35,AE:AE,AG:AG)</f>
        <v>8</v>
      </c>
      <c r="N35" s="5">
        <f>AM35/M35/$K$1</f>
        <v>1.4166666666666667</v>
      </c>
      <c r="O35" s="5">
        <f>SUM($N$9:N35)</f>
        <v>65.62222222222222</v>
      </c>
      <c r="AE35" s="5">
        <f t="shared" si="1"/>
        <v>27</v>
      </c>
      <c r="AF35" s="5">
        <f t="shared" si="2"/>
        <v>116</v>
      </c>
      <c r="AG35" s="5">
        <f t="shared" si="3"/>
        <v>101</v>
      </c>
      <c r="AH35" s="5">
        <f>AG35*$AF$1</f>
        <v>1010</v>
      </c>
      <c r="AI35" s="5">
        <f>SUM($AF$9:AF34)</f>
        <v>1083</v>
      </c>
      <c r="AK35" s="5">
        <f t="shared" si="4"/>
        <v>27</v>
      </c>
      <c r="AL35" s="5">
        <f t="shared" si="5"/>
        <v>4</v>
      </c>
      <c r="AM35" s="5">
        <f t="shared" si="6"/>
        <v>17</v>
      </c>
      <c r="AN35" s="5">
        <f>$AL$4*$AL$3^AL35*$AL$2</f>
        <v>16.860156327750001</v>
      </c>
      <c r="AO35" s="5">
        <f>IF(AL35=AL36,1,LOOKUP(MOD(AL35,$AL$1),$AN$1:$AN$5,$AO$1:$AO$5))</f>
        <v>1</v>
      </c>
      <c r="AP35" s="5">
        <f t="shared" si="7"/>
        <v>2</v>
      </c>
      <c r="AQ35" s="5">
        <f>AM35*$AR$3</f>
        <v>2.2666666666666666</v>
      </c>
      <c r="AR35" s="5">
        <f>AM35*AL35*$AR$4</f>
        <v>0.20400000000000001</v>
      </c>
      <c r="AS35" s="5">
        <f>SUM($AP$9:AP34)</f>
        <v>48</v>
      </c>
    </row>
    <row r="36" spans="1:45" x14ac:dyDescent="0.15">
      <c r="A36" s="5">
        <v>28</v>
      </c>
      <c r="D36" s="5">
        <v>28</v>
      </c>
      <c r="E36" s="5">
        <v>5</v>
      </c>
      <c r="F36" s="5">
        <v>1.2</v>
      </c>
      <c r="G36" s="5">
        <v>51.726666666666674</v>
      </c>
      <c r="J36" s="5">
        <f t="shared" si="0"/>
        <v>28</v>
      </c>
      <c r="K36" s="5">
        <f>SUM($AP$9:AP35)</f>
        <v>50</v>
      </c>
      <c r="L36" s="5">
        <f>LOOKUP(K36,AI:AI,AE:AE)</f>
        <v>6</v>
      </c>
      <c r="M36" s="5">
        <f>LOOKUP(L36,AE:AE,AG:AG)</f>
        <v>8</v>
      </c>
      <c r="N36" s="5">
        <f>AM36/M36/$K$1</f>
        <v>9.8333333333333339</v>
      </c>
      <c r="O36" s="5">
        <f>SUM($N$9:N36)</f>
        <v>75.455555555555549</v>
      </c>
      <c r="AE36" s="5">
        <f t="shared" si="1"/>
        <v>28</v>
      </c>
      <c r="AF36" s="5">
        <f t="shared" si="2"/>
        <v>125</v>
      </c>
      <c r="AG36" s="5">
        <f t="shared" si="3"/>
        <v>110</v>
      </c>
      <c r="AH36" s="5">
        <f>AG36*$AF$1</f>
        <v>1100</v>
      </c>
      <c r="AI36" s="5">
        <f>SUM($AF$9:AF35)</f>
        <v>1199</v>
      </c>
      <c r="AK36" s="5">
        <f t="shared" si="4"/>
        <v>28</v>
      </c>
      <c r="AL36" s="5">
        <f t="shared" si="5"/>
        <v>4</v>
      </c>
      <c r="AM36" s="5">
        <f t="shared" si="6"/>
        <v>118</v>
      </c>
      <c r="AN36" s="5">
        <f>$AL$4*$AL$3^AL36*$AL$2</f>
        <v>16.860156327750001</v>
      </c>
      <c r="AO36" s="5">
        <f>IF(AL36=AL37,1,LOOKUP(MOD(AL36,$AL$1),$AN$1:$AN$5,$AO$1:$AO$5))</f>
        <v>7</v>
      </c>
      <c r="AP36" s="5">
        <f t="shared" si="7"/>
        <v>17</v>
      </c>
      <c r="AQ36" s="5">
        <f>AM36*$AR$3</f>
        <v>15.733333333333333</v>
      </c>
      <c r="AR36" s="5">
        <f>AM36*AL36*$AR$4</f>
        <v>1.4159999999999999</v>
      </c>
      <c r="AS36" s="5">
        <f>SUM($AP$9:AP35)</f>
        <v>50</v>
      </c>
    </row>
    <row r="37" spans="1:45" x14ac:dyDescent="0.15">
      <c r="A37" s="5">
        <v>29</v>
      </c>
      <c r="D37" s="5">
        <v>29</v>
      </c>
      <c r="E37" s="5">
        <v>5</v>
      </c>
      <c r="F37" s="5">
        <v>1.2</v>
      </c>
      <c r="G37" s="5">
        <v>52.926666666666677</v>
      </c>
      <c r="J37" s="5">
        <f t="shared" si="0"/>
        <v>29</v>
      </c>
      <c r="K37" s="5">
        <f>SUM($AP$9:AP36)</f>
        <v>67</v>
      </c>
      <c r="L37" s="5">
        <f>LOOKUP(K37,AI:AI,AE:AE)</f>
        <v>7</v>
      </c>
      <c r="M37" s="5">
        <f>LOOKUP(L37,AE:AE,AG:AG)</f>
        <v>10</v>
      </c>
      <c r="N37" s="5">
        <f>AM37/M37/$K$1</f>
        <v>1.7333333333333334</v>
      </c>
      <c r="O37" s="5">
        <f>SUM($N$9:N37)</f>
        <v>77.188888888888883</v>
      </c>
      <c r="AE37" s="5">
        <f t="shared" si="1"/>
        <v>29</v>
      </c>
      <c r="AF37" s="5">
        <f t="shared" si="2"/>
        <v>136</v>
      </c>
      <c r="AG37" s="5">
        <f t="shared" si="3"/>
        <v>119</v>
      </c>
      <c r="AH37" s="5">
        <f>AG37*$AF$1</f>
        <v>1190</v>
      </c>
      <c r="AI37" s="5">
        <f>SUM($AF$9:AF36)</f>
        <v>1324</v>
      </c>
      <c r="AK37" s="5">
        <f t="shared" si="4"/>
        <v>29</v>
      </c>
      <c r="AL37" s="5">
        <f t="shared" si="5"/>
        <v>5</v>
      </c>
      <c r="AM37" s="5">
        <f t="shared" si="6"/>
        <v>26</v>
      </c>
      <c r="AN37" s="5">
        <f>$AL$4*$AL$3^AL37*$AL$2</f>
        <v>26.470445434567502</v>
      </c>
      <c r="AO37" s="5">
        <f>IF(AL37=AL38,1,LOOKUP(MOD(AL37,$AL$1),$AN$1:$AN$5,$AO$1:$AO$5))</f>
        <v>1</v>
      </c>
      <c r="AP37" s="5">
        <f t="shared" si="7"/>
        <v>4</v>
      </c>
      <c r="AQ37" s="5">
        <f>AM37*$AR$3</f>
        <v>3.4666666666666668</v>
      </c>
      <c r="AR37" s="5">
        <f>AM37*AL37*$AR$4</f>
        <v>0.39</v>
      </c>
      <c r="AS37" s="5">
        <f>SUM($AP$9:AP36)</f>
        <v>67</v>
      </c>
    </row>
    <row r="38" spans="1:45" ht="40.5" x14ac:dyDescent="0.15">
      <c r="A38" s="5">
        <v>30</v>
      </c>
      <c r="D38" s="5">
        <v>30</v>
      </c>
      <c r="E38" s="5">
        <v>6</v>
      </c>
      <c r="F38" s="5">
        <v>5.375</v>
      </c>
      <c r="G38" s="5">
        <v>58.301666666666677</v>
      </c>
      <c r="H38" s="11" t="s">
        <v>99</v>
      </c>
      <c r="I38" s="16"/>
      <c r="J38" s="5">
        <f t="shared" si="0"/>
        <v>30</v>
      </c>
      <c r="K38" s="5">
        <f>SUM($AP$9:AP37)</f>
        <v>71</v>
      </c>
      <c r="L38" s="5">
        <f>LOOKUP(K38,AI:AI,AE:AE)</f>
        <v>8</v>
      </c>
      <c r="M38" s="5">
        <f>LOOKUP(L38,AE:AE,AG:AG)</f>
        <v>12</v>
      </c>
      <c r="N38" s="5">
        <f>AM38/M38/$K$1</f>
        <v>1.4444444444444444</v>
      </c>
      <c r="O38" s="5">
        <f>SUM($N$9:N38)</f>
        <v>78.633333333333326</v>
      </c>
      <c r="AE38" s="5">
        <f t="shared" si="1"/>
        <v>30</v>
      </c>
      <c r="AF38" s="5">
        <f t="shared" si="2"/>
        <v>147</v>
      </c>
      <c r="AG38" s="5">
        <f t="shared" si="3"/>
        <v>130</v>
      </c>
      <c r="AH38" s="5">
        <f>AG38*$AF$1</f>
        <v>1300</v>
      </c>
      <c r="AI38" s="5">
        <f>SUM($AF$9:AF37)</f>
        <v>1460</v>
      </c>
      <c r="AK38" s="5">
        <f t="shared" si="4"/>
        <v>30</v>
      </c>
      <c r="AL38" s="5">
        <f t="shared" si="5"/>
        <v>5</v>
      </c>
      <c r="AM38" s="5">
        <f t="shared" si="6"/>
        <v>26</v>
      </c>
      <c r="AN38" s="5">
        <f>$AL$4*$AL$3^AL38*$AL$2</f>
        <v>26.470445434567502</v>
      </c>
      <c r="AO38" s="5">
        <f>IF(AL38=AL39,1,LOOKUP(MOD(AL38,$AL$1),$AN$1:$AN$5,$AO$1:$AO$5))</f>
        <v>1</v>
      </c>
      <c r="AP38" s="5">
        <f t="shared" si="7"/>
        <v>4</v>
      </c>
      <c r="AQ38" s="5">
        <f>AM38*$AR$3</f>
        <v>3.4666666666666668</v>
      </c>
      <c r="AR38" s="5">
        <f>AM38*AL38*$AR$4</f>
        <v>0.39</v>
      </c>
      <c r="AS38" s="5">
        <f>SUM($AP$9:AP37)</f>
        <v>71</v>
      </c>
    </row>
    <row r="39" spans="1:45" x14ac:dyDescent="0.15">
      <c r="A39" s="5">
        <v>31</v>
      </c>
      <c r="D39" s="5">
        <v>31</v>
      </c>
      <c r="E39" s="5">
        <v>6</v>
      </c>
      <c r="F39" s="5">
        <v>1.4</v>
      </c>
      <c r="G39" s="5">
        <v>59.701666666666675</v>
      </c>
      <c r="J39" s="5">
        <f t="shared" si="0"/>
        <v>31</v>
      </c>
      <c r="K39" s="5">
        <f>SUM($AP$9:AP38)</f>
        <v>75</v>
      </c>
      <c r="L39" s="5">
        <f>LOOKUP(K39,AI:AI,AE:AE)</f>
        <v>8</v>
      </c>
      <c r="M39" s="5">
        <f>LOOKUP(L39,AE:AE,AG:AG)</f>
        <v>12</v>
      </c>
      <c r="N39" s="5">
        <f>AM39/M39/$K$1</f>
        <v>1.4444444444444444</v>
      </c>
      <c r="O39" s="5">
        <f>SUM($N$9:N39)</f>
        <v>80.077777777777769</v>
      </c>
      <c r="AE39" s="5">
        <f t="shared" si="1"/>
        <v>31</v>
      </c>
      <c r="AF39" s="5">
        <f t="shared" si="2"/>
        <v>159</v>
      </c>
      <c r="AG39" s="5">
        <f t="shared" si="3"/>
        <v>141</v>
      </c>
      <c r="AH39" s="5">
        <f>AG39*$AF$1</f>
        <v>1410</v>
      </c>
      <c r="AI39" s="5">
        <f>SUM($AF$9:AF38)</f>
        <v>1607</v>
      </c>
      <c r="AK39" s="5">
        <f t="shared" si="4"/>
        <v>31</v>
      </c>
      <c r="AL39" s="5">
        <f t="shared" si="5"/>
        <v>5</v>
      </c>
      <c r="AM39" s="5">
        <f t="shared" si="6"/>
        <v>26</v>
      </c>
      <c r="AN39" s="5">
        <f>$AL$4*$AL$3^AL39*$AL$2</f>
        <v>26.470445434567502</v>
      </c>
      <c r="AO39" s="5">
        <f>IF(AL39=AL40,1,LOOKUP(MOD(AL39,$AL$1),$AN$1:$AN$5,$AO$1:$AO$5))</f>
        <v>1</v>
      </c>
      <c r="AP39" s="5">
        <f t="shared" si="7"/>
        <v>4</v>
      </c>
      <c r="AQ39" s="5">
        <f>AM39*$AR$3</f>
        <v>3.4666666666666668</v>
      </c>
      <c r="AR39" s="5">
        <f>AM39*AL39*$AR$4</f>
        <v>0.39</v>
      </c>
      <c r="AS39" s="5">
        <f>SUM($AP$9:AP38)</f>
        <v>75</v>
      </c>
    </row>
    <row r="40" spans="1:45" x14ac:dyDescent="0.15">
      <c r="A40" s="5">
        <v>32</v>
      </c>
      <c r="D40" s="5">
        <v>32</v>
      </c>
      <c r="E40" s="5">
        <v>6</v>
      </c>
      <c r="F40" s="5">
        <v>1.4</v>
      </c>
      <c r="G40" s="5">
        <v>61.101666666666674</v>
      </c>
      <c r="J40" s="5">
        <f t="shared" si="0"/>
        <v>32</v>
      </c>
      <c r="K40" s="5">
        <f>SUM($AP$9:AP39)</f>
        <v>79</v>
      </c>
      <c r="L40" s="5">
        <f>LOOKUP(K40,AI:AI,AE:AE)</f>
        <v>8</v>
      </c>
      <c r="M40" s="5">
        <f>LOOKUP(L40,AE:AE,AG:AG)</f>
        <v>12</v>
      </c>
      <c r="N40" s="5">
        <f>AM40/M40/$K$1</f>
        <v>1.4444444444444444</v>
      </c>
      <c r="O40" s="5">
        <f>SUM($N$9:N40)</f>
        <v>81.522222222222211</v>
      </c>
      <c r="AE40" s="5">
        <f t="shared" si="1"/>
        <v>32</v>
      </c>
      <c r="AF40" s="5">
        <f t="shared" si="2"/>
        <v>172</v>
      </c>
      <c r="AG40" s="5">
        <f t="shared" si="3"/>
        <v>152</v>
      </c>
      <c r="AH40" s="5">
        <f>AG40*$AF$1</f>
        <v>1520</v>
      </c>
      <c r="AI40" s="5">
        <f>SUM($AF$9:AF39)</f>
        <v>1766</v>
      </c>
      <c r="AK40" s="5">
        <f t="shared" si="4"/>
        <v>32</v>
      </c>
      <c r="AL40" s="5">
        <f t="shared" si="5"/>
        <v>5</v>
      </c>
      <c r="AM40" s="5">
        <f t="shared" si="6"/>
        <v>26</v>
      </c>
      <c r="AN40" s="5">
        <f>$AL$4*$AL$3^AL40*$AL$2</f>
        <v>26.470445434567502</v>
      </c>
      <c r="AO40" s="5">
        <f>IF(AL40=AL41,1,LOOKUP(MOD(AL40,$AL$1),$AN$1:$AN$5,$AO$1:$AO$5))</f>
        <v>1</v>
      </c>
      <c r="AP40" s="5">
        <f t="shared" si="7"/>
        <v>4</v>
      </c>
      <c r="AQ40" s="5">
        <f>AM40*$AR$3</f>
        <v>3.4666666666666668</v>
      </c>
      <c r="AR40" s="5">
        <f>AM40*AL40*$AR$4</f>
        <v>0.39</v>
      </c>
      <c r="AS40" s="5">
        <f>SUM($AP$9:AP39)</f>
        <v>79</v>
      </c>
    </row>
    <row r="41" spans="1:45" x14ac:dyDescent="0.15">
      <c r="A41" s="5">
        <v>33</v>
      </c>
      <c r="D41" s="5">
        <v>33</v>
      </c>
      <c r="E41" s="5">
        <v>6</v>
      </c>
      <c r="F41" s="5">
        <v>1.4</v>
      </c>
      <c r="G41" s="5">
        <v>62.501666666666672</v>
      </c>
      <c r="J41" s="5">
        <f t="shared" si="0"/>
        <v>33</v>
      </c>
      <c r="K41" s="5">
        <f>SUM($AP$9:AP40)</f>
        <v>83</v>
      </c>
      <c r="L41" s="5">
        <f>LOOKUP(K41,AI:AI,AE:AE)</f>
        <v>8</v>
      </c>
      <c r="M41" s="5">
        <f>LOOKUP(L41,AE:AE,AG:AG)</f>
        <v>12</v>
      </c>
      <c r="N41" s="5">
        <f>AM41/M41/$K$1</f>
        <v>1.4444444444444444</v>
      </c>
      <c r="O41" s="5">
        <f>SUM($N$9:N41)</f>
        <v>82.966666666666654</v>
      </c>
      <c r="AE41" s="5">
        <f t="shared" si="1"/>
        <v>33</v>
      </c>
      <c r="AF41" s="5">
        <f t="shared" si="2"/>
        <v>185</v>
      </c>
      <c r="AG41" s="5">
        <f t="shared" si="3"/>
        <v>165</v>
      </c>
      <c r="AH41" s="5">
        <f>AG41*$AF$1</f>
        <v>1650</v>
      </c>
      <c r="AI41" s="5">
        <f>SUM($AF$9:AF40)</f>
        <v>1938</v>
      </c>
      <c r="AK41" s="5">
        <f t="shared" si="4"/>
        <v>33</v>
      </c>
      <c r="AL41" s="5">
        <f t="shared" si="5"/>
        <v>5</v>
      </c>
      <c r="AM41" s="5">
        <f t="shared" si="6"/>
        <v>26</v>
      </c>
      <c r="AN41" s="5">
        <f>$AL$4*$AL$3^AL41*$AL$2</f>
        <v>26.470445434567502</v>
      </c>
      <c r="AO41" s="5">
        <f>IF(AL41=AL42,1,LOOKUP(MOD(AL41,$AL$1),$AN$1:$AN$5,$AO$1:$AO$5))</f>
        <v>1</v>
      </c>
      <c r="AP41" s="5">
        <f t="shared" si="7"/>
        <v>4</v>
      </c>
      <c r="AQ41" s="5">
        <f>AM41*$AR$3</f>
        <v>3.4666666666666668</v>
      </c>
      <c r="AR41" s="5">
        <f>AM41*AL41*$AR$4</f>
        <v>0.39</v>
      </c>
      <c r="AS41" s="5">
        <f>SUM($AP$9:AP40)</f>
        <v>83</v>
      </c>
    </row>
    <row r="42" spans="1:45" x14ac:dyDescent="0.15">
      <c r="A42" s="5">
        <v>34</v>
      </c>
      <c r="D42" s="5">
        <v>34</v>
      </c>
      <c r="E42" s="5">
        <v>7</v>
      </c>
      <c r="F42" s="5">
        <v>1.1199999999999999</v>
      </c>
      <c r="G42" s="5">
        <v>63.62166666666667</v>
      </c>
      <c r="J42" s="5">
        <f t="shared" si="0"/>
        <v>34</v>
      </c>
      <c r="K42" s="5">
        <f>SUM($AP$9:AP41)</f>
        <v>87</v>
      </c>
      <c r="L42" s="5">
        <f>LOOKUP(K42,AI:AI,AE:AE)</f>
        <v>9</v>
      </c>
      <c r="M42" s="5">
        <f>LOOKUP(L42,AE:AE,AG:AG)</f>
        <v>14</v>
      </c>
      <c r="N42" s="5">
        <f>AM42/M42/$K$1</f>
        <v>1.2380952380952381</v>
      </c>
      <c r="O42" s="5">
        <f>SUM($N$9:N42)</f>
        <v>84.204761904761895</v>
      </c>
      <c r="AE42" s="5">
        <f t="shared" si="1"/>
        <v>34</v>
      </c>
      <c r="AF42" s="5">
        <f t="shared" si="2"/>
        <v>200</v>
      </c>
      <c r="AG42" s="5">
        <f t="shared" si="3"/>
        <v>179</v>
      </c>
      <c r="AH42" s="5">
        <f>AG42*$AF$1</f>
        <v>1790</v>
      </c>
      <c r="AI42" s="5">
        <f>SUM($AF$9:AF41)</f>
        <v>2123</v>
      </c>
      <c r="AK42" s="5">
        <f t="shared" si="4"/>
        <v>34</v>
      </c>
      <c r="AL42" s="5">
        <f t="shared" si="5"/>
        <v>5</v>
      </c>
      <c r="AM42" s="5">
        <f t="shared" si="6"/>
        <v>26</v>
      </c>
      <c r="AN42" s="5">
        <f>$AL$4*$AL$3^AL42*$AL$2</f>
        <v>26.470445434567502</v>
      </c>
      <c r="AO42" s="5">
        <f>IF(AL42=AL43,1,LOOKUP(MOD(AL42,$AL$1),$AN$1:$AN$5,$AO$1:$AO$5))</f>
        <v>1</v>
      </c>
      <c r="AP42" s="5">
        <f t="shared" si="7"/>
        <v>4</v>
      </c>
      <c r="AQ42" s="5">
        <f>AM42*$AR$3</f>
        <v>3.4666666666666668</v>
      </c>
      <c r="AR42" s="5">
        <f>AM42*AL42*$AR$4</f>
        <v>0.39</v>
      </c>
      <c r="AS42" s="5">
        <f>SUM($AP$9:AP41)</f>
        <v>87</v>
      </c>
    </row>
    <row r="43" spans="1:45" ht="27" x14ac:dyDescent="0.15">
      <c r="A43" s="5">
        <v>35</v>
      </c>
      <c r="D43" s="5">
        <v>35</v>
      </c>
      <c r="E43" s="5">
        <v>7</v>
      </c>
      <c r="F43" s="5">
        <v>1.1199999999999999</v>
      </c>
      <c r="G43" s="5">
        <v>64.741666666666674</v>
      </c>
      <c r="J43" s="5">
        <f t="shared" si="0"/>
        <v>35</v>
      </c>
      <c r="K43" s="5">
        <f>SUM($AP$9:AP42)</f>
        <v>91</v>
      </c>
      <c r="L43" s="5">
        <f>LOOKUP(K43,AI:AI,AE:AE)</f>
        <v>9</v>
      </c>
      <c r="M43" s="5">
        <f>LOOKUP(L43,AE:AE,AG:AG)</f>
        <v>14</v>
      </c>
      <c r="N43" s="5">
        <f>AM43/M43/$K$1</f>
        <v>8.8095238095238084</v>
      </c>
      <c r="O43" s="5">
        <f>SUM($N$9:N43)</f>
        <v>93.014285714285705</v>
      </c>
      <c r="P43" s="10" t="s">
        <v>318</v>
      </c>
      <c r="AE43" s="5">
        <f t="shared" si="1"/>
        <v>35</v>
      </c>
      <c r="AF43" s="5">
        <f t="shared" si="2"/>
        <v>215</v>
      </c>
      <c r="AG43" s="5">
        <f t="shared" si="3"/>
        <v>193</v>
      </c>
      <c r="AH43" s="5">
        <f>AG43*$AF$1</f>
        <v>1930</v>
      </c>
      <c r="AI43" s="5">
        <f>SUM($AF$9:AF42)</f>
        <v>2323</v>
      </c>
      <c r="AK43" s="5">
        <f t="shared" si="4"/>
        <v>35</v>
      </c>
      <c r="AL43" s="5">
        <f t="shared" si="5"/>
        <v>5</v>
      </c>
      <c r="AM43" s="5">
        <f t="shared" si="6"/>
        <v>185</v>
      </c>
      <c r="AN43" s="5">
        <f>$AL$4*$AL$3^AL43*$AL$2</f>
        <v>26.470445434567502</v>
      </c>
      <c r="AO43" s="5">
        <f>IF(AL43=AL44,1,LOOKUP(MOD(AL43,$AL$1),$AN$1:$AN$5,$AO$1:$AO$5))</f>
        <v>7</v>
      </c>
      <c r="AP43" s="5">
        <f t="shared" si="7"/>
        <v>27</v>
      </c>
      <c r="AQ43" s="5">
        <f>AM43*$AR$3</f>
        <v>24.666666666666668</v>
      </c>
      <c r="AR43" s="5">
        <f>AM43*AL43*$AR$4</f>
        <v>2.7749999999999999</v>
      </c>
      <c r="AS43" s="5">
        <f>SUM($AP$9:AP42)</f>
        <v>91</v>
      </c>
    </row>
    <row r="44" spans="1:45" x14ac:dyDescent="0.15">
      <c r="A44" s="5">
        <v>36</v>
      </c>
      <c r="D44" s="5">
        <v>36</v>
      </c>
      <c r="E44" s="5">
        <v>7</v>
      </c>
      <c r="F44" s="5">
        <v>1.1199999999999999</v>
      </c>
      <c r="G44" s="5">
        <v>65.861666666666679</v>
      </c>
      <c r="J44" s="5">
        <f t="shared" si="0"/>
        <v>36</v>
      </c>
      <c r="K44" s="5">
        <f>SUM($AP$9:AP43)</f>
        <v>118</v>
      </c>
      <c r="L44" s="5">
        <f>LOOKUP(K44,AI:AI,AE:AE)</f>
        <v>10</v>
      </c>
      <c r="M44" s="5">
        <f>LOOKUP(L44,AE:AE,AG:AG)</f>
        <v>16</v>
      </c>
      <c r="N44" s="5">
        <f>AM44/M44/$K$1</f>
        <v>1.75</v>
      </c>
      <c r="O44" s="5">
        <f>SUM($N$9:N44)</f>
        <v>94.764285714285705</v>
      </c>
      <c r="AE44" s="5">
        <f t="shared" si="1"/>
        <v>36</v>
      </c>
      <c r="AF44" s="5">
        <f t="shared" si="2"/>
        <v>232</v>
      </c>
      <c r="AG44" s="5">
        <f t="shared" si="3"/>
        <v>209</v>
      </c>
      <c r="AH44" s="5">
        <f>AG44*$AF$1</f>
        <v>2090</v>
      </c>
      <c r="AI44" s="5">
        <f>SUM($AF$9:AF43)</f>
        <v>2538</v>
      </c>
      <c r="AK44" s="5">
        <f t="shared" si="4"/>
        <v>36</v>
      </c>
      <c r="AL44" s="5">
        <f t="shared" si="5"/>
        <v>6</v>
      </c>
      <c r="AM44" s="5">
        <f t="shared" si="6"/>
        <v>42</v>
      </c>
      <c r="AN44" s="5">
        <f>$AL$4*$AL$3^AL44*$AL$2</f>
        <v>41.55859933227098</v>
      </c>
      <c r="AO44" s="5">
        <f>IF(AL44=AL45,1,LOOKUP(MOD(AL44,$AL$1),$AN$1:$AN$5,$AO$1:$AO$5))</f>
        <v>1</v>
      </c>
      <c r="AP44" s="5">
        <f t="shared" si="7"/>
        <v>6</v>
      </c>
      <c r="AQ44" s="5">
        <f>AM44*$AR$3</f>
        <v>5.6</v>
      </c>
      <c r="AR44" s="5">
        <f>AM44*AL44*$AR$4</f>
        <v>0.75600000000000001</v>
      </c>
      <c r="AS44" s="5">
        <f>SUM($AP$9:AP43)</f>
        <v>118</v>
      </c>
    </row>
    <row r="45" spans="1:45" x14ac:dyDescent="0.15">
      <c r="A45" s="5">
        <v>37</v>
      </c>
      <c r="D45" s="5">
        <v>37</v>
      </c>
      <c r="E45" s="5">
        <v>7</v>
      </c>
      <c r="F45" s="5">
        <v>1.1199999999999999</v>
      </c>
      <c r="G45" s="5">
        <v>66.981666666666683</v>
      </c>
      <c r="J45" s="5">
        <f t="shared" si="0"/>
        <v>37</v>
      </c>
      <c r="K45" s="5">
        <f>SUM($AP$9:AP44)</f>
        <v>124</v>
      </c>
      <c r="L45" s="5">
        <f>LOOKUP(K45,AI:AI,AE:AE)</f>
        <v>10</v>
      </c>
      <c r="M45" s="5">
        <f>LOOKUP(L45,AE:AE,AG:AG)</f>
        <v>16</v>
      </c>
      <c r="N45" s="5">
        <f>AM45/M45/$K$1</f>
        <v>1.75</v>
      </c>
      <c r="O45" s="5">
        <f>SUM($N$9:N45)</f>
        <v>96.514285714285705</v>
      </c>
      <c r="AE45" s="5">
        <f t="shared" si="1"/>
        <v>37</v>
      </c>
      <c r="AF45" s="5">
        <f t="shared" si="2"/>
        <v>249</v>
      </c>
      <c r="AG45" s="5">
        <f t="shared" si="3"/>
        <v>225</v>
      </c>
      <c r="AH45" s="5">
        <f>AG45*$AF$1</f>
        <v>2250</v>
      </c>
      <c r="AI45" s="5">
        <f>SUM($AF$9:AF44)</f>
        <v>2770</v>
      </c>
      <c r="AK45" s="5">
        <f t="shared" si="4"/>
        <v>37</v>
      </c>
      <c r="AL45" s="5">
        <f t="shared" si="5"/>
        <v>6</v>
      </c>
      <c r="AM45" s="5">
        <f t="shared" si="6"/>
        <v>42</v>
      </c>
      <c r="AN45" s="5">
        <f>$AL$4*$AL$3^AL45*$AL$2</f>
        <v>41.55859933227098</v>
      </c>
      <c r="AO45" s="5">
        <f>IF(AL45=AL46,1,LOOKUP(MOD(AL45,$AL$1),$AN$1:$AN$5,$AO$1:$AO$5))</f>
        <v>1</v>
      </c>
      <c r="AP45" s="5">
        <f t="shared" si="7"/>
        <v>6</v>
      </c>
      <c r="AQ45" s="5">
        <f>AM45*$AR$3</f>
        <v>5.6</v>
      </c>
      <c r="AR45" s="5">
        <f>AM45*AL45*$AR$4</f>
        <v>0.75600000000000001</v>
      </c>
      <c r="AS45" s="5">
        <f>SUM($AP$9:AP44)</f>
        <v>124</v>
      </c>
    </row>
    <row r="46" spans="1:45" x14ac:dyDescent="0.15">
      <c r="A46" s="5">
        <v>38</v>
      </c>
      <c r="D46" s="5">
        <v>38</v>
      </c>
      <c r="E46" s="5">
        <v>7</v>
      </c>
      <c r="F46" s="5">
        <v>1.1199999999999999</v>
      </c>
      <c r="G46" s="5">
        <v>68.101666666666688</v>
      </c>
      <c r="J46" s="5">
        <f t="shared" si="0"/>
        <v>38</v>
      </c>
      <c r="K46" s="5">
        <f>SUM($AP$9:AP45)</f>
        <v>130</v>
      </c>
      <c r="L46" s="5">
        <f>LOOKUP(K46,AI:AI,AE:AE)</f>
        <v>11</v>
      </c>
      <c r="M46" s="5">
        <f>LOOKUP(L46,AE:AE,AG:AG)</f>
        <v>19</v>
      </c>
      <c r="N46" s="5">
        <f>AM46/M46/$K$1</f>
        <v>1.4736842105263159</v>
      </c>
      <c r="O46" s="5">
        <f>SUM($N$9:N46)</f>
        <v>97.98796992481202</v>
      </c>
      <c r="AE46" s="5">
        <f t="shared" si="1"/>
        <v>38</v>
      </c>
      <c r="AF46" s="5">
        <f t="shared" si="2"/>
        <v>268</v>
      </c>
      <c r="AG46" s="5">
        <f t="shared" si="3"/>
        <v>243</v>
      </c>
      <c r="AH46" s="5">
        <f>AG46*$AF$1</f>
        <v>2430</v>
      </c>
      <c r="AI46" s="5">
        <f>SUM($AF$9:AF45)</f>
        <v>3019</v>
      </c>
      <c r="AK46" s="5">
        <f t="shared" si="4"/>
        <v>38</v>
      </c>
      <c r="AL46" s="5">
        <f t="shared" si="5"/>
        <v>6</v>
      </c>
      <c r="AM46" s="5">
        <f t="shared" si="6"/>
        <v>42</v>
      </c>
      <c r="AN46" s="5">
        <f>$AL$4*$AL$3^AL46*$AL$2</f>
        <v>41.55859933227098</v>
      </c>
      <c r="AO46" s="5">
        <f>IF(AL46=AL47,1,LOOKUP(MOD(AL46,$AL$1),$AN$1:$AN$5,$AO$1:$AO$5))</f>
        <v>1</v>
      </c>
      <c r="AP46" s="5">
        <f t="shared" si="7"/>
        <v>6</v>
      </c>
      <c r="AQ46" s="5">
        <f>AM46*$AR$3</f>
        <v>5.6</v>
      </c>
      <c r="AR46" s="5">
        <f>AM46*AL46*$AR$4</f>
        <v>0.75600000000000001</v>
      </c>
      <c r="AS46" s="5">
        <f>SUM($AP$9:AP45)</f>
        <v>130</v>
      </c>
    </row>
    <row r="47" spans="1:45" ht="54" x14ac:dyDescent="0.15">
      <c r="A47" s="5">
        <v>39</v>
      </c>
      <c r="D47" s="5">
        <v>39</v>
      </c>
      <c r="E47" s="5">
        <v>7</v>
      </c>
      <c r="F47" s="5">
        <v>1.1199999999999999</v>
      </c>
      <c r="G47" s="5">
        <v>69.221666666666692</v>
      </c>
      <c r="H47" s="10" t="s">
        <v>100</v>
      </c>
      <c r="I47" s="16"/>
      <c r="J47" s="5">
        <f t="shared" si="0"/>
        <v>39</v>
      </c>
      <c r="K47" s="5">
        <f>SUM($AP$9:AP46)</f>
        <v>136</v>
      </c>
      <c r="L47" s="5">
        <f>LOOKUP(K47,AI:AI,AE:AE)</f>
        <v>11</v>
      </c>
      <c r="M47" s="5">
        <f>LOOKUP(L47,AE:AE,AG:AG)</f>
        <v>19</v>
      </c>
      <c r="N47" s="5">
        <f>AM47/M47/$K$1</f>
        <v>1.4736842105263159</v>
      </c>
      <c r="O47" s="5">
        <f>SUM($N$9:N47)</f>
        <v>99.461654135338335</v>
      </c>
      <c r="AE47" s="5">
        <f t="shared" si="1"/>
        <v>39</v>
      </c>
      <c r="AF47" s="5">
        <f t="shared" si="2"/>
        <v>288</v>
      </c>
      <c r="AG47" s="5">
        <f t="shared" si="3"/>
        <v>261</v>
      </c>
      <c r="AH47" s="5">
        <f>AG47*$AF$1</f>
        <v>2610</v>
      </c>
      <c r="AI47" s="5">
        <f>SUM($AF$9:AF46)</f>
        <v>3287</v>
      </c>
      <c r="AK47" s="5">
        <f t="shared" si="4"/>
        <v>39</v>
      </c>
      <c r="AL47" s="5">
        <f t="shared" si="5"/>
        <v>6</v>
      </c>
      <c r="AM47" s="5">
        <f t="shared" si="6"/>
        <v>42</v>
      </c>
      <c r="AN47" s="5">
        <f>$AL$4*$AL$3^AL47*$AL$2</f>
        <v>41.55859933227098</v>
      </c>
      <c r="AO47" s="5">
        <f>IF(AL47=AL48,1,LOOKUP(MOD(AL47,$AL$1),$AN$1:$AN$5,$AO$1:$AO$5))</f>
        <v>1</v>
      </c>
      <c r="AP47" s="5">
        <f t="shared" si="7"/>
        <v>6</v>
      </c>
      <c r="AQ47" s="5">
        <f>AM47*$AR$3</f>
        <v>5.6</v>
      </c>
      <c r="AR47" s="5">
        <f>AM47*AL47*$AR$4</f>
        <v>0.75600000000000001</v>
      </c>
      <c r="AS47" s="5">
        <f>SUM($AP$9:AP46)</f>
        <v>136</v>
      </c>
    </row>
    <row r="48" spans="1:45" ht="121.5" x14ac:dyDescent="0.15">
      <c r="A48" s="5">
        <v>40</v>
      </c>
      <c r="D48" s="5">
        <v>40</v>
      </c>
      <c r="E48" s="5">
        <v>7</v>
      </c>
      <c r="F48" s="5">
        <v>7.87</v>
      </c>
      <c r="G48" s="5">
        <v>77.091666666666697</v>
      </c>
      <c r="H48" s="10" t="s">
        <v>101</v>
      </c>
      <c r="I48" s="16"/>
      <c r="J48" s="5">
        <f t="shared" si="0"/>
        <v>40</v>
      </c>
      <c r="K48" s="5">
        <f>SUM($AP$9:AP47)</f>
        <v>142</v>
      </c>
      <c r="L48" s="5">
        <f>LOOKUP(K48,AI:AI,AE:AE)</f>
        <v>11</v>
      </c>
      <c r="M48" s="5">
        <f>LOOKUP(L48,AE:AE,AG:AG)</f>
        <v>19</v>
      </c>
      <c r="N48" s="5">
        <f>AM48/M48/$K$1</f>
        <v>1.4736842105263159</v>
      </c>
      <c r="O48" s="5">
        <f>SUM($N$9:N48)</f>
        <v>100.93533834586465</v>
      </c>
      <c r="AE48" s="5">
        <f t="shared" si="1"/>
        <v>40</v>
      </c>
      <c r="AF48" s="5">
        <f t="shared" si="2"/>
        <v>310</v>
      </c>
      <c r="AG48" s="5">
        <f t="shared" si="3"/>
        <v>282</v>
      </c>
      <c r="AH48" s="5">
        <f>AG48*$AF$1</f>
        <v>2820</v>
      </c>
      <c r="AI48" s="5">
        <f>SUM($AF$9:AF47)</f>
        <v>3575</v>
      </c>
      <c r="AK48" s="5">
        <f t="shared" si="4"/>
        <v>40</v>
      </c>
      <c r="AL48" s="5">
        <f t="shared" si="5"/>
        <v>6</v>
      </c>
      <c r="AM48" s="5">
        <f t="shared" si="6"/>
        <v>42</v>
      </c>
      <c r="AN48" s="5">
        <f>$AL$4*$AL$3^AL48*$AL$2</f>
        <v>41.55859933227098</v>
      </c>
      <c r="AO48" s="5">
        <f>IF(AL48=AL49,1,LOOKUP(MOD(AL48,$AL$1),$AN$1:$AN$5,$AO$1:$AO$5))</f>
        <v>1</v>
      </c>
      <c r="AP48" s="5">
        <f t="shared" si="7"/>
        <v>6</v>
      </c>
      <c r="AQ48" s="5">
        <f>AM48*$AR$3</f>
        <v>5.6</v>
      </c>
      <c r="AR48" s="5">
        <f>AM48*AL48*$AR$4</f>
        <v>0.75600000000000001</v>
      </c>
      <c r="AS48" s="5">
        <f>SUM($AP$9:AP47)</f>
        <v>142</v>
      </c>
    </row>
    <row r="49" spans="1:45" x14ac:dyDescent="0.15">
      <c r="A49" s="5">
        <v>41</v>
      </c>
      <c r="D49" s="5">
        <v>41</v>
      </c>
      <c r="E49" s="5">
        <v>8</v>
      </c>
      <c r="F49" s="5">
        <v>1.4666666666666666</v>
      </c>
      <c r="G49" s="5">
        <v>78.558333333333366</v>
      </c>
      <c r="J49" s="5">
        <f t="shared" si="0"/>
        <v>41</v>
      </c>
      <c r="K49" s="5">
        <f>SUM($AP$9:AP48)</f>
        <v>148</v>
      </c>
      <c r="L49" s="5">
        <f>LOOKUP(K49,AI:AI,AE:AE)</f>
        <v>11</v>
      </c>
      <c r="M49" s="5">
        <f>LOOKUP(L49,AE:AE,AG:AG)</f>
        <v>19</v>
      </c>
      <c r="N49" s="5">
        <f>AM49/M49/$K$1</f>
        <v>1.4736842105263159</v>
      </c>
      <c r="O49" s="5">
        <f>SUM($N$9:N49)</f>
        <v>102.40902255639097</v>
      </c>
      <c r="AE49" s="5">
        <f t="shared" si="1"/>
        <v>41</v>
      </c>
      <c r="AF49" s="5">
        <f t="shared" si="2"/>
        <v>333</v>
      </c>
      <c r="AG49" s="5">
        <f t="shared" si="3"/>
        <v>303</v>
      </c>
      <c r="AH49" s="5">
        <f>AG49*$AF$1</f>
        <v>3030</v>
      </c>
      <c r="AI49" s="5">
        <f>SUM($AF$9:AF48)</f>
        <v>3885</v>
      </c>
      <c r="AK49" s="5">
        <f t="shared" si="4"/>
        <v>41</v>
      </c>
      <c r="AL49" s="5">
        <f t="shared" si="5"/>
        <v>6</v>
      </c>
      <c r="AM49" s="5">
        <f t="shared" si="6"/>
        <v>42</v>
      </c>
      <c r="AN49" s="5">
        <f>$AL$4*$AL$3^AL49*$AL$2</f>
        <v>41.55859933227098</v>
      </c>
      <c r="AO49" s="5">
        <f>IF(AL49=AL50,1,LOOKUP(MOD(AL49,$AL$1),$AN$1:$AN$5,$AO$1:$AO$5))</f>
        <v>1</v>
      </c>
      <c r="AP49" s="5">
        <f t="shared" si="7"/>
        <v>6</v>
      </c>
      <c r="AQ49" s="5">
        <f>AM49*$AR$3</f>
        <v>5.6</v>
      </c>
      <c r="AR49" s="5">
        <f>AM49*AL49*$AR$4</f>
        <v>0.75600000000000001</v>
      </c>
      <c r="AS49" s="5">
        <f>SUM($AP$9:AP48)</f>
        <v>148</v>
      </c>
    </row>
    <row r="50" spans="1:45" x14ac:dyDescent="0.15">
      <c r="A50" s="5">
        <v>42</v>
      </c>
      <c r="D50" s="5">
        <v>42</v>
      </c>
      <c r="E50" s="5">
        <v>8</v>
      </c>
      <c r="F50" s="5">
        <v>1.4666666666666666</v>
      </c>
      <c r="G50" s="5">
        <v>80.025000000000034</v>
      </c>
      <c r="J50" s="5">
        <f t="shared" si="0"/>
        <v>42</v>
      </c>
      <c r="K50" s="5">
        <f>SUM($AP$9:AP49)</f>
        <v>154</v>
      </c>
      <c r="L50" s="5">
        <f>LOOKUP(K50,AI:AI,AE:AE)</f>
        <v>11</v>
      </c>
      <c r="M50" s="5">
        <f>LOOKUP(L50,AE:AE,AG:AG)</f>
        <v>19</v>
      </c>
      <c r="N50" s="5">
        <f>AM50/M50/$K$1</f>
        <v>10.210526315789474</v>
      </c>
      <c r="O50" s="5">
        <f>SUM($N$9:N50)</f>
        <v>112.61954887218045</v>
      </c>
      <c r="AE50" s="5">
        <f t="shared" si="1"/>
        <v>42</v>
      </c>
      <c r="AF50" s="5">
        <f t="shared" si="2"/>
        <v>357</v>
      </c>
      <c r="AG50" s="5">
        <f t="shared" si="3"/>
        <v>326</v>
      </c>
      <c r="AH50" s="5">
        <f>AG50*$AF$1</f>
        <v>3260</v>
      </c>
      <c r="AI50" s="5">
        <f>SUM($AF$9:AF49)</f>
        <v>4218</v>
      </c>
      <c r="AK50" s="5">
        <f t="shared" si="4"/>
        <v>42</v>
      </c>
      <c r="AL50" s="5">
        <f t="shared" si="5"/>
        <v>6</v>
      </c>
      <c r="AM50" s="5">
        <f t="shared" si="6"/>
        <v>291</v>
      </c>
      <c r="AN50" s="5">
        <f>$AL$4*$AL$3^AL50*$AL$2</f>
        <v>41.55859933227098</v>
      </c>
      <c r="AO50" s="5">
        <f>IF(AL50=AL51,1,LOOKUP(MOD(AL50,$AL$1),$AN$1:$AN$5,$AO$1:$AO$5))</f>
        <v>7</v>
      </c>
      <c r="AP50" s="5">
        <f t="shared" si="7"/>
        <v>44</v>
      </c>
      <c r="AQ50" s="5">
        <f>AM50*$AR$3</f>
        <v>38.799999999999997</v>
      </c>
      <c r="AR50" s="5">
        <f>AM50*AL50*$AR$4</f>
        <v>5.2380000000000004</v>
      </c>
      <c r="AS50" s="5">
        <f>SUM($AP$9:AP49)</f>
        <v>154</v>
      </c>
    </row>
    <row r="51" spans="1:45" x14ac:dyDescent="0.15">
      <c r="A51" s="5">
        <v>43</v>
      </c>
      <c r="D51" s="5">
        <v>43</v>
      </c>
      <c r="E51" s="5">
        <v>9</v>
      </c>
      <c r="F51" s="5">
        <v>1.2571428571428571</v>
      </c>
      <c r="G51" s="5">
        <v>81.282142857142887</v>
      </c>
      <c r="J51" s="5">
        <f t="shared" si="0"/>
        <v>43</v>
      </c>
      <c r="K51" s="5">
        <f>SUM($AP$9:AP50)</f>
        <v>198</v>
      </c>
      <c r="L51" s="5">
        <f>LOOKUP(K51,AI:AI,AE:AE)</f>
        <v>13</v>
      </c>
      <c r="M51" s="5">
        <f>LOOKUP(L51,AE:AE,AG:AG)</f>
        <v>25</v>
      </c>
      <c r="N51" s="5">
        <f>AM51/M51/$K$1</f>
        <v>1.7333333333333334</v>
      </c>
      <c r="O51" s="5">
        <f>SUM($N$9:N51)</f>
        <v>114.35288220551378</v>
      </c>
      <c r="AE51" s="5">
        <f t="shared" si="1"/>
        <v>43</v>
      </c>
      <c r="AF51" s="5">
        <f t="shared" si="2"/>
        <v>383</v>
      </c>
      <c r="AG51" s="5">
        <f t="shared" si="3"/>
        <v>350</v>
      </c>
      <c r="AH51" s="5">
        <f>AG51*$AF$1</f>
        <v>3500</v>
      </c>
      <c r="AI51" s="5">
        <f>SUM($AF$9:AF50)</f>
        <v>4575</v>
      </c>
      <c r="AK51" s="5">
        <f t="shared" si="4"/>
        <v>43</v>
      </c>
      <c r="AL51" s="5">
        <f t="shared" si="5"/>
        <v>7</v>
      </c>
      <c r="AM51" s="5">
        <f t="shared" si="6"/>
        <v>65</v>
      </c>
      <c r="AN51" s="5">
        <f>$AL$4*$AL$3^AL51*$AL$2</f>
        <v>65.247000951665441</v>
      </c>
      <c r="AO51" s="5">
        <f>IF(AL51=AL52,1,LOOKUP(MOD(AL51,$AL$1),$AN$1:$AN$5,$AO$1:$AO$5))</f>
        <v>1</v>
      </c>
      <c r="AP51" s="5">
        <f t="shared" si="7"/>
        <v>10</v>
      </c>
      <c r="AQ51" s="5">
        <f>AM51*$AR$3</f>
        <v>8.6666666666666661</v>
      </c>
      <c r="AR51" s="5">
        <f>AM51*AL51*$AR$4</f>
        <v>1.365</v>
      </c>
      <c r="AS51" s="5">
        <f>SUM($AP$9:AP50)</f>
        <v>198</v>
      </c>
    </row>
    <row r="52" spans="1:45" x14ac:dyDescent="0.15">
      <c r="A52" s="5">
        <v>44</v>
      </c>
      <c r="D52" s="5">
        <v>44</v>
      </c>
      <c r="E52" s="5">
        <v>9</v>
      </c>
      <c r="F52" s="5">
        <v>1.2571428571428571</v>
      </c>
      <c r="G52" s="5">
        <v>82.539285714285739</v>
      </c>
      <c r="J52" s="5">
        <f t="shared" si="0"/>
        <v>44</v>
      </c>
      <c r="K52" s="5">
        <f>SUM($AP$9:AP51)</f>
        <v>208</v>
      </c>
      <c r="L52" s="5">
        <f>LOOKUP(K52,AI:AI,AE:AE)</f>
        <v>13</v>
      </c>
      <c r="M52" s="5">
        <f>LOOKUP(L52,AE:AE,AG:AG)</f>
        <v>25</v>
      </c>
      <c r="N52" s="5">
        <f>AM52/M52/$K$1</f>
        <v>1.7333333333333334</v>
      </c>
      <c r="O52" s="5">
        <f>SUM($N$9:N52)</f>
        <v>116.08621553884711</v>
      </c>
      <c r="AE52" s="5">
        <f t="shared" si="1"/>
        <v>44</v>
      </c>
      <c r="AF52" s="5">
        <f t="shared" si="2"/>
        <v>411</v>
      </c>
      <c r="AG52" s="5">
        <f t="shared" si="3"/>
        <v>377</v>
      </c>
      <c r="AH52" s="5">
        <f>AG52*$AF$1</f>
        <v>3770</v>
      </c>
      <c r="AI52" s="5">
        <f>SUM($AF$9:AF51)</f>
        <v>4958</v>
      </c>
      <c r="AK52" s="5">
        <f t="shared" si="4"/>
        <v>44</v>
      </c>
      <c r="AL52" s="5">
        <f t="shared" si="5"/>
        <v>7</v>
      </c>
      <c r="AM52" s="5">
        <f t="shared" si="6"/>
        <v>65</v>
      </c>
      <c r="AN52" s="5">
        <f>$AL$4*$AL$3^AL52*$AL$2</f>
        <v>65.247000951665441</v>
      </c>
      <c r="AO52" s="5">
        <f>IF(AL52=AL53,1,LOOKUP(MOD(AL52,$AL$1),$AN$1:$AN$5,$AO$1:$AO$5))</f>
        <v>1</v>
      </c>
      <c r="AP52" s="5">
        <f t="shared" si="7"/>
        <v>10</v>
      </c>
      <c r="AQ52" s="5">
        <f>AM52*$AR$3</f>
        <v>8.6666666666666661</v>
      </c>
      <c r="AR52" s="5">
        <f>AM52*AL52*$AR$4</f>
        <v>1.365</v>
      </c>
      <c r="AS52" s="5">
        <f>SUM($AP$9:AP51)</f>
        <v>208</v>
      </c>
    </row>
    <row r="53" spans="1:45" x14ac:dyDescent="0.15">
      <c r="A53" s="5">
        <v>45</v>
      </c>
      <c r="D53" s="5">
        <v>45</v>
      </c>
      <c r="E53" s="5">
        <v>9</v>
      </c>
      <c r="F53" s="5">
        <v>1.2571428571428571</v>
      </c>
      <c r="G53" s="5">
        <v>83.796428571428592</v>
      </c>
      <c r="J53" s="5">
        <f t="shared" si="0"/>
        <v>45</v>
      </c>
      <c r="K53" s="5">
        <f>SUM($AP$9:AP52)</f>
        <v>218</v>
      </c>
      <c r="L53" s="5">
        <f>LOOKUP(K53,AI:AI,AE:AE)</f>
        <v>14</v>
      </c>
      <c r="M53" s="5">
        <f>LOOKUP(L53,AE:AE,AG:AG)</f>
        <v>28</v>
      </c>
      <c r="N53" s="5">
        <f>AM53/M53/$K$1</f>
        <v>1.5476190476190477</v>
      </c>
      <c r="O53" s="5">
        <f>SUM($N$9:N53)</f>
        <v>117.63383458646616</v>
      </c>
      <c r="AE53" s="5">
        <f t="shared" si="1"/>
        <v>45</v>
      </c>
      <c r="AF53" s="5">
        <f t="shared" si="2"/>
        <v>440</v>
      </c>
      <c r="AG53" s="5">
        <f t="shared" si="3"/>
        <v>404</v>
      </c>
      <c r="AH53" s="5">
        <f>AG53*$AF$1</f>
        <v>4040</v>
      </c>
      <c r="AI53" s="5">
        <f>SUM($AF$9:AF52)</f>
        <v>5369</v>
      </c>
      <c r="AK53" s="5">
        <f t="shared" si="4"/>
        <v>45</v>
      </c>
      <c r="AL53" s="5">
        <f t="shared" si="5"/>
        <v>7</v>
      </c>
      <c r="AM53" s="5">
        <f t="shared" si="6"/>
        <v>65</v>
      </c>
      <c r="AN53" s="5">
        <f>$AL$4*$AL$3^AL53*$AL$2</f>
        <v>65.247000951665441</v>
      </c>
      <c r="AO53" s="5">
        <f>IF(AL53=AL54,1,LOOKUP(MOD(AL53,$AL$1),$AN$1:$AN$5,$AO$1:$AO$5))</f>
        <v>1</v>
      </c>
      <c r="AP53" s="5">
        <f t="shared" si="7"/>
        <v>10</v>
      </c>
      <c r="AQ53" s="5">
        <f>AM53*$AR$3</f>
        <v>8.6666666666666661</v>
      </c>
      <c r="AR53" s="5">
        <f>AM53*AL53*$AR$4</f>
        <v>1.365</v>
      </c>
      <c r="AS53" s="5">
        <f>SUM($AP$9:AP52)</f>
        <v>218</v>
      </c>
    </row>
    <row r="54" spans="1:45" x14ac:dyDescent="0.15">
      <c r="A54" s="5">
        <v>46</v>
      </c>
      <c r="D54" s="5">
        <v>46</v>
      </c>
      <c r="E54" s="5">
        <v>9</v>
      </c>
      <c r="F54" s="5">
        <v>1.2571428571428571</v>
      </c>
      <c r="G54" s="5">
        <v>85.053571428571445</v>
      </c>
      <c r="J54" s="5">
        <f t="shared" si="0"/>
        <v>46</v>
      </c>
      <c r="K54" s="5">
        <f>SUM($AP$9:AP53)</f>
        <v>228</v>
      </c>
      <c r="L54" s="5">
        <f>LOOKUP(K54,AI:AI,AE:AE)</f>
        <v>14</v>
      </c>
      <c r="M54" s="5">
        <f>LOOKUP(L54,AE:AE,AG:AG)</f>
        <v>28</v>
      </c>
      <c r="N54" s="5">
        <f>AM54/M54/$K$1</f>
        <v>1.5476190476190477</v>
      </c>
      <c r="O54" s="5">
        <f>SUM($N$9:N54)</f>
        <v>119.18145363408522</v>
      </c>
      <c r="AE54" s="5">
        <f t="shared" si="1"/>
        <v>46</v>
      </c>
      <c r="AF54" s="5">
        <f t="shared" si="2"/>
        <v>472</v>
      </c>
      <c r="AG54" s="5">
        <f t="shared" si="3"/>
        <v>434</v>
      </c>
      <c r="AH54" s="5">
        <f>AG54*$AF$1</f>
        <v>4340</v>
      </c>
      <c r="AI54" s="5">
        <f>SUM($AF$9:AF53)</f>
        <v>5809</v>
      </c>
      <c r="AK54" s="5">
        <f t="shared" si="4"/>
        <v>46</v>
      </c>
      <c r="AL54" s="5">
        <f t="shared" si="5"/>
        <v>7</v>
      </c>
      <c r="AM54" s="5">
        <f t="shared" si="6"/>
        <v>65</v>
      </c>
      <c r="AN54" s="5">
        <f>$AL$4*$AL$3^AL54*$AL$2</f>
        <v>65.247000951665441</v>
      </c>
      <c r="AO54" s="5">
        <f>IF(AL54=AL55,1,LOOKUP(MOD(AL54,$AL$1),$AN$1:$AN$5,$AO$1:$AO$5))</f>
        <v>1</v>
      </c>
      <c r="AP54" s="5">
        <f t="shared" si="7"/>
        <v>10</v>
      </c>
      <c r="AQ54" s="5">
        <f>AM54*$AR$3</f>
        <v>8.6666666666666661</v>
      </c>
      <c r="AR54" s="5">
        <f>AM54*AL54*$AR$4</f>
        <v>1.365</v>
      </c>
      <c r="AS54" s="5">
        <f>SUM($AP$9:AP53)</f>
        <v>228</v>
      </c>
    </row>
    <row r="55" spans="1:45" x14ac:dyDescent="0.15">
      <c r="A55" s="5">
        <v>47</v>
      </c>
      <c r="D55" s="5">
        <v>47</v>
      </c>
      <c r="E55" s="5">
        <v>9</v>
      </c>
      <c r="F55" s="5">
        <v>1.2571428571428571</v>
      </c>
      <c r="G55" s="5">
        <v>86.310714285714297</v>
      </c>
      <c r="J55" s="5">
        <f t="shared" si="0"/>
        <v>47</v>
      </c>
      <c r="K55" s="5">
        <f>SUM($AP$9:AP54)</f>
        <v>238</v>
      </c>
      <c r="L55" s="5">
        <f>LOOKUP(K55,AI:AI,AE:AE)</f>
        <v>14</v>
      </c>
      <c r="M55" s="5">
        <f>LOOKUP(L55,AE:AE,AG:AG)</f>
        <v>28</v>
      </c>
      <c r="N55" s="5">
        <f>AM55/M55/$K$1</f>
        <v>1.5476190476190477</v>
      </c>
      <c r="O55" s="5">
        <f>SUM($N$9:N55)</f>
        <v>120.72907268170427</v>
      </c>
      <c r="AE55" s="5">
        <f t="shared" si="1"/>
        <v>47</v>
      </c>
      <c r="AF55" s="5">
        <f t="shared" si="2"/>
        <v>505</v>
      </c>
      <c r="AG55" s="5">
        <f t="shared" si="3"/>
        <v>466</v>
      </c>
      <c r="AH55" s="5">
        <f>AG55*$AF$1</f>
        <v>4660</v>
      </c>
      <c r="AI55" s="5">
        <f>SUM($AF$9:AF54)</f>
        <v>6281</v>
      </c>
      <c r="AK55" s="5">
        <f t="shared" si="4"/>
        <v>47</v>
      </c>
      <c r="AL55" s="5">
        <f t="shared" si="5"/>
        <v>7</v>
      </c>
      <c r="AM55" s="5">
        <f t="shared" si="6"/>
        <v>65</v>
      </c>
      <c r="AN55" s="5">
        <f>$AL$4*$AL$3^AL55*$AL$2</f>
        <v>65.247000951665441</v>
      </c>
      <c r="AO55" s="5">
        <f>IF(AL55=AL56,1,LOOKUP(MOD(AL55,$AL$1),$AN$1:$AN$5,$AO$1:$AO$5))</f>
        <v>1</v>
      </c>
      <c r="AP55" s="5">
        <f t="shared" si="7"/>
        <v>10</v>
      </c>
      <c r="AQ55" s="5">
        <f>AM55*$AR$3</f>
        <v>8.6666666666666661</v>
      </c>
      <c r="AR55" s="5">
        <f>AM55*AL55*$AR$4</f>
        <v>1.365</v>
      </c>
      <c r="AS55" s="5">
        <f>SUM($AP$9:AP54)</f>
        <v>238</v>
      </c>
    </row>
    <row r="56" spans="1:45" x14ac:dyDescent="0.15">
      <c r="A56" s="5">
        <v>48</v>
      </c>
      <c r="D56" s="5">
        <v>48</v>
      </c>
      <c r="E56" s="5">
        <v>9</v>
      </c>
      <c r="F56" s="5">
        <v>1.2571428571428571</v>
      </c>
      <c r="G56" s="5">
        <v>87.56785714285715</v>
      </c>
      <c r="J56" s="5">
        <f t="shared" si="0"/>
        <v>48</v>
      </c>
      <c r="K56" s="5">
        <f>SUM($AP$9:AP55)</f>
        <v>248</v>
      </c>
      <c r="L56" s="5">
        <f>LOOKUP(K56,AI:AI,AE:AE)</f>
        <v>14</v>
      </c>
      <c r="M56" s="5">
        <f>LOOKUP(L56,AE:AE,AG:AG)</f>
        <v>28</v>
      </c>
      <c r="N56" s="5">
        <f>AM56/M56/$K$1</f>
        <v>1.5476190476190477</v>
      </c>
      <c r="O56" s="5">
        <f>SUM($N$9:N56)</f>
        <v>122.27669172932332</v>
      </c>
      <c r="AE56" s="5">
        <f t="shared" si="1"/>
        <v>48</v>
      </c>
      <c r="AF56" s="5">
        <f t="shared" si="2"/>
        <v>541</v>
      </c>
      <c r="AG56" s="5">
        <f t="shared" si="3"/>
        <v>499</v>
      </c>
      <c r="AH56" s="5">
        <f>AG56*$AF$1</f>
        <v>4990</v>
      </c>
      <c r="AI56" s="5">
        <f>SUM($AF$9:AF55)</f>
        <v>6786</v>
      </c>
      <c r="AK56" s="5">
        <f t="shared" si="4"/>
        <v>48</v>
      </c>
      <c r="AL56" s="5">
        <f t="shared" si="5"/>
        <v>7</v>
      </c>
      <c r="AM56" s="5">
        <f t="shared" si="6"/>
        <v>65</v>
      </c>
      <c r="AN56" s="5">
        <f>$AL$4*$AL$3^AL56*$AL$2</f>
        <v>65.247000951665441</v>
      </c>
      <c r="AO56" s="5">
        <f>IF(AL56=AL57,1,LOOKUP(MOD(AL56,$AL$1),$AN$1:$AN$5,$AO$1:$AO$5))</f>
        <v>1</v>
      </c>
      <c r="AP56" s="5">
        <f t="shared" si="7"/>
        <v>10</v>
      </c>
      <c r="AQ56" s="5">
        <f>AM56*$AR$3</f>
        <v>8.6666666666666661</v>
      </c>
      <c r="AR56" s="5">
        <f>AM56*AL56*$AR$4</f>
        <v>1.365</v>
      </c>
      <c r="AS56" s="5">
        <f>SUM($AP$9:AP55)</f>
        <v>248</v>
      </c>
    </row>
    <row r="57" spans="1:45" x14ac:dyDescent="0.15">
      <c r="A57" s="5">
        <v>49</v>
      </c>
      <c r="D57" s="5">
        <v>49</v>
      </c>
      <c r="E57" s="5">
        <v>10</v>
      </c>
      <c r="F57" s="5">
        <v>1.1000000000000001</v>
      </c>
      <c r="G57" s="5">
        <v>88.667857142857144</v>
      </c>
      <c r="J57" s="5">
        <f t="shared" si="0"/>
        <v>49</v>
      </c>
      <c r="K57" s="5">
        <f>SUM($AP$9:AP56)</f>
        <v>258</v>
      </c>
      <c r="L57" s="5">
        <f>LOOKUP(K57,AI:AI,AE:AE)</f>
        <v>15</v>
      </c>
      <c r="M57" s="5">
        <f>LOOKUP(L57,AE:AE,AG:AG)</f>
        <v>31</v>
      </c>
      <c r="N57" s="5">
        <f>AM57/M57/$K$1</f>
        <v>14.021505376344086</v>
      </c>
      <c r="O57" s="5">
        <f>SUM($N$9:N57)</f>
        <v>136.29819710566741</v>
      </c>
      <c r="AE57" s="5">
        <f t="shared" si="1"/>
        <v>49</v>
      </c>
      <c r="AF57" s="5">
        <f t="shared" si="2"/>
        <v>579</v>
      </c>
      <c r="AG57" s="5">
        <f t="shared" si="3"/>
        <v>535</v>
      </c>
      <c r="AH57" s="5">
        <f>AG57*$AF$1</f>
        <v>5350</v>
      </c>
      <c r="AI57" s="5">
        <f>SUM($AF$9:AF56)</f>
        <v>7327</v>
      </c>
      <c r="AK57" s="5">
        <f t="shared" si="4"/>
        <v>49</v>
      </c>
      <c r="AL57" s="5">
        <f t="shared" si="5"/>
        <v>7</v>
      </c>
      <c r="AM57" s="5">
        <f t="shared" si="6"/>
        <v>652</v>
      </c>
      <c r="AN57" s="5">
        <f>$AL$4*$AL$3^AL57*$AL$2</f>
        <v>65.247000951665441</v>
      </c>
      <c r="AO57" s="5">
        <f>IF(AL57=AL58,1,LOOKUP(MOD(AL57,$AL$1),$AN$1:$AN$5,$AO$1:$AO$5))</f>
        <v>10</v>
      </c>
      <c r="AP57" s="5">
        <f t="shared" si="7"/>
        <v>101</v>
      </c>
      <c r="AQ57" s="5">
        <f>AM57*$AR$3</f>
        <v>86.933333333333337</v>
      </c>
      <c r="AR57" s="5">
        <f>AM57*AL57*$AR$4</f>
        <v>13.692</v>
      </c>
      <c r="AS57" s="5">
        <f>SUM($AP$9:AP56)</f>
        <v>258</v>
      </c>
    </row>
    <row r="58" spans="1:45" ht="135" x14ac:dyDescent="0.15">
      <c r="A58" s="5">
        <v>50</v>
      </c>
      <c r="D58" s="5">
        <v>50</v>
      </c>
      <c r="E58" s="5">
        <v>10</v>
      </c>
      <c r="F58" s="5">
        <v>11.03125</v>
      </c>
      <c r="G58" s="5">
        <v>99.699107142857144</v>
      </c>
      <c r="H58" s="11" t="s">
        <v>102</v>
      </c>
      <c r="I58" s="16"/>
      <c r="J58" s="5">
        <f t="shared" si="0"/>
        <v>50</v>
      </c>
      <c r="K58" s="5">
        <f>SUM($AP$9:AP57)</f>
        <v>359</v>
      </c>
      <c r="L58" s="5">
        <f>LOOKUP(K58,AI:AI,AE:AE)</f>
        <v>17</v>
      </c>
      <c r="M58" s="5">
        <f>LOOKUP(L58,AE:AE,AG:AG)</f>
        <v>39</v>
      </c>
      <c r="N58" s="5">
        <f>AM58/M58/$K$1</f>
        <v>1.7435897435897436</v>
      </c>
      <c r="O58" s="5">
        <f>SUM($N$9:N58)</f>
        <v>138.04178684925716</v>
      </c>
      <c r="AE58" s="5">
        <f t="shared" si="1"/>
        <v>50</v>
      </c>
      <c r="AF58" s="5">
        <f t="shared" si="2"/>
        <v>619</v>
      </c>
      <c r="AG58" s="5">
        <f t="shared" si="3"/>
        <v>573</v>
      </c>
      <c r="AH58" s="5">
        <f>AG58*$AF$1</f>
        <v>5730</v>
      </c>
      <c r="AI58" s="5">
        <f>SUM($AF$9:AF57)</f>
        <v>7906</v>
      </c>
      <c r="AK58" s="5">
        <f t="shared" si="4"/>
        <v>50</v>
      </c>
      <c r="AL58" s="5">
        <f t="shared" si="5"/>
        <v>8</v>
      </c>
      <c r="AM58" s="5">
        <f t="shared" si="6"/>
        <v>102</v>
      </c>
      <c r="AN58" s="5">
        <f>$AL$4*$AL$3^AL58*$AL$2</f>
        <v>102.43779149411473</v>
      </c>
      <c r="AO58" s="5">
        <f>IF(AL58=AL59,1,LOOKUP(MOD(AL58,$AL$1),$AN$1:$AN$5,$AO$1:$AO$5))</f>
        <v>1</v>
      </c>
      <c r="AP58" s="5">
        <f t="shared" si="7"/>
        <v>16</v>
      </c>
      <c r="AQ58" s="5">
        <f>AM58*$AR$3</f>
        <v>13.6</v>
      </c>
      <c r="AR58" s="5">
        <f>AM58*AL58*$AR$4</f>
        <v>2.448</v>
      </c>
      <c r="AS58" s="5">
        <f>SUM($AP$9:AP57)</f>
        <v>359</v>
      </c>
    </row>
    <row r="59" spans="1:45" ht="40.5" x14ac:dyDescent="0.15">
      <c r="A59" s="5">
        <v>51</v>
      </c>
      <c r="D59" s="5">
        <v>51</v>
      </c>
      <c r="E59" s="5">
        <v>11</v>
      </c>
      <c r="F59" s="5">
        <v>1.4578947368421054</v>
      </c>
      <c r="G59" s="5">
        <v>101.15700187969925</v>
      </c>
      <c r="H59" s="10" t="s">
        <v>103</v>
      </c>
      <c r="I59" s="16"/>
      <c r="J59" s="5">
        <f t="shared" si="0"/>
        <v>51</v>
      </c>
      <c r="K59" s="5">
        <f>SUM($AP$9:AP58)</f>
        <v>375</v>
      </c>
      <c r="L59" s="5">
        <f>LOOKUP(K59,AI:AI,AE:AE)</f>
        <v>17</v>
      </c>
      <c r="M59" s="5">
        <f>LOOKUP(L59,AE:AE,AG:AG)</f>
        <v>39</v>
      </c>
      <c r="N59" s="5">
        <f>AM59/M59/$K$1</f>
        <v>1.7435897435897436</v>
      </c>
      <c r="O59" s="5">
        <f>SUM($N$9:N59)</f>
        <v>139.78537659284692</v>
      </c>
      <c r="AE59" s="5">
        <f t="shared" si="1"/>
        <v>51</v>
      </c>
      <c r="AF59" s="5">
        <f t="shared" si="2"/>
        <v>662</v>
      </c>
      <c r="AG59" s="5">
        <f t="shared" si="3"/>
        <v>614</v>
      </c>
      <c r="AH59" s="5">
        <f>AG59*$AF$1</f>
        <v>6140</v>
      </c>
      <c r="AI59" s="5">
        <f>SUM($AF$9:AF58)</f>
        <v>8525</v>
      </c>
      <c r="AK59" s="5">
        <f t="shared" si="4"/>
        <v>51</v>
      </c>
      <c r="AL59" s="5">
        <f t="shared" si="5"/>
        <v>8</v>
      </c>
      <c r="AM59" s="5">
        <f t="shared" si="6"/>
        <v>102</v>
      </c>
      <c r="AN59" s="5">
        <f>$AL$4*$AL$3^AL59*$AL$2</f>
        <v>102.43779149411473</v>
      </c>
      <c r="AO59" s="5">
        <f>IF(AL59=AL60,1,LOOKUP(MOD(AL59,$AL$1),$AN$1:$AN$5,$AO$1:$AO$5))</f>
        <v>1</v>
      </c>
      <c r="AP59" s="5">
        <f t="shared" si="7"/>
        <v>16</v>
      </c>
      <c r="AQ59" s="5">
        <f>AM59*$AR$3</f>
        <v>13.6</v>
      </c>
      <c r="AR59" s="5">
        <f>AM59*AL59*$AR$4</f>
        <v>2.448</v>
      </c>
      <c r="AS59" s="5">
        <f>SUM($AP$9:AP58)</f>
        <v>375</v>
      </c>
    </row>
    <row r="60" spans="1:45" x14ac:dyDescent="0.15">
      <c r="A60" s="5">
        <v>52</v>
      </c>
      <c r="D60" s="5">
        <v>52</v>
      </c>
      <c r="E60" s="5">
        <v>11</v>
      </c>
      <c r="F60" s="5">
        <v>1.4578947368421054</v>
      </c>
      <c r="G60" s="5">
        <v>102.61489661654136</v>
      </c>
      <c r="J60" s="5">
        <f t="shared" si="0"/>
        <v>52</v>
      </c>
      <c r="K60" s="5">
        <f>SUM($AP$9:AP59)</f>
        <v>391</v>
      </c>
      <c r="L60" s="5">
        <f>LOOKUP(K60,AI:AI,AE:AE)</f>
        <v>18</v>
      </c>
      <c r="M60" s="5">
        <f>LOOKUP(L60,AE:AE,AG:AG)</f>
        <v>43</v>
      </c>
      <c r="N60" s="5">
        <f>AM60/M60/$K$1</f>
        <v>1.5813953488372094</v>
      </c>
      <c r="O60" s="5">
        <f>SUM($N$9:N60)</f>
        <v>141.36677194168414</v>
      </c>
      <c r="AE60" s="5">
        <f t="shared" si="1"/>
        <v>52</v>
      </c>
      <c r="AF60" s="5">
        <f t="shared" si="2"/>
        <v>708</v>
      </c>
      <c r="AG60" s="5">
        <f t="shared" si="3"/>
        <v>657</v>
      </c>
      <c r="AH60" s="5">
        <f>AG60*$AF$1</f>
        <v>6570</v>
      </c>
      <c r="AI60" s="5">
        <f>SUM($AF$9:AF59)</f>
        <v>9187</v>
      </c>
      <c r="AK60" s="5">
        <f t="shared" si="4"/>
        <v>52</v>
      </c>
      <c r="AL60" s="5">
        <f t="shared" si="5"/>
        <v>8</v>
      </c>
      <c r="AM60" s="5">
        <f t="shared" si="6"/>
        <v>102</v>
      </c>
      <c r="AN60" s="5">
        <f>$AL$4*$AL$3^AL60*$AL$2</f>
        <v>102.43779149411473</v>
      </c>
      <c r="AO60" s="5">
        <f>IF(AL60=AL61,1,LOOKUP(MOD(AL60,$AL$1),$AN$1:$AN$5,$AO$1:$AO$5))</f>
        <v>1</v>
      </c>
      <c r="AP60" s="5">
        <f t="shared" si="7"/>
        <v>16</v>
      </c>
      <c r="AQ60" s="5">
        <f>AM60*$AR$3</f>
        <v>13.6</v>
      </c>
      <c r="AR60" s="5">
        <f>AM60*AL60*$AR$4</f>
        <v>2.448</v>
      </c>
      <c r="AS60" s="5">
        <f>SUM($AP$9:AP59)</f>
        <v>391</v>
      </c>
    </row>
    <row r="61" spans="1:45" x14ac:dyDescent="0.15">
      <c r="A61" s="5">
        <v>53</v>
      </c>
      <c r="D61" s="5">
        <v>53</v>
      </c>
      <c r="E61" s="5">
        <v>11</v>
      </c>
      <c r="F61" s="5">
        <v>1.4578947368421054</v>
      </c>
      <c r="G61" s="5">
        <v>104.07279135338347</v>
      </c>
      <c r="J61" s="5">
        <f t="shared" si="0"/>
        <v>53</v>
      </c>
      <c r="K61" s="5">
        <f>SUM($AP$9:AP60)</f>
        <v>407</v>
      </c>
      <c r="L61" s="5">
        <f>LOOKUP(K61,AI:AI,AE:AE)</f>
        <v>18</v>
      </c>
      <c r="M61" s="5">
        <f>LOOKUP(L61,AE:AE,AG:AG)</f>
        <v>43</v>
      </c>
      <c r="N61" s="5">
        <f>AM61/M61/$K$1</f>
        <v>1.5813953488372094</v>
      </c>
      <c r="O61" s="5">
        <f>SUM($N$9:N61)</f>
        <v>142.94816729052135</v>
      </c>
      <c r="AE61" s="5">
        <f t="shared" si="1"/>
        <v>53</v>
      </c>
      <c r="AF61" s="5">
        <f t="shared" si="2"/>
        <v>757</v>
      </c>
      <c r="AG61" s="5">
        <f t="shared" si="3"/>
        <v>704</v>
      </c>
      <c r="AH61" s="5">
        <f>AG61*$AF$1</f>
        <v>7040</v>
      </c>
      <c r="AI61" s="5">
        <f>SUM($AF$9:AF60)</f>
        <v>9895</v>
      </c>
      <c r="AK61" s="5">
        <f t="shared" si="4"/>
        <v>53</v>
      </c>
      <c r="AL61" s="5">
        <f t="shared" si="5"/>
        <v>8</v>
      </c>
      <c r="AM61" s="5">
        <f t="shared" si="6"/>
        <v>102</v>
      </c>
      <c r="AN61" s="5">
        <f>$AL$4*$AL$3^AL61*$AL$2</f>
        <v>102.43779149411473</v>
      </c>
      <c r="AO61" s="5">
        <f>IF(AL61=AL62,1,LOOKUP(MOD(AL61,$AL$1),$AN$1:$AN$5,$AO$1:$AO$5))</f>
        <v>1</v>
      </c>
      <c r="AP61" s="5">
        <f t="shared" si="7"/>
        <v>16</v>
      </c>
      <c r="AQ61" s="5">
        <f>AM61*$AR$3</f>
        <v>13.6</v>
      </c>
      <c r="AR61" s="5">
        <f>AM61*AL61*$AR$4</f>
        <v>2.448</v>
      </c>
      <c r="AS61" s="5">
        <f>SUM($AP$9:AP60)</f>
        <v>407</v>
      </c>
    </row>
    <row r="62" spans="1:45" x14ac:dyDescent="0.15">
      <c r="A62" s="5">
        <v>54</v>
      </c>
      <c r="D62" s="5">
        <v>54</v>
      </c>
      <c r="E62" s="5">
        <v>12</v>
      </c>
      <c r="F62" s="5">
        <v>1.2590909090909093</v>
      </c>
      <c r="G62" s="5">
        <v>105.33188226247438</v>
      </c>
      <c r="J62" s="5">
        <f t="shared" si="0"/>
        <v>54</v>
      </c>
      <c r="K62" s="5">
        <f>SUM($AP$9:AP61)</f>
        <v>423</v>
      </c>
      <c r="L62" s="5">
        <f>LOOKUP(K62,AI:AI,AE:AE)</f>
        <v>18</v>
      </c>
      <c r="M62" s="5">
        <f>LOOKUP(L62,AE:AE,AG:AG)</f>
        <v>43</v>
      </c>
      <c r="N62" s="5">
        <f>AM62/M62/$K$1</f>
        <v>1.5813953488372094</v>
      </c>
      <c r="O62" s="5">
        <f>SUM($N$9:N62)</f>
        <v>144.52956263935857</v>
      </c>
      <c r="AE62" s="5">
        <f t="shared" si="1"/>
        <v>54</v>
      </c>
      <c r="AF62" s="5">
        <f t="shared" si="2"/>
        <v>808</v>
      </c>
      <c r="AG62" s="5">
        <f t="shared" si="3"/>
        <v>753</v>
      </c>
      <c r="AH62" s="5">
        <f>AG62*$AF$1</f>
        <v>7530</v>
      </c>
      <c r="AI62" s="5">
        <f>SUM($AF$9:AF61)</f>
        <v>10652</v>
      </c>
      <c r="AK62" s="5">
        <f t="shared" si="4"/>
        <v>54</v>
      </c>
      <c r="AL62" s="5">
        <f t="shared" si="5"/>
        <v>8</v>
      </c>
      <c r="AM62" s="5">
        <f t="shared" si="6"/>
        <v>102</v>
      </c>
      <c r="AN62" s="5">
        <f>$AL$4*$AL$3^AL62*$AL$2</f>
        <v>102.43779149411473</v>
      </c>
      <c r="AO62" s="5">
        <f>IF(AL62=AL63,1,LOOKUP(MOD(AL62,$AL$1),$AN$1:$AN$5,$AO$1:$AO$5))</f>
        <v>1</v>
      </c>
      <c r="AP62" s="5">
        <f t="shared" si="7"/>
        <v>16</v>
      </c>
      <c r="AQ62" s="5">
        <f>AM62*$AR$3</f>
        <v>13.6</v>
      </c>
      <c r="AR62" s="5">
        <f>AM62*AL62*$AR$4</f>
        <v>2.448</v>
      </c>
      <c r="AS62" s="5">
        <f>SUM($AP$9:AP61)</f>
        <v>423</v>
      </c>
    </row>
    <row r="63" spans="1:45" x14ac:dyDescent="0.15">
      <c r="A63" s="5">
        <v>55</v>
      </c>
      <c r="D63" s="5">
        <v>55</v>
      </c>
      <c r="E63" s="5">
        <v>12</v>
      </c>
      <c r="F63" s="5">
        <v>1.2590909090909093</v>
      </c>
      <c r="G63" s="5">
        <v>106.5909731715653</v>
      </c>
      <c r="J63" s="5">
        <f t="shared" si="0"/>
        <v>55</v>
      </c>
      <c r="K63" s="5">
        <f>SUM($AP$9:AP62)</f>
        <v>439</v>
      </c>
      <c r="L63" s="5">
        <f>LOOKUP(K63,AI:AI,AE:AE)</f>
        <v>19</v>
      </c>
      <c r="M63" s="5">
        <f>LOOKUP(L63,AE:AE,AG:AG)</f>
        <v>48</v>
      </c>
      <c r="N63" s="5">
        <f>AM63/M63/$K$1</f>
        <v>1.4166666666666667</v>
      </c>
      <c r="O63" s="5">
        <f>SUM($N$9:N63)</f>
        <v>145.94622930602523</v>
      </c>
      <c r="AE63" s="5">
        <f t="shared" si="1"/>
        <v>55</v>
      </c>
      <c r="AF63" s="5">
        <f t="shared" si="2"/>
        <v>864</v>
      </c>
      <c r="AG63" s="5">
        <f t="shared" si="3"/>
        <v>805</v>
      </c>
      <c r="AH63" s="5">
        <f>AG63*$AF$1</f>
        <v>8050</v>
      </c>
      <c r="AI63" s="5">
        <f>SUM($AF$9:AF62)</f>
        <v>11460</v>
      </c>
      <c r="AK63" s="5">
        <f t="shared" si="4"/>
        <v>55</v>
      </c>
      <c r="AL63" s="5">
        <f t="shared" si="5"/>
        <v>8</v>
      </c>
      <c r="AM63" s="5">
        <f t="shared" si="6"/>
        <v>102</v>
      </c>
      <c r="AN63" s="5">
        <f>$AL$4*$AL$3^AL63*$AL$2</f>
        <v>102.43779149411473</v>
      </c>
      <c r="AO63" s="5">
        <f>IF(AL63=AL64,1,LOOKUP(MOD(AL63,$AL$1),$AN$1:$AN$5,$AO$1:$AO$5))</f>
        <v>1</v>
      </c>
      <c r="AP63" s="5">
        <f t="shared" si="7"/>
        <v>16</v>
      </c>
      <c r="AQ63" s="5">
        <f>AM63*$AR$3</f>
        <v>13.6</v>
      </c>
      <c r="AR63" s="5">
        <f>AM63*AL63*$AR$4</f>
        <v>2.448</v>
      </c>
      <c r="AS63" s="5">
        <f>SUM($AP$9:AP62)</f>
        <v>439</v>
      </c>
    </row>
    <row r="64" spans="1:45" x14ac:dyDescent="0.15">
      <c r="A64" s="5">
        <v>56</v>
      </c>
      <c r="D64" s="5">
        <v>56</v>
      </c>
      <c r="E64" s="5">
        <v>12</v>
      </c>
      <c r="F64" s="5">
        <v>1.2590909090909093</v>
      </c>
      <c r="G64" s="5">
        <v>107.85006408065621</v>
      </c>
      <c r="J64" s="5">
        <f t="shared" si="0"/>
        <v>56</v>
      </c>
      <c r="K64" s="5">
        <f>SUM($AP$9:AP63)</f>
        <v>455</v>
      </c>
      <c r="L64" s="5">
        <f>LOOKUP(K64,AI:AI,AE:AE)</f>
        <v>19</v>
      </c>
      <c r="M64" s="5">
        <f>LOOKUP(L64,AE:AE,AG:AG)</f>
        <v>48</v>
      </c>
      <c r="N64" s="5">
        <f>AM64/M64/$K$1</f>
        <v>2.8472222222222219</v>
      </c>
      <c r="O64" s="5">
        <f>SUM($N$9:N64)</f>
        <v>148.79345152824746</v>
      </c>
      <c r="AE64" s="5">
        <f t="shared" si="1"/>
        <v>56</v>
      </c>
      <c r="AF64" s="5">
        <f t="shared" si="2"/>
        <v>922</v>
      </c>
      <c r="AG64" s="5">
        <f t="shared" si="3"/>
        <v>861</v>
      </c>
      <c r="AH64" s="5">
        <f>AG64*$AF$1</f>
        <v>8610</v>
      </c>
      <c r="AI64" s="5">
        <f>SUM($AF$9:AF63)</f>
        <v>12324</v>
      </c>
      <c r="AK64" s="5">
        <f t="shared" si="4"/>
        <v>56</v>
      </c>
      <c r="AL64" s="5">
        <f t="shared" si="5"/>
        <v>8</v>
      </c>
      <c r="AM64" s="5">
        <f t="shared" si="6"/>
        <v>205</v>
      </c>
      <c r="AN64" s="5">
        <f>$AL$4*$AL$3^AL64*$AL$2</f>
        <v>102.43779149411473</v>
      </c>
      <c r="AO64" s="5">
        <f>IF(AL64=AL65,1,LOOKUP(MOD(AL64,$AL$1),$AN$1:$AN$5,$AO$1:$AO$5))</f>
        <v>2</v>
      </c>
      <c r="AP64" s="5">
        <f t="shared" si="7"/>
        <v>32</v>
      </c>
      <c r="AQ64" s="5">
        <f>AM64*$AR$3</f>
        <v>27.333333333333332</v>
      </c>
      <c r="AR64" s="5">
        <f>AM64*AL64*$AR$4</f>
        <v>4.92</v>
      </c>
      <c r="AS64" s="5">
        <f>SUM($AP$9:AP63)</f>
        <v>455</v>
      </c>
    </row>
    <row r="65" spans="1:45" x14ac:dyDescent="0.15">
      <c r="A65" s="5">
        <v>57</v>
      </c>
      <c r="D65" s="5">
        <v>57</v>
      </c>
      <c r="E65" s="5">
        <v>12</v>
      </c>
      <c r="F65" s="5">
        <v>1.2590909090909093</v>
      </c>
      <c r="G65" s="5">
        <v>109.10915498974713</v>
      </c>
      <c r="J65" s="5">
        <f t="shared" si="0"/>
        <v>57</v>
      </c>
      <c r="K65" s="5">
        <f>SUM($AP$9:AP64)</f>
        <v>487</v>
      </c>
      <c r="L65" s="5">
        <f>LOOKUP(K65,AI:AI,AE:AE)</f>
        <v>19</v>
      </c>
      <c r="M65" s="5">
        <f>LOOKUP(L65,AE:AE,AG:AG)</f>
        <v>48</v>
      </c>
      <c r="N65" s="5">
        <f>AM65/M65/$K$1</f>
        <v>2.2361111111111112</v>
      </c>
      <c r="O65" s="5">
        <f>SUM($N$9:N65)</f>
        <v>151.02956263935857</v>
      </c>
      <c r="AE65" s="5">
        <f t="shared" si="1"/>
        <v>57</v>
      </c>
      <c r="AF65" s="5">
        <f t="shared" si="2"/>
        <v>984</v>
      </c>
      <c r="AG65" s="5">
        <f t="shared" si="3"/>
        <v>920</v>
      </c>
      <c r="AH65" s="5">
        <f>AG65*$AF$1</f>
        <v>9200</v>
      </c>
      <c r="AI65" s="5">
        <f>SUM($AF$9:AF64)</f>
        <v>13246</v>
      </c>
      <c r="AK65" s="5">
        <f t="shared" si="4"/>
        <v>57</v>
      </c>
      <c r="AL65" s="5">
        <f t="shared" si="5"/>
        <v>9</v>
      </c>
      <c r="AM65" s="5">
        <f t="shared" si="6"/>
        <v>161</v>
      </c>
      <c r="AN65" s="5">
        <f>$AL$4*$AL$3^AL65*$AL$2</f>
        <v>160.82733264576015</v>
      </c>
      <c r="AO65" s="5">
        <f>IF(AL65=AL66,1,LOOKUP(MOD(AL65,$AL$1),$AN$1:$AN$5,$AO$1:$AO$5))</f>
        <v>1</v>
      </c>
      <c r="AP65" s="5">
        <f t="shared" si="7"/>
        <v>26</v>
      </c>
      <c r="AQ65" s="5">
        <f>AM65*$AR$3</f>
        <v>21.466666666666665</v>
      </c>
      <c r="AR65" s="5">
        <f>AM65*AL65*$AR$4</f>
        <v>4.3470000000000004</v>
      </c>
      <c r="AS65" s="5">
        <f>SUM($AP$9:AP64)</f>
        <v>487</v>
      </c>
    </row>
    <row r="66" spans="1:45" x14ac:dyDescent="0.15">
      <c r="A66" s="5">
        <v>58</v>
      </c>
      <c r="D66" s="5">
        <v>58</v>
      </c>
      <c r="E66" s="5">
        <v>12</v>
      </c>
      <c r="F66" s="5">
        <v>1.2590909090909093</v>
      </c>
      <c r="G66" s="5">
        <v>110.36824589883804</v>
      </c>
      <c r="J66" s="5">
        <f t="shared" si="0"/>
        <v>58</v>
      </c>
      <c r="K66" s="5">
        <f>SUM($AP$9:AP65)</f>
        <v>513</v>
      </c>
      <c r="L66" s="5">
        <f>LOOKUP(K66,AI:AI,AE:AE)</f>
        <v>20</v>
      </c>
      <c r="M66" s="5">
        <f>LOOKUP(L66,AE:AE,AG:AG)</f>
        <v>53</v>
      </c>
      <c r="N66" s="5">
        <f>AM66/M66/$K$1</f>
        <v>2.0251572327044025</v>
      </c>
      <c r="O66" s="5">
        <f>SUM($N$9:N66)</f>
        <v>153.05471987206298</v>
      </c>
      <c r="AE66" s="5">
        <f t="shared" si="1"/>
        <v>58</v>
      </c>
      <c r="AF66" s="5">
        <f t="shared" si="2"/>
        <v>1050</v>
      </c>
      <c r="AG66" s="5">
        <f t="shared" si="3"/>
        <v>983</v>
      </c>
      <c r="AH66" s="5">
        <f>AG66*$AF$1</f>
        <v>9830</v>
      </c>
      <c r="AI66" s="5">
        <f>SUM($AF$9:AF65)</f>
        <v>14230</v>
      </c>
      <c r="AK66" s="5">
        <f t="shared" si="4"/>
        <v>58</v>
      </c>
      <c r="AL66" s="5">
        <f t="shared" si="5"/>
        <v>9</v>
      </c>
      <c r="AM66" s="5">
        <f t="shared" si="6"/>
        <v>161</v>
      </c>
      <c r="AN66" s="5">
        <f>$AL$4*$AL$3^AL66*$AL$2</f>
        <v>160.82733264576015</v>
      </c>
      <c r="AO66" s="5">
        <f>IF(AL66=AL67,1,LOOKUP(MOD(AL66,$AL$1),$AN$1:$AN$5,$AO$1:$AO$5))</f>
        <v>1</v>
      </c>
      <c r="AP66" s="5">
        <f t="shared" si="7"/>
        <v>26</v>
      </c>
      <c r="AQ66" s="5">
        <f>AM66*$AR$3</f>
        <v>21.466666666666665</v>
      </c>
      <c r="AR66" s="5">
        <f>AM66*AL66*$AR$4</f>
        <v>4.3470000000000004</v>
      </c>
      <c r="AS66" s="5">
        <f>SUM($AP$9:AP65)</f>
        <v>513</v>
      </c>
    </row>
    <row r="67" spans="1:45" x14ac:dyDescent="0.15">
      <c r="A67" s="5">
        <v>59</v>
      </c>
      <c r="D67" s="5">
        <v>59</v>
      </c>
      <c r="E67" s="5">
        <v>12</v>
      </c>
      <c r="F67" s="5">
        <v>1.2590909090909093</v>
      </c>
      <c r="G67" s="5">
        <v>111.62733680792896</v>
      </c>
      <c r="J67" s="5">
        <f t="shared" si="0"/>
        <v>59</v>
      </c>
      <c r="K67" s="5">
        <f>SUM($AP$9:AP66)</f>
        <v>539</v>
      </c>
      <c r="L67" s="5">
        <f>LOOKUP(K67,AI:AI,AE:AE)</f>
        <v>20</v>
      </c>
      <c r="M67" s="5">
        <f>LOOKUP(L67,AE:AE,AG:AG)</f>
        <v>53</v>
      </c>
      <c r="N67" s="5">
        <f>AM67/M67/$K$1</f>
        <v>2.0251572327044025</v>
      </c>
      <c r="O67" s="5">
        <f>SUM($N$9:N67)</f>
        <v>155.07987710476738</v>
      </c>
      <c r="AE67" s="5">
        <f t="shared" si="1"/>
        <v>59</v>
      </c>
      <c r="AF67" s="5">
        <f t="shared" si="2"/>
        <v>1121</v>
      </c>
      <c r="AG67" s="5">
        <f t="shared" si="3"/>
        <v>1050</v>
      </c>
      <c r="AH67" s="5">
        <f>AG67*$AF$1</f>
        <v>10500</v>
      </c>
      <c r="AI67" s="5">
        <f>SUM($AF$9:AF66)</f>
        <v>15280</v>
      </c>
      <c r="AK67" s="5">
        <f t="shared" si="4"/>
        <v>59</v>
      </c>
      <c r="AL67" s="5">
        <f t="shared" si="5"/>
        <v>9</v>
      </c>
      <c r="AM67" s="5">
        <f t="shared" si="6"/>
        <v>161</v>
      </c>
      <c r="AN67" s="5">
        <f>$AL$4*$AL$3^AL67*$AL$2</f>
        <v>160.82733264576015</v>
      </c>
      <c r="AO67" s="5">
        <f>IF(AL67=AL68,1,LOOKUP(MOD(AL67,$AL$1),$AN$1:$AN$5,$AO$1:$AO$5))</f>
        <v>1</v>
      </c>
      <c r="AP67" s="5">
        <f t="shared" si="7"/>
        <v>26</v>
      </c>
      <c r="AQ67" s="5">
        <f>AM67*$AR$3</f>
        <v>21.466666666666665</v>
      </c>
      <c r="AR67" s="5">
        <f>AM67*AL67*$AR$4</f>
        <v>4.3470000000000004</v>
      </c>
      <c r="AS67" s="5">
        <f>SUM($AP$9:AP66)</f>
        <v>539</v>
      </c>
    </row>
    <row r="68" spans="1:45" x14ac:dyDescent="0.15">
      <c r="A68" s="5">
        <v>60</v>
      </c>
      <c r="D68" s="5">
        <v>60</v>
      </c>
      <c r="E68" s="5">
        <v>13</v>
      </c>
      <c r="F68" s="5">
        <v>2.2160000000000002</v>
      </c>
      <c r="G68" s="5">
        <v>113.84333680792895</v>
      </c>
      <c r="J68" s="5">
        <f t="shared" si="0"/>
        <v>60</v>
      </c>
      <c r="K68" s="5">
        <f>SUM($AP$9:AP67)</f>
        <v>565</v>
      </c>
      <c r="L68" s="5">
        <f>LOOKUP(K68,AI:AI,AE:AE)</f>
        <v>21</v>
      </c>
      <c r="M68" s="5">
        <f>LOOKUP(L68,AE:AE,AG:AG)</f>
        <v>59</v>
      </c>
      <c r="N68" s="5">
        <f>AM68/M68/$K$1</f>
        <v>1.8192090395480225</v>
      </c>
      <c r="O68" s="5">
        <f>SUM($N$9:N68)</f>
        <v>156.89908614431539</v>
      </c>
      <c r="AE68" s="5">
        <f t="shared" si="1"/>
        <v>60</v>
      </c>
      <c r="AF68" s="5">
        <f t="shared" si="2"/>
        <v>1195</v>
      </c>
      <c r="AG68" s="5">
        <f t="shared" si="3"/>
        <v>1121</v>
      </c>
      <c r="AH68" s="5">
        <f>AG68*$AF$1</f>
        <v>11210</v>
      </c>
      <c r="AI68" s="5">
        <f>SUM($AF$9:AF67)</f>
        <v>16401</v>
      </c>
      <c r="AK68" s="5">
        <f t="shared" si="4"/>
        <v>60</v>
      </c>
      <c r="AL68" s="5">
        <f t="shared" si="5"/>
        <v>9</v>
      </c>
      <c r="AM68" s="5">
        <f t="shared" si="6"/>
        <v>161</v>
      </c>
      <c r="AN68" s="5">
        <f>$AL$4*$AL$3^AL68*$AL$2</f>
        <v>160.82733264576015</v>
      </c>
      <c r="AO68" s="5">
        <f>IF(AL68=AL69,1,LOOKUP(MOD(AL68,$AL$1),$AN$1:$AN$5,$AO$1:$AO$5))</f>
        <v>1</v>
      </c>
      <c r="AP68" s="5">
        <f t="shared" si="7"/>
        <v>26</v>
      </c>
      <c r="AQ68" s="5">
        <f>AM68*$AR$3</f>
        <v>21.466666666666665</v>
      </c>
      <c r="AR68" s="5">
        <f>AM68*AL68*$AR$4</f>
        <v>4.3470000000000004</v>
      </c>
      <c r="AS68" s="5">
        <f>SUM($AP$9:AP67)</f>
        <v>565</v>
      </c>
    </row>
    <row r="69" spans="1:45" x14ac:dyDescent="0.15">
      <c r="A69" s="5">
        <v>61</v>
      </c>
      <c r="D69" s="5">
        <v>61</v>
      </c>
      <c r="E69" s="5">
        <v>13</v>
      </c>
      <c r="F69" s="5">
        <v>1.7399999999999998</v>
      </c>
      <c r="G69" s="5">
        <v>115.58333680792894</v>
      </c>
      <c r="J69" s="5">
        <f t="shared" si="0"/>
        <v>61</v>
      </c>
      <c r="K69" s="5">
        <f>SUM($AP$9:AP68)</f>
        <v>591</v>
      </c>
      <c r="L69" s="5">
        <f>LOOKUP(K69,AI:AI,AE:AE)</f>
        <v>21</v>
      </c>
      <c r="M69" s="5">
        <f>LOOKUP(L69,AE:AE,AG:AG)</f>
        <v>59</v>
      </c>
      <c r="N69" s="5">
        <f>AM69/M69/$K$1</f>
        <v>1.8192090395480225</v>
      </c>
      <c r="O69" s="5">
        <f>SUM($N$9:N69)</f>
        <v>158.7182951838634</v>
      </c>
      <c r="AE69" s="5">
        <f t="shared" si="1"/>
        <v>61</v>
      </c>
      <c r="AF69" s="5">
        <f t="shared" si="2"/>
        <v>1275</v>
      </c>
      <c r="AG69" s="5">
        <f t="shared" si="3"/>
        <v>1196</v>
      </c>
      <c r="AH69" s="5">
        <f>AG69*$AF$1</f>
        <v>11960</v>
      </c>
      <c r="AI69" s="5">
        <f>SUM($AF$9:AF68)</f>
        <v>17596</v>
      </c>
      <c r="AK69" s="5">
        <f t="shared" si="4"/>
        <v>61</v>
      </c>
      <c r="AL69" s="5">
        <f t="shared" si="5"/>
        <v>9</v>
      </c>
      <c r="AM69" s="5">
        <f t="shared" si="6"/>
        <v>161</v>
      </c>
      <c r="AN69" s="5">
        <f>$AL$4*$AL$3^AL69*$AL$2</f>
        <v>160.82733264576015</v>
      </c>
      <c r="AO69" s="5">
        <f>IF(AL69=AL70,1,LOOKUP(MOD(AL69,$AL$1),$AN$1:$AN$5,$AO$1:$AO$5))</f>
        <v>1</v>
      </c>
      <c r="AP69" s="5">
        <f t="shared" si="7"/>
        <v>26</v>
      </c>
      <c r="AQ69" s="5">
        <f>AM69*$AR$3</f>
        <v>21.466666666666665</v>
      </c>
      <c r="AR69" s="5">
        <f>AM69*AL69*$AR$4</f>
        <v>4.3470000000000004</v>
      </c>
      <c r="AS69" s="5">
        <f>SUM($AP$9:AP68)</f>
        <v>591</v>
      </c>
    </row>
    <row r="70" spans="1:45" x14ac:dyDescent="0.15">
      <c r="A70" s="5">
        <v>62</v>
      </c>
      <c r="D70" s="5">
        <v>62</v>
      </c>
      <c r="E70" s="5">
        <v>13</v>
      </c>
      <c r="F70" s="5">
        <v>1.7399999999999998</v>
      </c>
      <c r="G70" s="5">
        <v>117.32333680792894</v>
      </c>
      <c r="J70" s="5">
        <f t="shared" si="0"/>
        <v>62</v>
      </c>
      <c r="K70" s="5">
        <f>SUM($AP$9:AP69)</f>
        <v>617</v>
      </c>
      <c r="L70" s="5">
        <f>LOOKUP(K70,AI:AI,AE:AE)</f>
        <v>21</v>
      </c>
      <c r="M70" s="5">
        <f>LOOKUP(L70,AE:AE,AG:AG)</f>
        <v>59</v>
      </c>
      <c r="N70" s="5">
        <f>AM70/M70/$K$1</f>
        <v>1.8192090395480225</v>
      </c>
      <c r="O70" s="5">
        <f>SUM($N$9:N70)</f>
        <v>160.53750422341142</v>
      </c>
      <c r="AE70" s="5">
        <f t="shared" si="1"/>
        <v>62</v>
      </c>
      <c r="AF70" s="5">
        <f t="shared" si="2"/>
        <v>1359</v>
      </c>
      <c r="AG70" s="5">
        <f t="shared" si="3"/>
        <v>1277</v>
      </c>
      <c r="AH70" s="5">
        <f>AG70*$AF$1</f>
        <v>12770</v>
      </c>
      <c r="AI70" s="5">
        <f>SUM($AF$9:AF69)</f>
        <v>18871</v>
      </c>
      <c r="AK70" s="5">
        <f t="shared" si="4"/>
        <v>62</v>
      </c>
      <c r="AL70" s="5">
        <f t="shared" si="5"/>
        <v>9</v>
      </c>
      <c r="AM70" s="5">
        <f t="shared" si="6"/>
        <v>161</v>
      </c>
      <c r="AN70" s="5">
        <f>$AL$4*$AL$3^AL70*$AL$2</f>
        <v>160.82733264576015</v>
      </c>
      <c r="AO70" s="5">
        <f>IF(AL70=AL71,1,LOOKUP(MOD(AL70,$AL$1),$AN$1:$AN$5,$AO$1:$AO$5))</f>
        <v>1</v>
      </c>
      <c r="AP70" s="5">
        <f t="shared" si="7"/>
        <v>26</v>
      </c>
      <c r="AQ70" s="5">
        <f>AM70*$AR$3</f>
        <v>21.466666666666665</v>
      </c>
      <c r="AR70" s="5">
        <f>AM70*AL70*$AR$4</f>
        <v>4.3470000000000004</v>
      </c>
      <c r="AS70" s="5">
        <f>SUM($AP$9:AP69)</f>
        <v>617</v>
      </c>
    </row>
    <row r="71" spans="1:45" x14ac:dyDescent="0.15">
      <c r="A71" s="5">
        <v>63</v>
      </c>
      <c r="D71" s="5">
        <v>63</v>
      </c>
      <c r="E71" s="5">
        <v>13</v>
      </c>
      <c r="F71" s="5">
        <v>1.7399999999999998</v>
      </c>
      <c r="G71" s="5">
        <v>119.06333680792893</v>
      </c>
      <c r="J71" s="5">
        <f t="shared" si="0"/>
        <v>63</v>
      </c>
      <c r="K71" s="5">
        <f>SUM($AP$9:AP70)</f>
        <v>643</v>
      </c>
      <c r="L71" s="5">
        <f>LOOKUP(K71,AI:AI,AE:AE)</f>
        <v>22</v>
      </c>
      <c r="M71" s="5">
        <f>LOOKUP(L71,AE:AE,AG:AG)</f>
        <v>64</v>
      </c>
      <c r="N71" s="5">
        <f>AM71/M71/$K$1</f>
        <v>6.697916666666667</v>
      </c>
      <c r="O71" s="5">
        <f>SUM($N$9:N71)</f>
        <v>167.23542089007807</v>
      </c>
      <c r="AE71" s="5">
        <f t="shared" si="1"/>
        <v>63</v>
      </c>
      <c r="AF71" s="5">
        <f t="shared" si="2"/>
        <v>1449</v>
      </c>
      <c r="AG71" s="5">
        <f t="shared" si="3"/>
        <v>1362</v>
      </c>
      <c r="AH71" s="5">
        <f>AG71*$AF$1</f>
        <v>13620</v>
      </c>
      <c r="AI71" s="5">
        <f>SUM($AF$9:AF70)</f>
        <v>20230</v>
      </c>
      <c r="AK71" s="5">
        <f t="shared" si="4"/>
        <v>63</v>
      </c>
      <c r="AL71" s="5">
        <f t="shared" si="5"/>
        <v>9</v>
      </c>
      <c r="AM71" s="5">
        <f t="shared" si="6"/>
        <v>643</v>
      </c>
      <c r="AN71" s="5">
        <f>$AL$4*$AL$3^AL71*$AL$2</f>
        <v>160.82733264576015</v>
      </c>
      <c r="AO71" s="5">
        <f>IF(AL71=AL72,1,LOOKUP(MOD(AL71,$AL$1),$AN$1:$AN$5,$AO$1:$AO$5))</f>
        <v>4</v>
      </c>
      <c r="AP71" s="5">
        <f t="shared" si="7"/>
        <v>103</v>
      </c>
      <c r="AQ71" s="5">
        <f>AM71*$AR$3</f>
        <v>85.733333333333334</v>
      </c>
      <c r="AR71" s="5">
        <f>AM71*AL71*$AR$4</f>
        <v>17.361000000000001</v>
      </c>
      <c r="AS71" s="5">
        <f>SUM($AP$9:AP70)</f>
        <v>643</v>
      </c>
    </row>
    <row r="72" spans="1:45" x14ac:dyDescent="0.15">
      <c r="A72" s="5">
        <v>64</v>
      </c>
      <c r="D72" s="5">
        <v>64</v>
      </c>
      <c r="E72" s="5">
        <v>14</v>
      </c>
      <c r="F72" s="5">
        <v>1.5535714285714286</v>
      </c>
      <c r="G72" s="5">
        <v>120.61690823650036</v>
      </c>
      <c r="J72" s="5">
        <f t="shared" si="0"/>
        <v>64</v>
      </c>
      <c r="K72" s="5">
        <f>SUM($AP$9:AP71)</f>
        <v>746</v>
      </c>
      <c r="L72" s="5">
        <f>LOOKUP(K72,AI:AI,AE:AE)</f>
        <v>23</v>
      </c>
      <c r="M72" s="5">
        <f>LOOKUP(L72,AE:AE,AG:AG)</f>
        <v>71</v>
      </c>
      <c r="N72" s="5">
        <f>AM72/M72/$K$1</f>
        <v>2.3661971830985915</v>
      </c>
      <c r="O72" s="5">
        <f>SUM($N$9:N72)</f>
        <v>169.60161807317667</v>
      </c>
      <c r="AE72" s="5">
        <f t="shared" si="1"/>
        <v>64</v>
      </c>
      <c r="AF72" s="5">
        <f t="shared" si="2"/>
        <v>1544</v>
      </c>
      <c r="AG72" s="5">
        <f t="shared" si="3"/>
        <v>1453</v>
      </c>
      <c r="AH72" s="5">
        <f>AG72*$AF$1</f>
        <v>14530</v>
      </c>
      <c r="AI72" s="5">
        <f>SUM($AF$9:AF71)</f>
        <v>21679</v>
      </c>
      <c r="AK72" s="5">
        <f t="shared" si="4"/>
        <v>64</v>
      </c>
      <c r="AL72" s="5">
        <f t="shared" si="5"/>
        <v>10</v>
      </c>
      <c r="AM72" s="5">
        <f t="shared" si="6"/>
        <v>252</v>
      </c>
      <c r="AN72" s="5">
        <f>$AL$4*$AL$3^AL72*$AL$2</f>
        <v>252.4989122538434</v>
      </c>
      <c r="AO72" s="5">
        <f>IF(AL72=AL73,1,LOOKUP(MOD(AL72,$AL$1),$AN$1:$AN$5,$AO$1:$AO$5))</f>
        <v>1</v>
      </c>
      <c r="AP72" s="5">
        <f t="shared" si="7"/>
        <v>41</v>
      </c>
      <c r="AQ72" s="5">
        <f>AM72*$AR$3</f>
        <v>33.6</v>
      </c>
      <c r="AR72" s="5">
        <f>AM72*AL72*$AR$4</f>
        <v>7.5600000000000005</v>
      </c>
      <c r="AS72" s="5">
        <f>SUM($AP$9:AP71)</f>
        <v>746</v>
      </c>
    </row>
    <row r="73" spans="1:45" x14ac:dyDescent="0.15">
      <c r="A73" s="5">
        <v>65</v>
      </c>
      <c r="D73" s="5">
        <v>65</v>
      </c>
      <c r="E73" s="5">
        <v>14</v>
      </c>
      <c r="F73" s="5">
        <v>1.5535714285714286</v>
      </c>
      <c r="G73" s="5">
        <v>122.1704796650718</v>
      </c>
      <c r="J73" s="5">
        <f t="shared" si="0"/>
        <v>65</v>
      </c>
      <c r="K73" s="5">
        <f>SUM($AP$9:AP72)</f>
        <v>787</v>
      </c>
      <c r="L73" s="5">
        <f>LOOKUP(K73,AI:AI,AE:AE)</f>
        <v>23</v>
      </c>
      <c r="M73" s="5">
        <f>LOOKUP(L73,AE:AE,AG:AG)</f>
        <v>71</v>
      </c>
      <c r="N73" s="5">
        <f>AM73/M73/$K$1</f>
        <v>2.3661971830985915</v>
      </c>
      <c r="O73" s="5">
        <f>SUM($N$9:N73)</f>
        <v>171.96781525627526</v>
      </c>
      <c r="AE73" s="5">
        <f t="shared" si="1"/>
        <v>65</v>
      </c>
      <c r="AF73" s="5">
        <f t="shared" si="2"/>
        <v>1645</v>
      </c>
      <c r="AG73" s="5">
        <f t="shared" si="3"/>
        <v>1550</v>
      </c>
      <c r="AH73" s="5">
        <f>AG73*$AF$1</f>
        <v>15500</v>
      </c>
      <c r="AI73" s="5">
        <f>SUM($AF$9:AF72)</f>
        <v>23223</v>
      </c>
      <c r="AK73" s="5">
        <f t="shared" si="4"/>
        <v>65</v>
      </c>
      <c r="AL73" s="5">
        <f t="shared" si="5"/>
        <v>10</v>
      </c>
      <c r="AM73" s="5">
        <f t="shared" si="6"/>
        <v>252</v>
      </c>
      <c r="AN73" s="5">
        <f>$AL$4*$AL$3^AL73*$AL$2</f>
        <v>252.4989122538434</v>
      </c>
      <c r="AO73" s="5">
        <f>IF(AL73=AL74,1,LOOKUP(MOD(AL73,$AL$1),$AN$1:$AN$5,$AO$1:$AO$5))</f>
        <v>1</v>
      </c>
      <c r="AP73" s="5">
        <f t="shared" si="7"/>
        <v>41</v>
      </c>
      <c r="AQ73" s="5">
        <f>AM73*$AR$3</f>
        <v>33.6</v>
      </c>
      <c r="AR73" s="5">
        <f>AM73*AL73*$AR$4</f>
        <v>7.5600000000000005</v>
      </c>
      <c r="AS73" s="5">
        <f>SUM($AP$9:AP72)</f>
        <v>787</v>
      </c>
    </row>
    <row r="74" spans="1:45" x14ac:dyDescent="0.15">
      <c r="A74" s="5">
        <v>66</v>
      </c>
      <c r="D74" s="5">
        <v>66</v>
      </c>
      <c r="E74" s="5">
        <v>14</v>
      </c>
      <c r="F74" s="5">
        <v>1.5535714285714286</v>
      </c>
      <c r="G74" s="5">
        <v>123.72405109364323</v>
      </c>
      <c r="J74" s="5">
        <f t="shared" ref="J74:J137" si="8">A74</f>
        <v>66</v>
      </c>
      <c r="K74" s="5">
        <f>SUM($AP$9:AP73)</f>
        <v>828</v>
      </c>
      <c r="L74" s="5">
        <f>LOOKUP(K74,AI:AI,AE:AE)</f>
        <v>24</v>
      </c>
      <c r="M74" s="5">
        <f>LOOKUP(L74,AE:AE,AG:AG)</f>
        <v>77</v>
      </c>
      <c r="N74" s="5">
        <f>AM74/M74/$K$1</f>
        <v>2.1818181818181821</v>
      </c>
      <c r="O74" s="5">
        <f>SUM($N$9:N74)</f>
        <v>174.14963343809345</v>
      </c>
      <c r="AE74" s="5">
        <f t="shared" ref="AE74:AE137" si="9">A74</f>
        <v>66</v>
      </c>
      <c r="AF74" s="5">
        <f t="shared" ref="AF74:AF137" si="10">ROUND(1.05^AE74*(AE74+4),0)</f>
        <v>1752</v>
      </c>
      <c r="AG74" s="5">
        <f t="shared" ref="AG74:AG137" si="11">ROUND(1.05^AE74*AE74,0)</f>
        <v>1652</v>
      </c>
      <c r="AH74" s="5">
        <f>AG74*$AF$1</f>
        <v>16520</v>
      </c>
      <c r="AI74" s="5">
        <f>SUM($AF$9:AF73)</f>
        <v>24868</v>
      </c>
      <c r="AK74" s="5">
        <f t="shared" ref="AK74:AK137" si="12">A74</f>
        <v>66</v>
      </c>
      <c r="AL74" s="5">
        <f t="shared" ref="AL74:AL137" si="13">ROUNDUP(AK74/$AL$1,0)</f>
        <v>10</v>
      </c>
      <c r="AM74" s="5">
        <f t="shared" ref="AM74:AM137" si="14">ROUND(AN74*AO74,0)</f>
        <v>252</v>
      </c>
      <c r="AN74" s="5">
        <f>$AL$4*$AL$3^AL74*$AL$2</f>
        <v>252.4989122538434</v>
      </c>
      <c r="AO74" s="5">
        <f>IF(AL74=AL75,1,LOOKUP(MOD(AL74,$AL$1),$AN$1:$AN$5,$AO$1:$AO$5))</f>
        <v>1</v>
      </c>
      <c r="AP74" s="5">
        <f t="shared" ref="AP74:AP137" si="15">ROUND(AQ74+AR74,0)</f>
        <v>41</v>
      </c>
      <c r="AQ74" s="5">
        <f>AM74*$AR$3</f>
        <v>33.6</v>
      </c>
      <c r="AR74" s="5">
        <f>AM74*AL74*$AR$4</f>
        <v>7.5600000000000005</v>
      </c>
      <c r="AS74" s="5">
        <f>SUM($AP$9:AP73)</f>
        <v>828</v>
      </c>
    </row>
    <row r="75" spans="1:45" x14ac:dyDescent="0.15">
      <c r="A75" s="5">
        <v>67</v>
      </c>
      <c r="D75" s="5">
        <v>67</v>
      </c>
      <c r="E75" s="5">
        <v>14</v>
      </c>
      <c r="F75" s="5">
        <v>1.5535714285714286</v>
      </c>
      <c r="G75" s="5">
        <v>125.27762252221466</v>
      </c>
      <c r="J75" s="5">
        <f t="shared" si="8"/>
        <v>67</v>
      </c>
      <c r="K75" s="5">
        <f>SUM($AP$9:AP74)</f>
        <v>869</v>
      </c>
      <c r="L75" s="5">
        <f>LOOKUP(K75,AI:AI,AE:AE)</f>
        <v>24</v>
      </c>
      <c r="M75" s="5">
        <f>LOOKUP(L75,AE:AE,AG:AG)</f>
        <v>77</v>
      </c>
      <c r="N75" s="5">
        <f>AM75/M75/$K$1</f>
        <v>2.1818181818181821</v>
      </c>
      <c r="O75" s="5">
        <f>SUM($N$9:N75)</f>
        <v>176.33145161991163</v>
      </c>
      <c r="AE75" s="5">
        <f t="shared" si="9"/>
        <v>67</v>
      </c>
      <c r="AF75" s="5">
        <f t="shared" si="10"/>
        <v>1866</v>
      </c>
      <c r="AG75" s="5">
        <f t="shared" si="11"/>
        <v>1761</v>
      </c>
      <c r="AH75" s="5">
        <f>AG75*$AF$1</f>
        <v>17610</v>
      </c>
      <c r="AI75" s="5">
        <f>SUM($AF$9:AF74)</f>
        <v>26620</v>
      </c>
      <c r="AK75" s="5">
        <f t="shared" si="12"/>
        <v>67</v>
      </c>
      <c r="AL75" s="5">
        <f t="shared" si="13"/>
        <v>10</v>
      </c>
      <c r="AM75" s="5">
        <f t="shared" si="14"/>
        <v>252</v>
      </c>
      <c r="AN75" s="5">
        <f>$AL$4*$AL$3^AL75*$AL$2</f>
        <v>252.4989122538434</v>
      </c>
      <c r="AO75" s="5">
        <f>IF(AL75=AL76,1,LOOKUP(MOD(AL75,$AL$1),$AN$1:$AN$5,$AO$1:$AO$5))</f>
        <v>1</v>
      </c>
      <c r="AP75" s="5">
        <f t="shared" si="15"/>
        <v>41</v>
      </c>
      <c r="AQ75" s="5">
        <f>AM75*$AR$3</f>
        <v>33.6</v>
      </c>
      <c r="AR75" s="5">
        <f>AM75*AL75*$AR$4</f>
        <v>7.5600000000000005</v>
      </c>
      <c r="AS75" s="5">
        <f>SUM($AP$9:AP74)</f>
        <v>869</v>
      </c>
    </row>
    <row r="76" spans="1:45" x14ac:dyDescent="0.15">
      <c r="A76" s="5">
        <v>68</v>
      </c>
      <c r="D76" s="5">
        <v>68</v>
      </c>
      <c r="E76" s="5">
        <v>15</v>
      </c>
      <c r="F76" s="5">
        <v>1.403225806451613</v>
      </c>
      <c r="G76" s="5">
        <v>126.68084832866627</v>
      </c>
      <c r="J76" s="5">
        <f t="shared" si="8"/>
        <v>68</v>
      </c>
      <c r="K76" s="5">
        <f>SUM($AP$9:AP75)</f>
        <v>910</v>
      </c>
      <c r="L76" s="5">
        <f>LOOKUP(K76,AI:AI,AE:AE)</f>
        <v>25</v>
      </c>
      <c r="M76" s="5">
        <f>LOOKUP(L76,AE:AE,AG:AG)</f>
        <v>85</v>
      </c>
      <c r="N76" s="5">
        <f>AM76/M76/$K$1</f>
        <v>1.9764705882352942</v>
      </c>
      <c r="O76" s="5">
        <f>SUM($N$9:N76)</f>
        <v>178.30792220814692</v>
      </c>
      <c r="AE76" s="5">
        <f t="shared" si="9"/>
        <v>68</v>
      </c>
      <c r="AF76" s="5">
        <f t="shared" si="10"/>
        <v>1987</v>
      </c>
      <c r="AG76" s="5">
        <f t="shared" si="11"/>
        <v>1877</v>
      </c>
      <c r="AH76" s="5">
        <f>AG76*$AF$1</f>
        <v>18770</v>
      </c>
      <c r="AI76" s="5">
        <f>SUM($AF$9:AF75)</f>
        <v>28486</v>
      </c>
      <c r="AK76" s="5">
        <f t="shared" si="12"/>
        <v>68</v>
      </c>
      <c r="AL76" s="5">
        <f t="shared" si="13"/>
        <v>10</v>
      </c>
      <c r="AM76" s="5">
        <f t="shared" si="14"/>
        <v>252</v>
      </c>
      <c r="AN76" s="5">
        <f>$AL$4*$AL$3^AL76*$AL$2</f>
        <v>252.4989122538434</v>
      </c>
      <c r="AO76" s="5">
        <f>IF(AL76=AL77,1,LOOKUP(MOD(AL76,$AL$1),$AN$1:$AN$5,$AO$1:$AO$5))</f>
        <v>1</v>
      </c>
      <c r="AP76" s="5">
        <f t="shared" si="15"/>
        <v>41</v>
      </c>
      <c r="AQ76" s="5">
        <f>AM76*$AR$3</f>
        <v>33.6</v>
      </c>
      <c r="AR76" s="5">
        <f>AM76*AL76*$AR$4</f>
        <v>7.5600000000000005</v>
      </c>
      <c r="AS76" s="5">
        <f>SUM($AP$9:AP75)</f>
        <v>910</v>
      </c>
    </row>
    <row r="77" spans="1:45" x14ac:dyDescent="0.15">
      <c r="A77" s="5">
        <v>69</v>
      </c>
      <c r="D77" s="5">
        <v>69</v>
      </c>
      <c r="E77" s="5">
        <v>15</v>
      </c>
      <c r="F77" s="5">
        <v>1.403225806451613</v>
      </c>
      <c r="G77" s="5">
        <v>128.08407413511787</v>
      </c>
      <c r="J77" s="5">
        <f t="shared" si="8"/>
        <v>69</v>
      </c>
      <c r="K77" s="5">
        <f>SUM($AP$9:AP76)</f>
        <v>951</v>
      </c>
      <c r="L77" s="5">
        <f>LOOKUP(K77,AI:AI,AE:AE)</f>
        <v>25</v>
      </c>
      <c r="M77" s="5">
        <f>LOOKUP(L77,AE:AE,AG:AG)</f>
        <v>85</v>
      </c>
      <c r="N77" s="5">
        <f>AM77/M77/$K$1</f>
        <v>1.9764705882352942</v>
      </c>
      <c r="O77" s="5">
        <f>SUM($N$9:N77)</f>
        <v>180.28439279638221</v>
      </c>
      <c r="AE77" s="5">
        <f t="shared" si="9"/>
        <v>69</v>
      </c>
      <c r="AF77" s="5">
        <f t="shared" si="10"/>
        <v>2115</v>
      </c>
      <c r="AG77" s="5">
        <f t="shared" si="11"/>
        <v>1999</v>
      </c>
      <c r="AH77" s="5">
        <f>AG77*$AF$1</f>
        <v>19990</v>
      </c>
      <c r="AI77" s="5">
        <f>SUM($AF$9:AF76)</f>
        <v>30473</v>
      </c>
      <c r="AK77" s="5">
        <f t="shared" si="12"/>
        <v>69</v>
      </c>
      <c r="AL77" s="5">
        <f t="shared" si="13"/>
        <v>10</v>
      </c>
      <c r="AM77" s="5">
        <f t="shared" si="14"/>
        <v>252</v>
      </c>
      <c r="AN77" s="5">
        <f>$AL$4*$AL$3^AL77*$AL$2</f>
        <v>252.4989122538434</v>
      </c>
      <c r="AO77" s="5">
        <f>IF(AL77=AL78,1,LOOKUP(MOD(AL77,$AL$1),$AN$1:$AN$5,$AO$1:$AO$5))</f>
        <v>1</v>
      </c>
      <c r="AP77" s="5">
        <f t="shared" si="15"/>
        <v>41</v>
      </c>
      <c r="AQ77" s="5">
        <f>AM77*$AR$3</f>
        <v>33.6</v>
      </c>
      <c r="AR77" s="5">
        <f>AM77*AL77*$AR$4</f>
        <v>7.5600000000000005</v>
      </c>
      <c r="AS77" s="5">
        <f>SUM($AP$9:AP76)</f>
        <v>951</v>
      </c>
    </row>
    <row r="78" spans="1:45" x14ac:dyDescent="0.15">
      <c r="A78" s="5">
        <v>70</v>
      </c>
      <c r="D78" s="5">
        <v>70</v>
      </c>
      <c r="E78" s="5">
        <v>15</v>
      </c>
      <c r="F78" s="5">
        <v>5.612903225806452</v>
      </c>
      <c r="G78" s="5">
        <v>133.69697736092434</v>
      </c>
      <c r="J78" s="5">
        <f t="shared" si="8"/>
        <v>70</v>
      </c>
      <c r="K78" s="5">
        <f>SUM($AP$9:AP77)</f>
        <v>992</v>
      </c>
      <c r="L78" s="5">
        <f>LOOKUP(K78,AI:AI,AE:AE)</f>
        <v>26</v>
      </c>
      <c r="M78" s="5">
        <f>LOOKUP(L78,AE:AE,AG:AG)</f>
        <v>92</v>
      </c>
      <c r="N78" s="5">
        <f>AM78/M78/$K$1</f>
        <v>10.978260869565217</v>
      </c>
      <c r="O78" s="5">
        <f>SUM($N$9:N78)</f>
        <v>191.26265366594743</v>
      </c>
      <c r="AE78" s="5">
        <f t="shared" si="9"/>
        <v>70</v>
      </c>
      <c r="AF78" s="5">
        <f t="shared" si="10"/>
        <v>2252</v>
      </c>
      <c r="AG78" s="5">
        <f t="shared" si="11"/>
        <v>2130</v>
      </c>
      <c r="AH78" s="5">
        <f>AG78*$AF$1</f>
        <v>21300</v>
      </c>
      <c r="AI78" s="5">
        <f>SUM($AF$9:AF77)</f>
        <v>32588</v>
      </c>
      <c r="AK78" s="5">
        <f t="shared" si="12"/>
        <v>70</v>
      </c>
      <c r="AL78" s="5">
        <f t="shared" si="13"/>
        <v>10</v>
      </c>
      <c r="AM78" s="5">
        <f t="shared" si="14"/>
        <v>1515</v>
      </c>
      <c r="AN78" s="5">
        <f>$AL$4*$AL$3^AL78*$AL$2</f>
        <v>252.4989122538434</v>
      </c>
      <c r="AO78" s="5">
        <f>IF(AL78=AL79,1,LOOKUP(MOD(AL78,$AL$1),$AN$1:$AN$5,$AO$1:$AO$5))</f>
        <v>6</v>
      </c>
      <c r="AP78" s="5">
        <f t="shared" si="15"/>
        <v>247</v>
      </c>
      <c r="AQ78" s="5">
        <f>AM78*$AR$3</f>
        <v>202</v>
      </c>
      <c r="AR78" s="5">
        <f>AM78*AL78*$AR$4</f>
        <v>45.45</v>
      </c>
      <c r="AS78" s="5">
        <f>SUM($AP$9:AP77)</f>
        <v>992</v>
      </c>
    </row>
    <row r="79" spans="1:45" x14ac:dyDescent="0.15">
      <c r="A79" s="5">
        <v>71</v>
      </c>
      <c r="D79" s="5">
        <v>71</v>
      </c>
      <c r="E79" s="5">
        <v>16</v>
      </c>
      <c r="F79" s="5">
        <v>1.9514285714285715</v>
      </c>
      <c r="G79" s="5">
        <v>135.64840593235292</v>
      </c>
      <c r="J79" s="5">
        <f t="shared" si="8"/>
        <v>71</v>
      </c>
      <c r="K79" s="5">
        <f>SUM($AP$9:AP78)</f>
        <v>1239</v>
      </c>
      <c r="L79" s="5">
        <f>LOOKUP(K79,AI:AI,AE:AE)</f>
        <v>28</v>
      </c>
      <c r="M79" s="5">
        <f>LOOKUP(L79,AE:AE,AG:AG)</f>
        <v>110</v>
      </c>
      <c r="N79" s="5">
        <f>AM79/M79/$K$1</f>
        <v>2.4</v>
      </c>
      <c r="O79" s="5">
        <f>SUM($N$9:N79)</f>
        <v>193.66265366594743</v>
      </c>
      <c r="AE79" s="5">
        <f t="shared" si="9"/>
        <v>71</v>
      </c>
      <c r="AF79" s="5">
        <f t="shared" si="10"/>
        <v>2396</v>
      </c>
      <c r="AG79" s="5">
        <f t="shared" si="11"/>
        <v>2268</v>
      </c>
      <c r="AH79" s="5">
        <f>AG79*$AF$1</f>
        <v>22680</v>
      </c>
      <c r="AI79" s="5">
        <f>SUM($AF$9:AF78)</f>
        <v>34840</v>
      </c>
      <c r="AK79" s="5">
        <f t="shared" si="12"/>
        <v>71</v>
      </c>
      <c r="AL79" s="5">
        <f t="shared" si="13"/>
        <v>11</v>
      </c>
      <c r="AM79" s="5">
        <f t="shared" si="14"/>
        <v>396</v>
      </c>
      <c r="AN79" s="5">
        <f>$AL$4*$AL$3^AL79*$AL$2</f>
        <v>396.42329223853415</v>
      </c>
      <c r="AO79" s="5">
        <f>IF(AL79=AL80,1,LOOKUP(MOD(AL79,$AL$1),$AN$1:$AN$5,$AO$1:$AO$5))</f>
        <v>1</v>
      </c>
      <c r="AP79" s="5">
        <f t="shared" si="15"/>
        <v>66</v>
      </c>
      <c r="AQ79" s="5">
        <f>AM79*$AR$3</f>
        <v>52.8</v>
      </c>
      <c r="AR79" s="5">
        <f>AM79*AL79*$AR$4</f>
        <v>13.068</v>
      </c>
      <c r="AS79" s="5">
        <f>SUM($AP$9:AP78)</f>
        <v>1239</v>
      </c>
    </row>
    <row r="80" spans="1:45" x14ac:dyDescent="0.15">
      <c r="A80" s="5">
        <v>72</v>
      </c>
      <c r="D80" s="5">
        <v>72</v>
      </c>
      <c r="E80" s="5">
        <v>16</v>
      </c>
      <c r="F80" s="5">
        <v>1.9514285714285715</v>
      </c>
      <c r="G80" s="5">
        <v>137.59983450378149</v>
      </c>
      <c r="J80" s="5">
        <f t="shared" si="8"/>
        <v>72</v>
      </c>
      <c r="K80" s="5">
        <f>SUM($AP$9:AP79)</f>
        <v>1305</v>
      </c>
      <c r="L80" s="5">
        <f>LOOKUP(K80,AI:AI,AE:AE)</f>
        <v>28</v>
      </c>
      <c r="M80" s="5">
        <f>LOOKUP(L80,AE:AE,AG:AG)</f>
        <v>110</v>
      </c>
      <c r="N80" s="5">
        <f>AM80/M80/$K$1</f>
        <v>2.4</v>
      </c>
      <c r="O80" s="5">
        <f>SUM($N$9:N80)</f>
        <v>196.06265366594744</v>
      </c>
      <c r="AE80" s="5">
        <f t="shared" si="9"/>
        <v>72</v>
      </c>
      <c r="AF80" s="5">
        <f t="shared" si="10"/>
        <v>2549</v>
      </c>
      <c r="AG80" s="5">
        <f t="shared" si="11"/>
        <v>2415</v>
      </c>
      <c r="AH80" s="5">
        <f>AG80*$AF$1</f>
        <v>24150</v>
      </c>
      <c r="AI80" s="5">
        <f>SUM($AF$9:AF79)</f>
        <v>37236</v>
      </c>
      <c r="AK80" s="5">
        <f t="shared" si="12"/>
        <v>72</v>
      </c>
      <c r="AL80" s="5">
        <f t="shared" si="13"/>
        <v>11</v>
      </c>
      <c r="AM80" s="5">
        <f t="shared" si="14"/>
        <v>396</v>
      </c>
      <c r="AN80" s="5">
        <f>$AL$4*$AL$3^AL80*$AL$2</f>
        <v>396.42329223853415</v>
      </c>
      <c r="AO80" s="5">
        <f>IF(AL80=AL81,1,LOOKUP(MOD(AL80,$AL$1),$AN$1:$AN$5,$AO$1:$AO$5))</f>
        <v>1</v>
      </c>
      <c r="AP80" s="5">
        <f t="shared" si="15"/>
        <v>66</v>
      </c>
      <c r="AQ80" s="5">
        <f>AM80*$AR$3</f>
        <v>52.8</v>
      </c>
      <c r="AR80" s="5">
        <f>AM80*AL80*$AR$4</f>
        <v>13.068</v>
      </c>
      <c r="AS80" s="5">
        <f>SUM($AP$9:AP79)</f>
        <v>1305</v>
      </c>
    </row>
    <row r="81" spans="1:45" x14ac:dyDescent="0.15">
      <c r="A81" s="5">
        <v>73</v>
      </c>
      <c r="D81" s="5">
        <v>73</v>
      </c>
      <c r="E81" s="5">
        <v>16</v>
      </c>
      <c r="F81" s="5">
        <v>1.9514285714285715</v>
      </c>
      <c r="G81" s="5">
        <v>139.55126307521007</v>
      </c>
      <c r="J81" s="5">
        <f t="shared" si="8"/>
        <v>73</v>
      </c>
      <c r="K81" s="5">
        <f>SUM($AP$9:AP80)</f>
        <v>1371</v>
      </c>
      <c r="L81" s="5">
        <f>LOOKUP(K81,AI:AI,AE:AE)</f>
        <v>29</v>
      </c>
      <c r="M81" s="5">
        <f>LOOKUP(L81,AE:AE,AG:AG)</f>
        <v>119</v>
      </c>
      <c r="N81" s="5">
        <f>AM81/M81/$K$1</f>
        <v>2.2184873949579833</v>
      </c>
      <c r="O81" s="5">
        <f>SUM($N$9:N81)</f>
        <v>198.28114106090541</v>
      </c>
      <c r="AE81" s="5">
        <f t="shared" si="9"/>
        <v>73</v>
      </c>
      <c r="AF81" s="5">
        <f t="shared" si="10"/>
        <v>2712</v>
      </c>
      <c r="AG81" s="5">
        <f t="shared" si="11"/>
        <v>2571</v>
      </c>
      <c r="AH81" s="5">
        <f>AG81*$AF$1</f>
        <v>25710</v>
      </c>
      <c r="AI81" s="5">
        <f>SUM($AF$9:AF80)</f>
        <v>39785</v>
      </c>
      <c r="AK81" s="5">
        <f t="shared" si="12"/>
        <v>73</v>
      </c>
      <c r="AL81" s="5">
        <f t="shared" si="13"/>
        <v>11</v>
      </c>
      <c r="AM81" s="5">
        <f t="shared" si="14"/>
        <v>396</v>
      </c>
      <c r="AN81" s="5">
        <f>$AL$4*$AL$3^AL81*$AL$2</f>
        <v>396.42329223853415</v>
      </c>
      <c r="AO81" s="5">
        <f>IF(AL81=AL82,1,LOOKUP(MOD(AL81,$AL$1),$AN$1:$AN$5,$AO$1:$AO$5))</f>
        <v>1</v>
      </c>
      <c r="AP81" s="5">
        <f t="shared" si="15"/>
        <v>66</v>
      </c>
      <c r="AQ81" s="5">
        <f>AM81*$AR$3</f>
        <v>52.8</v>
      </c>
      <c r="AR81" s="5">
        <f>AM81*AL81*$AR$4</f>
        <v>13.068</v>
      </c>
      <c r="AS81" s="5">
        <f>SUM($AP$9:AP80)</f>
        <v>1371</v>
      </c>
    </row>
    <row r="82" spans="1:45" x14ac:dyDescent="0.15">
      <c r="A82" s="5">
        <v>74</v>
      </c>
      <c r="D82" s="5">
        <v>74</v>
      </c>
      <c r="E82" s="5">
        <v>16</v>
      </c>
      <c r="F82" s="5">
        <v>1.9514285714285715</v>
      </c>
      <c r="G82" s="5">
        <v>141.50269164663865</v>
      </c>
      <c r="J82" s="5">
        <f t="shared" si="8"/>
        <v>74</v>
      </c>
      <c r="K82" s="5">
        <f>SUM($AP$9:AP81)</f>
        <v>1437</v>
      </c>
      <c r="L82" s="5">
        <f>LOOKUP(K82,AI:AI,AE:AE)</f>
        <v>29</v>
      </c>
      <c r="M82" s="5">
        <f>LOOKUP(L82,AE:AE,AG:AG)</f>
        <v>119</v>
      </c>
      <c r="N82" s="5">
        <f>AM82/M82/$K$1</f>
        <v>2.2184873949579833</v>
      </c>
      <c r="O82" s="5">
        <f>SUM($N$9:N82)</f>
        <v>200.49962845586339</v>
      </c>
      <c r="AE82" s="5">
        <f t="shared" si="9"/>
        <v>74</v>
      </c>
      <c r="AF82" s="5">
        <f t="shared" si="10"/>
        <v>2885</v>
      </c>
      <c r="AG82" s="5">
        <f t="shared" si="11"/>
        <v>2737</v>
      </c>
      <c r="AH82" s="5">
        <f>AG82*$AF$1</f>
        <v>27370</v>
      </c>
      <c r="AI82" s="5">
        <f>SUM($AF$9:AF81)</f>
        <v>42497</v>
      </c>
      <c r="AK82" s="5">
        <f t="shared" si="12"/>
        <v>74</v>
      </c>
      <c r="AL82" s="5">
        <f t="shared" si="13"/>
        <v>11</v>
      </c>
      <c r="AM82" s="5">
        <f t="shared" si="14"/>
        <v>396</v>
      </c>
      <c r="AN82" s="5">
        <f>$AL$4*$AL$3^AL82*$AL$2</f>
        <v>396.42329223853415</v>
      </c>
      <c r="AO82" s="5">
        <f>IF(AL82=AL83,1,LOOKUP(MOD(AL82,$AL$1),$AN$1:$AN$5,$AO$1:$AO$5))</f>
        <v>1</v>
      </c>
      <c r="AP82" s="5">
        <f t="shared" si="15"/>
        <v>66</v>
      </c>
      <c r="AQ82" s="5">
        <f>AM82*$AR$3</f>
        <v>52.8</v>
      </c>
      <c r="AR82" s="5">
        <f>AM82*AL82*$AR$4</f>
        <v>13.068</v>
      </c>
      <c r="AS82" s="5">
        <f>SUM($AP$9:AP81)</f>
        <v>1437</v>
      </c>
    </row>
    <row r="83" spans="1:45" x14ac:dyDescent="0.15">
      <c r="A83" s="5">
        <v>75</v>
      </c>
      <c r="D83" s="5">
        <v>75</v>
      </c>
      <c r="E83" s="5">
        <v>17</v>
      </c>
      <c r="F83" s="5">
        <v>1.7512820512820515</v>
      </c>
      <c r="G83" s="5">
        <v>143.25397369792071</v>
      </c>
      <c r="J83" s="5">
        <f t="shared" si="8"/>
        <v>75</v>
      </c>
      <c r="K83" s="5">
        <f>SUM($AP$9:AP82)</f>
        <v>1503</v>
      </c>
      <c r="L83" s="5">
        <f>LOOKUP(K83,AI:AI,AE:AE)</f>
        <v>30</v>
      </c>
      <c r="M83" s="5">
        <f>LOOKUP(L83,AE:AE,AG:AG)</f>
        <v>130</v>
      </c>
      <c r="N83" s="5">
        <f>AM83/M83/$K$1</f>
        <v>2.0307692307692307</v>
      </c>
      <c r="O83" s="5">
        <f>SUM($N$9:N83)</f>
        <v>202.53039768663263</v>
      </c>
      <c r="AE83" s="5">
        <f t="shared" si="9"/>
        <v>75</v>
      </c>
      <c r="AF83" s="5">
        <f t="shared" si="10"/>
        <v>3068</v>
      </c>
      <c r="AG83" s="5">
        <f t="shared" si="11"/>
        <v>2912</v>
      </c>
      <c r="AH83" s="5">
        <f>AG83*$AF$1</f>
        <v>29120</v>
      </c>
      <c r="AI83" s="5">
        <f>SUM($AF$9:AF82)</f>
        <v>45382</v>
      </c>
      <c r="AK83" s="5">
        <f t="shared" si="12"/>
        <v>75</v>
      </c>
      <c r="AL83" s="5">
        <f t="shared" si="13"/>
        <v>11</v>
      </c>
      <c r="AM83" s="5">
        <f t="shared" si="14"/>
        <v>396</v>
      </c>
      <c r="AN83" s="5">
        <f>$AL$4*$AL$3^AL83*$AL$2</f>
        <v>396.42329223853415</v>
      </c>
      <c r="AO83" s="5">
        <f>IF(AL83=AL84,1,LOOKUP(MOD(AL83,$AL$1),$AN$1:$AN$5,$AO$1:$AO$5))</f>
        <v>1</v>
      </c>
      <c r="AP83" s="5">
        <f t="shared" si="15"/>
        <v>66</v>
      </c>
      <c r="AQ83" s="5">
        <f>AM83*$AR$3</f>
        <v>52.8</v>
      </c>
      <c r="AR83" s="5">
        <f>AM83*AL83*$AR$4</f>
        <v>13.068</v>
      </c>
      <c r="AS83" s="5">
        <f>SUM($AP$9:AP82)</f>
        <v>1503</v>
      </c>
    </row>
    <row r="84" spans="1:45" x14ac:dyDescent="0.15">
      <c r="A84" s="5">
        <v>76</v>
      </c>
      <c r="D84" s="5">
        <v>76</v>
      </c>
      <c r="E84" s="5">
        <v>17</v>
      </c>
      <c r="F84" s="5">
        <v>1.7512820512820515</v>
      </c>
      <c r="G84" s="5">
        <v>145.00525574920277</v>
      </c>
      <c r="J84" s="5">
        <f t="shared" si="8"/>
        <v>76</v>
      </c>
      <c r="K84" s="5">
        <f>SUM($AP$9:AP83)</f>
        <v>1569</v>
      </c>
      <c r="L84" s="5">
        <f>LOOKUP(K84,AI:AI,AE:AE)</f>
        <v>30</v>
      </c>
      <c r="M84" s="5">
        <f>LOOKUP(L84,AE:AE,AG:AG)</f>
        <v>130</v>
      </c>
      <c r="N84" s="5">
        <f>AM84/M84/$K$1</f>
        <v>2.0307692307692307</v>
      </c>
      <c r="O84" s="5">
        <f>SUM($N$9:N84)</f>
        <v>204.56116691740186</v>
      </c>
      <c r="AE84" s="5">
        <f t="shared" si="9"/>
        <v>76</v>
      </c>
      <c r="AF84" s="5">
        <f t="shared" si="10"/>
        <v>3262</v>
      </c>
      <c r="AG84" s="5">
        <f t="shared" si="11"/>
        <v>3099</v>
      </c>
      <c r="AH84" s="5">
        <f>AG84*$AF$1</f>
        <v>30990</v>
      </c>
      <c r="AI84" s="5">
        <f>SUM($AF$9:AF83)</f>
        <v>48450</v>
      </c>
      <c r="AK84" s="5">
        <f t="shared" si="12"/>
        <v>76</v>
      </c>
      <c r="AL84" s="5">
        <f t="shared" si="13"/>
        <v>11</v>
      </c>
      <c r="AM84" s="5">
        <f t="shared" si="14"/>
        <v>396</v>
      </c>
      <c r="AN84" s="5">
        <f>$AL$4*$AL$3^AL84*$AL$2</f>
        <v>396.42329223853415</v>
      </c>
      <c r="AO84" s="5">
        <f>IF(AL84=AL85,1,LOOKUP(MOD(AL84,$AL$1),$AN$1:$AN$5,$AO$1:$AO$5))</f>
        <v>1</v>
      </c>
      <c r="AP84" s="5">
        <f t="shared" si="15"/>
        <v>66</v>
      </c>
      <c r="AQ84" s="5">
        <f>AM84*$AR$3</f>
        <v>52.8</v>
      </c>
      <c r="AR84" s="5">
        <f>AM84*AL84*$AR$4</f>
        <v>13.068</v>
      </c>
      <c r="AS84" s="5">
        <f>SUM($AP$9:AP83)</f>
        <v>1569</v>
      </c>
    </row>
    <row r="85" spans="1:45" x14ac:dyDescent="0.15">
      <c r="A85" s="5">
        <v>77</v>
      </c>
      <c r="D85" s="5">
        <v>77</v>
      </c>
      <c r="E85" s="5">
        <v>17</v>
      </c>
      <c r="F85" s="5">
        <v>1.7512820512820515</v>
      </c>
      <c r="G85" s="5">
        <v>146.75653780048484</v>
      </c>
      <c r="J85" s="5">
        <f t="shared" si="8"/>
        <v>77</v>
      </c>
      <c r="K85" s="5">
        <f>SUM($AP$9:AP84)</f>
        <v>1635</v>
      </c>
      <c r="L85" s="5">
        <f>LOOKUP(K85,AI:AI,AE:AE)</f>
        <v>31</v>
      </c>
      <c r="M85" s="5">
        <f>LOOKUP(L85,AE:AE,AG:AG)</f>
        <v>141</v>
      </c>
      <c r="N85" s="5">
        <f>AM85/M85/$K$1</f>
        <v>13.120567375886525</v>
      </c>
      <c r="O85" s="5">
        <f>SUM($N$9:N85)</f>
        <v>217.6817342932884</v>
      </c>
      <c r="AE85" s="5">
        <f t="shared" si="9"/>
        <v>77</v>
      </c>
      <c r="AF85" s="5">
        <f t="shared" si="10"/>
        <v>3468</v>
      </c>
      <c r="AG85" s="5">
        <f t="shared" si="11"/>
        <v>3297</v>
      </c>
      <c r="AH85" s="5">
        <f>AG85*$AF$1</f>
        <v>32970</v>
      </c>
      <c r="AI85" s="5">
        <f>SUM($AF$9:AF84)</f>
        <v>51712</v>
      </c>
      <c r="AK85" s="5">
        <f t="shared" si="12"/>
        <v>77</v>
      </c>
      <c r="AL85" s="5">
        <f t="shared" si="13"/>
        <v>11</v>
      </c>
      <c r="AM85" s="5">
        <f t="shared" si="14"/>
        <v>2775</v>
      </c>
      <c r="AN85" s="5">
        <f>$AL$4*$AL$3^AL85*$AL$2</f>
        <v>396.42329223853415</v>
      </c>
      <c r="AO85" s="5">
        <f>IF(AL85=AL86,1,LOOKUP(MOD(AL85,$AL$1),$AN$1:$AN$5,$AO$1:$AO$5))</f>
        <v>7</v>
      </c>
      <c r="AP85" s="5">
        <f t="shared" si="15"/>
        <v>462</v>
      </c>
      <c r="AQ85" s="5">
        <f>AM85*$AR$3</f>
        <v>370</v>
      </c>
      <c r="AR85" s="5">
        <f>AM85*AL85*$AR$4</f>
        <v>91.575000000000003</v>
      </c>
      <c r="AS85" s="5">
        <f>SUM($AP$9:AP84)</f>
        <v>1635</v>
      </c>
    </row>
    <row r="86" spans="1:45" x14ac:dyDescent="0.15">
      <c r="A86" s="5">
        <v>78</v>
      </c>
      <c r="D86" s="5">
        <v>78</v>
      </c>
      <c r="E86" s="5">
        <v>17</v>
      </c>
      <c r="F86" s="5">
        <v>1.7512820512820515</v>
      </c>
      <c r="G86" s="5">
        <v>148.5078198517669</v>
      </c>
      <c r="J86" s="5">
        <f t="shared" si="8"/>
        <v>78</v>
      </c>
      <c r="K86" s="5">
        <f>SUM($AP$9:AP85)</f>
        <v>2097</v>
      </c>
      <c r="L86" s="5">
        <f>LOOKUP(K86,AI:AI,AE:AE)</f>
        <v>33</v>
      </c>
      <c r="M86" s="5">
        <f>LOOKUP(L86,AE:AE,AG:AG)</f>
        <v>165</v>
      </c>
      <c r="N86" s="5">
        <f>AM86/M86/$K$1</f>
        <v>2.5131313131313129</v>
      </c>
      <c r="O86" s="5">
        <f>SUM($N$9:N86)</f>
        <v>220.19486560641971</v>
      </c>
      <c r="AE86" s="5">
        <f t="shared" si="9"/>
        <v>78</v>
      </c>
      <c r="AF86" s="5">
        <f t="shared" si="10"/>
        <v>3686</v>
      </c>
      <c r="AG86" s="5">
        <f t="shared" si="11"/>
        <v>3506</v>
      </c>
      <c r="AH86" s="5">
        <f>AG86*$AF$1</f>
        <v>35060</v>
      </c>
      <c r="AI86" s="5">
        <f>SUM($AF$9:AF85)</f>
        <v>55180</v>
      </c>
      <c r="AK86" s="5">
        <f t="shared" si="12"/>
        <v>78</v>
      </c>
      <c r="AL86" s="5">
        <f t="shared" si="13"/>
        <v>12</v>
      </c>
      <c r="AM86" s="5">
        <f t="shared" si="14"/>
        <v>622</v>
      </c>
      <c r="AN86" s="5">
        <f>$AL$4*$AL$3^AL86*$AL$2</f>
        <v>622.38456881449861</v>
      </c>
      <c r="AO86" s="5">
        <f>IF(AL86=AL87,1,LOOKUP(MOD(AL86,$AL$1),$AN$1:$AN$5,$AO$1:$AO$5))</f>
        <v>1</v>
      </c>
      <c r="AP86" s="5">
        <f t="shared" si="15"/>
        <v>105</v>
      </c>
      <c r="AQ86" s="5">
        <f>AM86*$AR$3</f>
        <v>82.933333333333337</v>
      </c>
      <c r="AR86" s="5">
        <f>AM86*AL86*$AR$4</f>
        <v>22.391999999999999</v>
      </c>
      <c r="AS86" s="5">
        <f>SUM($AP$9:AP85)</f>
        <v>2097</v>
      </c>
    </row>
    <row r="87" spans="1:45" x14ac:dyDescent="0.15">
      <c r="A87" s="5">
        <v>79</v>
      </c>
      <c r="D87" s="5">
        <v>79</v>
      </c>
      <c r="E87" s="5">
        <v>18</v>
      </c>
      <c r="F87" s="5">
        <v>1.5883720930232559</v>
      </c>
      <c r="G87" s="5">
        <v>150.09619194479015</v>
      </c>
      <c r="J87" s="5">
        <f t="shared" si="8"/>
        <v>79</v>
      </c>
      <c r="K87" s="5">
        <f>SUM($AP$9:AP86)</f>
        <v>2202</v>
      </c>
      <c r="L87" s="5">
        <f>LOOKUP(K87,AI:AI,AE:AE)</f>
        <v>34</v>
      </c>
      <c r="M87" s="5">
        <f>LOOKUP(L87,AE:AE,AG:AG)</f>
        <v>179</v>
      </c>
      <c r="N87" s="5">
        <f>AM87/M87/$K$1</f>
        <v>2.3165735567970205</v>
      </c>
      <c r="O87" s="5">
        <f>SUM($N$9:N87)</f>
        <v>222.51143916321672</v>
      </c>
      <c r="AE87" s="5">
        <f t="shared" si="9"/>
        <v>79</v>
      </c>
      <c r="AF87" s="5">
        <f t="shared" si="10"/>
        <v>3918</v>
      </c>
      <c r="AG87" s="5">
        <f t="shared" si="11"/>
        <v>3729</v>
      </c>
      <c r="AH87" s="5">
        <f>AG87*$AF$1</f>
        <v>37290</v>
      </c>
      <c r="AI87" s="5">
        <f>SUM($AF$9:AF86)</f>
        <v>58866</v>
      </c>
      <c r="AK87" s="5">
        <f t="shared" si="12"/>
        <v>79</v>
      </c>
      <c r="AL87" s="5">
        <f t="shared" si="13"/>
        <v>12</v>
      </c>
      <c r="AM87" s="5">
        <f t="shared" si="14"/>
        <v>622</v>
      </c>
      <c r="AN87" s="5">
        <f>$AL$4*$AL$3^AL87*$AL$2</f>
        <v>622.38456881449861</v>
      </c>
      <c r="AO87" s="5">
        <f>IF(AL87=AL88,1,LOOKUP(MOD(AL87,$AL$1),$AN$1:$AN$5,$AO$1:$AO$5))</f>
        <v>1</v>
      </c>
      <c r="AP87" s="5">
        <f t="shared" si="15"/>
        <v>105</v>
      </c>
      <c r="AQ87" s="5">
        <f>AM87*$AR$3</f>
        <v>82.933333333333337</v>
      </c>
      <c r="AR87" s="5">
        <f>AM87*AL87*$AR$4</f>
        <v>22.391999999999999</v>
      </c>
      <c r="AS87" s="5">
        <f>SUM($AP$9:AP86)</f>
        <v>2202</v>
      </c>
    </row>
    <row r="88" spans="1:45" x14ac:dyDescent="0.15">
      <c r="A88" s="5">
        <v>80</v>
      </c>
      <c r="D88" s="5">
        <v>80</v>
      </c>
      <c r="E88" s="5">
        <v>18</v>
      </c>
      <c r="F88" s="5">
        <v>9.5302325581395344</v>
      </c>
      <c r="G88" s="5">
        <v>159.62642450292969</v>
      </c>
      <c r="J88" s="5">
        <f t="shared" si="8"/>
        <v>80</v>
      </c>
      <c r="K88" s="5">
        <f>SUM($AP$9:AP87)</f>
        <v>2307</v>
      </c>
      <c r="L88" s="5">
        <f>LOOKUP(K88,AI:AI,AE:AE)</f>
        <v>34</v>
      </c>
      <c r="M88" s="5">
        <f>LOOKUP(L88,AE:AE,AG:AG)</f>
        <v>179</v>
      </c>
      <c r="N88" s="5">
        <f>AM88/M88/$K$1</f>
        <v>2.3165735567970205</v>
      </c>
      <c r="O88" s="5">
        <f>SUM($N$9:N88)</f>
        <v>224.82801272001373</v>
      </c>
      <c r="AE88" s="5">
        <f t="shared" si="9"/>
        <v>80</v>
      </c>
      <c r="AF88" s="5">
        <f t="shared" si="10"/>
        <v>4163</v>
      </c>
      <c r="AG88" s="5">
        <f t="shared" si="11"/>
        <v>3965</v>
      </c>
      <c r="AH88" s="5">
        <f>AG88*$AF$1</f>
        <v>39650</v>
      </c>
      <c r="AI88" s="5">
        <f>SUM($AF$9:AF87)</f>
        <v>62784</v>
      </c>
      <c r="AK88" s="5">
        <f t="shared" si="12"/>
        <v>80</v>
      </c>
      <c r="AL88" s="5">
        <f t="shared" si="13"/>
        <v>12</v>
      </c>
      <c r="AM88" s="5">
        <f t="shared" si="14"/>
        <v>622</v>
      </c>
      <c r="AN88" s="5">
        <f>$AL$4*$AL$3^AL88*$AL$2</f>
        <v>622.38456881449861</v>
      </c>
      <c r="AO88" s="5">
        <f>IF(AL88=AL89,1,LOOKUP(MOD(AL88,$AL$1),$AN$1:$AN$5,$AO$1:$AO$5))</f>
        <v>1</v>
      </c>
      <c r="AP88" s="5">
        <f t="shared" si="15"/>
        <v>105</v>
      </c>
      <c r="AQ88" s="5">
        <f>AM88*$AR$3</f>
        <v>82.933333333333337</v>
      </c>
      <c r="AR88" s="5">
        <f>AM88*AL88*$AR$4</f>
        <v>22.391999999999999</v>
      </c>
      <c r="AS88" s="5">
        <f>SUM($AP$9:AP87)</f>
        <v>2307</v>
      </c>
    </row>
    <row r="89" spans="1:45" x14ac:dyDescent="0.15">
      <c r="A89" s="5">
        <v>81</v>
      </c>
      <c r="D89" s="5">
        <v>81</v>
      </c>
      <c r="E89" s="5">
        <v>19</v>
      </c>
      <c r="F89" s="5">
        <v>2.2333333333333334</v>
      </c>
      <c r="G89" s="5">
        <v>161.85975783626301</v>
      </c>
      <c r="J89" s="5">
        <f t="shared" si="8"/>
        <v>81</v>
      </c>
      <c r="K89" s="5">
        <f>SUM($AP$9:AP88)</f>
        <v>2412</v>
      </c>
      <c r="L89" s="5">
        <f>LOOKUP(K89,AI:AI,AE:AE)</f>
        <v>35</v>
      </c>
      <c r="M89" s="5">
        <f>LOOKUP(L89,AE:AE,AG:AG)</f>
        <v>193</v>
      </c>
      <c r="N89" s="5">
        <f>AM89/M89/$K$1</f>
        <v>2.1485319516407597</v>
      </c>
      <c r="O89" s="5">
        <f>SUM($N$9:N89)</f>
        <v>226.97654467165449</v>
      </c>
      <c r="AE89" s="5">
        <f t="shared" si="9"/>
        <v>81</v>
      </c>
      <c r="AF89" s="5">
        <f t="shared" si="10"/>
        <v>4423</v>
      </c>
      <c r="AG89" s="5">
        <f t="shared" si="11"/>
        <v>4215</v>
      </c>
      <c r="AH89" s="5">
        <f>AG89*$AF$1</f>
        <v>42150</v>
      </c>
      <c r="AI89" s="5">
        <f>SUM($AF$9:AF88)</f>
        <v>66947</v>
      </c>
      <c r="AK89" s="5">
        <f t="shared" si="12"/>
        <v>81</v>
      </c>
      <c r="AL89" s="5">
        <f t="shared" si="13"/>
        <v>12</v>
      </c>
      <c r="AM89" s="5">
        <f t="shared" si="14"/>
        <v>622</v>
      </c>
      <c r="AN89" s="5">
        <f>$AL$4*$AL$3^AL89*$AL$2</f>
        <v>622.38456881449861</v>
      </c>
      <c r="AO89" s="5">
        <f>IF(AL89=AL90,1,LOOKUP(MOD(AL89,$AL$1),$AN$1:$AN$5,$AO$1:$AO$5))</f>
        <v>1</v>
      </c>
      <c r="AP89" s="5">
        <f t="shared" si="15"/>
        <v>105</v>
      </c>
      <c r="AQ89" s="5">
        <f>AM89*$AR$3</f>
        <v>82.933333333333337</v>
      </c>
      <c r="AR89" s="5">
        <f>AM89*AL89*$AR$4</f>
        <v>22.391999999999999</v>
      </c>
      <c r="AS89" s="5">
        <f>SUM($AP$9:AP88)</f>
        <v>2412</v>
      </c>
    </row>
    <row r="90" spans="1:45" x14ac:dyDescent="0.15">
      <c r="A90" s="5">
        <v>82</v>
      </c>
      <c r="D90" s="5">
        <v>82</v>
      </c>
      <c r="E90" s="5">
        <v>19</v>
      </c>
      <c r="F90" s="5">
        <v>2.2333333333333334</v>
      </c>
      <c r="G90" s="5">
        <v>164.09309116959633</v>
      </c>
      <c r="J90" s="5">
        <f t="shared" si="8"/>
        <v>82</v>
      </c>
      <c r="K90" s="5">
        <f>SUM($AP$9:AP89)</f>
        <v>2517</v>
      </c>
      <c r="L90" s="5">
        <f>LOOKUP(K90,AI:AI,AE:AE)</f>
        <v>35</v>
      </c>
      <c r="M90" s="5">
        <f>LOOKUP(L90,AE:AE,AG:AG)</f>
        <v>193</v>
      </c>
      <c r="N90" s="5">
        <f>AM90/M90/$K$1</f>
        <v>2.1485319516407597</v>
      </c>
      <c r="O90" s="5">
        <f>SUM($N$9:N90)</f>
        <v>229.12507662329526</v>
      </c>
      <c r="AE90" s="5">
        <f t="shared" si="9"/>
        <v>82</v>
      </c>
      <c r="AF90" s="5">
        <f t="shared" si="10"/>
        <v>4699</v>
      </c>
      <c r="AG90" s="5">
        <f t="shared" si="11"/>
        <v>4481</v>
      </c>
      <c r="AH90" s="5">
        <f>AG90*$AF$1</f>
        <v>44810</v>
      </c>
      <c r="AI90" s="5">
        <f>SUM($AF$9:AF89)</f>
        <v>71370</v>
      </c>
      <c r="AK90" s="5">
        <f t="shared" si="12"/>
        <v>82</v>
      </c>
      <c r="AL90" s="5">
        <f t="shared" si="13"/>
        <v>12</v>
      </c>
      <c r="AM90" s="5">
        <f t="shared" si="14"/>
        <v>622</v>
      </c>
      <c r="AN90" s="5">
        <f>$AL$4*$AL$3^AL90*$AL$2</f>
        <v>622.38456881449861</v>
      </c>
      <c r="AO90" s="5">
        <f>IF(AL90=AL91,1,LOOKUP(MOD(AL90,$AL$1),$AN$1:$AN$5,$AO$1:$AO$5))</f>
        <v>1</v>
      </c>
      <c r="AP90" s="5">
        <f t="shared" si="15"/>
        <v>105</v>
      </c>
      <c r="AQ90" s="5">
        <f>AM90*$AR$3</f>
        <v>82.933333333333337</v>
      </c>
      <c r="AR90" s="5">
        <f>AM90*AL90*$AR$4</f>
        <v>22.391999999999999</v>
      </c>
      <c r="AS90" s="5">
        <f>SUM($AP$9:AP89)</f>
        <v>2517</v>
      </c>
    </row>
    <row r="91" spans="1:45" x14ac:dyDescent="0.15">
      <c r="A91" s="5">
        <v>83</v>
      </c>
      <c r="D91" s="5">
        <v>83</v>
      </c>
      <c r="E91" s="5">
        <v>20</v>
      </c>
      <c r="F91" s="5">
        <v>2.0226415094339623</v>
      </c>
      <c r="G91" s="5">
        <v>166.11573267903029</v>
      </c>
      <c r="J91" s="5">
        <f t="shared" si="8"/>
        <v>83</v>
      </c>
      <c r="K91" s="5">
        <f>SUM($AP$9:AP90)</f>
        <v>2622</v>
      </c>
      <c r="L91" s="5">
        <f>LOOKUP(K91,AI:AI,AE:AE)</f>
        <v>36</v>
      </c>
      <c r="M91" s="5">
        <f>LOOKUP(L91,AE:AE,AG:AG)</f>
        <v>209</v>
      </c>
      <c r="N91" s="5">
        <f>AM91/M91/$K$1</f>
        <v>1.9840510366826158</v>
      </c>
      <c r="O91" s="5">
        <f>SUM($N$9:N91)</f>
        <v>231.10912765997787</v>
      </c>
      <c r="AE91" s="5">
        <f t="shared" si="9"/>
        <v>83</v>
      </c>
      <c r="AF91" s="5">
        <f t="shared" si="10"/>
        <v>4991</v>
      </c>
      <c r="AG91" s="5">
        <f t="shared" si="11"/>
        <v>4762</v>
      </c>
      <c r="AH91" s="5">
        <f>AG91*$AF$1</f>
        <v>47620</v>
      </c>
      <c r="AI91" s="5">
        <f>SUM($AF$9:AF90)</f>
        <v>76069</v>
      </c>
      <c r="AK91" s="5">
        <f t="shared" si="12"/>
        <v>83</v>
      </c>
      <c r="AL91" s="5">
        <f t="shared" si="13"/>
        <v>12</v>
      </c>
      <c r="AM91" s="5">
        <f t="shared" si="14"/>
        <v>622</v>
      </c>
      <c r="AN91" s="5">
        <f>$AL$4*$AL$3^AL91*$AL$2</f>
        <v>622.38456881449861</v>
      </c>
      <c r="AO91" s="5">
        <f>IF(AL91=AL92,1,LOOKUP(MOD(AL91,$AL$1),$AN$1:$AN$5,$AO$1:$AO$5))</f>
        <v>1</v>
      </c>
      <c r="AP91" s="5">
        <f t="shared" si="15"/>
        <v>105</v>
      </c>
      <c r="AQ91" s="5">
        <f>AM91*$AR$3</f>
        <v>82.933333333333337</v>
      </c>
      <c r="AR91" s="5">
        <f>AM91*AL91*$AR$4</f>
        <v>22.391999999999999</v>
      </c>
      <c r="AS91" s="5">
        <f>SUM($AP$9:AP90)</f>
        <v>2622</v>
      </c>
    </row>
    <row r="92" spans="1:45" x14ac:dyDescent="0.15">
      <c r="A92" s="5">
        <v>84</v>
      </c>
      <c r="D92" s="5">
        <v>84</v>
      </c>
      <c r="E92" s="5">
        <v>20</v>
      </c>
      <c r="F92" s="5">
        <v>2.0226415094339623</v>
      </c>
      <c r="G92" s="5">
        <v>168.13837418846424</v>
      </c>
      <c r="J92" s="5">
        <f t="shared" si="8"/>
        <v>84</v>
      </c>
      <c r="K92" s="5">
        <f>SUM($AP$9:AP91)</f>
        <v>2727</v>
      </c>
      <c r="L92" s="5">
        <f>LOOKUP(K92,AI:AI,AE:AE)</f>
        <v>36</v>
      </c>
      <c r="M92" s="5">
        <f>LOOKUP(L92,AE:AE,AG:AG)</f>
        <v>209</v>
      </c>
      <c r="N92" s="5">
        <f>AM92/M92/$K$1</f>
        <v>13.897926634768739</v>
      </c>
      <c r="O92" s="5">
        <f>SUM($N$9:N92)</f>
        <v>245.00705429474661</v>
      </c>
      <c r="AE92" s="5">
        <f t="shared" si="9"/>
        <v>84</v>
      </c>
      <c r="AF92" s="5">
        <f t="shared" si="10"/>
        <v>5301</v>
      </c>
      <c r="AG92" s="5">
        <f t="shared" si="11"/>
        <v>5060</v>
      </c>
      <c r="AH92" s="5">
        <f>AG92*$AF$1</f>
        <v>50600</v>
      </c>
      <c r="AI92" s="5">
        <f>SUM($AF$9:AF91)</f>
        <v>81060</v>
      </c>
      <c r="AK92" s="5">
        <f t="shared" si="12"/>
        <v>84</v>
      </c>
      <c r="AL92" s="5">
        <f t="shared" si="13"/>
        <v>12</v>
      </c>
      <c r="AM92" s="5">
        <f t="shared" si="14"/>
        <v>4357</v>
      </c>
      <c r="AN92" s="5">
        <f>$AL$4*$AL$3^AL92*$AL$2</f>
        <v>622.38456881449861</v>
      </c>
      <c r="AO92" s="5">
        <f>IF(AL92=AL93,1,LOOKUP(MOD(AL92,$AL$1),$AN$1:$AN$5,$AO$1:$AO$5))</f>
        <v>7</v>
      </c>
      <c r="AP92" s="5">
        <f t="shared" si="15"/>
        <v>738</v>
      </c>
      <c r="AQ92" s="5">
        <f>AM92*$AR$3</f>
        <v>580.93333333333328</v>
      </c>
      <c r="AR92" s="5">
        <f>AM92*AL92*$AR$4</f>
        <v>156.852</v>
      </c>
      <c r="AS92" s="5">
        <f>SUM($AP$9:AP91)</f>
        <v>2727</v>
      </c>
    </row>
    <row r="93" spans="1:45" x14ac:dyDescent="0.15">
      <c r="A93" s="5">
        <v>85</v>
      </c>
      <c r="D93" s="5">
        <v>85</v>
      </c>
      <c r="E93" s="5">
        <v>20</v>
      </c>
      <c r="F93" s="5">
        <v>2.0226415094339623</v>
      </c>
      <c r="G93" s="5">
        <v>170.16101569789819</v>
      </c>
      <c r="J93" s="5">
        <f t="shared" si="8"/>
        <v>85</v>
      </c>
      <c r="K93" s="5">
        <f>SUM($AP$9:AP92)</f>
        <v>3465</v>
      </c>
      <c r="L93" s="5">
        <f>LOOKUP(K93,AI:AI,AE:AE)</f>
        <v>39</v>
      </c>
      <c r="M93" s="5">
        <f>LOOKUP(L93,AE:AE,AG:AG)</f>
        <v>261</v>
      </c>
      <c r="N93" s="5">
        <f>AM93/M93/$K$1</f>
        <v>2.495530012771392</v>
      </c>
      <c r="O93" s="5">
        <f>SUM($N$9:N93)</f>
        <v>247.50258430751799</v>
      </c>
      <c r="AE93" s="5">
        <f t="shared" si="9"/>
        <v>85</v>
      </c>
      <c r="AF93" s="5">
        <f t="shared" si="10"/>
        <v>5630</v>
      </c>
      <c r="AG93" s="5">
        <f t="shared" si="11"/>
        <v>5377</v>
      </c>
      <c r="AH93" s="5">
        <f>AG93*$AF$1</f>
        <v>53770</v>
      </c>
      <c r="AI93" s="5">
        <f>SUM($AF$9:AF92)</f>
        <v>86361</v>
      </c>
      <c r="AK93" s="5">
        <f t="shared" si="12"/>
        <v>85</v>
      </c>
      <c r="AL93" s="5">
        <f t="shared" si="13"/>
        <v>13</v>
      </c>
      <c r="AM93" s="5">
        <f t="shared" si="14"/>
        <v>977</v>
      </c>
      <c r="AN93" s="5">
        <f>$AL$4*$AL$3^AL93*$AL$2</f>
        <v>977.14377303876279</v>
      </c>
      <c r="AO93" s="5">
        <f>IF(AL93=AL94,1,LOOKUP(MOD(AL93,$AL$1),$AN$1:$AN$5,$AO$1:$AO$5))</f>
        <v>1</v>
      </c>
      <c r="AP93" s="5">
        <f t="shared" si="15"/>
        <v>168</v>
      </c>
      <c r="AQ93" s="5">
        <f>AM93*$AR$3</f>
        <v>130.26666666666665</v>
      </c>
      <c r="AR93" s="5">
        <f>AM93*AL93*$AR$4</f>
        <v>38.103000000000002</v>
      </c>
      <c r="AS93" s="5">
        <f>SUM($AP$9:AP92)</f>
        <v>3465</v>
      </c>
    </row>
    <row r="94" spans="1:45" x14ac:dyDescent="0.15">
      <c r="A94" s="5">
        <v>86</v>
      </c>
      <c r="D94" s="5">
        <v>86</v>
      </c>
      <c r="E94" s="5">
        <v>20</v>
      </c>
      <c r="F94" s="5">
        <v>2.0226415094339623</v>
      </c>
      <c r="G94" s="5">
        <v>172.18365720733215</v>
      </c>
      <c r="J94" s="5">
        <f t="shared" si="8"/>
        <v>86</v>
      </c>
      <c r="K94" s="5">
        <f>SUM($AP$9:AP93)</f>
        <v>3633</v>
      </c>
      <c r="L94" s="5">
        <f>LOOKUP(K94,AI:AI,AE:AE)</f>
        <v>40</v>
      </c>
      <c r="M94" s="5">
        <f>LOOKUP(L94,AE:AE,AG:AG)</f>
        <v>282</v>
      </c>
      <c r="N94" s="5">
        <f>AM94/M94/$K$1</f>
        <v>2.3096926713947989</v>
      </c>
      <c r="O94" s="5">
        <f>SUM($N$9:N94)</f>
        <v>249.81227697891279</v>
      </c>
      <c r="AE94" s="5">
        <f t="shared" si="9"/>
        <v>86</v>
      </c>
      <c r="AF94" s="5">
        <f t="shared" si="10"/>
        <v>5978</v>
      </c>
      <c r="AG94" s="5">
        <f t="shared" si="11"/>
        <v>5712</v>
      </c>
      <c r="AH94" s="5">
        <f>AG94*$AF$1</f>
        <v>57120</v>
      </c>
      <c r="AI94" s="5">
        <f>SUM($AF$9:AF93)</f>
        <v>91991</v>
      </c>
      <c r="AK94" s="5">
        <f t="shared" si="12"/>
        <v>86</v>
      </c>
      <c r="AL94" s="5">
        <f t="shared" si="13"/>
        <v>13</v>
      </c>
      <c r="AM94" s="5">
        <f t="shared" si="14"/>
        <v>977</v>
      </c>
      <c r="AN94" s="5">
        <f>$AL$4*$AL$3^AL94*$AL$2</f>
        <v>977.14377303876279</v>
      </c>
      <c r="AO94" s="5">
        <f>IF(AL94=AL95,1,LOOKUP(MOD(AL94,$AL$1),$AN$1:$AN$5,$AO$1:$AO$5))</f>
        <v>1</v>
      </c>
      <c r="AP94" s="5">
        <f t="shared" si="15"/>
        <v>168</v>
      </c>
      <c r="AQ94" s="5">
        <f>AM94*$AR$3</f>
        <v>130.26666666666665</v>
      </c>
      <c r="AR94" s="5">
        <f>AM94*AL94*$AR$4</f>
        <v>38.103000000000002</v>
      </c>
      <c r="AS94" s="5">
        <f>SUM($AP$9:AP93)</f>
        <v>3633</v>
      </c>
    </row>
    <row r="95" spans="1:45" x14ac:dyDescent="0.15">
      <c r="A95" s="5">
        <v>87</v>
      </c>
      <c r="D95" s="5">
        <v>87</v>
      </c>
      <c r="E95" s="5">
        <v>21</v>
      </c>
      <c r="F95" s="5">
        <v>1.8169491525423731</v>
      </c>
      <c r="G95" s="5">
        <v>174.00060635987452</v>
      </c>
      <c r="J95" s="5">
        <f t="shared" si="8"/>
        <v>87</v>
      </c>
      <c r="K95" s="5">
        <f>SUM($AP$9:AP94)</f>
        <v>3801</v>
      </c>
      <c r="L95" s="5">
        <f>LOOKUP(K95,AI:AI,AE:AE)</f>
        <v>40</v>
      </c>
      <c r="M95" s="5">
        <f>LOOKUP(L95,AE:AE,AG:AG)</f>
        <v>282</v>
      </c>
      <c r="N95" s="5">
        <f>AM95/M95/$K$1</f>
        <v>2.3096926713947989</v>
      </c>
      <c r="O95" s="5">
        <f>SUM($N$9:N95)</f>
        <v>252.12196965030759</v>
      </c>
      <c r="AE95" s="5">
        <f t="shared" si="9"/>
        <v>87</v>
      </c>
      <c r="AF95" s="5">
        <f t="shared" si="10"/>
        <v>6346</v>
      </c>
      <c r="AG95" s="5">
        <f t="shared" si="11"/>
        <v>6067</v>
      </c>
      <c r="AH95" s="5">
        <f>AG95*$AF$1</f>
        <v>60670</v>
      </c>
      <c r="AI95" s="5">
        <f>SUM($AF$9:AF94)</f>
        <v>97969</v>
      </c>
      <c r="AK95" s="5">
        <f t="shared" si="12"/>
        <v>87</v>
      </c>
      <c r="AL95" s="5">
        <f t="shared" si="13"/>
        <v>13</v>
      </c>
      <c r="AM95" s="5">
        <f t="shared" si="14"/>
        <v>977</v>
      </c>
      <c r="AN95" s="5">
        <f>$AL$4*$AL$3^AL95*$AL$2</f>
        <v>977.14377303876279</v>
      </c>
      <c r="AO95" s="5">
        <f>IF(AL95=AL96,1,LOOKUP(MOD(AL95,$AL$1),$AN$1:$AN$5,$AO$1:$AO$5))</f>
        <v>1</v>
      </c>
      <c r="AP95" s="5">
        <f t="shared" si="15"/>
        <v>168</v>
      </c>
      <c r="AQ95" s="5">
        <f>AM95*$AR$3</f>
        <v>130.26666666666665</v>
      </c>
      <c r="AR95" s="5">
        <f>AM95*AL95*$AR$4</f>
        <v>38.103000000000002</v>
      </c>
      <c r="AS95" s="5">
        <f>SUM($AP$9:AP94)</f>
        <v>3801</v>
      </c>
    </row>
    <row r="96" spans="1:45" x14ac:dyDescent="0.15">
      <c r="A96" s="5">
        <v>88</v>
      </c>
      <c r="D96" s="5">
        <v>88</v>
      </c>
      <c r="E96" s="5">
        <v>21</v>
      </c>
      <c r="F96" s="5">
        <v>1.8169491525423731</v>
      </c>
      <c r="G96" s="5">
        <v>175.8175555124169</v>
      </c>
      <c r="J96" s="5">
        <f t="shared" si="8"/>
        <v>88</v>
      </c>
      <c r="K96" s="5">
        <f>SUM($AP$9:AP95)</f>
        <v>3969</v>
      </c>
      <c r="L96" s="5">
        <f>LOOKUP(K96,AI:AI,AE:AE)</f>
        <v>41</v>
      </c>
      <c r="M96" s="5">
        <f>LOOKUP(L96,AE:AE,AG:AG)</f>
        <v>303</v>
      </c>
      <c r="N96" s="5">
        <f>AM96/M96/$K$1</f>
        <v>2.1496149614961495</v>
      </c>
      <c r="O96" s="5">
        <f>SUM($N$9:N96)</f>
        <v>254.27158461180375</v>
      </c>
      <c r="AE96" s="5">
        <f t="shared" si="9"/>
        <v>88</v>
      </c>
      <c r="AF96" s="5">
        <f t="shared" si="10"/>
        <v>6737</v>
      </c>
      <c r="AG96" s="5">
        <f t="shared" si="11"/>
        <v>6444</v>
      </c>
      <c r="AH96" s="5">
        <f>AG96*$AF$1</f>
        <v>64440</v>
      </c>
      <c r="AI96" s="5">
        <f>SUM($AF$9:AF95)</f>
        <v>104315</v>
      </c>
      <c r="AK96" s="5">
        <f t="shared" si="12"/>
        <v>88</v>
      </c>
      <c r="AL96" s="5">
        <f t="shared" si="13"/>
        <v>13</v>
      </c>
      <c r="AM96" s="5">
        <f t="shared" si="14"/>
        <v>977</v>
      </c>
      <c r="AN96" s="5">
        <f>$AL$4*$AL$3^AL96*$AL$2</f>
        <v>977.14377303876279</v>
      </c>
      <c r="AO96" s="5">
        <f>IF(AL96=AL97,1,LOOKUP(MOD(AL96,$AL$1),$AN$1:$AN$5,$AO$1:$AO$5))</f>
        <v>1</v>
      </c>
      <c r="AP96" s="5">
        <f t="shared" si="15"/>
        <v>168</v>
      </c>
      <c r="AQ96" s="5">
        <f>AM96*$AR$3</f>
        <v>130.26666666666665</v>
      </c>
      <c r="AR96" s="5">
        <f>AM96*AL96*$AR$4</f>
        <v>38.103000000000002</v>
      </c>
      <c r="AS96" s="5">
        <f>SUM($AP$9:AP95)</f>
        <v>3969</v>
      </c>
    </row>
    <row r="97" spans="1:45" x14ac:dyDescent="0.15">
      <c r="A97" s="5">
        <v>89</v>
      </c>
      <c r="D97" s="5">
        <v>89</v>
      </c>
      <c r="E97" s="5">
        <v>21</v>
      </c>
      <c r="F97" s="5">
        <v>1.8169491525423731</v>
      </c>
      <c r="G97" s="5">
        <v>177.63450466495928</v>
      </c>
      <c r="J97" s="5">
        <f t="shared" si="8"/>
        <v>89</v>
      </c>
      <c r="K97" s="5">
        <f>SUM($AP$9:AP96)</f>
        <v>4137</v>
      </c>
      <c r="L97" s="5">
        <f>LOOKUP(K97,AI:AI,AE:AE)</f>
        <v>41</v>
      </c>
      <c r="M97" s="5">
        <f>LOOKUP(L97,AE:AE,AG:AG)</f>
        <v>303</v>
      </c>
      <c r="N97" s="5">
        <f>AM97/M97/$K$1</f>
        <v>2.1496149614961495</v>
      </c>
      <c r="O97" s="5">
        <f>SUM($N$9:N97)</f>
        <v>256.42119957329987</v>
      </c>
      <c r="AE97" s="5">
        <f t="shared" si="9"/>
        <v>89</v>
      </c>
      <c r="AF97" s="5">
        <f t="shared" si="10"/>
        <v>7150</v>
      </c>
      <c r="AG97" s="5">
        <f t="shared" si="11"/>
        <v>6843</v>
      </c>
      <c r="AH97" s="5">
        <f>AG97*$AF$1</f>
        <v>68430</v>
      </c>
      <c r="AI97" s="5">
        <f>SUM($AF$9:AF96)</f>
        <v>111052</v>
      </c>
      <c r="AK97" s="5">
        <f t="shared" si="12"/>
        <v>89</v>
      </c>
      <c r="AL97" s="5">
        <f t="shared" si="13"/>
        <v>13</v>
      </c>
      <c r="AM97" s="5">
        <f t="shared" si="14"/>
        <v>977</v>
      </c>
      <c r="AN97" s="5">
        <f>$AL$4*$AL$3^AL97*$AL$2</f>
        <v>977.14377303876279</v>
      </c>
      <c r="AO97" s="5">
        <f>IF(AL97=AL98,1,LOOKUP(MOD(AL97,$AL$1),$AN$1:$AN$5,$AO$1:$AO$5))</f>
        <v>1</v>
      </c>
      <c r="AP97" s="5">
        <f t="shared" si="15"/>
        <v>168</v>
      </c>
      <c r="AQ97" s="5">
        <f>AM97*$AR$3</f>
        <v>130.26666666666665</v>
      </c>
      <c r="AR97" s="5">
        <f>AM97*AL97*$AR$4</f>
        <v>38.103000000000002</v>
      </c>
      <c r="AS97" s="5">
        <f>SUM($AP$9:AP96)</f>
        <v>4137</v>
      </c>
    </row>
    <row r="98" spans="1:45" x14ac:dyDescent="0.15">
      <c r="A98" s="5">
        <v>90</v>
      </c>
      <c r="D98" s="5">
        <v>90</v>
      </c>
      <c r="E98" s="5">
        <v>21</v>
      </c>
      <c r="F98" s="5">
        <v>12.720338983050848</v>
      </c>
      <c r="G98" s="5">
        <v>190.35484364801013</v>
      </c>
      <c r="J98" s="5">
        <f t="shared" si="8"/>
        <v>90</v>
      </c>
      <c r="K98" s="5">
        <f>SUM($AP$9:AP97)</f>
        <v>4305</v>
      </c>
      <c r="L98" s="5">
        <f>LOOKUP(K98,AI:AI,AE:AE)</f>
        <v>42</v>
      </c>
      <c r="M98" s="5">
        <f>LOOKUP(L98,AE:AE,AG:AG)</f>
        <v>326</v>
      </c>
      <c r="N98" s="5">
        <f>AM98/M98/$K$1</f>
        <v>1.9979550102249488</v>
      </c>
      <c r="O98" s="5">
        <f>SUM($N$9:N98)</f>
        <v>258.4191545835248</v>
      </c>
      <c r="AE98" s="5">
        <f t="shared" si="9"/>
        <v>90</v>
      </c>
      <c r="AF98" s="5">
        <f t="shared" si="10"/>
        <v>7589</v>
      </c>
      <c r="AG98" s="5">
        <f t="shared" si="11"/>
        <v>7266</v>
      </c>
      <c r="AH98" s="5">
        <f>AG98*$AF$1</f>
        <v>72660</v>
      </c>
      <c r="AI98" s="5">
        <f>SUM($AF$9:AF97)</f>
        <v>118202</v>
      </c>
      <c r="AK98" s="5">
        <f t="shared" si="12"/>
        <v>90</v>
      </c>
      <c r="AL98" s="5">
        <f t="shared" si="13"/>
        <v>13</v>
      </c>
      <c r="AM98" s="5">
        <f t="shared" si="14"/>
        <v>977</v>
      </c>
      <c r="AN98" s="5">
        <f>$AL$4*$AL$3^AL98*$AL$2</f>
        <v>977.14377303876279</v>
      </c>
      <c r="AO98" s="5">
        <f>IF(AL98=AL99,1,LOOKUP(MOD(AL98,$AL$1),$AN$1:$AN$5,$AO$1:$AO$5))</f>
        <v>1</v>
      </c>
      <c r="AP98" s="5">
        <f t="shared" si="15"/>
        <v>168</v>
      </c>
      <c r="AQ98" s="5">
        <f>AM98*$AR$3</f>
        <v>130.26666666666665</v>
      </c>
      <c r="AR98" s="5">
        <f>AM98*AL98*$AR$4</f>
        <v>38.103000000000002</v>
      </c>
      <c r="AS98" s="5">
        <f>SUM($AP$9:AP97)</f>
        <v>4305</v>
      </c>
    </row>
    <row r="99" spans="1:45" x14ac:dyDescent="0.15">
      <c r="A99" s="5">
        <v>91</v>
      </c>
      <c r="D99" s="5">
        <v>91</v>
      </c>
      <c r="E99" s="5">
        <v>23</v>
      </c>
      <c r="F99" s="5">
        <v>2.3704225352112678</v>
      </c>
      <c r="G99" s="5">
        <v>192.72526618322141</v>
      </c>
      <c r="J99" s="5">
        <f t="shared" si="8"/>
        <v>91</v>
      </c>
      <c r="K99" s="5">
        <f>SUM($AP$9:AP98)</f>
        <v>4473</v>
      </c>
      <c r="L99" s="5">
        <f>LOOKUP(K99,AI:AI,AE:AE)</f>
        <v>42</v>
      </c>
      <c r="M99" s="5">
        <f>LOOKUP(L99,AE:AE,AG:AG)</f>
        <v>326</v>
      </c>
      <c r="N99" s="5">
        <f>AM99/M99/$K$1</f>
        <v>13.987730061349694</v>
      </c>
      <c r="O99" s="5">
        <f>SUM($N$9:N99)</f>
        <v>272.40688464487448</v>
      </c>
      <c r="AE99" s="5">
        <f t="shared" si="9"/>
        <v>91</v>
      </c>
      <c r="AF99" s="5">
        <f t="shared" si="10"/>
        <v>8053</v>
      </c>
      <c r="AG99" s="5">
        <f t="shared" si="11"/>
        <v>7714</v>
      </c>
      <c r="AH99" s="5">
        <f>AG99*$AF$1</f>
        <v>77140</v>
      </c>
      <c r="AI99" s="5">
        <f>SUM($AF$9:AF98)</f>
        <v>125791</v>
      </c>
      <c r="AK99" s="5">
        <f t="shared" si="12"/>
        <v>91</v>
      </c>
      <c r="AL99" s="5">
        <f t="shared" si="13"/>
        <v>13</v>
      </c>
      <c r="AM99" s="5">
        <f t="shared" si="14"/>
        <v>6840</v>
      </c>
      <c r="AN99" s="5">
        <f>$AL$4*$AL$3^AL99*$AL$2</f>
        <v>977.14377303876279</v>
      </c>
      <c r="AO99" s="5">
        <f>IF(AL99=AL100,1,LOOKUP(MOD(AL99,$AL$1),$AN$1:$AN$5,$AO$1:$AO$5))</f>
        <v>7</v>
      </c>
      <c r="AP99" s="5">
        <f t="shared" si="15"/>
        <v>1179</v>
      </c>
      <c r="AQ99" s="5">
        <f>AM99*$AR$3</f>
        <v>912</v>
      </c>
      <c r="AR99" s="5">
        <f>AM99*AL99*$AR$4</f>
        <v>266.76</v>
      </c>
      <c r="AS99" s="5">
        <f>SUM($AP$9:AP98)</f>
        <v>4473</v>
      </c>
    </row>
    <row r="100" spans="1:45" x14ac:dyDescent="0.15">
      <c r="A100" s="5">
        <v>92</v>
      </c>
      <c r="D100" s="5">
        <v>92</v>
      </c>
      <c r="E100" s="5">
        <v>23</v>
      </c>
      <c r="F100" s="5">
        <v>2.3704225352112678</v>
      </c>
      <c r="G100" s="5">
        <v>195.09568871843268</v>
      </c>
      <c r="J100" s="5">
        <f t="shared" si="8"/>
        <v>92</v>
      </c>
      <c r="K100" s="5">
        <f>SUM($AP$9:AP99)</f>
        <v>5652</v>
      </c>
      <c r="L100" s="5">
        <f>LOOKUP(K100,AI:AI,AE:AE)</f>
        <v>45</v>
      </c>
      <c r="M100" s="5">
        <f>LOOKUP(L100,AE:AE,AG:AG)</f>
        <v>404</v>
      </c>
      <c r="N100" s="5">
        <f>AM100/M100/$K$1</f>
        <v>2.5313531353135312</v>
      </c>
      <c r="O100" s="5">
        <f>SUM($N$9:N100)</f>
        <v>274.93823778018799</v>
      </c>
      <c r="AE100" s="5">
        <f t="shared" si="9"/>
        <v>92</v>
      </c>
      <c r="AF100" s="5">
        <f t="shared" si="10"/>
        <v>8545</v>
      </c>
      <c r="AG100" s="5">
        <f t="shared" si="11"/>
        <v>8188</v>
      </c>
      <c r="AH100" s="5">
        <f>AG100*$AF$1</f>
        <v>81880</v>
      </c>
      <c r="AI100" s="5">
        <f>SUM($AF$9:AF99)</f>
        <v>133844</v>
      </c>
      <c r="AK100" s="5">
        <f t="shared" si="12"/>
        <v>92</v>
      </c>
      <c r="AL100" s="5">
        <f t="shared" si="13"/>
        <v>14</v>
      </c>
      <c r="AM100" s="5">
        <f t="shared" si="14"/>
        <v>1534</v>
      </c>
      <c r="AN100" s="5">
        <f>$AL$4*$AL$3^AL100*$AL$2</f>
        <v>1534.1157236708577</v>
      </c>
      <c r="AO100" s="5">
        <f>IF(AL100=AL101,1,LOOKUP(MOD(AL100,$AL$1),$AN$1:$AN$5,$AO$1:$AO$5))</f>
        <v>1</v>
      </c>
      <c r="AP100" s="5">
        <f t="shared" si="15"/>
        <v>269</v>
      </c>
      <c r="AQ100" s="5">
        <f>AM100*$AR$3</f>
        <v>204.53333333333333</v>
      </c>
      <c r="AR100" s="5">
        <f>AM100*AL100*$AR$4</f>
        <v>64.427999999999997</v>
      </c>
      <c r="AS100" s="5">
        <f>SUM($AP$9:AP99)</f>
        <v>5652</v>
      </c>
    </row>
    <row r="101" spans="1:45" x14ac:dyDescent="0.15">
      <c r="A101" s="5">
        <v>93</v>
      </c>
      <c r="D101" s="5">
        <v>93</v>
      </c>
      <c r="E101" s="5">
        <v>24</v>
      </c>
      <c r="F101" s="5">
        <v>2.1857142857142859</v>
      </c>
      <c r="G101" s="5">
        <v>197.28140300414697</v>
      </c>
      <c r="J101" s="5">
        <f t="shared" si="8"/>
        <v>93</v>
      </c>
      <c r="K101" s="5">
        <f>SUM($AP$9:AP100)</f>
        <v>5921</v>
      </c>
      <c r="L101" s="5">
        <f>LOOKUP(K101,AI:AI,AE:AE)</f>
        <v>46</v>
      </c>
      <c r="M101" s="5">
        <f>LOOKUP(L101,AE:AE,AG:AG)</f>
        <v>434</v>
      </c>
      <c r="N101" s="5">
        <f>AM101/M101/$K$1</f>
        <v>2.3563748079877112</v>
      </c>
      <c r="O101" s="5">
        <f>SUM($N$9:N101)</f>
        <v>277.29461258817571</v>
      </c>
      <c r="AE101" s="5">
        <f t="shared" si="9"/>
        <v>93</v>
      </c>
      <c r="AF101" s="5">
        <f t="shared" si="10"/>
        <v>9065</v>
      </c>
      <c r="AG101" s="5">
        <f t="shared" si="11"/>
        <v>8691</v>
      </c>
      <c r="AH101" s="5">
        <f>AG101*$AF$1</f>
        <v>86910</v>
      </c>
      <c r="AI101" s="5">
        <f>SUM($AF$9:AF100)</f>
        <v>142389</v>
      </c>
      <c r="AK101" s="5">
        <f t="shared" si="12"/>
        <v>93</v>
      </c>
      <c r="AL101" s="5">
        <f t="shared" si="13"/>
        <v>14</v>
      </c>
      <c r="AM101" s="5">
        <f t="shared" si="14"/>
        <v>1534</v>
      </c>
      <c r="AN101" s="5">
        <f>$AL$4*$AL$3^AL101*$AL$2</f>
        <v>1534.1157236708577</v>
      </c>
      <c r="AO101" s="5">
        <f>IF(AL101=AL102,1,LOOKUP(MOD(AL101,$AL$1),$AN$1:$AN$5,$AO$1:$AO$5))</f>
        <v>1</v>
      </c>
      <c r="AP101" s="5">
        <f t="shared" si="15"/>
        <v>269</v>
      </c>
      <c r="AQ101" s="5">
        <f>AM101*$AR$3</f>
        <v>204.53333333333333</v>
      </c>
      <c r="AR101" s="5">
        <f>AM101*AL101*$AR$4</f>
        <v>64.427999999999997</v>
      </c>
      <c r="AS101" s="5">
        <f>SUM($AP$9:AP100)</f>
        <v>5921</v>
      </c>
    </row>
    <row r="102" spans="1:45" x14ac:dyDescent="0.15">
      <c r="A102" s="5">
        <v>94</v>
      </c>
      <c r="D102" s="5">
        <v>94</v>
      </c>
      <c r="E102" s="5">
        <v>24</v>
      </c>
      <c r="F102" s="5">
        <v>2.1857142857142859</v>
      </c>
      <c r="G102" s="5">
        <v>199.46711728986125</v>
      </c>
      <c r="J102" s="5">
        <f t="shared" si="8"/>
        <v>94</v>
      </c>
      <c r="K102" s="5">
        <f>SUM($AP$9:AP101)</f>
        <v>6190</v>
      </c>
      <c r="L102" s="5">
        <f>LOOKUP(K102,AI:AI,AE:AE)</f>
        <v>46</v>
      </c>
      <c r="M102" s="5">
        <f>LOOKUP(L102,AE:AE,AG:AG)</f>
        <v>434</v>
      </c>
      <c r="N102" s="5">
        <f>AM102/M102/$K$1</f>
        <v>2.3563748079877112</v>
      </c>
      <c r="O102" s="5">
        <f>SUM($N$9:N102)</f>
        <v>279.65098739616343</v>
      </c>
      <c r="AE102" s="5">
        <f t="shared" si="9"/>
        <v>94</v>
      </c>
      <c r="AF102" s="5">
        <f t="shared" si="10"/>
        <v>9617</v>
      </c>
      <c r="AG102" s="5">
        <f t="shared" si="11"/>
        <v>9224</v>
      </c>
      <c r="AH102" s="5">
        <f>AG102*$AF$1</f>
        <v>92240</v>
      </c>
      <c r="AI102" s="5">
        <f>SUM($AF$9:AF101)</f>
        <v>151454</v>
      </c>
      <c r="AK102" s="5">
        <f t="shared" si="12"/>
        <v>94</v>
      </c>
      <c r="AL102" s="5">
        <f t="shared" si="13"/>
        <v>14</v>
      </c>
      <c r="AM102" s="5">
        <f t="shared" si="14"/>
        <v>1534</v>
      </c>
      <c r="AN102" s="5">
        <f>$AL$4*$AL$3^AL102*$AL$2</f>
        <v>1534.1157236708577</v>
      </c>
      <c r="AO102" s="5">
        <f>IF(AL102=AL103,1,LOOKUP(MOD(AL102,$AL$1),$AN$1:$AN$5,$AO$1:$AO$5))</f>
        <v>1</v>
      </c>
      <c r="AP102" s="5">
        <f t="shared" si="15"/>
        <v>269</v>
      </c>
      <c r="AQ102" s="5">
        <f>AM102*$AR$3</f>
        <v>204.53333333333333</v>
      </c>
      <c r="AR102" s="5">
        <f>AM102*AL102*$AR$4</f>
        <v>64.427999999999997</v>
      </c>
      <c r="AS102" s="5">
        <f>SUM($AP$9:AP101)</f>
        <v>6190</v>
      </c>
    </row>
    <row r="103" spans="1:45" x14ac:dyDescent="0.15">
      <c r="A103" s="5">
        <v>95</v>
      </c>
      <c r="D103" s="5">
        <v>95</v>
      </c>
      <c r="E103" s="5">
        <v>24</v>
      </c>
      <c r="F103" s="5">
        <v>2.1857142857142859</v>
      </c>
      <c r="G103" s="5">
        <v>201.65283157557553</v>
      </c>
      <c r="J103" s="5">
        <f t="shared" si="8"/>
        <v>95</v>
      </c>
      <c r="K103" s="5">
        <f>SUM($AP$9:AP102)</f>
        <v>6459</v>
      </c>
      <c r="L103" s="5">
        <f>LOOKUP(K103,AI:AI,AE:AE)</f>
        <v>47</v>
      </c>
      <c r="M103" s="5">
        <f>LOOKUP(L103,AE:AE,AG:AG)</f>
        <v>466</v>
      </c>
      <c r="N103" s="5">
        <f>AM103/M103/$K$1</f>
        <v>2.1945636623748213</v>
      </c>
      <c r="O103" s="5">
        <f>SUM($N$9:N103)</f>
        <v>281.84555105853826</v>
      </c>
      <c r="AE103" s="5">
        <f t="shared" si="9"/>
        <v>95</v>
      </c>
      <c r="AF103" s="5">
        <f t="shared" si="10"/>
        <v>10200</v>
      </c>
      <c r="AG103" s="5">
        <f t="shared" si="11"/>
        <v>9788</v>
      </c>
      <c r="AH103" s="5">
        <f>AG103*$AF$1</f>
        <v>97880</v>
      </c>
      <c r="AI103" s="5">
        <f>SUM($AF$9:AF102)</f>
        <v>161071</v>
      </c>
      <c r="AK103" s="5">
        <f t="shared" si="12"/>
        <v>95</v>
      </c>
      <c r="AL103" s="5">
        <f t="shared" si="13"/>
        <v>14</v>
      </c>
      <c r="AM103" s="5">
        <f t="shared" si="14"/>
        <v>1534</v>
      </c>
      <c r="AN103" s="5">
        <f>$AL$4*$AL$3^AL103*$AL$2</f>
        <v>1534.1157236708577</v>
      </c>
      <c r="AO103" s="5">
        <f>IF(AL103=AL104,1,LOOKUP(MOD(AL103,$AL$1),$AN$1:$AN$5,$AO$1:$AO$5))</f>
        <v>1</v>
      </c>
      <c r="AP103" s="5">
        <f t="shared" si="15"/>
        <v>269</v>
      </c>
      <c r="AQ103" s="5">
        <f>AM103*$AR$3</f>
        <v>204.53333333333333</v>
      </c>
      <c r="AR103" s="5">
        <f>AM103*AL103*$AR$4</f>
        <v>64.427999999999997</v>
      </c>
      <c r="AS103" s="5">
        <f>SUM($AP$9:AP102)</f>
        <v>6459</v>
      </c>
    </row>
    <row r="104" spans="1:45" x14ac:dyDescent="0.15">
      <c r="A104" s="5">
        <v>96</v>
      </c>
      <c r="D104" s="5">
        <v>96</v>
      </c>
      <c r="E104" s="5">
        <v>24</v>
      </c>
      <c r="F104" s="5">
        <v>2.1857142857142859</v>
      </c>
      <c r="G104" s="5">
        <v>203.83854586128982</v>
      </c>
      <c r="J104" s="5">
        <f t="shared" si="8"/>
        <v>96</v>
      </c>
      <c r="K104" s="5">
        <f>SUM($AP$9:AP103)</f>
        <v>6728</v>
      </c>
      <c r="L104" s="5">
        <f>LOOKUP(K104,AI:AI,AE:AE)</f>
        <v>47</v>
      </c>
      <c r="M104" s="5">
        <f>LOOKUP(L104,AE:AE,AG:AG)</f>
        <v>466</v>
      </c>
      <c r="N104" s="5">
        <f>AM104/M104/$K$1</f>
        <v>2.1945636623748213</v>
      </c>
      <c r="O104" s="5">
        <f>SUM($N$9:N104)</f>
        <v>284.0401147209131</v>
      </c>
      <c r="AE104" s="5">
        <f t="shared" si="9"/>
        <v>96</v>
      </c>
      <c r="AF104" s="5">
        <f t="shared" si="10"/>
        <v>10819</v>
      </c>
      <c r="AG104" s="5">
        <f t="shared" si="11"/>
        <v>10386</v>
      </c>
      <c r="AH104" s="5">
        <f>AG104*$AF$1</f>
        <v>103860</v>
      </c>
      <c r="AI104" s="5">
        <f>SUM($AF$9:AF103)</f>
        <v>171271</v>
      </c>
      <c r="AK104" s="5">
        <f t="shared" si="12"/>
        <v>96</v>
      </c>
      <c r="AL104" s="5">
        <f t="shared" si="13"/>
        <v>14</v>
      </c>
      <c r="AM104" s="5">
        <f t="shared" si="14"/>
        <v>1534</v>
      </c>
      <c r="AN104" s="5">
        <f>$AL$4*$AL$3^AL104*$AL$2</f>
        <v>1534.1157236708577</v>
      </c>
      <c r="AO104" s="5">
        <f>IF(AL104=AL105,1,LOOKUP(MOD(AL104,$AL$1),$AN$1:$AN$5,$AO$1:$AO$5))</f>
        <v>1</v>
      </c>
      <c r="AP104" s="5">
        <f t="shared" si="15"/>
        <v>269</v>
      </c>
      <c r="AQ104" s="5">
        <f>AM104*$AR$3</f>
        <v>204.53333333333333</v>
      </c>
      <c r="AR104" s="5">
        <f>AM104*AL104*$AR$4</f>
        <v>64.427999999999997</v>
      </c>
      <c r="AS104" s="5">
        <f>SUM($AP$9:AP103)</f>
        <v>6728</v>
      </c>
    </row>
    <row r="105" spans="1:45" x14ac:dyDescent="0.15">
      <c r="A105" s="5">
        <v>97</v>
      </c>
      <c r="D105" s="5">
        <v>97</v>
      </c>
      <c r="E105" s="5">
        <v>25</v>
      </c>
      <c r="F105" s="5">
        <v>1.98</v>
      </c>
      <c r="G105" s="5">
        <v>205.81854586128981</v>
      </c>
      <c r="J105" s="5">
        <f t="shared" si="8"/>
        <v>97</v>
      </c>
      <c r="K105" s="5">
        <f>SUM($AP$9:AP104)</f>
        <v>6997</v>
      </c>
      <c r="L105" s="5">
        <f>LOOKUP(K105,AI:AI,AE:AE)</f>
        <v>48</v>
      </c>
      <c r="M105" s="5">
        <f>LOOKUP(L105,AE:AE,AG:AG)</f>
        <v>499</v>
      </c>
      <c r="N105" s="5">
        <f>AM105/M105/$K$1</f>
        <v>2.049432197728791</v>
      </c>
      <c r="O105" s="5">
        <f>SUM($N$9:N105)</f>
        <v>286.08954691864187</v>
      </c>
      <c r="AE105" s="5">
        <f t="shared" si="9"/>
        <v>97</v>
      </c>
      <c r="AF105" s="5">
        <f t="shared" si="10"/>
        <v>11473</v>
      </c>
      <c r="AG105" s="5">
        <f t="shared" si="11"/>
        <v>11019</v>
      </c>
      <c r="AH105" s="5">
        <f>AG105*$AF$1</f>
        <v>110190</v>
      </c>
      <c r="AI105" s="5">
        <f>SUM($AF$9:AF104)</f>
        <v>182090</v>
      </c>
      <c r="AK105" s="5">
        <f t="shared" si="12"/>
        <v>97</v>
      </c>
      <c r="AL105" s="5">
        <f t="shared" si="13"/>
        <v>14</v>
      </c>
      <c r="AM105" s="5">
        <f t="shared" si="14"/>
        <v>1534</v>
      </c>
      <c r="AN105" s="5">
        <f>$AL$4*$AL$3^AL105*$AL$2</f>
        <v>1534.1157236708577</v>
      </c>
      <c r="AO105" s="5">
        <f>IF(AL105=AL106,1,LOOKUP(MOD(AL105,$AL$1),$AN$1:$AN$5,$AO$1:$AO$5))</f>
        <v>1</v>
      </c>
      <c r="AP105" s="5">
        <f t="shared" si="15"/>
        <v>269</v>
      </c>
      <c r="AQ105" s="5">
        <f>AM105*$AR$3</f>
        <v>204.53333333333333</v>
      </c>
      <c r="AR105" s="5">
        <f>AM105*AL105*$AR$4</f>
        <v>64.427999999999997</v>
      </c>
      <c r="AS105" s="5">
        <f>SUM($AP$9:AP104)</f>
        <v>6997</v>
      </c>
    </row>
    <row r="106" spans="1:45" x14ac:dyDescent="0.15">
      <c r="A106" s="5">
        <v>98</v>
      </c>
      <c r="D106" s="5">
        <v>98</v>
      </c>
      <c r="E106" s="5">
        <v>25</v>
      </c>
      <c r="F106" s="5">
        <v>1.98</v>
      </c>
      <c r="G106" s="5">
        <v>207.7985458612898</v>
      </c>
      <c r="J106" s="5">
        <f t="shared" si="8"/>
        <v>98</v>
      </c>
      <c r="K106" s="5">
        <f>SUM($AP$9:AP105)</f>
        <v>7266</v>
      </c>
      <c r="L106" s="5">
        <f>LOOKUP(K106,AI:AI,AE:AE)</f>
        <v>48</v>
      </c>
      <c r="M106" s="5">
        <f>LOOKUP(L106,AE:AE,AG:AG)</f>
        <v>499</v>
      </c>
      <c r="N106" s="5">
        <f>AM106/M106/$K$1</f>
        <v>20.495657982631929</v>
      </c>
      <c r="O106" s="5">
        <f>SUM($N$9:N106)</f>
        <v>306.58520490127381</v>
      </c>
      <c r="AE106" s="5">
        <f t="shared" si="9"/>
        <v>98</v>
      </c>
      <c r="AF106" s="5">
        <f t="shared" si="10"/>
        <v>12166</v>
      </c>
      <c r="AG106" s="5">
        <f t="shared" si="11"/>
        <v>11689</v>
      </c>
      <c r="AH106" s="5">
        <f>AG106*$AF$1</f>
        <v>116890</v>
      </c>
      <c r="AI106" s="5">
        <f>SUM($AF$9:AF105)</f>
        <v>193563</v>
      </c>
      <c r="AK106" s="5">
        <f t="shared" si="12"/>
        <v>98</v>
      </c>
      <c r="AL106" s="5">
        <f t="shared" si="13"/>
        <v>14</v>
      </c>
      <c r="AM106" s="5">
        <f t="shared" si="14"/>
        <v>15341</v>
      </c>
      <c r="AN106" s="5">
        <f>$AL$4*$AL$3^AL106*$AL$2</f>
        <v>1534.1157236708577</v>
      </c>
      <c r="AO106" s="5">
        <f>IF(AL106=AL107,1,LOOKUP(MOD(AL106,$AL$1),$AN$1:$AN$5,$AO$1:$AO$5))</f>
        <v>10</v>
      </c>
      <c r="AP106" s="5">
        <f t="shared" si="15"/>
        <v>2690</v>
      </c>
      <c r="AQ106" s="5">
        <f>AM106*$AR$3</f>
        <v>2045.4666666666667</v>
      </c>
      <c r="AR106" s="5">
        <f>AM106*AL106*$AR$4</f>
        <v>644.322</v>
      </c>
      <c r="AS106" s="5">
        <f>SUM($AP$9:AP105)</f>
        <v>7266</v>
      </c>
    </row>
    <row r="107" spans="1:45" x14ac:dyDescent="0.15">
      <c r="A107" s="5">
        <v>99</v>
      </c>
      <c r="D107" s="5">
        <v>99</v>
      </c>
      <c r="E107" s="5">
        <v>25</v>
      </c>
      <c r="F107" s="5">
        <v>1.98</v>
      </c>
      <c r="G107" s="5">
        <v>209.77854586128979</v>
      </c>
      <c r="J107" s="5">
        <f t="shared" si="8"/>
        <v>99</v>
      </c>
      <c r="K107" s="5">
        <f>SUM($AP$9:AP106)</f>
        <v>9956</v>
      </c>
      <c r="L107" s="5">
        <f>LOOKUP(K107,AI:AI,AE:AE)</f>
        <v>53</v>
      </c>
      <c r="M107" s="5">
        <f>LOOKUP(L107,AE:AE,AG:AG)</f>
        <v>704</v>
      </c>
      <c r="N107" s="5">
        <f>AM107/M107/$K$1</f>
        <v>2.28125</v>
      </c>
      <c r="O107" s="5">
        <f>SUM($N$9:N107)</f>
        <v>308.86645490127381</v>
      </c>
      <c r="AE107" s="5">
        <f t="shared" si="9"/>
        <v>99</v>
      </c>
      <c r="AF107" s="5">
        <f t="shared" si="10"/>
        <v>12900</v>
      </c>
      <c r="AG107" s="5">
        <f t="shared" si="11"/>
        <v>12399</v>
      </c>
      <c r="AH107" s="5">
        <f>AG107*$AF$1</f>
        <v>123990</v>
      </c>
      <c r="AI107" s="5">
        <f>SUM($AF$9:AF106)</f>
        <v>205729</v>
      </c>
      <c r="AK107" s="5">
        <f t="shared" si="12"/>
        <v>99</v>
      </c>
      <c r="AL107" s="5">
        <f t="shared" si="13"/>
        <v>15</v>
      </c>
      <c r="AM107" s="5">
        <f t="shared" si="14"/>
        <v>2409</v>
      </c>
      <c r="AN107" s="5">
        <f>$AL$4*$AL$3^AL107*$AL$2</f>
        <v>2408.561686163247</v>
      </c>
      <c r="AO107" s="5">
        <f>IF(AL107=AL108,1,LOOKUP(MOD(AL107,$AL$1),$AN$1:$AN$5,$AO$1:$AO$5))</f>
        <v>1</v>
      </c>
      <c r="AP107" s="5">
        <f t="shared" si="15"/>
        <v>430</v>
      </c>
      <c r="AQ107" s="5">
        <f>AM107*$AR$3</f>
        <v>321.2</v>
      </c>
      <c r="AR107" s="5">
        <f>AM107*AL107*$AR$4</f>
        <v>108.405</v>
      </c>
      <c r="AS107" s="5">
        <f>SUM($AP$9:AP106)</f>
        <v>9956</v>
      </c>
    </row>
    <row r="108" spans="1:45" x14ac:dyDescent="0.15">
      <c r="A108" s="5">
        <v>100</v>
      </c>
      <c r="D108" s="5">
        <v>100</v>
      </c>
      <c r="E108" s="5">
        <v>25</v>
      </c>
      <c r="F108" s="5">
        <v>19.803529411764707</v>
      </c>
      <c r="G108" s="5">
        <v>229.5820752730545</v>
      </c>
      <c r="J108" s="5">
        <f t="shared" si="8"/>
        <v>100</v>
      </c>
      <c r="K108" s="5">
        <f>SUM($AP$9:AP107)</f>
        <v>10386</v>
      </c>
      <c r="L108" s="5">
        <f>LOOKUP(K108,AI:AI,AE:AE)</f>
        <v>53</v>
      </c>
      <c r="M108" s="5">
        <f>LOOKUP(L108,AE:AE,AG:AG)</f>
        <v>704</v>
      </c>
      <c r="N108" s="5">
        <f>AM108/M108/$K$1</f>
        <v>2.28125</v>
      </c>
      <c r="O108" s="5">
        <f>SUM($N$9:N108)</f>
        <v>311.14770490127381</v>
      </c>
      <c r="AE108" s="5">
        <f t="shared" si="9"/>
        <v>100</v>
      </c>
      <c r="AF108" s="5">
        <f t="shared" si="10"/>
        <v>13676</v>
      </c>
      <c r="AG108" s="5">
        <f t="shared" si="11"/>
        <v>13150</v>
      </c>
      <c r="AH108" s="5">
        <f>AG108*$AF$1</f>
        <v>131500</v>
      </c>
      <c r="AI108" s="5">
        <f>SUM($AF$9:AF107)</f>
        <v>218629</v>
      </c>
      <c r="AK108" s="5">
        <f t="shared" si="12"/>
        <v>100</v>
      </c>
      <c r="AL108" s="5">
        <f t="shared" si="13"/>
        <v>15</v>
      </c>
      <c r="AM108" s="5">
        <f t="shared" si="14"/>
        <v>2409</v>
      </c>
      <c r="AN108" s="5">
        <f>$AL$4*$AL$3^AL108*$AL$2</f>
        <v>2408.561686163247</v>
      </c>
      <c r="AO108" s="5">
        <f>IF(AL108=AL109,1,LOOKUP(MOD(AL108,$AL$1),$AN$1:$AN$5,$AO$1:$AO$5))</f>
        <v>1</v>
      </c>
      <c r="AP108" s="5">
        <f t="shared" si="15"/>
        <v>430</v>
      </c>
      <c r="AQ108" s="5">
        <f>AM108*$AR$3</f>
        <v>321.2</v>
      </c>
      <c r="AR108" s="5">
        <f>AM108*AL108*$AR$4</f>
        <v>108.405</v>
      </c>
      <c r="AS108" s="5">
        <f>SUM($AP$9:AP107)</f>
        <v>10386</v>
      </c>
    </row>
    <row r="109" spans="1:45" x14ac:dyDescent="0.15">
      <c r="A109" s="5">
        <v>101</v>
      </c>
      <c r="D109" s="5">
        <v>101</v>
      </c>
      <c r="E109" s="5">
        <v>28</v>
      </c>
      <c r="F109" s="5">
        <v>2.4027272727272728</v>
      </c>
      <c r="G109" s="5">
        <v>231.98480254578178</v>
      </c>
      <c r="J109" s="5">
        <f t="shared" si="8"/>
        <v>101</v>
      </c>
      <c r="K109" s="5">
        <f>SUM($AP$9:AP108)</f>
        <v>10816</v>
      </c>
      <c r="L109" s="5">
        <f>LOOKUP(K109,AI:AI,AE:AE)</f>
        <v>54</v>
      </c>
      <c r="M109" s="5">
        <f>LOOKUP(L109,AE:AE,AG:AG)</f>
        <v>753</v>
      </c>
      <c r="N109" s="5">
        <f>AM109/M109/$K$1</f>
        <v>2.1328021248339972</v>
      </c>
      <c r="O109" s="5">
        <f>SUM($N$9:N109)</f>
        <v>313.28050702610778</v>
      </c>
      <c r="AE109" s="5">
        <f t="shared" si="9"/>
        <v>101</v>
      </c>
      <c r="AF109" s="5">
        <f t="shared" si="10"/>
        <v>14498</v>
      </c>
      <c r="AG109" s="5">
        <f t="shared" si="11"/>
        <v>13946</v>
      </c>
      <c r="AH109" s="5">
        <f>AG109*$AF$1</f>
        <v>139460</v>
      </c>
      <c r="AI109" s="5">
        <f>SUM($AF$9:AF108)</f>
        <v>232305</v>
      </c>
      <c r="AK109" s="5">
        <f t="shared" si="12"/>
        <v>101</v>
      </c>
      <c r="AL109" s="5">
        <f t="shared" si="13"/>
        <v>15</v>
      </c>
      <c r="AM109" s="5">
        <f t="shared" si="14"/>
        <v>2409</v>
      </c>
      <c r="AN109" s="5">
        <f>$AL$4*$AL$3^AL109*$AL$2</f>
        <v>2408.561686163247</v>
      </c>
      <c r="AO109" s="5">
        <f>IF(AL109=AL110,1,LOOKUP(MOD(AL109,$AL$1),$AN$1:$AN$5,$AO$1:$AO$5))</f>
        <v>1</v>
      </c>
      <c r="AP109" s="5">
        <f t="shared" si="15"/>
        <v>430</v>
      </c>
      <c r="AQ109" s="5">
        <f>AM109*$AR$3</f>
        <v>321.2</v>
      </c>
      <c r="AR109" s="5">
        <f>AM109*AL109*$AR$4</f>
        <v>108.405</v>
      </c>
      <c r="AS109" s="5">
        <f>SUM($AP$9:AP108)</f>
        <v>10816</v>
      </c>
    </row>
    <row r="110" spans="1:45" x14ac:dyDescent="0.15">
      <c r="A110" s="5">
        <v>102</v>
      </c>
      <c r="D110" s="5">
        <v>102</v>
      </c>
      <c r="E110" s="5">
        <v>28</v>
      </c>
      <c r="F110" s="5">
        <v>2.4027272727272728</v>
      </c>
      <c r="G110" s="5">
        <v>234.38752981850905</v>
      </c>
      <c r="J110" s="5">
        <f t="shared" si="8"/>
        <v>102</v>
      </c>
      <c r="K110" s="5">
        <f>SUM($AP$9:AP109)</f>
        <v>11246</v>
      </c>
      <c r="L110" s="5">
        <f>LOOKUP(K110,AI:AI,AE:AE)</f>
        <v>54</v>
      </c>
      <c r="M110" s="5">
        <f>LOOKUP(L110,AE:AE,AG:AG)</f>
        <v>753</v>
      </c>
      <c r="N110" s="5">
        <f>AM110/M110/$K$1</f>
        <v>2.1328021248339972</v>
      </c>
      <c r="O110" s="5">
        <f>SUM($N$9:N110)</f>
        <v>315.41330915094176</v>
      </c>
      <c r="AE110" s="5">
        <f t="shared" si="9"/>
        <v>102</v>
      </c>
      <c r="AF110" s="5">
        <f t="shared" si="10"/>
        <v>15368</v>
      </c>
      <c r="AG110" s="5">
        <f t="shared" si="11"/>
        <v>14788</v>
      </c>
      <c r="AH110" s="5">
        <f>AG110*$AF$1</f>
        <v>147880</v>
      </c>
      <c r="AI110" s="5">
        <f>SUM($AF$9:AF109)</f>
        <v>246803</v>
      </c>
      <c r="AK110" s="5">
        <f t="shared" si="12"/>
        <v>102</v>
      </c>
      <c r="AL110" s="5">
        <f t="shared" si="13"/>
        <v>15</v>
      </c>
      <c r="AM110" s="5">
        <f t="shared" si="14"/>
        <v>2409</v>
      </c>
      <c r="AN110" s="5">
        <f>$AL$4*$AL$3^AL110*$AL$2</f>
        <v>2408.561686163247</v>
      </c>
      <c r="AO110" s="5">
        <f>IF(AL110=AL111,1,LOOKUP(MOD(AL110,$AL$1),$AN$1:$AN$5,$AO$1:$AO$5))</f>
        <v>1</v>
      </c>
      <c r="AP110" s="5">
        <f t="shared" si="15"/>
        <v>430</v>
      </c>
      <c r="AQ110" s="5">
        <f>AM110*$AR$3</f>
        <v>321.2</v>
      </c>
      <c r="AR110" s="5">
        <f>AM110*AL110*$AR$4</f>
        <v>108.405</v>
      </c>
      <c r="AS110" s="5">
        <f>SUM($AP$9:AP109)</f>
        <v>11246</v>
      </c>
    </row>
    <row r="111" spans="1:45" x14ac:dyDescent="0.15">
      <c r="A111" s="5">
        <v>103</v>
      </c>
      <c r="D111" s="5">
        <v>103</v>
      </c>
      <c r="E111" s="5">
        <v>29</v>
      </c>
      <c r="F111" s="5">
        <v>2.2210084033613446</v>
      </c>
      <c r="G111" s="5">
        <v>236.60853822187039</v>
      </c>
      <c r="J111" s="5">
        <f t="shared" si="8"/>
        <v>103</v>
      </c>
      <c r="K111" s="5">
        <f>SUM($AP$9:AP110)</f>
        <v>11676</v>
      </c>
      <c r="L111" s="5">
        <f>LOOKUP(K111,AI:AI,AE:AE)</f>
        <v>55</v>
      </c>
      <c r="M111" s="5">
        <f>LOOKUP(L111,AE:AE,AG:AG)</f>
        <v>805</v>
      </c>
      <c r="N111" s="5">
        <f>AM111/M111/$K$1</f>
        <v>1.995031055900621</v>
      </c>
      <c r="O111" s="5">
        <f>SUM($N$9:N111)</f>
        <v>317.40834020684235</v>
      </c>
      <c r="AE111" s="5">
        <f t="shared" si="9"/>
        <v>103</v>
      </c>
      <c r="AF111" s="5">
        <f t="shared" si="10"/>
        <v>16289</v>
      </c>
      <c r="AG111" s="5">
        <f t="shared" si="11"/>
        <v>15680</v>
      </c>
      <c r="AH111" s="5">
        <f>AG111*$AF$1</f>
        <v>156800</v>
      </c>
      <c r="AI111" s="5">
        <f>SUM($AF$9:AF110)</f>
        <v>262171</v>
      </c>
      <c r="AK111" s="5">
        <f t="shared" si="12"/>
        <v>103</v>
      </c>
      <c r="AL111" s="5">
        <f t="shared" si="13"/>
        <v>15</v>
      </c>
      <c r="AM111" s="5">
        <f t="shared" si="14"/>
        <v>2409</v>
      </c>
      <c r="AN111" s="5">
        <f>$AL$4*$AL$3^AL111*$AL$2</f>
        <v>2408.561686163247</v>
      </c>
      <c r="AO111" s="5">
        <f>IF(AL111=AL112,1,LOOKUP(MOD(AL111,$AL$1),$AN$1:$AN$5,$AO$1:$AO$5))</f>
        <v>1</v>
      </c>
      <c r="AP111" s="5">
        <f t="shared" si="15"/>
        <v>430</v>
      </c>
      <c r="AQ111" s="5">
        <f>AM111*$AR$3</f>
        <v>321.2</v>
      </c>
      <c r="AR111" s="5">
        <f>AM111*AL111*$AR$4</f>
        <v>108.405</v>
      </c>
      <c r="AS111" s="5">
        <f>SUM($AP$9:AP110)</f>
        <v>11676</v>
      </c>
    </row>
    <row r="112" spans="1:45" x14ac:dyDescent="0.15">
      <c r="A112" s="5">
        <v>104</v>
      </c>
      <c r="D112" s="5">
        <v>104</v>
      </c>
      <c r="E112" s="5">
        <v>29</v>
      </c>
      <c r="F112" s="5">
        <v>2.2210084033613446</v>
      </c>
      <c r="G112" s="5">
        <v>238.82954662523173</v>
      </c>
      <c r="J112" s="5">
        <f t="shared" si="8"/>
        <v>104</v>
      </c>
      <c r="K112" s="5">
        <f>SUM($AP$9:AP111)</f>
        <v>12106</v>
      </c>
      <c r="L112" s="5">
        <f>LOOKUP(K112,AI:AI,AE:AE)</f>
        <v>55</v>
      </c>
      <c r="M112" s="5">
        <f>LOOKUP(L112,AE:AE,AG:AG)</f>
        <v>805</v>
      </c>
      <c r="N112" s="5">
        <f>AM112/M112/$K$1</f>
        <v>1.995031055900621</v>
      </c>
      <c r="O112" s="5">
        <f>SUM($N$9:N112)</f>
        <v>319.40337126274295</v>
      </c>
      <c r="AE112" s="5">
        <f t="shared" si="9"/>
        <v>104</v>
      </c>
      <c r="AF112" s="5">
        <f t="shared" si="10"/>
        <v>17263</v>
      </c>
      <c r="AG112" s="5">
        <f t="shared" si="11"/>
        <v>16623</v>
      </c>
      <c r="AH112" s="5">
        <f>AG112*$AF$1</f>
        <v>166230</v>
      </c>
      <c r="AI112" s="5">
        <f>SUM($AF$9:AF111)</f>
        <v>278460</v>
      </c>
      <c r="AK112" s="5">
        <f t="shared" si="12"/>
        <v>104</v>
      </c>
      <c r="AL112" s="5">
        <f t="shared" si="13"/>
        <v>15</v>
      </c>
      <c r="AM112" s="5">
        <f t="shared" si="14"/>
        <v>2409</v>
      </c>
      <c r="AN112" s="5">
        <f>$AL$4*$AL$3^AL112*$AL$2</f>
        <v>2408.561686163247</v>
      </c>
      <c r="AO112" s="5">
        <f>IF(AL112=AL113,1,LOOKUP(MOD(AL112,$AL$1),$AN$1:$AN$5,$AO$1:$AO$5))</f>
        <v>1</v>
      </c>
      <c r="AP112" s="5">
        <f t="shared" si="15"/>
        <v>430</v>
      </c>
      <c r="AQ112" s="5">
        <f>AM112*$AR$3</f>
        <v>321.2</v>
      </c>
      <c r="AR112" s="5">
        <f>AM112*AL112*$AR$4</f>
        <v>108.405</v>
      </c>
      <c r="AS112" s="5">
        <f>SUM($AP$9:AP111)</f>
        <v>12106</v>
      </c>
    </row>
    <row r="113" spans="1:45" x14ac:dyDescent="0.15">
      <c r="A113" s="5">
        <v>105</v>
      </c>
      <c r="D113" s="5">
        <v>105</v>
      </c>
      <c r="E113" s="5">
        <v>29</v>
      </c>
      <c r="F113" s="5">
        <v>2.2210084033613446</v>
      </c>
      <c r="G113" s="5">
        <v>241.05055502859307</v>
      </c>
      <c r="J113" s="5">
        <f t="shared" si="8"/>
        <v>105</v>
      </c>
      <c r="K113" s="5">
        <f>SUM($AP$9:AP112)</f>
        <v>12536</v>
      </c>
      <c r="L113" s="5">
        <f>LOOKUP(K113,AI:AI,AE:AE)</f>
        <v>56</v>
      </c>
      <c r="M113" s="5">
        <f>LOOKUP(L113,AE:AE,AG:AG)</f>
        <v>861</v>
      </c>
      <c r="N113" s="5">
        <f>AM113/M113/$K$1</f>
        <v>3.7297715834301202</v>
      </c>
      <c r="O113" s="5">
        <f>SUM($N$9:N113)</f>
        <v>323.13314284617309</v>
      </c>
      <c r="AE113" s="5">
        <f t="shared" si="9"/>
        <v>105</v>
      </c>
      <c r="AF113" s="5">
        <f t="shared" si="10"/>
        <v>18294</v>
      </c>
      <c r="AG113" s="5">
        <f t="shared" si="11"/>
        <v>17622</v>
      </c>
      <c r="AH113" s="5">
        <f>AG113*$AF$1</f>
        <v>176220</v>
      </c>
      <c r="AI113" s="5">
        <f>SUM($AF$9:AF112)</f>
        <v>295723</v>
      </c>
      <c r="AK113" s="5">
        <f t="shared" si="12"/>
        <v>105</v>
      </c>
      <c r="AL113" s="5">
        <f t="shared" si="13"/>
        <v>15</v>
      </c>
      <c r="AM113" s="5">
        <f t="shared" si="14"/>
        <v>4817</v>
      </c>
      <c r="AN113" s="5">
        <f>$AL$4*$AL$3^AL113*$AL$2</f>
        <v>2408.561686163247</v>
      </c>
      <c r="AO113" s="5">
        <f>IF(AL113=AL114,1,LOOKUP(MOD(AL113,$AL$1),$AN$1:$AN$5,$AO$1:$AO$5))</f>
        <v>2</v>
      </c>
      <c r="AP113" s="5">
        <f t="shared" si="15"/>
        <v>859</v>
      </c>
      <c r="AQ113" s="5">
        <f>AM113*$AR$3</f>
        <v>642.26666666666665</v>
      </c>
      <c r="AR113" s="5">
        <f>AM113*AL113*$AR$4</f>
        <v>216.76500000000001</v>
      </c>
      <c r="AS113" s="5">
        <f>SUM($AP$9:AP112)</f>
        <v>12536</v>
      </c>
    </row>
    <row r="114" spans="1:45" x14ac:dyDescent="0.15">
      <c r="A114" s="5">
        <v>106</v>
      </c>
      <c r="D114" s="5">
        <v>106</v>
      </c>
      <c r="E114" s="5">
        <v>30</v>
      </c>
      <c r="F114" s="5">
        <v>2.0330769230769232</v>
      </c>
      <c r="G114" s="5">
        <v>243.08363195166999</v>
      </c>
      <c r="J114" s="5">
        <f t="shared" si="8"/>
        <v>106</v>
      </c>
      <c r="K114" s="5">
        <f>SUM($AP$9:AP113)</f>
        <v>13395</v>
      </c>
      <c r="L114" s="5">
        <f>LOOKUP(K114,AI:AI,AE:AE)</f>
        <v>57</v>
      </c>
      <c r="M114" s="5">
        <f>LOOKUP(L114,AE:AE,AG:AG)</f>
        <v>920</v>
      </c>
      <c r="N114" s="5">
        <f>AM114/M114/$K$1</f>
        <v>2.7398550724637682</v>
      </c>
      <c r="O114" s="5">
        <f>SUM($N$9:N114)</f>
        <v>325.87299791863683</v>
      </c>
      <c r="AE114" s="5">
        <f t="shared" si="9"/>
        <v>106</v>
      </c>
      <c r="AF114" s="5">
        <f t="shared" si="10"/>
        <v>19385</v>
      </c>
      <c r="AG114" s="5">
        <f t="shared" si="11"/>
        <v>18680</v>
      </c>
      <c r="AH114" s="5">
        <f>AG114*$AF$1</f>
        <v>186800</v>
      </c>
      <c r="AI114" s="5">
        <f>SUM($AF$9:AF113)</f>
        <v>314017</v>
      </c>
      <c r="AK114" s="5">
        <f t="shared" si="12"/>
        <v>106</v>
      </c>
      <c r="AL114" s="5">
        <f t="shared" si="13"/>
        <v>16</v>
      </c>
      <c r="AM114" s="5">
        <f t="shared" si="14"/>
        <v>3781</v>
      </c>
      <c r="AN114" s="5">
        <f>$AL$4*$AL$3^AL114*$AL$2</f>
        <v>3781.4418472762968</v>
      </c>
      <c r="AO114" s="5">
        <f>IF(AL114=AL115,1,LOOKUP(MOD(AL114,$AL$1),$AN$1:$AN$5,$AO$1:$AO$5))</f>
        <v>1</v>
      </c>
      <c r="AP114" s="5">
        <f t="shared" si="15"/>
        <v>686</v>
      </c>
      <c r="AQ114" s="5">
        <f>AM114*$AR$3</f>
        <v>504.13333333333333</v>
      </c>
      <c r="AR114" s="5">
        <f>AM114*AL114*$AR$4</f>
        <v>181.488</v>
      </c>
      <c r="AS114" s="5">
        <f>SUM($AP$9:AP113)</f>
        <v>13395</v>
      </c>
    </row>
    <row r="115" spans="1:45" x14ac:dyDescent="0.15">
      <c r="A115" s="5">
        <v>107</v>
      </c>
      <c r="D115" s="5">
        <v>107</v>
      </c>
      <c r="E115" s="5">
        <v>30</v>
      </c>
      <c r="F115" s="5">
        <v>2.0330769230769232</v>
      </c>
      <c r="G115" s="5">
        <v>245.11670887474691</v>
      </c>
      <c r="J115" s="5">
        <f t="shared" si="8"/>
        <v>107</v>
      </c>
      <c r="K115" s="5">
        <f>SUM($AP$9:AP114)</f>
        <v>14081</v>
      </c>
      <c r="L115" s="5">
        <f>LOOKUP(K115,AI:AI,AE:AE)</f>
        <v>57</v>
      </c>
      <c r="M115" s="5">
        <f>LOOKUP(L115,AE:AE,AG:AG)</f>
        <v>920</v>
      </c>
      <c r="N115" s="5">
        <f>AM115/M115/$K$1</f>
        <v>2.7398550724637682</v>
      </c>
      <c r="O115" s="5">
        <f>SUM($N$9:N115)</f>
        <v>328.61285299110057</v>
      </c>
      <c r="AE115" s="5">
        <f t="shared" si="9"/>
        <v>107</v>
      </c>
      <c r="AF115" s="5">
        <f t="shared" si="10"/>
        <v>20539</v>
      </c>
      <c r="AG115" s="5">
        <f t="shared" si="11"/>
        <v>19799</v>
      </c>
      <c r="AH115" s="5">
        <f>AG115*$AF$1</f>
        <v>197990</v>
      </c>
      <c r="AI115" s="5">
        <f>SUM($AF$9:AF114)</f>
        <v>333402</v>
      </c>
      <c r="AK115" s="5">
        <f t="shared" si="12"/>
        <v>107</v>
      </c>
      <c r="AL115" s="5">
        <f t="shared" si="13"/>
        <v>16</v>
      </c>
      <c r="AM115" s="5">
        <f t="shared" si="14"/>
        <v>3781</v>
      </c>
      <c r="AN115" s="5">
        <f>$AL$4*$AL$3^AL115*$AL$2</f>
        <v>3781.4418472762968</v>
      </c>
      <c r="AO115" s="5">
        <f>IF(AL115=AL116,1,LOOKUP(MOD(AL115,$AL$1),$AN$1:$AN$5,$AO$1:$AO$5))</f>
        <v>1</v>
      </c>
      <c r="AP115" s="5">
        <f t="shared" si="15"/>
        <v>686</v>
      </c>
      <c r="AQ115" s="5">
        <f>AM115*$AR$3</f>
        <v>504.13333333333333</v>
      </c>
      <c r="AR115" s="5">
        <f>AM115*AL115*$AR$4</f>
        <v>181.488</v>
      </c>
      <c r="AS115" s="5">
        <f>SUM($AP$9:AP114)</f>
        <v>14081</v>
      </c>
    </row>
    <row r="116" spans="1:45" x14ac:dyDescent="0.15">
      <c r="A116" s="5">
        <v>108</v>
      </c>
      <c r="D116" s="5">
        <v>108</v>
      </c>
      <c r="E116" s="5">
        <v>30</v>
      </c>
      <c r="F116" s="5">
        <v>2.0330769230769232</v>
      </c>
      <c r="G116" s="5">
        <v>247.14978579782382</v>
      </c>
      <c r="J116" s="5">
        <f t="shared" si="8"/>
        <v>108</v>
      </c>
      <c r="K116" s="5">
        <f>SUM($AP$9:AP115)</f>
        <v>14767</v>
      </c>
      <c r="L116" s="5">
        <f>LOOKUP(K116,AI:AI,AE:AE)</f>
        <v>58</v>
      </c>
      <c r="M116" s="5">
        <f>LOOKUP(L116,AE:AE,AG:AG)</f>
        <v>983</v>
      </c>
      <c r="N116" s="5">
        <f>AM116/M116/$K$1</f>
        <v>2.5642590708714819</v>
      </c>
      <c r="O116" s="5">
        <f>SUM($N$9:N116)</f>
        <v>331.17711206197203</v>
      </c>
      <c r="AE116" s="5">
        <f t="shared" si="9"/>
        <v>108</v>
      </c>
      <c r="AF116" s="5">
        <f t="shared" si="10"/>
        <v>21760</v>
      </c>
      <c r="AG116" s="5">
        <f t="shared" si="11"/>
        <v>20983</v>
      </c>
      <c r="AH116" s="5">
        <f>AG116*$AF$1</f>
        <v>209830</v>
      </c>
      <c r="AI116" s="5">
        <f>SUM($AF$9:AF115)</f>
        <v>353941</v>
      </c>
      <c r="AK116" s="5">
        <f t="shared" si="12"/>
        <v>108</v>
      </c>
      <c r="AL116" s="5">
        <f t="shared" si="13"/>
        <v>16</v>
      </c>
      <c r="AM116" s="5">
        <f t="shared" si="14"/>
        <v>3781</v>
      </c>
      <c r="AN116" s="5">
        <f>$AL$4*$AL$3^AL116*$AL$2</f>
        <v>3781.4418472762968</v>
      </c>
      <c r="AO116" s="5">
        <f>IF(AL116=AL117,1,LOOKUP(MOD(AL116,$AL$1),$AN$1:$AN$5,$AO$1:$AO$5))</f>
        <v>1</v>
      </c>
      <c r="AP116" s="5">
        <f t="shared" si="15"/>
        <v>686</v>
      </c>
      <c r="AQ116" s="5">
        <f>AM116*$AR$3</f>
        <v>504.13333333333333</v>
      </c>
      <c r="AR116" s="5">
        <f>AM116*AL116*$AR$4</f>
        <v>181.488</v>
      </c>
      <c r="AS116" s="5">
        <f>SUM($AP$9:AP115)</f>
        <v>14767</v>
      </c>
    </row>
    <row r="117" spans="1:45" x14ac:dyDescent="0.15">
      <c r="A117" s="5">
        <v>109</v>
      </c>
      <c r="D117" s="5">
        <v>109</v>
      </c>
      <c r="E117" s="5">
        <v>31</v>
      </c>
      <c r="F117" s="5">
        <v>1.8744680851063831</v>
      </c>
      <c r="G117" s="5">
        <v>249.0242538829302</v>
      </c>
      <c r="J117" s="5">
        <f t="shared" si="8"/>
        <v>109</v>
      </c>
      <c r="K117" s="5">
        <f>SUM($AP$9:AP116)</f>
        <v>15453</v>
      </c>
      <c r="L117" s="5">
        <f>LOOKUP(K117,AI:AI,AE:AE)</f>
        <v>59</v>
      </c>
      <c r="M117" s="5">
        <f>LOOKUP(L117,AE:AE,AG:AG)</f>
        <v>1050</v>
      </c>
      <c r="N117" s="5">
        <f>AM117/M117/$K$1</f>
        <v>2.4006349206349209</v>
      </c>
      <c r="O117" s="5">
        <f>SUM($N$9:N117)</f>
        <v>333.57774698260693</v>
      </c>
      <c r="AE117" s="5">
        <f t="shared" si="9"/>
        <v>109</v>
      </c>
      <c r="AF117" s="5">
        <f t="shared" si="10"/>
        <v>23052</v>
      </c>
      <c r="AG117" s="5">
        <f t="shared" si="11"/>
        <v>22236</v>
      </c>
      <c r="AH117" s="5">
        <f>AG117*$AF$1</f>
        <v>222360</v>
      </c>
      <c r="AI117" s="5">
        <f>SUM($AF$9:AF116)</f>
        <v>375701</v>
      </c>
      <c r="AK117" s="5">
        <f t="shared" si="12"/>
        <v>109</v>
      </c>
      <c r="AL117" s="5">
        <f t="shared" si="13"/>
        <v>16</v>
      </c>
      <c r="AM117" s="5">
        <f t="shared" si="14"/>
        <v>3781</v>
      </c>
      <c r="AN117" s="5">
        <f>$AL$4*$AL$3^AL117*$AL$2</f>
        <v>3781.4418472762968</v>
      </c>
      <c r="AO117" s="5">
        <f>IF(AL117=AL118,1,LOOKUP(MOD(AL117,$AL$1),$AN$1:$AN$5,$AO$1:$AO$5))</f>
        <v>1</v>
      </c>
      <c r="AP117" s="5">
        <f t="shared" si="15"/>
        <v>686</v>
      </c>
      <c r="AQ117" s="5">
        <f>AM117*$AR$3</f>
        <v>504.13333333333333</v>
      </c>
      <c r="AR117" s="5">
        <f>AM117*AL117*$AR$4</f>
        <v>181.488</v>
      </c>
      <c r="AS117" s="5">
        <f>SUM($AP$9:AP116)</f>
        <v>15453</v>
      </c>
    </row>
    <row r="118" spans="1:45" x14ac:dyDescent="0.15">
      <c r="A118" s="5">
        <v>110</v>
      </c>
      <c r="D118" s="5">
        <v>110</v>
      </c>
      <c r="E118" s="5">
        <v>31</v>
      </c>
      <c r="F118" s="5">
        <v>3.7489361702127662</v>
      </c>
      <c r="G118" s="5">
        <v>252.77319005314297</v>
      </c>
      <c r="J118" s="5">
        <f t="shared" si="8"/>
        <v>110</v>
      </c>
      <c r="K118" s="5">
        <f>SUM($AP$9:AP117)</f>
        <v>16139</v>
      </c>
      <c r="L118" s="5">
        <f>LOOKUP(K118,AI:AI,AE:AE)</f>
        <v>59</v>
      </c>
      <c r="M118" s="5">
        <f>LOOKUP(L118,AE:AE,AG:AG)</f>
        <v>1050</v>
      </c>
      <c r="N118" s="5">
        <f>AM118/M118/$K$1</f>
        <v>2.4006349206349209</v>
      </c>
      <c r="O118" s="5">
        <f>SUM($N$9:N118)</f>
        <v>335.97838190324183</v>
      </c>
      <c r="AE118" s="5">
        <f t="shared" si="9"/>
        <v>110</v>
      </c>
      <c r="AF118" s="5">
        <f t="shared" si="10"/>
        <v>24419</v>
      </c>
      <c r="AG118" s="5">
        <f t="shared" si="11"/>
        <v>23562</v>
      </c>
      <c r="AH118" s="5">
        <f>AG118*$AF$1</f>
        <v>235620</v>
      </c>
      <c r="AI118" s="5">
        <f>SUM($AF$9:AF117)</f>
        <v>398753</v>
      </c>
      <c r="AK118" s="5">
        <f t="shared" si="12"/>
        <v>110</v>
      </c>
      <c r="AL118" s="5">
        <f t="shared" si="13"/>
        <v>16</v>
      </c>
      <c r="AM118" s="5">
        <f t="shared" si="14"/>
        <v>3781</v>
      </c>
      <c r="AN118" s="5">
        <f>$AL$4*$AL$3^AL118*$AL$2</f>
        <v>3781.4418472762968</v>
      </c>
      <c r="AO118" s="5">
        <f>IF(AL118=AL119,1,LOOKUP(MOD(AL118,$AL$1),$AN$1:$AN$5,$AO$1:$AO$5))</f>
        <v>1</v>
      </c>
      <c r="AP118" s="5">
        <f t="shared" si="15"/>
        <v>686</v>
      </c>
      <c r="AQ118" s="5">
        <f>AM118*$AR$3</f>
        <v>504.13333333333333</v>
      </c>
      <c r="AR118" s="5">
        <f>AM118*AL118*$AR$4</f>
        <v>181.488</v>
      </c>
      <c r="AS118" s="5">
        <f>SUM($AP$9:AP117)</f>
        <v>16139</v>
      </c>
    </row>
    <row r="119" spans="1:45" x14ac:dyDescent="0.15">
      <c r="A119" s="5">
        <v>111</v>
      </c>
      <c r="D119" s="5">
        <v>111</v>
      </c>
      <c r="E119" s="5">
        <v>31</v>
      </c>
      <c r="F119" s="5">
        <v>2.9425531914893619</v>
      </c>
      <c r="G119" s="5">
        <v>255.71574324463234</v>
      </c>
      <c r="J119" s="5">
        <f t="shared" si="8"/>
        <v>111</v>
      </c>
      <c r="K119" s="5">
        <f>SUM($AP$9:AP118)</f>
        <v>16825</v>
      </c>
      <c r="L119" s="5">
        <f>LOOKUP(K119,AI:AI,AE:AE)</f>
        <v>60</v>
      </c>
      <c r="M119" s="5">
        <f>LOOKUP(L119,AE:AE,AG:AG)</f>
        <v>1121</v>
      </c>
      <c r="N119" s="5">
        <f>AM119/M119/$K$1</f>
        <v>2.2485875706214689</v>
      </c>
      <c r="O119" s="5">
        <f>SUM($N$9:N119)</f>
        <v>338.22696947386328</v>
      </c>
      <c r="AE119" s="5">
        <f t="shared" si="9"/>
        <v>111</v>
      </c>
      <c r="AF119" s="5">
        <f t="shared" si="10"/>
        <v>25865</v>
      </c>
      <c r="AG119" s="5">
        <f t="shared" si="11"/>
        <v>24965</v>
      </c>
      <c r="AH119" s="5">
        <f>AG119*$AF$1</f>
        <v>249650</v>
      </c>
      <c r="AI119" s="5">
        <f>SUM($AF$9:AF118)</f>
        <v>423172</v>
      </c>
      <c r="AK119" s="5">
        <f t="shared" si="12"/>
        <v>111</v>
      </c>
      <c r="AL119" s="5">
        <f t="shared" si="13"/>
        <v>16</v>
      </c>
      <c r="AM119" s="5">
        <f t="shared" si="14"/>
        <v>3781</v>
      </c>
      <c r="AN119" s="5">
        <f>$AL$4*$AL$3^AL119*$AL$2</f>
        <v>3781.4418472762968</v>
      </c>
      <c r="AO119" s="5">
        <f>IF(AL119=AL120,1,LOOKUP(MOD(AL119,$AL$1),$AN$1:$AN$5,$AO$1:$AO$5))</f>
        <v>1</v>
      </c>
      <c r="AP119" s="5">
        <f t="shared" si="15"/>
        <v>686</v>
      </c>
      <c r="AQ119" s="5">
        <f>AM119*$AR$3</f>
        <v>504.13333333333333</v>
      </c>
      <c r="AR119" s="5">
        <f>AM119*AL119*$AR$4</f>
        <v>181.488</v>
      </c>
      <c r="AS119" s="5">
        <f>SUM($AP$9:AP118)</f>
        <v>16825</v>
      </c>
    </row>
    <row r="120" spans="1:45" x14ac:dyDescent="0.15">
      <c r="A120" s="5">
        <v>112</v>
      </c>
      <c r="D120" s="5">
        <v>112</v>
      </c>
      <c r="E120" s="5">
        <v>32</v>
      </c>
      <c r="F120" s="5">
        <v>2.7296052631578949</v>
      </c>
      <c r="G120" s="5">
        <v>258.44534850779024</v>
      </c>
      <c r="J120" s="5">
        <f t="shared" si="8"/>
        <v>112</v>
      </c>
      <c r="K120" s="5">
        <f>SUM($AP$9:AP119)</f>
        <v>17511</v>
      </c>
      <c r="L120" s="5">
        <f>LOOKUP(K120,AI:AI,AE:AE)</f>
        <v>60</v>
      </c>
      <c r="M120" s="5">
        <f>LOOKUP(L120,AE:AE,AG:AG)</f>
        <v>1121</v>
      </c>
      <c r="N120" s="5">
        <f>AM120/M120/$K$1</f>
        <v>8.9955396966993764</v>
      </c>
      <c r="O120" s="5">
        <f>SUM($N$9:N120)</f>
        <v>347.22250917056266</v>
      </c>
      <c r="AE120" s="5">
        <f t="shared" si="9"/>
        <v>112</v>
      </c>
      <c r="AF120" s="5">
        <f t="shared" si="10"/>
        <v>27394</v>
      </c>
      <c r="AG120" s="5">
        <f t="shared" si="11"/>
        <v>26450</v>
      </c>
      <c r="AH120" s="5">
        <f>AG120*$AF$1</f>
        <v>264500</v>
      </c>
      <c r="AI120" s="5">
        <f>SUM($AF$9:AF119)</f>
        <v>449037</v>
      </c>
      <c r="AK120" s="5">
        <f t="shared" si="12"/>
        <v>112</v>
      </c>
      <c r="AL120" s="5">
        <f t="shared" si="13"/>
        <v>16</v>
      </c>
      <c r="AM120" s="5">
        <f t="shared" si="14"/>
        <v>15126</v>
      </c>
      <c r="AN120" s="5">
        <f>$AL$4*$AL$3^AL120*$AL$2</f>
        <v>3781.4418472762968</v>
      </c>
      <c r="AO120" s="5">
        <f>IF(AL120=AL121,1,LOOKUP(MOD(AL120,$AL$1),$AN$1:$AN$5,$AO$1:$AO$5))</f>
        <v>4</v>
      </c>
      <c r="AP120" s="5">
        <f t="shared" si="15"/>
        <v>2743</v>
      </c>
      <c r="AQ120" s="5">
        <f>AM120*$AR$3</f>
        <v>2016.8</v>
      </c>
      <c r="AR120" s="5">
        <f>AM120*AL120*$AR$4</f>
        <v>726.048</v>
      </c>
      <c r="AS120" s="5">
        <f>SUM($AP$9:AP119)</f>
        <v>17511</v>
      </c>
    </row>
    <row r="121" spans="1:45" x14ac:dyDescent="0.15">
      <c r="A121" s="5">
        <v>113</v>
      </c>
      <c r="D121" s="5">
        <v>113</v>
      </c>
      <c r="E121" s="5">
        <v>32</v>
      </c>
      <c r="F121" s="5">
        <v>2.7296052631578949</v>
      </c>
      <c r="G121" s="5">
        <v>261.17495377094815</v>
      </c>
      <c r="J121" s="5">
        <f t="shared" si="8"/>
        <v>113</v>
      </c>
      <c r="K121" s="5">
        <f>SUM($AP$9:AP120)</f>
        <v>20254</v>
      </c>
      <c r="L121" s="5">
        <f>LOOKUP(K121,AI:AI,AE:AE)</f>
        <v>63</v>
      </c>
      <c r="M121" s="5">
        <f>LOOKUP(L121,AE:AE,AG:AG)</f>
        <v>1362</v>
      </c>
      <c r="N121" s="5">
        <f>AM121/M121/$K$1</f>
        <v>2.9060205580029366</v>
      </c>
      <c r="O121" s="5">
        <f>SUM($N$9:N121)</f>
        <v>350.12852972856558</v>
      </c>
      <c r="AE121" s="5">
        <f t="shared" si="9"/>
        <v>113</v>
      </c>
      <c r="AF121" s="5">
        <f t="shared" si="10"/>
        <v>29012</v>
      </c>
      <c r="AG121" s="5">
        <f t="shared" si="11"/>
        <v>28020</v>
      </c>
      <c r="AH121" s="5">
        <f>AG121*$AF$1</f>
        <v>280200</v>
      </c>
      <c r="AI121" s="5">
        <f>SUM($AF$9:AF120)</f>
        <v>476431</v>
      </c>
      <c r="AK121" s="5">
        <f t="shared" si="12"/>
        <v>113</v>
      </c>
      <c r="AL121" s="5">
        <f t="shared" si="13"/>
        <v>17</v>
      </c>
      <c r="AM121" s="5">
        <f t="shared" si="14"/>
        <v>5937</v>
      </c>
      <c r="AN121" s="5">
        <f>$AL$4*$AL$3^AL121*$AL$2</f>
        <v>5936.8637002237865</v>
      </c>
      <c r="AO121" s="5">
        <f>IF(AL121=AL122,1,LOOKUP(MOD(AL121,$AL$1),$AN$1:$AN$5,$AO$1:$AO$5))</f>
        <v>1</v>
      </c>
      <c r="AP121" s="5">
        <f t="shared" si="15"/>
        <v>1094</v>
      </c>
      <c r="AQ121" s="5">
        <f>AM121*$AR$3</f>
        <v>791.6</v>
      </c>
      <c r="AR121" s="5">
        <f>AM121*AL121*$AR$4</f>
        <v>302.78700000000003</v>
      </c>
      <c r="AS121" s="5">
        <f>SUM($AP$9:AP120)</f>
        <v>20254</v>
      </c>
    </row>
    <row r="122" spans="1:45" x14ac:dyDescent="0.15">
      <c r="A122" s="5">
        <v>114</v>
      </c>
      <c r="D122" s="5">
        <v>114</v>
      </c>
      <c r="E122" s="5">
        <v>33</v>
      </c>
      <c r="F122" s="5">
        <v>2.5145454545454546</v>
      </c>
      <c r="G122" s="5">
        <v>263.68949922549359</v>
      </c>
      <c r="J122" s="5">
        <f t="shared" si="8"/>
        <v>114</v>
      </c>
      <c r="K122" s="5">
        <f>SUM($AP$9:AP121)</f>
        <v>21348</v>
      </c>
      <c r="L122" s="5">
        <f>LOOKUP(K122,AI:AI,AE:AE)</f>
        <v>63</v>
      </c>
      <c r="M122" s="5">
        <f>LOOKUP(L122,AE:AE,AG:AG)</f>
        <v>1362</v>
      </c>
      <c r="N122" s="5">
        <f>AM122/M122/$K$1</f>
        <v>2.9060205580029366</v>
      </c>
      <c r="O122" s="5">
        <f>SUM($N$9:N122)</f>
        <v>353.0345502865685</v>
      </c>
      <c r="AE122" s="5">
        <f t="shared" si="9"/>
        <v>114</v>
      </c>
      <c r="AF122" s="5">
        <f t="shared" si="10"/>
        <v>30723</v>
      </c>
      <c r="AG122" s="5">
        <f t="shared" si="11"/>
        <v>29681</v>
      </c>
      <c r="AH122" s="5">
        <f>AG122*$AF$1</f>
        <v>296810</v>
      </c>
      <c r="AI122" s="5">
        <f>SUM($AF$9:AF121)</f>
        <v>505443</v>
      </c>
      <c r="AK122" s="5">
        <f t="shared" si="12"/>
        <v>114</v>
      </c>
      <c r="AL122" s="5">
        <f t="shared" si="13"/>
        <v>17</v>
      </c>
      <c r="AM122" s="5">
        <f t="shared" si="14"/>
        <v>5937</v>
      </c>
      <c r="AN122" s="5">
        <f>$AL$4*$AL$3^AL122*$AL$2</f>
        <v>5936.8637002237865</v>
      </c>
      <c r="AO122" s="5">
        <f>IF(AL122=AL123,1,LOOKUP(MOD(AL122,$AL$1),$AN$1:$AN$5,$AO$1:$AO$5))</f>
        <v>1</v>
      </c>
      <c r="AP122" s="5">
        <f t="shared" si="15"/>
        <v>1094</v>
      </c>
      <c r="AQ122" s="5">
        <f>AM122*$AR$3</f>
        <v>791.6</v>
      </c>
      <c r="AR122" s="5">
        <f>AM122*AL122*$AR$4</f>
        <v>302.78700000000003</v>
      </c>
      <c r="AS122" s="5">
        <f>SUM($AP$9:AP121)</f>
        <v>21348</v>
      </c>
    </row>
    <row r="123" spans="1:45" x14ac:dyDescent="0.15">
      <c r="A123" s="5">
        <v>115</v>
      </c>
      <c r="D123" s="5">
        <v>115</v>
      </c>
      <c r="E123" s="5">
        <v>33</v>
      </c>
      <c r="F123" s="5">
        <v>2.5145454545454546</v>
      </c>
      <c r="G123" s="5">
        <v>266.20404468003903</v>
      </c>
      <c r="J123" s="5">
        <f t="shared" si="8"/>
        <v>115</v>
      </c>
      <c r="K123" s="5">
        <f>SUM($AP$9:AP122)</f>
        <v>22442</v>
      </c>
      <c r="L123" s="5">
        <f>LOOKUP(K123,AI:AI,AE:AE)</f>
        <v>64</v>
      </c>
      <c r="M123" s="5">
        <f>LOOKUP(L123,AE:AE,AG:AG)</f>
        <v>1453</v>
      </c>
      <c r="N123" s="5">
        <f>AM123/M123/$K$1</f>
        <v>2.7240192704748796</v>
      </c>
      <c r="O123" s="5">
        <f>SUM($N$9:N123)</f>
        <v>355.75856955704336</v>
      </c>
      <c r="AE123" s="5">
        <f t="shared" si="9"/>
        <v>115</v>
      </c>
      <c r="AF123" s="5">
        <f t="shared" si="10"/>
        <v>32532</v>
      </c>
      <c r="AG123" s="5">
        <f t="shared" si="11"/>
        <v>31439</v>
      </c>
      <c r="AH123" s="5">
        <f>AG123*$AF$1</f>
        <v>314390</v>
      </c>
      <c r="AI123" s="5">
        <f>SUM($AF$9:AF122)</f>
        <v>536166</v>
      </c>
      <c r="AK123" s="5">
        <f t="shared" si="12"/>
        <v>115</v>
      </c>
      <c r="AL123" s="5">
        <f t="shared" si="13"/>
        <v>17</v>
      </c>
      <c r="AM123" s="5">
        <f t="shared" si="14"/>
        <v>5937</v>
      </c>
      <c r="AN123" s="5">
        <f>$AL$4*$AL$3^AL123*$AL$2</f>
        <v>5936.8637002237865</v>
      </c>
      <c r="AO123" s="5">
        <f>IF(AL123=AL124,1,LOOKUP(MOD(AL123,$AL$1),$AN$1:$AN$5,$AO$1:$AO$5))</f>
        <v>1</v>
      </c>
      <c r="AP123" s="5">
        <f t="shared" si="15"/>
        <v>1094</v>
      </c>
      <c r="AQ123" s="5">
        <f>AM123*$AR$3</f>
        <v>791.6</v>
      </c>
      <c r="AR123" s="5">
        <f>AM123*AL123*$AR$4</f>
        <v>302.78700000000003</v>
      </c>
      <c r="AS123" s="5">
        <f>SUM($AP$9:AP122)</f>
        <v>22442</v>
      </c>
    </row>
    <row r="124" spans="1:45" x14ac:dyDescent="0.15">
      <c r="A124" s="5">
        <v>116</v>
      </c>
      <c r="D124" s="5">
        <v>116</v>
      </c>
      <c r="E124" s="5">
        <v>33</v>
      </c>
      <c r="F124" s="5">
        <v>2.5145454545454546</v>
      </c>
      <c r="G124" s="5">
        <v>268.71859013458447</v>
      </c>
      <c r="J124" s="5">
        <f t="shared" si="8"/>
        <v>116</v>
      </c>
      <c r="K124" s="5">
        <f>SUM($AP$9:AP123)</f>
        <v>23536</v>
      </c>
      <c r="L124" s="5">
        <f>LOOKUP(K124,AI:AI,AE:AE)</f>
        <v>65</v>
      </c>
      <c r="M124" s="5">
        <f>LOOKUP(L124,AE:AE,AG:AG)</f>
        <v>1550</v>
      </c>
      <c r="N124" s="5">
        <f>AM124/M124/$K$1</f>
        <v>2.5535483870967743</v>
      </c>
      <c r="O124" s="5">
        <f>SUM($N$9:N124)</f>
        <v>358.31211794414014</v>
      </c>
      <c r="AE124" s="5">
        <f t="shared" si="9"/>
        <v>116</v>
      </c>
      <c r="AF124" s="5">
        <f t="shared" si="10"/>
        <v>34446</v>
      </c>
      <c r="AG124" s="5">
        <f t="shared" si="11"/>
        <v>33298</v>
      </c>
      <c r="AH124" s="5">
        <f>AG124*$AF$1</f>
        <v>332980</v>
      </c>
      <c r="AI124" s="5">
        <f>SUM($AF$9:AF123)</f>
        <v>568698</v>
      </c>
      <c r="AK124" s="5">
        <f t="shared" si="12"/>
        <v>116</v>
      </c>
      <c r="AL124" s="5">
        <f t="shared" si="13"/>
        <v>17</v>
      </c>
      <c r="AM124" s="5">
        <f t="shared" si="14"/>
        <v>5937</v>
      </c>
      <c r="AN124" s="5">
        <f>$AL$4*$AL$3^AL124*$AL$2</f>
        <v>5936.8637002237865</v>
      </c>
      <c r="AO124" s="5">
        <f>IF(AL124=AL125,1,LOOKUP(MOD(AL124,$AL$1),$AN$1:$AN$5,$AO$1:$AO$5))</f>
        <v>1</v>
      </c>
      <c r="AP124" s="5">
        <f t="shared" si="15"/>
        <v>1094</v>
      </c>
      <c r="AQ124" s="5">
        <f>AM124*$AR$3</f>
        <v>791.6</v>
      </c>
      <c r="AR124" s="5">
        <f>AM124*AL124*$AR$4</f>
        <v>302.78700000000003</v>
      </c>
      <c r="AS124" s="5">
        <f>SUM($AP$9:AP123)</f>
        <v>23536</v>
      </c>
    </row>
    <row r="125" spans="1:45" x14ac:dyDescent="0.15">
      <c r="A125" s="5">
        <v>117</v>
      </c>
      <c r="D125" s="5">
        <v>117</v>
      </c>
      <c r="E125" s="5">
        <v>34</v>
      </c>
      <c r="F125" s="5">
        <v>2.3178770949720673</v>
      </c>
      <c r="G125" s="5">
        <v>271.03646722955654</v>
      </c>
      <c r="J125" s="5">
        <f t="shared" si="8"/>
        <v>117</v>
      </c>
      <c r="K125" s="5">
        <f>SUM($AP$9:AP124)</f>
        <v>24630</v>
      </c>
      <c r="L125" s="5">
        <f>LOOKUP(K125,AI:AI,AE:AE)</f>
        <v>65</v>
      </c>
      <c r="M125" s="5">
        <f>LOOKUP(L125,AE:AE,AG:AG)</f>
        <v>1550</v>
      </c>
      <c r="N125" s="5">
        <f>AM125/M125/$K$1</f>
        <v>2.5535483870967743</v>
      </c>
      <c r="O125" s="5">
        <f>SUM($N$9:N125)</f>
        <v>360.86566633123692</v>
      </c>
      <c r="AE125" s="5">
        <f t="shared" si="9"/>
        <v>117</v>
      </c>
      <c r="AF125" s="5">
        <f t="shared" si="10"/>
        <v>36470</v>
      </c>
      <c r="AG125" s="5">
        <f t="shared" si="11"/>
        <v>35264</v>
      </c>
      <c r="AH125" s="5">
        <f>AG125*$AF$1</f>
        <v>352640</v>
      </c>
      <c r="AI125" s="5">
        <f>SUM($AF$9:AF124)</f>
        <v>603144</v>
      </c>
      <c r="AK125" s="5">
        <f t="shared" si="12"/>
        <v>117</v>
      </c>
      <c r="AL125" s="5">
        <f t="shared" si="13"/>
        <v>17</v>
      </c>
      <c r="AM125" s="5">
        <f t="shared" si="14"/>
        <v>5937</v>
      </c>
      <c r="AN125" s="5">
        <f>$AL$4*$AL$3^AL125*$AL$2</f>
        <v>5936.8637002237865</v>
      </c>
      <c r="AO125" s="5">
        <f>IF(AL125=AL126,1,LOOKUP(MOD(AL125,$AL$1),$AN$1:$AN$5,$AO$1:$AO$5))</f>
        <v>1</v>
      </c>
      <c r="AP125" s="5">
        <f t="shared" si="15"/>
        <v>1094</v>
      </c>
      <c r="AQ125" s="5">
        <f>AM125*$AR$3</f>
        <v>791.6</v>
      </c>
      <c r="AR125" s="5">
        <f>AM125*AL125*$AR$4</f>
        <v>302.78700000000003</v>
      </c>
      <c r="AS125" s="5">
        <f>SUM($AP$9:AP124)</f>
        <v>24630</v>
      </c>
    </row>
    <row r="126" spans="1:45" x14ac:dyDescent="0.15">
      <c r="A126" s="5">
        <v>118</v>
      </c>
      <c r="D126" s="5">
        <v>118</v>
      </c>
      <c r="E126" s="5">
        <v>34</v>
      </c>
      <c r="F126" s="5">
        <v>2.3178770949720673</v>
      </c>
      <c r="G126" s="5">
        <v>273.3543443245286</v>
      </c>
      <c r="J126" s="5">
        <f t="shared" si="8"/>
        <v>118</v>
      </c>
      <c r="K126" s="5">
        <f>SUM($AP$9:AP125)</f>
        <v>25724</v>
      </c>
      <c r="L126" s="5">
        <f>LOOKUP(K126,AI:AI,AE:AE)</f>
        <v>66</v>
      </c>
      <c r="M126" s="5">
        <f>LOOKUP(L126,AE:AE,AG:AG)</f>
        <v>1652</v>
      </c>
      <c r="N126" s="5">
        <f>AM126/M126/$K$1</f>
        <v>2.3958837772397095</v>
      </c>
      <c r="O126" s="5">
        <f>SUM($N$9:N126)</f>
        <v>363.26155010847663</v>
      </c>
      <c r="AE126" s="5">
        <f t="shared" si="9"/>
        <v>118</v>
      </c>
      <c r="AF126" s="5">
        <f t="shared" si="10"/>
        <v>38610</v>
      </c>
      <c r="AG126" s="5">
        <f t="shared" si="11"/>
        <v>37344</v>
      </c>
      <c r="AH126" s="5">
        <f>AG126*$AF$1</f>
        <v>373440</v>
      </c>
      <c r="AI126" s="5">
        <f>SUM($AF$9:AF125)</f>
        <v>639614</v>
      </c>
      <c r="AK126" s="5">
        <f t="shared" si="12"/>
        <v>118</v>
      </c>
      <c r="AL126" s="5">
        <f t="shared" si="13"/>
        <v>17</v>
      </c>
      <c r="AM126" s="5">
        <f t="shared" si="14"/>
        <v>5937</v>
      </c>
      <c r="AN126" s="5">
        <f>$AL$4*$AL$3^AL126*$AL$2</f>
        <v>5936.8637002237865</v>
      </c>
      <c r="AO126" s="5">
        <f>IF(AL126=AL127,1,LOOKUP(MOD(AL126,$AL$1),$AN$1:$AN$5,$AO$1:$AO$5))</f>
        <v>1</v>
      </c>
      <c r="AP126" s="5">
        <f t="shared" si="15"/>
        <v>1094</v>
      </c>
      <c r="AQ126" s="5">
        <f>AM126*$AR$3</f>
        <v>791.6</v>
      </c>
      <c r="AR126" s="5">
        <f>AM126*AL126*$AR$4</f>
        <v>302.78700000000003</v>
      </c>
      <c r="AS126" s="5">
        <f>SUM($AP$9:AP125)</f>
        <v>25724</v>
      </c>
    </row>
    <row r="127" spans="1:45" x14ac:dyDescent="0.15">
      <c r="A127" s="5">
        <v>119</v>
      </c>
      <c r="D127" s="5">
        <v>119</v>
      </c>
      <c r="E127" s="5">
        <v>35</v>
      </c>
      <c r="F127" s="5">
        <v>2.1497409326424872</v>
      </c>
      <c r="G127" s="5">
        <v>275.50408525717108</v>
      </c>
      <c r="J127" s="5">
        <f t="shared" si="8"/>
        <v>119</v>
      </c>
      <c r="K127" s="5">
        <f>SUM($AP$9:AP126)</f>
        <v>26818</v>
      </c>
      <c r="L127" s="5">
        <f>LOOKUP(K127,AI:AI,AE:AE)</f>
        <v>67</v>
      </c>
      <c r="M127" s="5">
        <f>LOOKUP(L127,AE:AE,AG:AG)</f>
        <v>1761</v>
      </c>
      <c r="N127" s="5">
        <f>AM127/M127/$K$1</f>
        <v>13.48514101836078</v>
      </c>
      <c r="O127" s="5">
        <f>SUM($N$9:N127)</f>
        <v>376.74669112683739</v>
      </c>
      <c r="AE127" s="5">
        <f t="shared" si="9"/>
        <v>119</v>
      </c>
      <c r="AF127" s="5">
        <f t="shared" si="10"/>
        <v>40873</v>
      </c>
      <c r="AG127" s="5">
        <f t="shared" si="11"/>
        <v>39543</v>
      </c>
      <c r="AH127" s="5">
        <f>AG127*$AF$1</f>
        <v>395430</v>
      </c>
      <c r="AI127" s="5">
        <f>SUM($AF$9:AF126)</f>
        <v>678224</v>
      </c>
      <c r="AK127" s="5">
        <f t="shared" si="12"/>
        <v>119</v>
      </c>
      <c r="AL127" s="5">
        <f t="shared" si="13"/>
        <v>17</v>
      </c>
      <c r="AM127" s="5">
        <f t="shared" si="14"/>
        <v>35621</v>
      </c>
      <c r="AN127" s="5">
        <f>$AL$4*$AL$3^AL127*$AL$2</f>
        <v>5936.8637002237865</v>
      </c>
      <c r="AO127" s="5">
        <f>IF(AL127=AL128,1,LOOKUP(MOD(AL127,$AL$1),$AN$1:$AN$5,$AO$1:$AO$5))</f>
        <v>6</v>
      </c>
      <c r="AP127" s="5">
        <f t="shared" si="15"/>
        <v>6566</v>
      </c>
      <c r="AQ127" s="5">
        <f>AM127*$AR$3</f>
        <v>4749.4666666666662</v>
      </c>
      <c r="AR127" s="5">
        <f>AM127*AL127*$AR$4</f>
        <v>1816.671</v>
      </c>
      <c r="AS127" s="5">
        <f>SUM($AP$9:AP126)</f>
        <v>26818</v>
      </c>
    </row>
    <row r="128" spans="1:45" x14ac:dyDescent="0.15">
      <c r="A128" s="5">
        <v>120</v>
      </c>
      <c r="D128" s="5">
        <v>120</v>
      </c>
      <c r="E128" s="5">
        <v>35</v>
      </c>
      <c r="F128" s="5">
        <v>8.5994818652849752</v>
      </c>
      <c r="G128" s="5">
        <v>284.10356712245607</v>
      </c>
      <c r="J128" s="5">
        <f t="shared" si="8"/>
        <v>120</v>
      </c>
      <c r="K128" s="5">
        <f>SUM($AP$9:AP127)</f>
        <v>33384</v>
      </c>
      <c r="L128" s="5">
        <f>LOOKUP(K128,AI:AI,AE:AE)</f>
        <v>70</v>
      </c>
      <c r="M128" s="5">
        <f>LOOKUP(L128,AE:AE,AG:AG)</f>
        <v>2130</v>
      </c>
      <c r="N128" s="5">
        <f>AM128/M128/$K$1</f>
        <v>2.9173708920187793</v>
      </c>
      <c r="O128" s="5">
        <f>SUM($N$9:N128)</f>
        <v>379.66406201885616</v>
      </c>
      <c r="AE128" s="5">
        <f t="shared" si="9"/>
        <v>120</v>
      </c>
      <c r="AF128" s="5">
        <f t="shared" si="10"/>
        <v>43265</v>
      </c>
      <c r="AG128" s="5">
        <f t="shared" si="11"/>
        <v>41869</v>
      </c>
      <c r="AH128" s="5">
        <f>AG128*$AF$1</f>
        <v>418690</v>
      </c>
      <c r="AI128" s="5">
        <f>SUM($AF$9:AF127)</f>
        <v>719097</v>
      </c>
      <c r="AK128" s="5">
        <f t="shared" si="12"/>
        <v>120</v>
      </c>
      <c r="AL128" s="5">
        <f t="shared" si="13"/>
        <v>18</v>
      </c>
      <c r="AM128" s="5">
        <f t="shared" si="14"/>
        <v>9321</v>
      </c>
      <c r="AN128" s="5">
        <f>$AL$4*$AL$3^AL128*$AL$2</f>
        <v>9320.8760093513447</v>
      </c>
      <c r="AO128" s="5">
        <f>IF(AL128=AL129,1,LOOKUP(MOD(AL128,$AL$1),$AN$1:$AN$5,$AO$1:$AO$5))</f>
        <v>1</v>
      </c>
      <c r="AP128" s="5">
        <f t="shared" si="15"/>
        <v>1746</v>
      </c>
      <c r="AQ128" s="5">
        <f>AM128*$AR$3</f>
        <v>1242.8</v>
      </c>
      <c r="AR128" s="5">
        <f>AM128*AL128*$AR$4</f>
        <v>503.334</v>
      </c>
      <c r="AS128" s="5">
        <f>SUM($AP$9:AP127)</f>
        <v>33384</v>
      </c>
    </row>
    <row r="129" spans="1:45" x14ac:dyDescent="0.15">
      <c r="A129" s="5">
        <v>121</v>
      </c>
      <c r="D129" s="5">
        <v>121</v>
      </c>
      <c r="E129" s="5">
        <v>36</v>
      </c>
      <c r="F129" s="5">
        <v>3.1167464114832537</v>
      </c>
      <c r="G129" s="5">
        <v>287.2203135339393</v>
      </c>
      <c r="J129" s="5">
        <f t="shared" si="8"/>
        <v>121</v>
      </c>
      <c r="K129" s="5">
        <f>SUM($AP$9:AP128)</f>
        <v>35130</v>
      </c>
      <c r="L129" s="5">
        <f>LOOKUP(K129,AI:AI,AE:AE)</f>
        <v>71</v>
      </c>
      <c r="M129" s="5">
        <f>LOOKUP(L129,AE:AE,AG:AG)</f>
        <v>2268</v>
      </c>
      <c r="N129" s="5">
        <f>AM129/M129/$K$1</f>
        <v>2.7398589065255732</v>
      </c>
      <c r="O129" s="5">
        <f>SUM($N$9:N129)</f>
        <v>382.40392092538173</v>
      </c>
      <c r="AE129" s="5">
        <f t="shared" si="9"/>
        <v>121</v>
      </c>
      <c r="AF129" s="5">
        <f t="shared" si="10"/>
        <v>45795</v>
      </c>
      <c r="AG129" s="5">
        <f t="shared" si="11"/>
        <v>44329</v>
      </c>
      <c r="AH129" s="5">
        <f>AG129*$AF$1</f>
        <v>443290</v>
      </c>
      <c r="AI129" s="5">
        <f>SUM($AF$9:AF128)</f>
        <v>762362</v>
      </c>
      <c r="AK129" s="5">
        <f t="shared" si="12"/>
        <v>121</v>
      </c>
      <c r="AL129" s="5">
        <f t="shared" si="13"/>
        <v>18</v>
      </c>
      <c r="AM129" s="5">
        <f t="shared" si="14"/>
        <v>9321</v>
      </c>
      <c r="AN129" s="5">
        <f>$AL$4*$AL$3^AL129*$AL$2</f>
        <v>9320.8760093513447</v>
      </c>
      <c r="AO129" s="5">
        <f>IF(AL129=AL130,1,LOOKUP(MOD(AL129,$AL$1),$AN$1:$AN$5,$AO$1:$AO$5))</f>
        <v>1</v>
      </c>
      <c r="AP129" s="5">
        <f t="shared" si="15"/>
        <v>1746</v>
      </c>
      <c r="AQ129" s="5">
        <f>AM129*$AR$3</f>
        <v>1242.8</v>
      </c>
      <c r="AR129" s="5">
        <f>AM129*AL129*$AR$4</f>
        <v>503.334</v>
      </c>
      <c r="AS129" s="5">
        <f>SUM($AP$9:AP128)</f>
        <v>35130</v>
      </c>
    </row>
    <row r="130" spans="1:45" x14ac:dyDescent="0.15">
      <c r="A130" s="5">
        <v>122</v>
      </c>
      <c r="D130" s="5">
        <v>122</v>
      </c>
      <c r="E130" s="5">
        <v>37</v>
      </c>
      <c r="F130" s="5">
        <v>2.895111111111111</v>
      </c>
      <c r="G130" s="5">
        <v>290.11542464505044</v>
      </c>
      <c r="J130" s="5">
        <f t="shared" si="8"/>
        <v>122</v>
      </c>
      <c r="K130" s="5">
        <f>SUM($AP$9:AP129)</f>
        <v>36876</v>
      </c>
      <c r="L130" s="5">
        <f>LOOKUP(K130,AI:AI,AE:AE)</f>
        <v>71</v>
      </c>
      <c r="M130" s="5">
        <f>LOOKUP(L130,AE:AE,AG:AG)</f>
        <v>2268</v>
      </c>
      <c r="N130" s="5">
        <f>AM130/M130/$K$1</f>
        <v>2.7398589065255732</v>
      </c>
      <c r="O130" s="5">
        <f>SUM($N$9:N130)</f>
        <v>385.1437798319073</v>
      </c>
      <c r="AE130" s="5">
        <f t="shared" si="9"/>
        <v>122</v>
      </c>
      <c r="AF130" s="5">
        <f t="shared" si="10"/>
        <v>48469</v>
      </c>
      <c r="AG130" s="5">
        <f t="shared" si="11"/>
        <v>46930</v>
      </c>
      <c r="AH130" s="5">
        <f>AG130*$AF$1</f>
        <v>469300</v>
      </c>
      <c r="AI130" s="5">
        <f>SUM($AF$9:AF129)</f>
        <v>808157</v>
      </c>
      <c r="AK130" s="5">
        <f t="shared" si="12"/>
        <v>122</v>
      </c>
      <c r="AL130" s="5">
        <f t="shared" si="13"/>
        <v>18</v>
      </c>
      <c r="AM130" s="5">
        <f t="shared" si="14"/>
        <v>9321</v>
      </c>
      <c r="AN130" s="5">
        <f>$AL$4*$AL$3^AL130*$AL$2</f>
        <v>9320.8760093513447</v>
      </c>
      <c r="AO130" s="5">
        <f>IF(AL130=AL131,1,LOOKUP(MOD(AL130,$AL$1),$AN$1:$AN$5,$AO$1:$AO$5))</f>
        <v>1</v>
      </c>
      <c r="AP130" s="5">
        <f t="shared" si="15"/>
        <v>1746</v>
      </c>
      <c r="AQ130" s="5">
        <f>AM130*$AR$3</f>
        <v>1242.8</v>
      </c>
      <c r="AR130" s="5">
        <f>AM130*AL130*$AR$4</f>
        <v>503.334</v>
      </c>
      <c r="AS130" s="5">
        <f>SUM($AP$9:AP129)</f>
        <v>36876</v>
      </c>
    </row>
    <row r="131" spans="1:45" x14ac:dyDescent="0.15">
      <c r="A131" s="5">
        <v>123</v>
      </c>
      <c r="D131" s="5">
        <v>123</v>
      </c>
      <c r="E131" s="5">
        <v>37</v>
      </c>
      <c r="F131" s="5">
        <v>2.895111111111111</v>
      </c>
      <c r="G131" s="5">
        <v>293.01053575616157</v>
      </c>
      <c r="J131" s="5">
        <f t="shared" si="8"/>
        <v>123</v>
      </c>
      <c r="K131" s="5">
        <f>SUM($AP$9:AP130)</f>
        <v>38622</v>
      </c>
      <c r="L131" s="5">
        <f>LOOKUP(K131,AI:AI,AE:AE)</f>
        <v>72</v>
      </c>
      <c r="M131" s="5">
        <f>LOOKUP(L131,AE:AE,AG:AG)</f>
        <v>2415</v>
      </c>
      <c r="N131" s="5">
        <f>AM131/M131/$K$1</f>
        <v>2.5730848861283646</v>
      </c>
      <c r="O131" s="5">
        <f>SUM($N$9:N131)</f>
        <v>387.71686471803565</v>
      </c>
      <c r="AE131" s="5">
        <f t="shared" si="9"/>
        <v>123</v>
      </c>
      <c r="AF131" s="5">
        <f t="shared" si="10"/>
        <v>51296</v>
      </c>
      <c r="AG131" s="5">
        <f t="shared" si="11"/>
        <v>49681</v>
      </c>
      <c r="AH131" s="5">
        <f>AG131*$AF$1</f>
        <v>496810</v>
      </c>
      <c r="AI131" s="5">
        <f>SUM($AF$9:AF130)</f>
        <v>856626</v>
      </c>
      <c r="AK131" s="5">
        <f t="shared" si="12"/>
        <v>123</v>
      </c>
      <c r="AL131" s="5">
        <f t="shared" si="13"/>
        <v>18</v>
      </c>
      <c r="AM131" s="5">
        <f t="shared" si="14"/>
        <v>9321</v>
      </c>
      <c r="AN131" s="5">
        <f>$AL$4*$AL$3^AL131*$AL$2</f>
        <v>9320.8760093513447</v>
      </c>
      <c r="AO131" s="5">
        <f>IF(AL131=AL132,1,LOOKUP(MOD(AL131,$AL$1),$AN$1:$AN$5,$AO$1:$AO$5))</f>
        <v>1</v>
      </c>
      <c r="AP131" s="5">
        <f t="shared" si="15"/>
        <v>1746</v>
      </c>
      <c r="AQ131" s="5">
        <f>AM131*$AR$3</f>
        <v>1242.8</v>
      </c>
      <c r="AR131" s="5">
        <f>AM131*AL131*$AR$4</f>
        <v>503.334</v>
      </c>
      <c r="AS131" s="5">
        <f>SUM($AP$9:AP130)</f>
        <v>38622</v>
      </c>
    </row>
    <row r="132" spans="1:45" x14ac:dyDescent="0.15">
      <c r="A132" s="5">
        <v>124</v>
      </c>
      <c r="D132" s="5">
        <v>124</v>
      </c>
      <c r="E132" s="5">
        <v>38</v>
      </c>
      <c r="F132" s="5">
        <v>2.6806584362139918</v>
      </c>
      <c r="G132" s="5">
        <v>295.69119419237558</v>
      </c>
      <c r="J132" s="5">
        <f t="shared" si="8"/>
        <v>124</v>
      </c>
      <c r="K132" s="5">
        <f>SUM($AP$9:AP131)</f>
        <v>40368</v>
      </c>
      <c r="L132" s="5">
        <f>LOOKUP(K132,AI:AI,AE:AE)</f>
        <v>73</v>
      </c>
      <c r="M132" s="5">
        <f>LOOKUP(L132,AE:AE,AG:AG)</f>
        <v>2571</v>
      </c>
      <c r="N132" s="5">
        <f>AM132/M132/$K$1</f>
        <v>2.4169583819525475</v>
      </c>
      <c r="O132" s="5">
        <f>SUM($N$9:N132)</f>
        <v>390.13382309998821</v>
      </c>
      <c r="AE132" s="5">
        <f t="shared" si="9"/>
        <v>124</v>
      </c>
      <c r="AF132" s="5">
        <f t="shared" si="10"/>
        <v>54285</v>
      </c>
      <c r="AG132" s="5">
        <f t="shared" si="11"/>
        <v>52589</v>
      </c>
      <c r="AH132" s="5">
        <f>AG132*$AF$1</f>
        <v>525890</v>
      </c>
      <c r="AI132" s="5">
        <f>SUM($AF$9:AF131)</f>
        <v>907922</v>
      </c>
      <c r="AK132" s="5">
        <f t="shared" si="12"/>
        <v>124</v>
      </c>
      <c r="AL132" s="5">
        <f t="shared" si="13"/>
        <v>18</v>
      </c>
      <c r="AM132" s="5">
        <f t="shared" si="14"/>
        <v>9321</v>
      </c>
      <c r="AN132" s="5">
        <f>$AL$4*$AL$3^AL132*$AL$2</f>
        <v>9320.8760093513447</v>
      </c>
      <c r="AO132" s="5">
        <f>IF(AL132=AL133,1,LOOKUP(MOD(AL132,$AL$1),$AN$1:$AN$5,$AO$1:$AO$5))</f>
        <v>1</v>
      </c>
      <c r="AP132" s="5">
        <f t="shared" si="15"/>
        <v>1746</v>
      </c>
      <c r="AQ132" s="5">
        <f>AM132*$AR$3</f>
        <v>1242.8</v>
      </c>
      <c r="AR132" s="5">
        <f>AM132*AL132*$AR$4</f>
        <v>503.334</v>
      </c>
      <c r="AS132" s="5">
        <f>SUM($AP$9:AP131)</f>
        <v>40368</v>
      </c>
    </row>
    <row r="133" spans="1:45" x14ac:dyDescent="0.15">
      <c r="A133" s="5">
        <v>125</v>
      </c>
      <c r="D133" s="5">
        <v>125</v>
      </c>
      <c r="E133" s="5">
        <v>38</v>
      </c>
      <c r="F133" s="5">
        <v>2.6806584362139918</v>
      </c>
      <c r="G133" s="5">
        <v>298.37185262858958</v>
      </c>
      <c r="J133" s="5">
        <f t="shared" si="8"/>
        <v>125</v>
      </c>
      <c r="K133" s="5">
        <f>SUM($AP$9:AP132)</f>
        <v>42114</v>
      </c>
      <c r="L133" s="5">
        <f>LOOKUP(K133,AI:AI,AE:AE)</f>
        <v>73</v>
      </c>
      <c r="M133" s="5">
        <f>LOOKUP(L133,AE:AE,AG:AG)</f>
        <v>2571</v>
      </c>
      <c r="N133" s="5">
        <f>AM133/M133/$K$1</f>
        <v>2.4169583819525475</v>
      </c>
      <c r="O133" s="5">
        <f>SUM($N$9:N133)</f>
        <v>392.55078148194076</v>
      </c>
      <c r="AE133" s="5">
        <f t="shared" si="9"/>
        <v>125</v>
      </c>
      <c r="AF133" s="5">
        <f t="shared" si="10"/>
        <v>57445</v>
      </c>
      <c r="AG133" s="5">
        <f t="shared" si="11"/>
        <v>55664</v>
      </c>
      <c r="AH133" s="5">
        <f>AG133*$AF$1</f>
        <v>556640</v>
      </c>
      <c r="AI133" s="5">
        <f>SUM($AF$9:AF132)</f>
        <v>962207</v>
      </c>
      <c r="AK133" s="5">
        <f t="shared" si="12"/>
        <v>125</v>
      </c>
      <c r="AL133" s="5">
        <f t="shared" si="13"/>
        <v>18</v>
      </c>
      <c r="AM133" s="5">
        <f t="shared" si="14"/>
        <v>9321</v>
      </c>
      <c r="AN133" s="5">
        <f>$AL$4*$AL$3^AL133*$AL$2</f>
        <v>9320.8760093513447</v>
      </c>
      <c r="AO133" s="5">
        <f>IF(AL133=AL134,1,LOOKUP(MOD(AL133,$AL$1),$AN$1:$AN$5,$AO$1:$AO$5))</f>
        <v>1</v>
      </c>
      <c r="AP133" s="5">
        <f t="shared" si="15"/>
        <v>1746</v>
      </c>
      <c r="AQ133" s="5">
        <f>AM133*$AR$3</f>
        <v>1242.8</v>
      </c>
      <c r="AR133" s="5">
        <f>AM133*AL133*$AR$4</f>
        <v>503.334</v>
      </c>
      <c r="AS133" s="5">
        <f>SUM($AP$9:AP132)</f>
        <v>42114</v>
      </c>
    </row>
    <row r="134" spans="1:45" x14ac:dyDescent="0.15">
      <c r="A134" s="5">
        <v>126</v>
      </c>
      <c r="D134" s="5">
        <v>126</v>
      </c>
      <c r="E134" s="5">
        <v>39</v>
      </c>
      <c r="F134" s="5">
        <v>2.4957854406130267</v>
      </c>
      <c r="G134" s="5">
        <v>300.8676380692026</v>
      </c>
      <c r="J134" s="5">
        <f t="shared" si="8"/>
        <v>126</v>
      </c>
      <c r="K134" s="5">
        <f>SUM($AP$9:AP133)</f>
        <v>43860</v>
      </c>
      <c r="L134" s="5">
        <f>LOOKUP(K134,AI:AI,AE:AE)</f>
        <v>74</v>
      </c>
      <c r="M134" s="5">
        <f>LOOKUP(L134,AE:AE,AG:AG)</f>
        <v>2737</v>
      </c>
      <c r="N134" s="5">
        <f>AM134/M134/$K$1</f>
        <v>15.892339544513456</v>
      </c>
      <c r="O134" s="5">
        <f>SUM($N$9:N134)</f>
        <v>408.44312102645421</v>
      </c>
      <c r="AE134" s="5">
        <f t="shared" si="9"/>
        <v>126</v>
      </c>
      <c r="AF134" s="5">
        <f t="shared" si="10"/>
        <v>60785</v>
      </c>
      <c r="AG134" s="5">
        <f t="shared" si="11"/>
        <v>58915</v>
      </c>
      <c r="AH134" s="5">
        <f>AG134*$AF$1</f>
        <v>589150</v>
      </c>
      <c r="AI134" s="5">
        <f>SUM($AF$9:AF133)</f>
        <v>1019652</v>
      </c>
      <c r="AK134" s="5">
        <f t="shared" si="12"/>
        <v>126</v>
      </c>
      <c r="AL134" s="5">
        <f t="shared" si="13"/>
        <v>18</v>
      </c>
      <c r="AM134" s="5">
        <f t="shared" si="14"/>
        <v>65246</v>
      </c>
      <c r="AN134" s="5">
        <f>$AL$4*$AL$3^AL134*$AL$2</f>
        <v>9320.8760093513447</v>
      </c>
      <c r="AO134" s="5">
        <f>IF(AL134=AL135,1,LOOKUP(MOD(AL134,$AL$1),$AN$1:$AN$5,$AO$1:$AO$5))</f>
        <v>7</v>
      </c>
      <c r="AP134" s="5">
        <f t="shared" si="15"/>
        <v>12223</v>
      </c>
      <c r="AQ134" s="5">
        <f>AM134*$AR$3</f>
        <v>8699.4666666666672</v>
      </c>
      <c r="AR134" s="5">
        <f>AM134*AL134*$AR$4</f>
        <v>3523.2840000000001</v>
      </c>
      <c r="AS134" s="5">
        <f>SUM($AP$9:AP133)</f>
        <v>43860</v>
      </c>
    </row>
    <row r="135" spans="1:45" x14ac:dyDescent="0.15">
      <c r="A135" s="5">
        <v>127</v>
      </c>
      <c r="D135" s="5">
        <v>127</v>
      </c>
      <c r="E135" s="5">
        <v>39</v>
      </c>
      <c r="F135" s="5">
        <v>2.4957854406130267</v>
      </c>
      <c r="G135" s="5">
        <v>303.36342350981562</v>
      </c>
      <c r="J135" s="5">
        <f t="shared" si="8"/>
        <v>127</v>
      </c>
      <c r="K135" s="5">
        <f>SUM($AP$9:AP134)</f>
        <v>56083</v>
      </c>
      <c r="L135" s="5">
        <f>LOOKUP(K135,AI:AI,AE:AE)</f>
        <v>78</v>
      </c>
      <c r="M135" s="5">
        <f>LOOKUP(L135,AE:AE,AG:AG)</f>
        <v>3506</v>
      </c>
      <c r="N135" s="5">
        <f>AM135/M135/$K$1</f>
        <v>2.7826583000570451</v>
      </c>
      <c r="O135" s="5">
        <f>SUM($N$9:N135)</f>
        <v>411.22577932651126</v>
      </c>
      <c r="AE135" s="5">
        <f t="shared" si="9"/>
        <v>127</v>
      </c>
      <c r="AF135" s="5">
        <f t="shared" si="10"/>
        <v>64315</v>
      </c>
      <c r="AG135" s="5">
        <f t="shared" si="11"/>
        <v>62351</v>
      </c>
      <c r="AH135" s="5">
        <f>AG135*$AF$1</f>
        <v>623510</v>
      </c>
      <c r="AI135" s="5">
        <f>SUM($AF$9:AF134)</f>
        <v>1080437</v>
      </c>
      <c r="AK135" s="5">
        <f t="shared" si="12"/>
        <v>127</v>
      </c>
      <c r="AL135" s="5">
        <f t="shared" si="13"/>
        <v>19</v>
      </c>
      <c r="AM135" s="5">
        <f t="shared" si="14"/>
        <v>14634</v>
      </c>
      <c r="AN135" s="5">
        <f>$AL$4*$AL$3^AL135*$AL$2</f>
        <v>14633.775334681612</v>
      </c>
      <c r="AO135" s="5">
        <f>IF(AL135=AL136,1,LOOKUP(MOD(AL135,$AL$1),$AN$1:$AN$5,$AO$1:$AO$5))</f>
        <v>1</v>
      </c>
      <c r="AP135" s="5">
        <f t="shared" si="15"/>
        <v>2785</v>
      </c>
      <c r="AQ135" s="5">
        <f>AM135*$AR$3</f>
        <v>1951.2</v>
      </c>
      <c r="AR135" s="5">
        <f>AM135*AL135*$AR$4</f>
        <v>834.13800000000003</v>
      </c>
      <c r="AS135" s="5">
        <f>SUM($AP$9:AP134)</f>
        <v>56083</v>
      </c>
    </row>
    <row r="136" spans="1:45" x14ac:dyDescent="0.15">
      <c r="A136" s="5">
        <v>128</v>
      </c>
      <c r="D136" s="5">
        <v>128</v>
      </c>
      <c r="E136" s="5">
        <v>39</v>
      </c>
      <c r="F136" s="5">
        <v>2.4957854406130267</v>
      </c>
      <c r="G136" s="5">
        <v>305.85920895042864</v>
      </c>
      <c r="J136" s="5">
        <f t="shared" si="8"/>
        <v>128</v>
      </c>
      <c r="K136" s="5">
        <f>SUM($AP$9:AP135)</f>
        <v>58868</v>
      </c>
      <c r="L136" s="5">
        <f>LOOKUP(K136,AI:AI,AE:AE)</f>
        <v>79</v>
      </c>
      <c r="M136" s="5">
        <f>LOOKUP(L136,AE:AE,AG:AG)</f>
        <v>3729</v>
      </c>
      <c r="N136" s="5">
        <f>AM136/M136/$K$1</f>
        <v>2.6162510056315367</v>
      </c>
      <c r="O136" s="5">
        <f>SUM($N$9:N136)</f>
        <v>413.84203033214277</v>
      </c>
      <c r="AE136" s="5">
        <f t="shared" si="9"/>
        <v>128</v>
      </c>
      <c r="AF136" s="5">
        <f t="shared" si="10"/>
        <v>68046</v>
      </c>
      <c r="AG136" s="5">
        <f t="shared" si="11"/>
        <v>65984</v>
      </c>
      <c r="AH136" s="5">
        <f>AG136*$AF$1</f>
        <v>659840</v>
      </c>
      <c r="AI136" s="5">
        <f>SUM($AF$9:AF135)</f>
        <v>1144752</v>
      </c>
      <c r="AK136" s="5">
        <f t="shared" si="12"/>
        <v>128</v>
      </c>
      <c r="AL136" s="5">
        <f t="shared" si="13"/>
        <v>19</v>
      </c>
      <c r="AM136" s="5">
        <f t="shared" si="14"/>
        <v>14634</v>
      </c>
      <c r="AN136" s="5">
        <f>$AL$4*$AL$3^AL136*$AL$2</f>
        <v>14633.775334681612</v>
      </c>
      <c r="AO136" s="5">
        <f>IF(AL136=AL137,1,LOOKUP(MOD(AL136,$AL$1),$AN$1:$AN$5,$AO$1:$AO$5))</f>
        <v>1</v>
      </c>
      <c r="AP136" s="5">
        <f t="shared" si="15"/>
        <v>2785</v>
      </c>
      <c r="AQ136" s="5">
        <f>AM136*$AR$3</f>
        <v>1951.2</v>
      </c>
      <c r="AR136" s="5">
        <f>AM136*AL136*$AR$4</f>
        <v>834.13800000000003</v>
      </c>
      <c r="AS136" s="5">
        <f>SUM($AP$9:AP135)</f>
        <v>58868</v>
      </c>
    </row>
    <row r="137" spans="1:45" x14ac:dyDescent="0.15">
      <c r="A137" s="5">
        <v>129</v>
      </c>
      <c r="D137" s="5">
        <v>129</v>
      </c>
      <c r="E137" s="5">
        <v>40</v>
      </c>
      <c r="F137" s="5">
        <v>2.3099290780141843</v>
      </c>
      <c r="G137" s="5">
        <v>308.16913802844283</v>
      </c>
      <c r="J137" s="5">
        <f t="shared" si="8"/>
        <v>129</v>
      </c>
      <c r="K137" s="5">
        <f>SUM($AP$9:AP136)</f>
        <v>61653</v>
      </c>
      <c r="L137" s="5">
        <f>LOOKUP(K137,AI:AI,AE:AE)</f>
        <v>79</v>
      </c>
      <c r="M137" s="5">
        <f>LOOKUP(L137,AE:AE,AG:AG)</f>
        <v>3729</v>
      </c>
      <c r="N137" s="5">
        <f>AM137/M137/$K$1</f>
        <v>2.6162510056315367</v>
      </c>
      <c r="O137" s="5">
        <f>SUM($N$9:N137)</f>
        <v>416.45828133777428</v>
      </c>
      <c r="AE137" s="5">
        <f t="shared" si="9"/>
        <v>129</v>
      </c>
      <c r="AF137" s="5">
        <f t="shared" si="10"/>
        <v>71990</v>
      </c>
      <c r="AG137" s="5">
        <f t="shared" si="11"/>
        <v>69825</v>
      </c>
      <c r="AH137" s="5">
        <f>AG137*$AF$1</f>
        <v>698250</v>
      </c>
      <c r="AI137" s="5">
        <f>SUM($AF$9:AF136)</f>
        <v>1212798</v>
      </c>
      <c r="AK137" s="5">
        <f t="shared" si="12"/>
        <v>129</v>
      </c>
      <c r="AL137" s="5">
        <f t="shared" si="13"/>
        <v>19</v>
      </c>
      <c r="AM137" s="5">
        <f t="shared" si="14"/>
        <v>14634</v>
      </c>
      <c r="AN137" s="5">
        <f>$AL$4*$AL$3^AL137*$AL$2</f>
        <v>14633.775334681612</v>
      </c>
      <c r="AO137" s="5">
        <f>IF(AL137=AL138,1,LOOKUP(MOD(AL137,$AL$1),$AN$1:$AN$5,$AO$1:$AO$5))</f>
        <v>1</v>
      </c>
      <c r="AP137" s="5">
        <f t="shared" si="15"/>
        <v>2785</v>
      </c>
      <c r="AQ137" s="5">
        <f>AM137*$AR$3</f>
        <v>1951.2</v>
      </c>
      <c r="AR137" s="5">
        <f>AM137*AL137*$AR$4</f>
        <v>834.13800000000003</v>
      </c>
      <c r="AS137" s="5">
        <f>SUM($AP$9:AP136)</f>
        <v>61653</v>
      </c>
    </row>
    <row r="138" spans="1:45" x14ac:dyDescent="0.15">
      <c r="A138" s="5">
        <v>130</v>
      </c>
      <c r="D138" s="5">
        <v>130</v>
      </c>
      <c r="E138" s="5">
        <v>40</v>
      </c>
      <c r="F138" s="5">
        <v>13.860283687943262</v>
      </c>
      <c r="G138" s="5">
        <v>322.02942171638608</v>
      </c>
      <c r="J138" s="5">
        <f t="shared" ref="J138:J201" si="16">A138</f>
        <v>130</v>
      </c>
      <c r="K138" s="5">
        <f>SUM($AP$9:AP137)</f>
        <v>64438</v>
      </c>
      <c r="L138" s="5">
        <f>LOOKUP(K138,AI:AI,AE:AE)</f>
        <v>80</v>
      </c>
      <c r="M138" s="5">
        <f>LOOKUP(L138,AE:AE,AG:AG)</f>
        <v>3965</v>
      </c>
      <c r="N138" s="5">
        <f>AM138/M138/$K$1</f>
        <v>2.4605296343001259</v>
      </c>
      <c r="O138" s="5">
        <f>SUM($N$9:N138)</f>
        <v>418.91881097207443</v>
      </c>
      <c r="AE138" s="5">
        <f t="shared" ref="AE138:AE201" si="17">A138</f>
        <v>130</v>
      </c>
      <c r="AF138" s="5">
        <f t="shared" ref="AF138:AF201" si="18">ROUND(1.05^AE138*(AE138+4),0)</f>
        <v>76158</v>
      </c>
      <c r="AG138" s="5">
        <f t="shared" ref="AG138:AG201" si="19">ROUND(1.05^AE138*AE138,0)</f>
        <v>73884</v>
      </c>
      <c r="AH138" s="5">
        <f>AG138*$AF$1</f>
        <v>738840</v>
      </c>
      <c r="AI138" s="5">
        <f>SUM($AF$9:AF137)</f>
        <v>1284788</v>
      </c>
      <c r="AK138" s="5">
        <f t="shared" ref="AK138:AK201" si="20">A138</f>
        <v>130</v>
      </c>
      <c r="AL138" s="5">
        <f t="shared" ref="AL138:AL201" si="21">ROUNDUP(AK138/$AL$1,0)</f>
        <v>19</v>
      </c>
      <c r="AM138" s="5">
        <f t="shared" ref="AM138:AM201" si="22">ROUND(AN138*AO138,0)</f>
        <v>14634</v>
      </c>
      <c r="AN138" s="5">
        <f>$AL$4*$AL$3^AL138*$AL$2</f>
        <v>14633.775334681612</v>
      </c>
      <c r="AO138" s="5">
        <f>IF(AL138=AL139,1,LOOKUP(MOD(AL138,$AL$1),$AN$1:$AN$5,$AO$1:$AO$5))</f>
        <v>1</v>
      </c>
      <c r="AP138" s="5">
        <f t="shared" ref="AP138:AP201" si="23">ROUND(AQ138+AR138,0)</f>
        <v>2785</v>
      </c>
      <c r="AQ138" s="5">
        <f>AM138*$AR$3</f>
        <v>1951.2</v>
      </c>
      <c r="AR138" s="5">
        <f>AM138*AL138*$AR$4</f>
        <v>834.13800000000003</v>
      </c>
      <c r="AS138" s="5">
        <f>SUM($AP$9:AP137)</f>
        <v>64438</v>
      </c>
    </row>
    <row r="139" spans="1:45" x14ac:dyDescent="0.15">
      <c r="A139" s="5">
        <v>131</v>
      </c>
      <c r="D139" s="5">
        <v>131</v>
      </c>
      <c r="E139" s="5">
        <v>42</v>
      </c>
      <c r="F139" s="5">
        <v>3.1371165644171777</v>
      </c>
      <c r="G139" s="5">
        <v>325.16653828080325</v>
      </c>
      <c r="J139" s="5">
        <f t="shared" si="16"/>
        <v>131</v>
      </c>
      <c r="K139" s="5">
        <f>SUM($AP$9:AP138)</f>
        <v>67223</v>
      </c>
      <c r="L139" s="5">
        <f>LOOKUP(K139,AI:AI,AE:AE)</f>
        <v>81</v>
      </c>
      <c r="M139" s="5">
        <f>LOOKUP(L139,AE:AE,AG:AG)</f>
        <v>4215</v>
      </c>
      <c r="N139" s="5">
        <f>AM139/M139/$K$1</f>
        <v>2.314590747330961</v>
      </c>
      <c r="O139" s="5">
        <f>SUM($N$9:N139)</f>
        <v>421.23340171940538</v>
      </c>
      <c r="AE139" s="5">
        <f t="shared" si="17"/>
        <v>131</v>
      </c>
      <c r="AF139" s="5">
        <f t="shared" si="18"/>
        <v>80562</v>
      </c>
      <c r="AG139" s="5">
        <f t="shared" si="19"/>
        <v>78175</v>
      </c>
      <c r="AH139" s="5">
        <f>AG139*$AF$1</f>
        <v>781750</v>
      </c>
      <c r="AI139" s="5">
        <f>SUM($AF$9:AF138)</f>
        <v>1360946</v>
      </c>
      <c r="AK139" s="5">
        <f t="shared" si="20"/>
        <v>131</v>
      </c>
      <c r="AL139" s="5">
        <f t="shared" si="21"/>
        <v>19</v>
      </c>
      <c r="AM139" s="5">
        <f t="shared" si="22"/>
        <v>14634</v>
      </c>
      <c r="AN139" s="5">
        <f>$AL$4*$AL$3^AL139*$AL$2</f>
        <v>14633.775334681612</v>
      </c>
      <c r="AO139" s="5">
        <f>IF(AL139=AL140,1,LOOKUP(MOD(AL139,$AL$1),$AN$1:$AN$5,$AO$1:$AO$5))</f>
        <v>1</v>
      </c>
      <c r="AP139" s="5">
        <f t="shared" si="23"/>
        <v>2785</v>
      </c>
      <c r="AQ139" s="5">
        <f>AM139*$AR$3</f>
        <v>1951.2</v>
      </c>
      <c r="AR139" s="5">
        <f>AM139*AL139*$AR$4</f>
        <v>834.13800000000003</v>
      </c>
      <c r="AS139" s="5">
        <f>SUM($AP$9:AP138)</f>
        <v>67223</v>
      </c>
    </row>
    <row r="140" spans="1:45" x14ac:dyDescent="0.15">
      <c r="A140" s="5">
        <v>132</v>
      </c>
      <c r="D140" s="5">
        <v>132</v>
      </c>
      <c r="E140" s="5">
        <v>43</v>
      </c>
      <c r="F140" s="5">
        <v>2.9219999999999997</v>
      </c>
      <c r="G140" s="5">
        <v>328.08853828080328</v>
      </c>
      <c r="J140" s="5">
        <f t="shared" si="16"/>
        <v>132</v>
      </c>
      <c r="K140" s="5">
        <f>SUM($AP$9:AP139)</f>
        <v>70008</v>
      </c>
      <c r="L140" s="5">
        <f>LOOKUP(K140,AI:AI,AE:AE)</f>
        <v>81</v>
      </c>
      <c r="M140" s="5">
        <f>LOOKUP(L140,AE:AE,AG:AG)</f>
        <v>4215</v>
      </c>
      <c r="N140" s="5">
        <f>AM140/M140/$K$1</f>
        <v>2.314590747330961</v>
      </c>
      <c r="O140" s="5">
        <f>SUM($N$9:N140)</f>
        <v>423.54799246673633</v>
      </c>
      <c r="AE140" s="5">
        <f t="shared" si="17"/>
        <v>132</v>
      </c>
      <c r="AF140" s="5">
        <f t="shared" si="18"/>
        <v>85217</v>
      </c>
      <c r="AG140" s="5">
        <f t="shared" si="19"/>
        <v>82711</v>
      </c>
      <c r="AH140" s="5">
        <f>AG140*$AF$1</f>
        <v>827110</v>
      </c>
      <c r="AI140" s="5">
        <f>SUM($AF$9:AF139)</f>
        <v>1441508</v>
      </c>
      <c r="AK140" s="5">
        <f t="shared" si="20"/>
        <v>132</v>
      </c>
      <c r="AL140" s="5">
        <f t="shared" si="21"/>
        <v>19</v>
      </c>
      <c r="AM140" s="5">
        <f t="shared" si="22"/>
        <v>14634</v>
      </c>
      <c r="AN140" s="5">
        <f>$AL$4*$AL$3^AL140*$AL$2</f>
        <v>14633.775334681612</v>
      </c>
      <c r="AO140" s="5">
        <f>IF(AL140=AL141,1,LOOKUP(MOD(AL140,$AL$1),$AN$1:$AN$5,$AO$1:$AO$5))</f>
        <v>1</v>
      </c>
      <c r="AP140" s="5">
        <f t="shared" si="23"/>
        <v>2785</v>
      </c>
      <c r="AQ140" s="5">
        <f>AM140*$AR$3</f>
        <v>1951.2</v>
      </c>
      <c r="AR140" s="5">
        <f>AM140*AL140*$AR$4</f>
        <v>834.13800000000003</v>
      </c>
      <c r="AS140" s="5">
        <f>SUM($AP$9:AP139)</f>
        <v>70008</v>
      </c>
    </row>
    <row r="141" spans="1:45" x14ac:dyDescent="0.15">
      <c r="A141" s="5">
        <v>133</v>
      </c>
      <c r="D141" s="5">
        <v>133</v>
      </c>
      <c r="E141" s="5">
        <v>43</v>
      </c>
      <c r="F141" s="5">
        <v>2.9219999999999997</v>
      </c>
      <c r="G141" s="5">
        <v>331.0105382808033</v>
      </c>
      <c r="J141" s="5">
        <f t="shared" si="16"/>
        <v>133</v>
      </c>
      <c r="K141" s="5">
        <f>SUM($AP$9:AP140)</f>
        <v>72793</v>
      </c>
      <c r="L141" s="5">
        <f>LOOKUP(K141,AI:AI,AE:AE)</f>
        <v>82</v>
      </c>
      <c r="M141" s="5">
        <f>LOOKUP(L141,AE:AE,AG:AG)</f>
        <v>4481</v>
      </c>
      <c r="N141" s="5">
        <f>AM141/M141/$K$1</f>
        <v>15.240050583947037</v>
      </c>
      <c r="O141" s="5">
        <f>SUM($N$9:N141)</f>
        <v>438.78804305068337</v>
      </c>
      <c r="AE141" s="5">
        <f t="shared" si="17"/>
        <v>133</v>
      </c>
      <c r="AF141" s="5">
        <f t="shared" si="18"/>
        <v>90136</v>
      </c>
      <c r="AG141" s="5">
        <f t="shared" si="19"/>
        <v>87504</v>
      </c>
      <c r="AH141" s="5">
        <f>AG141*$AF$1</f>
        <v>875040</v>
      </c>
      <c r="AI141" s="5">
        <f>SUM($AF$9:AF140)</f>
        <v>1526725</v>
      </c>
      <c r="AK141" s="5">
        <f t="shared" si="20"/>
        <v>133</v>
      </c>
      <c r="AL141" s="5">
        <f t="shared" si="21"/>
        <v>19</v>
      </c>
      <c r="AM141" s="5">
        <f t="shared" si="22"/>
        <v>102436</v>
      </c>
      <c r="AN141" s="5">
        <f>$AL$4*$AL$3^AL141*$AL$2</f>
        <v>14633.775334681612</v>
      </c>
      <c r="AO141" s="5">
        <f>IF(AL141=AL142,1,LOOKUP(MOD(AL141,$AL$1),$AN$1:$AN$5,$AO$1:$AO$5))</f>
        <v>7</v>
      </c>
      <c r="AP141" s="5">
        <f t="shared" si="23"/>
        <v>19497</v>
      </c>
      <c r="AQ141" s="5">
        <f>AM141*$AR$3</f>
        <v>13658.133333333333</v>
      </c>
      <c r="AR141" s="5">
        <f>AM141*AL141*$AR$4</f>
        <v>5838.8519999999999</v>
      </c>
      <c r="AS141" s="5">
        <f>SUM($AP$9:AP140)</f>
        <v>72793</v>
      </c>
    </row>
    <row r="142" spans="1:45" x14ac:dyDescent="0.15">
      <c r="A142" s="5">
        <v>134</v>
      </c>
      <c r="D142" s="5">
        <v>134</v>
      </c>
      <c r="E142" s="5">
        <v>44</v>
      </c>
      <c r="F142" s="5">
        <v>2.7127320954907161</v>
      </c>
      <c r="G142" s="5">
        <v>333.72327037629401</v>
      </c>
      <c r="J142" s="5">
        <f t="shared" si="16"/>
        <v>134</v>
      </c>
      <c r="K142" s="5">
        <f>SUM($AP$9:AP141)</f>
        <v>92290</v>
      </c>
      <c r="L142" s="5">
        <f>LOOKUP(K142,AI:AI,AE:AE)</f>
        <v>86</v>
      </c>
      <c r="M142" s="5">
        <f>LOOKUP(L142,AE:AE,AG:AG)</f>
        <v>5712</v>
      </c>
      <c r="N142" s="5">
        <f>AM142/M142/$K$1</f>
        <v>2.6814892623716151</v>
      </c>
      <c r="O142" s="5">
        <f>SUM($N$9:N142)</f>
        <v>441.46953231305497</v>
      </c>
      <c r="AE142" s="5">
        <f t="shared" si="17"/>
        <v>134</v>
      </c>
      <c r="AF142" s="5">
        <f t="shared" si="18"/>
        <v>95333</v>
      </c>
      <c r="AG142" s="5">
        <f t="shared" si="19"/>
        <v>92570</v>
      </c>
      <c r="AH142" s="5">
        <f>AG142*$AF$1</f>
        <v>925700</v>
      </c>
      <c r="AI142" s="5">
        <f>SUM($AF$9:AF141)</f>
        <v>1616861</v>
      </c>
      <c r="AK142" s="5">
        <f t="shared" si="20"/>
        <v>134</v>
      </c>
      <c r="AL142" s="5">
        <f t="shared" si="21"/>
        <v>20</v>
      </c>
      <c r="AM142" s="5">
        <f t="shared" si="22"/>
        <v>22975</v>
      </c>
      <c r="AN142" s="5">
        <f>$AL$4*$AL$3^AL142*$AL$2</f>
        <v>22975.027275450127</v>
      </c>
      <c r="AO142" s="5">
        <f>IF(AL142=AL143,1,LOOKUP(MOD(AL142,$AL$1),$AN$1:$AN$5,$AO$1:$AO$5))</f>
        <v>1</v>
      </c>
      <c r="AP142" s="5">
        <f t="shared" si="23"/>
        <v>4442</v>
      </c>
      <c r="AQ142" s="5">
        <f>AM142*$AR$3</f>
        <v>3063.3333333333335</v>
      </c>
      <c r="AR142" s="5">
        <f>AM142*AL142*$AR$4</f>
        <v>1378.5</v>
      </c>
      <c r="AS142" s="5">
        <f>SUM($AP$9:AP141)</f>
        <v>92290</v>
      </c>
    </row>
    <row r="143" spans="1:45" x14ac:dyDescent="0.15">
      <c r="A143" s="5">
        <v>135</v>
      </c>
      <c r="D143" s="5">
        <v>135</v>
      </c>
      <c r="E143" s="5">
        <v>44</v>
      </c>
      <c r="F143" s="5">
        <v>2.7127320954907161</v>
      </c>
      <c r="G143" s="5">
        <v>336.43600247178472</v>
      </c>
      <c r="J143" s="5">
        <f t="shared" si="16"/>
        <v>135</v>
      </c>
      <c r="K143" s="5">
        <f>SUM($AP$9:AP142)</f>
        <v>96732</v>
      </c>
      <c r="L143" s="5">
        <f>LOOKUP(K143,AI:AI,AE:AE)</f>
        <v>86</v>
      </c>
      <c r="M143" s="5">
        <f>LOOKUP(L143,AE:AE,AG:AG)</f>
        <v>5712</v>
      </c>
      <c r="N143" s="5">
        <f>AM143/M143/$K$1</f>
        <v>2.6814892623716151</v>
      </c>
      <c r="O143" s="5">
        <f>SUM($N$9:N143)</f>
        <v>444.15102157542657</v>
      </c>
      <c r="AE143" s="5">
        <f t="shared" si="17"/>
        <v>135</v>
      </c>
      <c r="AF143" s="5">
        <f t="shared" si="18"/>
        <v>100825</v>
      </c>
      <c r="AG143" s="5">
        <f t="shared" si="19"/>
        <v>97924</v>
      </c>
      <c r="AH143" s="5">
        <f>AG143*$AF$1</f>
        <v>979240</v>
      </c>
      <c r="AI143" s="5">
        <f>SUM($AF$9:AF142)</f>
        <v>1712194</v>
      </c>
      <c r="AK143" s="5">
        <f t="shared" si="20"/>
        <v>135</v>
      </c>
      <c r="AL143" s="5">
        <f t="shared" si="21"/>
        <v>20</v>
      </c>
      <c r="AM143" s="5">
        <f t="shared" si="22"/>
        <v>22975</v>
      </c>
      <c r="AN143" s="5">
        <f>$AL$4*$AL$3^AL143*$AL$2</f>
        <v>22975.027275450127</v>
      </c>
      <c r="AO143" s="5">
        <f>IF(AL143=AL144,1,LOOKUP(MOD(AL143,$AL$1),$AN$1:$AN$5,$AO$1:$AO$5))</f>
        <v>1</v>
      </c>
      <c r="AP143" s="5">
        <f t="shared" si="23"/>
        <v>4442</v>
      </c>
      <c r="AQ143" s="5">
        <f>AM143*$AR$3</f>
        <v>3063.3333333333335</v>
      </c>
      <c r="AR143" s="5">
        <f>AM143*AL143*$AR$4</f>
        <v>1378.5</v>
      </c>
      <c r="AS143" s="5">
        <f>SUM($AP$9:AP142)</f>
        <v>96732</v>
      </c>
    </row>
    <row r="144" spans="1:45" x14ac:dyDescent="0.15">
      <c r="A144" s="5">
        <v>136</v>
      </c>
      <c r="D144" s="5">
        <v>136</v>
      </c>
      <c r="E144" s="5">
        <v>45</v>
      </c>
      <c r="F144" s="5">
        <v>2.5314356435643566</v>
      </c>
      <c r="G144" s="5">
        <v>338.96743811534907</v>
      </c>
      <c r="J144" s="5">
        <f t="shared" si="16"/>
        <v>136</v>
      </c>
      <c r="K144" s="5">
        <f>SUM($AP$9:AP143)</f>
        <v>101174</v>
      </c>
      <c r="L144" s="5">
        <f>LOOKUP(K144,AI:AI,AE:AE)</f>
        <v>87</v>
      </c>
      <c r="M144" s="5">
        <f>LOOKUP(L144,AE:AE,AG:AG)</f>
        <v>6067</v>
      </c>
      <c r="N144" s="5">
        <f>AM144/M144/$K$1</f>
        <v>2.5245865611779572</v>
      </c>
      <c r="O144" s="5">
        <f>SUM($N$9:N144)</f>
        <v>446.67560813660452</v>
      </c>
      <c r="AE144" s="5">
        <f t="shared" si="17"/>
        <v>136</v>
      </c>
      <c r="AF144" s="5">
        <f t="shared" si="18"/>
        <v>106628</v>
      </c>
      <c r="AG144" s="5">
        <f t="shared" si="19"/>
        <v>103582</v>
      </c>
      <c r="AH144" s="5">
        <f>AG144*$AF$1</f>
        <v>1035820</v>
      </c>
      <c r="AI144" s="5">
        <f>SUM($AF$9:AF143)</f>
        <v>1813019</v>
      </c>
      <c r="AK144" s="5">
        <f t="shared" si="20"/>
        <v>136</v>
      </c>
      <c r="AL144" s="5">
        <f t="shared" si="21"/>
        <v>20</v>
      </c>
      <c r="AM144" s="5">
        <f t="shared" si="22"/>
        <v>22975</v>
      </c>
      <c r="AN144" s="5">
        <f>$AL$4*$AL$3^AL144*$AL$2</f>
        <v>22975.027275450127</v>
      </c>
      <c r="AO144" s="5">
        <f>IF(AL144=AL145,1,LOOKUP(MOD(AL144,$AL$1),$AN$1:$AN$5,$AO$1:$AO$5))</f>
        <v>1</v>
      </c>
      <c r="AP144" s="5">
        <f t="shared" si="23"/>
        <v>4442</v>
      </c>
      <c r="AQ144" s="5">
        <f>AM144*$AR$3</f>
        <v>3063.3333333333335</v>
      </c>
      <c r="AR144" s="5">
        <f>AM144*AL144*$AR$4</f>
        <v>1378.5</v>
      </c>
      <c r="AS144" s="5">
        <f>SUM($AP$9:AP143)</f>
        <v>101174</v>
      </c>
    </row>
    <row r="145" spans="1:45" x14ac:dyDescent="0.15">
      <c r="A145" s="5">
        <v>137</v>
      </c>
      <c r="D145" s="5">
        <v>137</v>
      </c>
      <c r="E145" s="5">
        <v>45</v>
      </c>
      <c r="F145" s="5">
        <v>2.5314356435643566</v>
      </c>
      <c r="G145" s="5">
        <v>341.49887375891342</v>
      </c>
      <c r="J145" s="5">
        <f t="shared" si="16"/>
        <v>137</v>
      </c>
      <c r="K145" s="5">
        <f>SUM($AP$9:AP144)</f>
        <v>105616</v>
      </c>
      <c r="L145" s="5">
        <f>LOOKUP(K145,AI:AI,AE:AE)</f>
        <v>88</v>
      </c>
      <c r="M145" s="5">
        <f>LOOKUP(L145,AE:AE,AG:AG)</f>
        <v>6444</v>
      </c>
      <c r="N145" s="5">
        <f>AM145/M145/$K$1</f>
        <v>2.3768880612456029</v>
      </c>
      <c r="O145" s="5">
        <f>SUM($N$9:N145)</f>
        <v>449.05249619785013</v>
      </c>
      <c r="AE145" s="5">
        <f t="shared" si="17"/>
        <v>137</v>
      </c>
      <c r="AF145" s="5">
        <f t="shared" si="18"/>
        <v>112759</v>
      </c>
      <c r="AG145" s="5">
        <f t="shared" si="19"/>
        <v>109561</v>
      </c>
      <c r="AH145" s="5">
        <f>AG145*$AF$1</f>
        <v>1095610</v>
      </c>
      <c r="AI145" s="5">
        <f>SUM($AF$9:AF144)</f>
        <v>1919647</v>
      </c>
      <c r="AK145" s="5">
        <f t="shared" si="20"/>
        <v>137</v>
      </c>
      <c r="AL145" s="5">
        <f t="shared" si="21"/>
        <v>20</v>
      </c>
      <c r="AM145" s="5">
        <f t="shared" si="22"/>
        <v>22975</v>
      </c>
      <c r="AN145" s="5">
        <f>$AL$4*$AL$3^AL145*$AL$2</f>
        <v>22975.027275450127</v>
      </c>
      <c r="AO145" s="5">
        <f>IF(AL145=AL146,1,LOOKUP(MOD(AL145,$AL$1),$AN$1:$AN$5,$AO$1:$AO$5))</f>
        <v>1</v>
      </c>
      <c r="AP145" s="5">
        <f t="shared" si="23"/>
        <v>4442</v>
      </c>
      <c r="AQ145" s="5">
        <f>AM145*$AR$3</f>
        <v>3063.3333333333335</v>
      </c>
      <c r="AR145" s="5">
        <f>AM145*AL145*$AR$4</f>
        <v>1378.5</v>
      </c>
      <c r="AS145" s="5">
        <f>SUM($AP$9:AP144)</f>
        <v>105616</v>
      </c>
    </row>
    <row r="146" spans="1:45" x14ac:dyDescent="0.15">
      <c r="A146" s="5">
        <v>138</v>
      </c>
      <c r="D146" s="5">
        <v>138</v>
      </c>
      <c r="E146" s="5">
        <v>46</v>
      </c>
      <c r="F146" s="5">
        <v>2.3564516129032258</v>
      </c>
      <c r="G146" s="5">
        <v>343.85532537181666</v>
      </c>
      <c r="J146" s="5">
        <f t="shared" si="16"/>
        <v>138</v>
      </c>
      <c r="K146" s="5">
        <f>SUM($AP$9:AP145)</f>
        <v>110058</v>
      </c>
      <c r="L146" s="5">
        <f>LOOKUP(K146,AI:AI,AE:AE)</f>
        <v>88</v>
      </c>
      <c r="M146" s="5">
        <f>LOOKUP(L146,AE:AE,AG:AG)</f>
        <v>6444</v>
      </c>
      <c r="N146" s="5">
        <f>AM146/M146/$K$1</f>
        <v>2.3768880612456029</v>
      </c>
      <c r="O146" s="5">
        <f>SUM($N$9:N146)</f>
        <v>451.42938425909574</v>
      </c>
      <c r="AE146" s="5">
        <f t="shared" si="17"/>
        <v>138</v>
      </c>
      <c r="AF146" s="5">
        <f t="shared" si="18"/>
        <v>119237</v>
      </c>
      <c r="AG146" s="5">
        <f t="shared" si="19"/>
        <v>115878</v>
      </c>
      <c r="AH146" s="5">
        <f>AG146*$AF$1</f>
        <v>1158780</v>
      </c>
      <c r="AI146" s="5">
        <f>SUM($AF$9:AF145)</f>
        <v>2032406</v>
      </c>
      <c r="AK146" s="5">
        <f t="shared" si="20"/>
        <v>138</v>
      </c>
      <c r="AL146" s="5">
        <f t="shared" si="21"/>
        <v>20</v>
      </c>
      <c r="AM146" s="5">
        <f t="shared" si="22"/>
        <v>22975</v>
      </c>
      <c r="AN146" s="5">
        <f>$AL$4*$AL$3^AL146*$AL$2</f>
        <v>22975.027275450127</v>
      </c>
      <c r="AO146" s="5">
        <f>IF(AL146=AL147,1,LOOKUP(MOD(AL146,$AL$1),$AN$1:$AN$5,$AO$1:$AO$5))</f>
        <v>1</v>
      </c>
      <c r="AP146" s="5">
        <f t="shared" si="23"/>
        <v>4442</v>
      </c>
      <c r="AQ146" s="5">
        <f>AM146*$AR$3</f>
        <v>3063.3333333333335</v>
      </c>
      <c r="AR146" s="5">
        <f>AM146*AL146*$AR$4</f>
        <v>1378.5</v>
      </c>
      <c r="AS146" s="5">
        <f>SUM($AP$9:AP145)</f>
        <v>110058</v>
      </c>
    </row>
    <row r="147" spans="1:45" x14ac:dyDescent="0.15">
      <c r="A147" s="5">
        <v>139</v>
      </c>
      <c r="D147" s="5">
        <v>139</v>
      </c>
      <c r="E147" s="5">
        <v>46</v>
      </c>
      <c r="F147" s="5">
        <v>2.3564516129032258</v>
      </c>
      <c r="G147" s="5">
        <v>346.2117769847199</v>
      </c>
      <c r="J147" s="5">
        <f t="shared" si="16"/>
        <v>139</v>
      </c>
      <c r="K147" s="5">
        <f>SUM($AP$9:AP146)</f>
        <v>114500</v>
      </c>
      <c r="L147" s="5">
        <f>LOOKUP(K147,AI:AI,AE:AE)</f>
        <v>89</v>
      </c>
      <c r="M147" s="5">
        <f>LOOKUP(L147,AE:AE,AG:AG)</f>
        <v>6843</v>
      </c>
      <c r="N147" s="5">
        <f>AM147/M147/$K$1</f>
        <v>2.2382970432071705</v>
      </c>
      <c r="O147" s="5">
        <f>SUM($N$9:N147)</f>
        <v>453.66768130230292</v>
      </c>
      <c r="AE147" s="5">
        <f t="shared" si="17"/>
        <v>139</v>
      </c>
      <c r="AF147" s="5">
        <f t="shared" si="18"/>
        <v>126081</v>
      </c>
      <c r="AG147" s="5">
        <f t="shared" si="19"/>
        <v>122554</v>
      </c>
      <c r="AH147" s="5">
        <f>AG147*$AF$1</f>
        <v>1225540</v>
      </c>
      <c r="AI147" s="5">
        <f>SUM($AF$9:AF146)</f>
        <v>2151643</v>
      </c>
      <c r="AK147" s="5">
        <f t="shared" si="20"/>
        <v>139</v>
      </c>
      <c r="AL147" s="5">
        <f t="shared" si="21"/>
        <v>20</v>
      </c>
      <c r="AM147" s="5">
        <f t="shared" si="22"/>
        <v>22975</v>
      </c>
      <c r="AN147" s="5">
        <f>$AL$4*$AL$3^AL147*$AL$2</f>
        <v>22975.027275450127</v>
      </c>
      <c r="AO147" s="5">
        <f>IF(AL147=AL148,1,LOOKUP(MOD(AL147,$AL$1),$AN$1:$AN$5,$AO$1:$AO$5))</f>
        <v>1</v>
      </c>
      <c r="AP147" s="5">
        <f t="shared" si="23"/>
        <v>4442</v>
      </c>
      <c r="AQ147" s="5">
        <f>AM147*$AR$3</f>
        <v>3063.3333333333335</v>
      </c>
      <c r="AR147" s="5">
        <f>AM147*AL147*$AR$4</f>
        <v>1378.5</v>
      </c>
      <c r="AS147" s="5">
        <f>SUM($AP$9:AP146)</f>
        <v>114500</v>
      </c>
    </row>
    <row r="148" spans="1:45" x14ac:dyDescent="0.15">
      <c r="A148" s="5">
        <v>140</v>
      </c>
      <c r="D148" s="5">
        <v>140</v>
      </c>
      <c r="E148" s="5">
        <v>46</v>
      </c>
      <c r="F148" s="5">
        <v>16.495852534562211</v>
      </c>
      <c r="G148" s="5">
        <v>362.70762951928214</v>
      </c>
      <c r="J148" s="5">
        <f t="shared" si="16"/>
        <v>140</v>
      </c>
      <c r="K148" s="5">
        <f>SUM($AP$9:AP147)</f>
        <v>118942</v>
      </c>
      <c r="L148" s="5">
        <f>LOOKUP(K148,AI:AI,AE:AE)</f>
        <v>90</v>
      </c>
      <c r="M148" s="5">
        <f>LOOKUP(L148,AE:AE,AG:AG)</f>
        <v>7266</v>
      </c>
      <c r="N148" s="5">
        <f>AM148/M148/$K$1</f>
        <v>14.755940912010276</v>
      </c>
      <c r="O148" s="5">
        <f>SUM($N$9:N148)</f>
        <v>468.42362221431318</v>
      </c>
      <c r="AE148" s="5">
        <f t="shared" si="17"/>
        <v>140</v>
      </c>
      <c r="AF148" s="5">
        <f t="shared" si="18"/>
        <v>133311</v>
      </c>
      <c r="AG148" s="5">
        <f t="shared" si="19"/>
        <v>129607</v>
      </c>
      <c r="AH148" s="5">
        <f>AG148*$AF$1</f>
        <v>1296070</v>
      </c>
      <c r="AI148" s="5">
        <f>SUM($AF$9:AF147)</f>
        <v>2277724</v>
      </c>
      <c r="AK148" s="5">
        <f t="shared" si="20"/>
        <v>140</v>
      </c>
      <c r="AL148" s="5">
        <f t="shared" si="21"/>
        <v>20</v>
      </c>
      <c r="AM148" s="5">
        <f t="shared" si="22"/>
        <v>160825</v>
      </c>
      <c r="AN148" s="5">
        <f>$AL$4*$AL$3^AL148*$AL$2</f>
        <v>22975.027275450127</v>
      </c>
      <c r="AO148" s="5">
        <f>IF(AL148=AL149,1,LOOKUP(MOD(AL148,$AL$1),$AN$1:$AN$5,$AO$1:$AO$5))</f>
        <v>7</v>
      </c>
      <c r="AP148" s="5">
        <f t="shared" si="23"/>
        <v>31093</v>
      </c>
      <c r="AQ148" s="5">
        <f>AM148*$AR$3</f>
        <v>21443.333333333332</v>
      </c>
      <c r="AR148" s="5">
        <f>AM148*AL148*$AR$4</f>
        <v>9649.5</v>
      </c>
      <c r="AS148" s="5">
        <f>SUM($AP$9:AP147)</f>
        <v>118942</v>
      </c>
    </row>
    <row r="149" spans="1:45" x14ac:dyDescent="0.15">
      <c r="A149" s="5">
        <v>141</v>
      </c>
      <c r="D149" s="5">
        <v>141</v>
      </c>
      <c r="E149" s="5">
        <v>49</v>
      </c>
      <c r="F149" s="5">
        <v>3.0013084112149531</v>
      </c>
      <c r="G149" s="5">
        <v>365.70893793049709</v>
      </c>
      <c r="J149" s="5">
        <f t="shared" si="16"/>
        <v>141</v>
      </c>
      <c r="K149" s="5">
        <f>SUM($AP$9:AP148)</f>
        <v>150035</v>
      </c>
      <c r="L149" s="5">
        <f>LOOKUP(K149,AI:AI,AE:AE)</f>
        <v>93</v>
      </c>
      <c r="M149" s="5">
        <f>LOOKUP(L149,AE:AE,AG:AG)</f>
        <v>8691</v>
      </c>
      <c r="N149" s="5">
        <f>AM149/M149/$K$1</f>
        <v>2.7669236374793851</v>
      </c>
      <c r="O149" s="5">
        <f>SUM($N$9:N149)</f>
        <v>471.19054585179259</v>
      </c>
      <c r="AE149" s="5">
        <f t="shared" si="17"/>
        <v>141</v>
      </c>
      <c r="AF149" s="5">
        <f t="shared" si="18"/>
        <v>140948</v>
      </c>
      <c r="AG149" s="5">
        <f t="shared" si="19"/>
        <v>137060</v>
      </c>
      <c r="AH149" s="5">
        <f>AG149*$AF$1</f>
        <v>1370600</v>
      </c>
      <c r="AI149" s="5">
        <f>SUM($AF$9:AF148)</f>
        <v>2411035</v>
      </c>
      <c r="AK149" s="5">
        <f t="shared" si="20"/>
        <v>141</v>
      </c>
      <c r="AL149" s="5">
        <f t="shared" si="21"/>
        <v>21</v>
      </c>
      <c r="AM149" s="5">
        <f t="shared" si="22"/>
        <v>36071</v>
      </c>
      <c r="AN149" s="5">
        <f>$AL$4*$AL$3^AL149*$AL$2</f>
        <v>36070.7928224567</v>
      </c>
      <c r="AO149" s="5">
        <f>IF(AL149=AL150,1,LOOKUP(MOD(AL149,$AL$1),$AN$1:$AN$5,$AO$1:$AO$5))</f>
        <v>1</v>
      </c>
      <c r="AP149" s="5">
        <f t="shared" si="23"/>
        <v>7082</v>
      </c>
      <c r="AQ149" s="5">
        <f>AM149*$AR$3</f>
        <v>4809.4666666666662</v>
      </c>
      <c r="AR149" s="5">
        <f>AM149*AL149*$AR$4</f>
        <v>2272.473</v>
      </c>
      <c r="AS149" s="5">
        <f>SUM($AP$9:AP148)</f>
        <v>150035</v>
      </c>
    </row>
    <row r="150" spans="1:45" x14ac:dyDescent="0.15">
      <c r="A150" s="5">
        <v>142</v>
      </c>
      <c r="D150" s="5">
        <v>142</v>
      </c>
      <c r="E150" s="5">
        <v>49</v>
      </c>
      <c r="F150" s="5">
        <v>3.0013084112149531</v>
      </c>
      <c r="G150" s="5">
        <v>368.71024634171204</v>
      </c>
      <c r="J150" s="5">
        <f t="shared" si="16"/>
        <v>142</v>
      </c>
      <c r="K150" s="5">
        <f>SUM($AP$9:AP149)</f>
        <v>157117</v>
      </c>
      <c r="L150" s="5">
        <f>LOOKUP(K150,AI:AI,AE:AE)</f>
        <v>94</v>
      </c>
      <c r="M150" s="5">
        <f>LOOKUP(L150,AE:AE,AG:AG)</f>
        <v>9224</v>
      </c>
      <c r="N150" s="5">
        <f>AM150/M150/$K$1</f>
        <v>2.6070396068227812</v>
      </c>
      <c r="O150" s="5">
        <f>SUM($N$9:N150)</f>
        <v>473.7975854586154</v>
      </c>
      <c r="AE150" s="5">
        <f t="shared" si="17"/>
        <v>142</v>
      </c>
      <c r="AF150" s="5">
        <f t="shared" si="18"/>
        <v>149016</v>
      </c>
      <c r="AG150" s="5">
        <f t="shared" si="19"/>
        <v>144934</v>
      </c>
      <c r="AH150" s="5">
        <f>AG150*$AF$1</f>
        <v>1449340</v>
      </c>
      <c r="AI150" s="5">
        <f>SUM($AF$9:AF149)</f>
        <v>2551983</v>
      </c>
      <c r="AK150" s="5">
        <f t="shared" si="20"/>
        <v>142</v>
      </c>
      <c r="AL150" s="5">
        <f t="shared" si="21"/>
        <v>21</v>
      </c>
      <c r="AM150" s="5">
        <f t="shared" si="22"/>
        <v>36071</v>
      </c>
      <c r="AN150" s="5">
        <f>$AL$4*$AL$3^AL150*$AL$2</f>
        <v>36070.7928224567</v>
      </c>
      <c r="AO150" s="5">
        <f>IF(AL150=AL151,1,LOOKUP(MOD(AL150,$AL$1),$AN$1:$AN$5,$AO$1:$AO$5))</f>
        <v>1</v>
      </c>
      <c r="AP150" s="5">
        <f t="shared" si="23"/>
        <v>7082</v>
      </c>
      <c r="AQ150" s="5">
        <f>AM150*$AR$3</f>
        <v>4809.4666666666662</v>
      </c>
      <c r="AR150" s="5">
        <f>AM150*AL150*$AR$4</f>
        <v>2272.473</v>
      </c>
      <c r="AS150" s="5">
        <f>SUM($AP$9:AP149)</f>
        <v>157117</v>
      </c>
    </row>
    <row r="151" spans="1:45" x14ac:dyDescent="0.15">
      <c r="A151" s="5">
        <v>143</v>
      </c>
      <c r="D151" s="5">
        <v>143</v>
      </c>
      <c r="E151" s="5">
        <v>50</v>
      </c>
      <c r="F151" s="5">
        <v>2.8022687609075043</v>
      </c>
      <c r="G151" s="5">
        <v>371.51251510261955</v>
      </c>
      <c r="J151" s="5">
        <f t="shared" si="16"/>
        <v>143</v>
      </c>
      <c r="K151" s="5">
        <f>SUM($AP$9:AP150)</f>
        <v>164199</v>
      </c>
      <c r="L151" s="5">
        <f>LOOKUP(K151,AI:AI,AE:AE)</f>
        <v>95</v>
      </c>
      <c r="M151" s="5">
        <f>LOOKUP(L151,AE:AE,AG:AG)</f>
        <v>9788</v>
      </c>
      <c r="N151" s="5">
        <f>AM151/M151/$K$1</f>
        <v>2.4568178722244927</v>
      </c>
      <c r="O151" s="5">
        <f>SUM($N$9:N151)</f>
        <v>476.25440333083992</v>
      </c>
      <c r="AE151" s="5">
        <f t="shared" si="17"/>
        <v>143</v>
      </c>
      <c r="AF151" s="5">
        <f t="shared" si="18"/>
        <v>157539</v>
      </c>
      <c r="AG151" s="5">
        <f t="shared" si="19"/>
        <v>153252</v>
      </c>
      <c r="AH151" s="5">
        <f>AG151*$AF$1</f>
        <v>1532520</v>
      </c>
      <c r="AI151" s="5">
        <f>SUM($AF$9:AF150)</f>
        <v>2700999</v>
      </c>
      <c r="AK151" s="5">
        <f t="shared" si="20"/>
        <v>143</v>
      </c>
      <c r="AL151" s="5">
        <f t="shared" si="21"/>
        <v>21</v>
      </c>
      <c r="AM151" s="5">
        <f t="shared" si="22"/>
        <v>36071</v>
      </c>
      <c r="AN151" s="5">
        <f>$AL$4*$AL$3^AL151*$AL$2</f>
        <v>36070.7928224567</v>
      </c>
      <c r="AO151" s="5">
        <f>IF(AL151=AL152,1,LOOKUP(MOD(AL151,$AL$1),$AN$1:$AN$5,$AO$1:$AO$5))</f>
        <v>1</v>
      </c>
      <c r="AP151" s="5">
        <f t="shared" si="23"/>
        <v>7082</v>
      </c>
      <c r="AQ151" s="5">
        <f>AM151*$AR$3</f>
        <v>4809.4666666666662</v>
      </c>
      <c r="AR151" s="5">
        <f>AM151*AL151*$AR$4</f>
        <v>2272.473</v>
      </c>
      <c r="AS151" s="5">
        <f>SUM($AP$9:AP150)</f>
        <v>164199</v>
      </c>
    </row>
    <row r="152" spans="1:45" x14ac:dyDescent="0.15">
      <c r="A152" s="5">
        <v>144</v>
      </c>
      <c r="D152" s="5">
        <v>144</v>
      </c>
      <c r="E152" s="5">
        <v>50</v>
      </c>
      <c r="F152" s="5">
        <v>2.8022687609075043</v>
      </c>
      <c r="G152" s="5">
        <v>374.31478386352705</v>
      </c>
      <c r="J152" s="5">
        <f t="shared" si="16"/>
        <v>144</v>
      </c>
      <c r="K152" s="5">
        <f>SUM($AP$9:AP151)</f>
        <v>171281</v>
      </c>
      <c r="L152" s="5">
        <f>LOOKUP(K152,AI:AI,AE:AE)</f>
        <v>96</v>
      </c>
      <c r="M152" s="5">
        <f>LOOKUP(L152,AE:AE,AG:AG)</f>
        <v>10386</v>
      </c>
      <c r="N152" s="5">
        <f>AM152/M152/$K$1</f>
        <v>2.3153604210796588</v>
      </c>
      <c r="O152" s="5">
        <f>SUM($N$9:N152)</f>
        <v>478.5697637519196</v>
      </c>
      <c r="AE152" s="5">
        <f t="shared" si="17"/>
        <v>144</v>
      </c>
      <c r="AF152" s="5">
        <f t="shared" si="18"/>
        <v>166541</v>
      </c>
      <c r="AG152" s="5">
        <f t="shared" si="19"/>
        <v>162040</v>
      </c>
      <c r="AH152" s="5">
        <f>AG152*$AF$1</f>
        <v>1620400</v>
      </c>
      <c r="AI152" s="5">
        <f>SUM($AF$9:AF151)</f>
        <v>2858538</v>
      </c>
      <c r="AK152" s="5">
        <f t="shared" si="20"/>
        <v>144</v>
      </c>
      <c r="AL152" s="5">
        <f t="shared" si="21"/>
        <v>21</v>
      </c>
      <c r="AM152" s="5">
        <f t="shared" si="22"/>
        <v>36071</v>
      </c>
      <c r="AN152" s="5">
        <f>$AL$4*$AL$3^AL152*$AL$2</f>
        <v>36070.7928224567</v>
      </c>
      <c r="AO152" s="5">
        <f>IF(AL152=AL153,1,LOOKUP(MOD(AL152,$AL$1),$AN$1:$AN$5,$AO$1:$AO$5))</f>
        <v>1</v>
      </c>
      <c r="AP152" s="5">
        <f t="shared" si="23"/>
        <v>7082</v>
      </c>
      <c r="AQ152" s="5">
        <f>AM152*$AR$3</f>
        <v>4809.4666666666662</v>
      </c>
      <c r="AR152" s="5">
        <f>AM152*AL152*$AR$4</f>
        <v>2272.473</v>
      </c>
      <c r="AS152" s="5">
        <f>SUM($AP$9:AP151)</f>
        <v>171281</v>
      </c>
    </row>
    <row r="153" spans="1:45" x14ac:dyDescent="0.15">
      <c r="A153" s="5">
        <v>145</v>
      </c>
      <c r="D153" s="5">
        <v>145</v>
      </c>
      <c r="E153" s="5">
        <v>51</v>
      </c>
      <c r="F153" s="5">
        <v>2.6151465798045601</v>
      </c>
      <c r="G153" s="5">
        <v>376.92993044333161</v>
      </c>
      <c r="J153" s="5">
        <f t="shared" si="16"/>
        <v>145</v>
      </c>
      <c r="K153" s="5">
        <f>SUM($AP$9:AP152)</f>
        <v>178363</v>
      </c>
      <c r="L153" s="5">
        <f>LOOKUP(K153,AI:AI,AE:AE)</f>
        <v>96</v>
      </c>
      <c r="M153" s="5">
        <f>LOOKUP(L153,AE:AE,AG:AG)</f>
        <v>10386</v>
      </c>
      <c r="N153" s="5">
        <f>AM153/M153/$K$1</f>
        <v>2.3153604210796588</v>
      </c>
      <c r="O153" s="5">
        <f>SUM($N$9:N153)</f>
        <v>480.88512417299927</v>
      </c>
      <c r="AE153" s="5">
        <f t="shared" si="17"/>
        <v>145</v>
      </c>
      <c r="AF153" s="5">
        <f t="shared" si="18"/>
        <v>176049</v>
      </c>
      <c r="AG153" s="5">
        <f t="shared" si="19"/>
        <v>171323</v>
      </c>
      <c r="AH153" s="5">
        <f>AG153*$AF$1</f>
        <v>1713230</v>
      </c>
      <c r="AI153" s="5">
        <f>SUM($AF$9:AF152)</f>
        <v>3025079</v>
      </c>
      <c r="AK153" s="5">
        <f t="shared" si="20"/>
        <v>145</v>
      </c>
      <c r="AL153" s="5">
        <f t="shared" si="21"/>
        <v>21</v>
      </c>
      <c r="AM153" s="5">
        <f t="shared" si="22"/>
        <v>36071</v>
      </c>
      <c r="AN153" s="5">
        <f>$AL$4*$AL$3^AL153*$AL$2</f>
        <v>36070.7928224567</v>
      </c>
      <c r="AO153" s="5">
        <f>IF(AL153=AL154,1,LOOKUP(MOD(AL153,$AL$1),$AN$1:$AN$5,$AO$1:$AO$5))</f>
        <v>1</v>
      </c>
      <c r="AP153" s="5">
        <f t="shared" si="23"/>
        <v>7082</v>
      </c>
      <c r="AQ153" s="5">
        <f>AM153*$AR$3</f>
        <v>4809.4666666666662</v>
      </c>
      <c r="AR153" s="5">
        <f>AM153*AL153*$AR$4</f>
        <v>2272.473</v>
      </c>
      <c r="AS153" s="5">
        <f>SUM($AP$9:AP152)</f>
        <v>178363</v>
      </c>
    </row>
    <row r="154" spans="1:45" x14ac:dyDescent="0.15">
      <c r="A154" s="5">
        <v>146</v>
      </c>
      <c r="D154" s="5">
        <v>146</v>
      </c>
      <c r="E154" s="5">
        <v>51</v>
      </c>
      <c r="F154" s="5">
        <v>2.6151465798045601</v>
      </c>
      <c r="G154" s="5">
        <v>379.54507702313617</v>
      </c>
      <c r="J154" s="5">
        <f t="shared" si="16"/>
        <v>146</v>
      </c>
      <c r="K154" s="5">
        <f>SUM($AP$9:AP153)</f>
        <v>185445</v>
      </c>
      <c r="L154" s="5">
        <f>LOOKUP(K154,AI:AI,AE:AE)</f>
        <v>97</v>
      </c>
      <c r="M154" s="5">
        <f>LOOKUP(L154,AE:AE,AG:AG)</f>
        <v>11019</v>
      </c>
      <c r="N154" s="5">
        <f>AM154/M154/$K$1</f>
        <v>2.1823516955561604</v>
      </c>
      <c r="O154" s="5">
        <f>SUM($N$9:N154)</f>
        <v>483.06747586855545</v>
      </c>
      <c r="AE154" s="5">
        <f t="shared" si="17"/>
        <v>146</v>
      </c>
      <c r="AF154" s="5">
        <f t="shared" si="18"/>
        <v>186093</v>
      </c>
      <c r="AG154" s="5">
        <f t="shared" si="19"/>
        <v>181130</v>
      </c>
      <c r="AH154" s="5">
        <f>AG154*$AF$1</f>
        <v>1811300</v>
      </c>
      <c r="AI154" s="5">
        <f>SUM($AF$9:AF153)</f>
        <v>3201128</v>
      </c>
      <c r="AK154" s="5">
        <f t="shared" si="20"/>
        <v>146</v>
      </c>
      <c r="AL154" s="5">
        <f t="shared" si="21"/>
        <v>21</v>
      </c>
      <c r="AM154" s="5">
        <f t="shared" si="22"/>
        <v>36071</v>
      </c>
      <c r="AN154" s="5">
        <f>$AL$4*$AL$3^AL154*$AL$2</f>
        <v>36070.7928224567</v>
      </c>
      <c r="AO154" s="5">
        <f>IF(AL154=AL155,1,LOOKUP(MOD(AL154,$AL$1),$AN$1:$AN$5,$AO$1:$AO$5))</f>
        <v>1</v>
      </c>
      <c r="AP154" s="5">
        <f t="shared" si="23"/>
        <v>7082</v>
      </c>
      <c r="AQ154" s="5">
        <f>AM154*$AR$3</f>
        <v>4809.4666666666662</v>
      </c>
      <c r="AR154" s="5">
        <f>AM154*AL154*$AR$4</f>
        <v>2272.473</v>
      </c>
      <c r="AS154" s="5">
        <f>SUM($AP$9:AP153)</f>
        <v>185445</v>
      </c>
    </row>
    <row r="155" spans="1:45" x14ac:dyDescent="0.15">
      <c r="A155" s="5">
        <v>147</v>
      </c>
      <c r="D155" s="5">
        <v>147</v>
      </c>
      <c r="E155" s="5">
        <v>52</v>
      </c>
      <c r="F155" s="5">
        <v>2.4439878234398784</v>
      </c>
      <c r="G155" s="5">
        <v>381.98906484657607</v>
      </c>
      <c r="J155" s="5">
        <f t="shared" si="16"/>
        <v>147</v>
      </c>
      <c r="K155" s="5">
        <f>SUM($AP$9:AP154)</f>
        <v>192527</v>
      </c>
      <c r="L155" s="5">
        <f>LOOKUP(K155,AI:AI,AE:AE)</f>
        <v>97</v>
      </c>
      <c r="M155" s="5">
        <f>LOOKUP(L155,AE:AE,AG:AG)</f>
        <v>11019</v>
      </c>
      <c r="N155" s="5">
        <f>AM155/M155/$K$1</f>
        <v>21.823395952445775</v>
      </c>
      <c r="O155" s="5">
        <f>SUM($N$9:N155)</f>
        <v>504.89087182100121</v>
      </c>
      <c r="AE155" s="5">
        <f t="shared" si="17"/>
        <v>147</v>
      </c>
      <c r="AF155" s="5">
        <f t="shared" si="18"/>
        <v>196700</v>
      </c>
      <c r="AG155" s="5">
        <f t="shared" si="19"/>
        <v>191489</v>
      </c>
      <c r="AH155" s="5">
        <f>AG155*$AF$1</f>
        <v>1914890</v>
      </c>
      <c r="AI155" s="5">
        <f>SUM($AF$9:AF154)</f>
        <v>3387221</v>
      </c>
      <c r="AK155" s="5">
        <f t="shared" si="20"/>
        <v>147</v>
      </c>
      <c r="AL155" s="5">
        <f t="shared" si="21"/>
        <v>21</v>
      </c>
      <c r="AM155" s="5">
        <f t="shared" si="22"/>
        <v>360708</v>
      </c>
      <c r="AN155" s="5">
        <f>$AL$4*$AL$3^AL155*$AL$2</f>
        <v>36070.7928224567</v>
      </c>
      <c r="AO155" s="5">
        <f>IF(AL155=AL156,1,LOOKUP(MOD(AL155,$AL$1),$AN$1:$AN$5,$AO$1:$AO$5))</f>
        <v>10</v>
      </c>
      <c r="AP155" s="5">
        <f t="shared" si="23"/>
        <v>70819</v>
      </c>
      <c r="AQ155" s="5">
        <f>AM155*$AR$3</f>
        <v>48094.400000000001</v>
      </c>
      <c r="AR155" s="5">
        <f>AM155*AL155*$AR$4</f>
        <v>22724.603999999999</v>
      </c>
      <c r="AS155" s="5">
        <f>SUM($AP$9:AP154)</f>
        <v>192527</v>
      </c>
    </row>
    <row r="156" spans="1:45" x14ac:dyDescent="0.15">
      <c r="A156" s="5">
        <v>148</v>
      </c>
      <c r="D156" s="5">
        <v>148</v>
      </c>
      <c r="E156" s="5">
        <v>52</v>
      </c>
      <c r="F156" s="5">
        <v>2.4439878234398784</v>
      </c>
      <c r="G156" s="5">
        <v>384.43305267001597</v>
      </c>
      <c r="J156" s="5">
        <f t="shared" si="16"/>
        <v>148</v>
      </c>
      <c r="K156" s="5">
        <f>SUM($AP$9:AP155)</f>
        <v>263346</v>
      </c>
      <c r="L156" s="5">
        <f>LOOKUP(K156,AI:AI,AE:AE)</f>
        <v>103</v>
      </c>
      <c r="M156" s="5">
        <f>LOOKUP(L156,AE:AE,AG:AG)</f>
        <v>15680</v>
      </c>
      <c r="N156" s="5">
        <f>AM156/M156/$K$1</f>
        <v>2.4077806122448977</v>
      </c>
      <c r="O156" s="5">
        <f>SUM($N$9:N156)</f>
        <v>507.2986524332461</v>
      </c>
      <c r="AE156" s="5">
        <f t="shared" si="17"/>
        <v>148</v>
      </c>
      <c r="AF156" s="5">
        <f t="shared" si="18"/>
        <v>207903</v>
      </c>
      <c r="AG156" s="5">
        <f t="shared" si="19"/>
        <v>202431</v>
      </c>
      <c r="AH156" s="5">
        <f>AG156*$AF$1</f>
        <v>2024310</v>
      </c>
      <c r="AI156" s="5">
        <f>SUM($AF$9:AF155)</f>
        <v>3583921</v>
      </c>
      <c r="AK156" s="5">
        <f t="shared" si="20"/>
        <v>148</v>
      </c>
      <c r="AL156" s="5">
        <f t="shared" si="21"/>
        <v>22</v>
      </c>
      <c r="AM156" s="5">
        <f t="shared" si="22"/>
        <v>56631</v>
      </c>
      <c r="AN156" s="5">
        <f>$AL$4*$AL$3^AL156*$AL$2</f>
        <v>56631.144731257031</v>
      </c>
      <c r="AO156" s="5">
        <f>IF(AL156=AL157,1,LOOKUP(MOD(AL156,$AL$1),$AN$1:$AN$5,$AO$1:$AO$5))</f>
        <v>1</v>
      </c>
      <c r="AP156" s="5">
        <f t="shared" si="23"/>
        <v>11288</v>
      </c>
      <c r="AQ156" s="5">
        <f>AM156*$AR$3</f>
        <v>7550.8</v>
      </c>
      <c r="AR156" s="5">
        <f>AM156*AL156*$AR$4</f>
        <v>3737.6460000000002</v>
      </c>
      <c r="AS156" s="5">
        <f>SUM($AP$9:AP155)</f>
        <v>263346</v>
      </c>
    </row>
    <row r="157" spans="1:45" x14ac:dyDescent="0.15">
      <c r="A157" s="5">
        <v>149</v>
      </c>
      <c r="D157" s="5">
        <v>149</v>
      </c>
      <c r="E157" s="5">
        <v>53</v>
      </c>
      <c r="F157" s="5">
        <v>2.2808238636363636</v>
      </c>
      <c r="G157" s="5">
        <v>386.71387653365235</v>
      </c>
      <c r="J157" s="5">
        <f t="shared" si="16"/>
        <v>149</v>
      </c>
      <c r="K157" s="5">
        <f>SUM($AP$9:AP156)</f>
        <v>274634</v>
      </c>
      <c r="L157" s="5">
        <f>LOOKUP(K157,AI:AI,AE:AE)</f>
        <v>103</v>
      </c>
      <c r="M157" s="5">
        <f>LOOKUP(L157,AE:AE,AG:AG)</f>
        <v>15680</v>
      </c>
      <c r="N157" s="5">
        <f>AM157/M157/$K$1</f>
        <v>2.4077806122448977</v>
      </c>
      <c r="O157" s="5">
        <f>SUM($N$9:N157)</f>
        <v>509.706433045491</v>
      </c>
      <c r="AE157" s="5">
        <f t="shared" si="17"/>
        <v>149</v>
      </c>
      <c r="AF157" s="5">
        <f t="shared" si="18"/>
        <v>219734</v>
      </c>
      <c r="AG157" s="5">
        <f t="shared" si="19"/>
        <v>213989</v>
      </c>
      <c r="AH157" s="5">
        <f>AG157*$AF$1</f>
        <v>2139890</v>
      </c>
      <c r="AI157" s="5">
        <f>SUM($AF$9:AF156)</f>
        <v>3791824</v>
      </c>
      <c r="AK157" s="5">
        <f t="shared" si="20"/>
        <v>149</v>
      </c>
      <c r="AL157" s="5">
        <f t="shared" si="21"/>
        <v>22</v>
      </c>
      <c r="AM157" s="5">
        <f t="shared" si="22"/>
        <v>56631</v>
      </c>
      <c r="AN157" s="5">
        <f>$AL$4*$AL$3^AL157*$AL$2</f>
        <v>56631.144731257031</v>
      </c>
      <c r="AO157" s="5">
        <f>IF(AL157=AL158,1,LOOKUP(MOD(AL157,$AL$1),$AN$1:$AN$5,$AO$1:$AO$5))</f>
        <v>1</v>
      </c>
      <c r="AP157" s="5">
        <f t="shared" si="23"/>
        <v>11288</v>
      </c>
      <c r="AQ157" s="5">
        <f>AM157*$AR$3</f>
        <v>7550.8</v>
      </c>
      <c r="AR157" s="5">
        <f>AM157*AL157*$AR$4</f>
        <v>3737.6460000000002</v>
      </c>
      <c r="AS157" s="5">
        <f>SUM($AP$9:AP156)</f>
        <v>274634</v>
      </c>
    </row>
    <row r="158" spans="1:45" x14ac:dyDescent="0.15">
      <c r="A158" s="5">
        <v>150</v>
      </c>
      <c r="D158" s="5">
        <v>150</v>
      </c>
      <c r="E158" s="5">
        <v>53</v>
      </c>
      <c r="F158" s="5">
        <v>22.808380681818182</v>
      </c>
      <c r="G158" s="5">
        <v>409.52225721547052</v>
      </c>
      <c r="J158" s="5">
        <f t="shared" si="16"/>
        <v>150</v>
      </c>
      <c r="K158" s="5">
        <f>SUM($AP$9:AP157)</f>
        <v>285922</v>
      </c>
      <c r="L158" s="5">
        <f>LOOKUP(K158,AI:AI,AE:AE)</f>
        <v>104</v>
      </c>
      <c r="M158" s="5">
        <f>LOOKUP(L158,AE:AE,AG:AG)</f>
        <v>16623</v>
      </c>
      <c r="N158" s="5">
        <f>AM158/M158/$K$1</f>
        <v>2.2711905191601995</v>
      </c>
      <c r="O158" s="5">
        <f>SUM($N$9:N158)</f>
        <v>511.9776235646512</v>
      </c>
      <c r="AE158" s="5">
        <f t="shared" si="17"/>
        <v>150</v>
      </c>
      <c r="AF158" s="5">
        <f t="shared" si="18"/>
        <v>232229</v>
      </c>
      <c r="AG158" s="5">
        <f t="shared" si="19"/>
        <v>226197</v>
      </c>
      <c r="AH158" s="5">
        <f>AG158*$AF$1</f>
        <v>2261970</v>
      </c>
      <c r="AI158" s="5">
        <f>SUM($AF$9:AF157)</f>
        <v>4011558</v>
      </c>
      <c r="AK158" s="5">
        <f t="shared" si="20"/>
        <v>150</v>
      </c>
      <c r="AL158" s="5">
        <f t="shared" si="21"/>
        <v>22</v>
      </c>
      <c r="AM158" s="5">
        <f t="shared" si="22"/>
        <v>56631</v>
      </c>
      <c r="AN158" s="5">
        <f>$AL$4*$AL$3^AL158*$AL$2</f>
        <v>56631.144731257031</v>
      </c>
      <c r="AO158" s="5">
        <f>IF(AL158=AL159,1,LOOKUP(MOD(AL158,$AL$1),$AN$1:$AN$5,$AO$1:$AO$5))</f>
        <v>1</v>
      </c>
      <c r="AP158" s="5">
        <f t="shared" si="23"/>
        <v>11288</v>
      </c>
      <c r="AQ158" s="5">
        <f>AM158*$AR$3</f>
        <v>7550.8</v>
      </c>
      <c r="AR158" s="5">
        <f>AM158*AL158*$AR$4</f>
        <v>3737.6460000000002</v>
      </c>
      <c r="AS158" s="5">
        <f>SUM($AP$9:AP157)</f>
        <v>285922</v>
      </c>
    </row>
    <row r="159" spans="1:45" x14ac:dyDescent="0.15">
      <c r="A159" s="5">
        <v>151</v>
      </c>
      <c r="D159" s="5">
        <v>151</v>
      </c>
      <c r="E159" s="5">
        <v>56</v>
      </c>
      <c r="F159" s="5">
        <v>2.9279907084785135</v>
      </c>
      <c r="G159" s="5">
        <v>412.45024792394901</v>
      </c>
      <c r="J159" s="5">
        <f t="shared" si="16"/>
        <v>151</v>
      </c>
      <c r="K159" s="5">
        <f>SUM($AP$9:AP158)</f>
        <v>297210</v>
      </c>
      <c r="L159" s="5">
        <f>LOOKUP(K159,AI:AI,AE:AE)</f>
        <v>105</v>
      </c>
      <c r="M159" s="5">
        <f>LOOKUP(L159,AE:AE,AG:AG)</f>
        <v>17622</v>
      </c>
      <c r="N159" s="5">
        <f>AM159/M159/$K$1</f>
        <v>2.1424355918737938</v>
      </c>
      <c r="O159" s="5">
        <f>SUM($N$9:N159)</f>
        <v>514.12005915652503</v>
      </c>
      <c r="AE159" s="5">
        <f t="shared" si="17"/>
        <v>151</v>
      </c>
      <c r="AF159" s="5">
        <f t="shared" si="18"/>
        <v>245423</v>
      </c>
      <c r="AG159" s="5">
        <f t="shared" si="19"/>
        <v>239090</v>
      </c>
      <c r="AH159" s="5">
        <f>AG159*$AF$1</f>
        <v>2390900</v>
      </c>
      <c r="AI159" s="5">
        <f>SUM($AF$9:AF158)</f>
        <v>4243787</v>
      </c>
      <c r="AK159" s="5">
        <f t="shared" si="20"/>
        <v>151</v>
      </c>
      <c r="AL159" s="5">
        <f t="shared" si="21"/>
        <v>22</v>
      </c>
      <c r="AM159" s="5">
        <f t="shared" si="22"/>
        <v>56631</v>
      </c>
      <c r="AN159" s="5">
        <f>$AL$4*$AL$3^AL159*$AL$2</f>
        <v>56631.144731257031</v>
      </c>
      <c r="AO159" s="5">
        <f>IF(AL159=AL160,1,LOOKUP(MOD(AL159,$AL$1),$AN$1:$AN$5,$AO$1:$AO$5))</f>
        <v>1</v>
      </c>
      <c r="AP159" s="5">
        <f t="shared" si="23"/>
        <v>11288</v>
      </c>
      <c r="AQ159" s="5">
        <f>AM159*$AR$3</f>
        <v>7550.8</v>
      </c>
      <c r="AR159" s="5">
        <f>AM159*AL159*$AR$4</f>
        <v>3737.6460000000002</v>
      </c>
      <c r="AS159" s="5">
        <f>SUM($AP$9:AP158)</f>
        <v>297210</v>
      </c>
    </row>
    <row r="160" spans="1:45" x14ac:dyDescent="0.15">
      <c r="A160" s="5">
        <v>152</v>
      </c>
      <c r="D160" s="5">
        <v>152</v>
      </c>
      <c r="E160" s="5">
        <v>57</v>
      </c>
      <c r="F160" s="5">
        <v>2.7402173913043475</v>
      </c>
      <c r="G160" s="5">
        <v>415.19046531525333</v>
      </c>
      <c r="J160" s="5">
        <f t="shared" si="16"/>
        <v>152</v>
      </c>
      <c r="K160" s="5">
        <f>SUM($AP$9:AP159)</f>
        <v>308498</v>
      </c>
      <c r="L160" s="5">
        <f>LOOKUP(K160,AI:AI,AE:AE)</f>
        <v>105</v>
      </c>
      <c r="M160" s="5">
        <f>LOOKUP(L160,AE:AE,AG:AG)</f>
        <v>17622</v>
      </c>
      <c r="N160" s="5">
        <f>AM160/M160/$K$1</f>
        <v>2.1424355918737938</v>
      </c>
      <c r="O160" s="5">
        <f>SUM($N$9:N160)</f>
        <v>516.26249474839881</v>
      </c>
      <c r="AE160" s="5">
        <f t="shared" si="17"/>
        <v>152</v>
      </c>
      <c r="AF160" s="5">
        <f t="shared" si="18"/>
        <v>259357</v>
      </c>
      <c r="AG160" s="5">
        <f t="shared" si="19"/>
        <v>252707</v>
      </c>
      <c r="AH160" s="5">
        <f>AG160*$AF$1</f>
        <v>2527070</v>
      </c>
      <c r="AI160" s="5">
        <f>SUM($AF$9:AF159)</f>
        <v>4489210</v>
      </c>
      <c r="AK160" s="5">
        <f t="shared" si="20"/>
        <v>152</v>
      </c>
      <c r="AL160" s="5">
        <f t="shared" si="21"/>
        <v>22</v>
      </c>
      <c r="AM160" s="5">
        <f t="shared" si="22"/>
        <v>56631</v>
      </c>
      <c r="AN160" s="5">
        <f>$AL$4*$AL$3^AL160*$AL$2</f>
        <v>56631.144731257031</v>
      </c>
      <c r="AO160" s="5">
        <f>IF(AL160=AL161,1,LOOKUP(MOD(AL160,$AL$1),$AN$1:$AN$5,$AO$1:$AO$5))</f>
        <v>1</v>
      </c>
      <c r="AP160" s="5">
        <f t="shared" si="23"/>
        <v>11288</v>
      </c>
      <c r="AQ160" s="5">
        <f>AM160*$AR$3</f>
        <v>7550.8</v>
      </c>
      <c r="AR160" s="5">
        <f>AM160*AL160*$AR$4</f>
        <v>3737.6460000000002</v>
      </c>
      <c r="AS160" s="5">
        <f>SUM($AP$9:AP159)</f>
        <v>308498</v>
      </c>
    </row>
    <row r="161" spans="1:45" x14ac:dyDescent="0.15">
      <c r="A161" s="5">
        <v>153</v>
      </c>
      <c r="D161" s="5">
        <v>153</v>
      </c>
      <c r="E161" s="5">
        <v>57</v>
      </c>
      <c r="F161" s="5">
        <v>2.7402173913043475</v>
      </c>
      <c r="G161" s="5">
        <v>417.93068270655766</v>
      </c>
      <c r="J161" s="5">
        <f t="shared" si="16"/>
        <v>153</v>
      </c>
      <c r="K161" s="5">
        <f>SUM($AP$9:AP160)</f>
        <v>319786</v>
      </c>
      <c r="L161" s="5">
        <f>LOOKUP(K161,AI:AI,AE:AE)</f>
        <v>106</v>
      </c>
      <c r="M161" s="5">
        <f>LOOKUP(L161,AE:AE,AG:AG)</f>
        <v>18680</v>
      </c>
      <c r="N161" s="5">
        <f>AM161/M161/$K$1</f>
        <v>2.0210920770877947</v>
      </c>
      <c r="O161" s="5">
        <f>SUM($N$9:N161)</f>
        <v>518.28358682548662</v>
      </c>
      <c r="AE161" s="5">
        <f t="shared" si="17"/>
        <v>153</v>
      </c>
      <c r="AF161" s="5">
        <f t="shared" si="18"/>
        <v>274071</v>
      </c>
      <c r="AG161" s="5">
        <f t="shared" si="19"/>
        <v>267088</v>
      </c>
      <c r="AH161" s="5">
        <f>AG161*$AF$1</f>
        <v>2670880</v>
      </c>
      <c r="AI161" s="5">
        <f>SUM($AF$9:AF160)</f>
        <v>4748567</v>
      </c>
      <c r="AK161" s="5">
        <f t="shared" si="20"/>
        <v>153</v>
      </c>
      <c r="AL161" s="5">
        <f t="shared" si="21"/>
        <v>22</v>
      </c>
      <c r="AM161" s="5">
        <f t="shared" si="22"/>
        <v>56631</v>
      </c>
      <c r="AN161" s="5">
        <f>$AL$4*$AL$3^AL161*$AL$2</f>
        <v>56631.144731257031</v>
      </c>
      <c r="AO161" s="5">
        <f>IF(AL161=AL162,1,LOOKUP(MOD(AL161,$AL$1),$AN$1:$AN$5,$AO$1:$AO$5))</f>
        <v>1</v>
      </c>
      <c r="AP161" s="5">
        <f t="shared" si="23"/>
        <v>11288</v>
      </c>
      <c r="AQ161" s="5">
        <f>AM161*$AR$3</f>
        <v>7550.8</v>
      </c>
      <c r="AR161" s="5">
        <f>AM161*AL161*$AR$4</f>
        <v>3737.6460000000002</v>
      </c>
      <c r="AS161" s="5">
        <f>SUM($AP$9:AP160)</f>
        <v>319786</v>
      </c>
    </row>
    <row r="162" spans="1:45" x14ac:dyDescent="0.15">
      <c r="A162" s="5">
        <v>154</v>
      </c>
      <c r="D162" s="5">
        <v>154</v>
      </c>
      <c r="E162" s="5">
        <v>58</v>
      </c>
      <c r="F162" s="5">
        <v>2.5645981688708037</v>
      </c>
      <c r="G162" s="5">
        <v>420.49528087542848</v>
      </c>
      <c r="J162" s="5">
        <f t="shared" si="16"/>
        <v>154</v>
      </c>
      <c r="K162" s="5">
        <f>SUM($AP$9:AP161)</f>
        <v>331074</v>
      </c>
      <c r="L162" s="5">
        <f>LOOKUP(K162,AI:AI,AE:AE)</f>
        <v>106</v>
      </c>
      <c r="M162" s="5">
        <f>LOOKUP(L162,AE:AE,AG:AG)</f>
        <v>18680</v>
      </c>
      <c r="N162" s="5">
        <f>AM162/M162/$K$1</f>
        <v>4.0421841541755894</v>
      </c>
      <c r="O162" s="5">
        <f>SUM($N$9:N162)</f>
        <v>522.32577097966225</v>
      </c>
      <c r="AE162" s="5">
        <f t="shared" si="17"/>
        <v>154</v>
      </c>
      <c r="AF162" s="5">
        <f t="shared" si="18"/>
        <v>289607</v>
      </c>
      <c r="AG162" s="5">
        <f t="shared" si="19"/>
        <v>282275</v>
      </c>
      <c r="AH162" s="5">
        <f>AG162*$AF$1</f>
        <v>2822750</v>
      </c>
      <c r="AI162" s="5">
        <f>SUM($AF$9:AF161)</f>
        <v>5022638</v>
      </c>
      <c r="AK162" s="5">
        <f t="shared" si="20"/>
        <v>154</v>
      </c>
      <c r="AL162" s="5">
        <f t="shared" si="21"/>
        <v>22</v>
      </c>
      <c r="AM162" s="5">
        <f t="shared" si="22"/>
        <v>113262</v>
      </c>
      <c r="AN162" s="5">
        <f>$AL$4*$AL$3^AL162*$AL$2</f>
        <v>56631.144731257031</v>
      </c>
      <c r="AO162" s="5">
        <f>IF(AL162=AL163,1,LOOKUP(MOD(AL162,$AL$1),$AN$1:$AN$5,$AO$1:$AO$5))</f>
        <v>2</v>
      </c>
      <c r="AP162" s="5">
        <f t="shared" si="23"/>
        <v>22577</v>
      </c>
      <c r="AQ162" s="5">
        <f>AM162*$AR$3</f>
        <v>15101.6</v>
      </c>
      <c r="AR162" s="5">
        <f>AM162*AL162*$AR$4</f>
        <v>7475.2920000000004</v>
      </c>
      <c r="AS162" s="5">
        <f>SUM($AP$9:AP161)</f>
        <v>331074</v>
      </c>
    </row>
    <row r="163" spans="1:45" x14ac:dyDescent="0.15">
      <c r="A163" s="5">
        <v>155</v>
      </c>
      <c r="D163" s="5">
        <v>155</v>
      </c>
      <c r="E163" s="5">
        <v>58</v>
      </c>
      <c r="F163" s="5">
        <v>2.5645981688708037</v>
      </c>
      <c r="G163" s="5">
        <v>423.05987904429929</v>
      </c>
      <c r="J163" s="5">
        <f t="shared" si="16"/>
        <v>155</v>
      </c>
      <c r="K163" s="5">
        <f>SUM($AP$9:AP162)</f>
        <v>353651</v>
      </c>
      <c r="L163" s="5">
        <f>LOOKUP(K163,AI:AI,AE:AE)</f>
        <v>107</v>
      </c>
      <c r="M163" s="5">
        <f>LOOKUP(L163,AE:AE,AG:AG)</f>
        <v>19799</v>
      </c>
      <c r="N163" s="5">
        <f>AM163/M163/$K$1</f>
        <v>2.993787565028537</v>
      </c>
      <c r="O163" s="5">
        <f>SUM($N$9:N163)</f>
        <v>525.31955854469084</v>
      </c>
      <c r="AE163" s="5">
        <f t="shared" si="17"/>
        <v>155</v>
      </c>
      <c r="AF163" s="5">
        <f t="shared" si="18"/>
        <v>306012</v>
      </c>
      <c r="AG163" s="5">
        <f t="shared" si="19"/>
        <v>298314</v>
      </c>
      <c r="AH163" s="5">
        <f>AG163*$AF$1</f>
        <v>2983140</v>
      </c>
      <c r="AI163" s="5">
        <f>SUM($AF$9:AF162)</f>
        <v>5312245</v>
      </c>
      <c r="AK163" s="5">
        <f t="shared" si="20"/>
        <v>155</v>
      </c>
      <c r="AL163" s="5">
        <f t="shared" si="21"/>
        <v>23</v>
      </c>
      <c r="AM163" s="5">
        <f t="shared" si="22"/>
        <v>88911</v>
      </c>
      <c r="AN163" s="5">
        <f>$AL$4*$AL$3^AL163*$AL$2</f>
        <v>88910.897228073518</v>
      </c>
      <c r="AO163" s="5">
        <f>IF(AL163=AL164,1,LOOKUP(MOD(AL163,$AL$1),$AN$1:$AN$5,$AO$1:$AO$5))</f>
        <v>1</v>
      </c>
      <c r="AP163" s="5">
        <f t="shared" si="23"/>
        <v>17990</v>
      </c>
      <c r="AQ163" s="5">
        <f>AM163*$AR$3</f>
        <v>11854.8</v>
      </c>
      <c r="AR163" s="5">
        <f>AM163*AL163*$AR$4</f>
        <v>6134.8590000000004</v>
      </c>
      <c r="AS163" s="5">
        <f>SUM($AP$9:AP162)</f>
        <v>353651</v>
      </c>
    </row>
    <row r="164" spans="1:45" x14ac:dyDescent="0.15">
      <c r="A164" s="5">
        <v>156</v>
      </c>
      <c r="D164" s="5">
        <v>156</v>
      </c>
      <c r="E164" s="5">
        <v>59</v>
      </c>
      <c r="F164" s="5">
        <v>2.4009523809523809</v>
      </c>
      <c r="G164" s="5">
        <v>425.46083142525168</v>
      </c>
      <c r="J164" s="5">
        <f t="shared" si="16"/>
        <v>156</v>
      </c>
      <c r="K164" s="5">
        <f>SUM($AP$9:AP163)</f>
        <v>371641</v>
      </c>
      <c r="L164" s="5">
        <f>LOOKUP(K164,AI:AI,AE:AE)</f>
        <v>108</v>
      </c>
      <c r="M164" s="5">
        <f>LOOKUP(L164,AE:AE,AG:AG)</f>
        <v>20983</v>
      </c>
      <c r="N164" s="5">
        <f>AM164/M164/$K$1</f>
        <v>2.8248582185578801</v>
      </c>
      <c r="O164" s="5">
        <f>SUM($N$9:N164)</f>
        <v>528.14441676324873</v>
      </c>
      <c r="AE164" s="5">
        <f t="shared" si="17"/>
        <v>156</v>
      </c>
      <c r="AF164" s="5">
        <f t="shared" si="18"/>
        <v>323333</v>
      </c>
      <c r="AG164" s="5">
        <f t="shared" si="19"/>
        <v>315250</v>
      </c>
      <c r="AH164" s="5">
        <f>AG164*$AF$1</f>
        <v>3152500</v>
      </c>
      <c r="AI164" s="5">
        <f>SUM($AF$9:AF163)</f>
        <v>5618257</v>
      </c>
      <c r="AK164" s="5">
        <f t="shared" si="20"/>
        <v>156</v>
      </c>
      <c r="AL164" s="5">
        <f t="shared" si="21"/>
        <v>23</v>
      </c>
      <c r="AM164" s="5">
        <f t="shared" si="22"/>
        <v>88911</v>
      </c>
      <c r="AN164" s="5">
        <f>$AL$4*$AL$3^AL164*$AL$2</f>
        <v>88910.897228073518</v>
      </c>
      <c r="AO164" s="5">
        <f>IF(AL164=AL165,1,LOOKUP(MOD(AL164,$AL$1),$AN$1:$AN$5,$AO$1:$AO$5))</f>
        <v>1</v>
      </c>
      <c r="AP164" s="5">
        <f t="shared" si="23"/>
        <v>17990</v>
      </c>
      <c r="AQ164" s="5">
        <f>AM164*$AR$3</f>
        <v>11854.8</v>
      </c>
      <c r="AR164" s="5">
        <f>AM164*AL164*$AR$4</f>
        <v>6134.8590000000004</v>
      </c>
      <c r="AS164" s="5">
        <f>SUM($AP$9:AP163)</f>
        <v>371641</v>
      </c>
    </row>
    <row r="165" spans="1:45" x14ac:dyDescent="0.15">
      <c r="A165" s="5">
        <v>157</v>
      </c>
      <c r="D165" s="5">
        <v>157</v>
      </c>
      <c r="E165" s="5">
        <v>59</v>
      </c>
      <c r="F165" s="5">
        <v>2.4009523809523809</v>
      </c>
      <c r="G165" s="5">
        <v>427.86178380620407</v>
      </c>
      <c r="J165" s="5">
        <f t="shared" si="16"/>
        <v>157</v>
      </c>
      <c r="K165" s="5">
        <f>SUM($AP$9:AP164)</f>
        <v>389631</v>
      </c>
      <c r="L165" s="5">
        <f>LOOKUP(K165,AI:AI,AE:AE)</f>
        <v>109</v>
      </c>
      <c r="M165" s="5">
        <f>LOOKUP(L165,AE:AE,AG:AG)</f>
        <v>22236</v>
      </c>
      <c r="N165" s="5">
        <f>AM165/M165/$K$1</f>
        <v>2.6656772800863462</v>
      </c>
      <c r="O165" s="5">
        <f>SUM($N$9:N165)</f>
        <v>530.81009404333508</v>
      </c>
      <c r="AE165" s="5">
        <f t="shared" si="17"/>
        <v>157</v>
      </c>
      <c r="AF165" s="5">
        <f t="shared" si="18"/>
        <v>341622</v>
      </c>
      <c r="AG165" s="5">
        <f t="shared" si="19"/>
        <v>333134</v>
      </c>
      <c r="AH165" s="5">
        <f>AG165*$AF$1</f>
        <v>3331340</v>
      </c>
      <c r="AI165" s="5">
        <f>SUM($AF$9:AF164)</f>
        <v>5941590</v>
      </c>
      <c r="AK165" s="5">
        <f t="shared" si="20"/>
        <v>157</v>
      </c>
      <c r="AL165" s="5">
        <f t="shared" si="21"/>
        <v>23</v>
      </c>
      <c r="AM165" s="5">
        <f t="shared" si="22"/>
        <v>88911</v>
      </c>
      <c r="AN165" s="5">
        <f>$AL$4*$AL$3^AL165*$AL$2</f>
        <v>88910.897228073518</v>
      </c>
      <c r="AO165" s="5">
        <f>IF(AL165=AL166,1,LOOKUP(MOD(AL165,$AL$1),$AN$1:$AN$5,$AO$1:$AO$5))</f>
        <v>1</v>
      </c>
      <c r="AP165" s="5">
        <f t="shared" si="23"/>
        <v>17990</v>
      </c>
      <c r="AQ165" s="5">
        <f>AM165*$AR$3</f>
        <v>11854.8</v>
      </c>
      <c r="AR165" s="5">
        <f>AM165*AL165*$AR$4</f>
        <v>6134.8590000000004</v>
      </c>
      <c r="AS165" s="5">
        <f>SUM($AP$9:AP164)</f>
        <v>389631</v>
      </c>
    </row>
    <row r="166" spans="1:45" x14ac:dyDescent="0.15">
      <c r="A166" s="5">
        <v>158</v>
      </c>
      <c r="D166" s="5">
        <v>158</v>
      </c>
      <c r="E166" s="5">
        <v>59</v>
      </c>
      <c r="F166" s="5">
        <v>2.4009523809523809</v>
      </c>
      <c r="G166" s="5">
        <v>430.26273618715646</v>
      </c>
      <c r="J166" s="5">
        <f t="shared" si="16"/>
        <v>158</v>
      </c>
      <c r="K166" s="5">
        <f>SUM($AP$9:AP165)</f>
        <v>407621</v>
      </c>
      <c r="L166" s="5">
        <f>LOOKUP(K166,AI:AI,AE:AE)</f>
        <v>110</v>
      </c>
      <c r="M166" s="5">
        <f>LOOKUP(L166,AE:AE,AG:AG)</f>
        <v>23562</v>
      </c>
      <c r="N166" s="5">
        <f>AM166/M166/$K$1</f>
        <v>2.5156608097784567</v>
      </c>
      <c r="O166" s="5">
        <f>SUM($N$9:N166)</f>
        <v>533.32575485311349</v>
      </c>
      <c r="AE166" s="5">
        <f t="shared" si="17"/>
        <v>158</v>
      </c>
      <c r="AF166" s="5">
        <f t="shared" si="18"/>
        <v>360931</v>
      </c>
      <c r="AG166" s="5">
        <f t="shared" si="19"/>
        <v>352019</v>
      </c>
      <c r="AH166" s="5">
        <f>AG166*$AF$1</f>
        <v>3520190</v>
      </c>
      <c r="AI166" s="5">
        <f>SUM($AF$9:AF165)</f>
        <v>6283212</v>
      </c>
      <c r="AK166" s="5">
        <f t="shared" si="20"/>
        <v>158</v>
      </c>
      <c r="AL166" s="5">
        <f t="shared" si="21"/>
        <v>23</v>
      </c>
      <c r="AM166" s="5">
        <f t="shared" si="22"/>
        <v>88911</v>
      </c>
      <c r="AN166" s="5">
        <f>$AL$4*$AL$3^AL166*$AL$2</f>
        <v>88910.897228073518</v>
      </c>
      <c r="AO166" s="5">
        <f>IF(AL166=AL167,1,LOOKUP(MOD(AL166,$AL$1),$AN$1:$AN$5,$AO$1:$AO$5))</f>
        <v>1</v>
      </c>
      <c r="AP166" s="5">
        <f t="shared" si="23"/>
        <v>17990</v>
      </c>
      <c r="AQ166" s="5">
        <f>AM166*$AR$3</f>
        <v>11854.8</v>
      </c>
      <c r="AR166" s="5">
        <f>AM166*AL166*$AR$4</f>
        <v>6134.8590000000004</v>
      </c>
      <c r="AS166" s="5">
        <f>SUM($AP$9:AP165)</f>
        <v>407621</v>
      </c>
    </row>
    <row r="167" spans="1:45" x14ac:dyDescent="0.15">
      <c r="A167" s="5">
        <v>159</v>
      </c>
      <c r="D167" s="5">
        <v>159</v>
      </c>
      <c r="E167" s="5">
        <v>60</v>
      </c>
      <c r="F167" s="5">
        <v>2.2488849241748441</v>
      </c>
      <c r="G167" s="5">
        <v>432.51162111133129</v>
      </c>
      <c r="J167" s="5">
        <f t="shared" si="16"/>
        <v>159</v>
      </c>
      <c r="K167" s="5">
        <f>SUM($AP$9:AP166)</f>
        <v>425611</v>
      </c>
      <c r="L167" s="5">
        <f>LOOKUP(K167,AI:AI,AE:AE)</f>
        <v>111</v>
      </c>
      <c r="M167" s="5">
        <f>LOOKUP(L167,AE:AE,AG:AG)</f>
        <v>24965</v>
      </c>
      <c r="N167" s="5">
        <f>AM167/M167/$K$1</f>
        <v>2.3742839975966352</v>
      </c>
      <c r="O167" s="5">
        <f>SUM($N$9:N167)</f>
        <v>535.70003885071014</v>
      </c>
      <c r="AE167" s="5">
        <f t="shared" si="17"/>
        <v>159</v>
      </c>
      <c r="AF167" s="5">
        <f t="shared" si="18"/>
        <v>381317</v>
      </c>
      <c r="AG167" s="5">
        <f t="shared" si="19"/>
        <v>371960</v>
      </c>
      <c r="AH167" s="5">
        <f>AG167*$AF$1</f>
        <v>3719600</v>
      </c>
      <c r="AI167" s="5">
        <f>SUM($AF$9:AF166)</f>
        <v>6644143</v>
      </c>
      <c r="AK167" s="5">
        <f t="shared" si="20"/>
        <v>159</v>
      </c>
      <c r="AL167" s="5">
        <f t="shared" si="21"/>
        <v>23</v>
      </c>
      <c r="AM167" s="5">
        <f t="shared" si="22"/>
        <v>88911</v>
      </c>
      <c r="AN167" s="5">
        <f>$AL$4*$AL$3^AL167*$AL$2</f>
        <v>88910.897228073518</v>
      </c>
      <c r="AO167" s="5">
        <f>IF(AL167=AL168,1,LOOKUP(MOD(AL167,$AL$1),$AN$1:$AN$5,$AO$1:$AO$5))</f>
        <v>1</v>
      </c>
      <c r="AP167" s="5">
        <f t="shared" si="23"/>
        <v>17990</v>
      </c>
      <c r="AQ167" s="5">
        <f>AM167*$AR$3</f>
        <v>11854.8</v>
      </c>
      <c r="AR167" s="5">
        <f>AM167*AL167*$AR$4</f>
        <v>6134.8590000000004</v>
      </c>
      <c r="AS167" s="5">
        <f>SUM($AP$9:AP166)</f>
        <v>425611</v>
      </c>
    </row>
    <row r="168" spans="1:45" x14ac:dyDescent="0.15">
      <c r="A168" s="5">
        <v>160</v>
      </c>
      <c r="D168" s="5">
        <v>160</v>
      </c>
      <c r="E168" s="5">
        <v>60</v>
      </c>
      <c r="F168" s="5">
        <v>4.497680642283675</v>
      </c>
      <c r="G168" s="5">
        <v>437.00930175361498</v>
      </c>
      <c r="J168" s="5">
        <f t="shared" si="16"/>
        <v>160</v>
      </c>
      <c r="K168" s="5">
        <f>SUM($AP$9:AP167)</f>
        <v>443601</v>
      </c>
      <c r="L168" s="5">
        <f>LOOKUP(K168,AI:AI,AE:AE)</f>
        <v>111</v>
      </c>
      <c r="M168" s="5">
        <f>LOOKUP(L168,AE:AE,AG:AG)</f>
        <v>24965</v>
      </c>
      <c r="N168" s="5">
        <f>AM168/M168/$K$1</f>
        <v>2.3742839975966352</v>
      </c>
      <c r="O168" s="5">
        <f>SUM($N$9:N168)</f>
        <v>538.07432284830679</v>
      </c>
      <c r="AE168" s="5">
        <f t="shared" si="17"/>
        <v>160</v>
      </c>
      <c r="AF168" s="5">
        <f t="shared" si="18"/>
        <v>402839</v>
      </c>
      <c r="AG168" s="5">
        <f t="shared" si="19"/>
        <v>393014</v>
      </c>
      <c r="AH168" s="5">
        <f>AG168*$AF$1</f>
        <v>3930140</v>
      </c>
      <c r="AI168" s="5">
        <f>SUM($AF$9:AF167)</f>
        <v>7025460</v>
      </c>
      <c r="AK168" s="5">
        <f t="shared" si="20"/>
        <v>160</v>
      </c>
      <c r="AL168" s="5">
        <f t="shared" si="21"/>
        <v>23</v>
      </c>
      <c r="AM168" s="5">
        <f t="shared" si="22"/>
        <v>88911</v>
      </c>
      <c r="AN168" s="5">
        <f>$AL$4*$AL$3^AL168*$AL$2</f>
        <v>88910.897228073518</v>
      </c>
      <c r="AO168" s="5">
        <f>IF(AL168=AL169,1,LOOKUP(MOD(AL168,$AL$1),$AN$1:$AN$5,$AO$1:$AO$5))</f>
        <v>1</v>
      </c>
      <c r="AP168" s="5">
        <f t="shared" si="23"/>
        <v>17990</v>
      </c>
      <c r="AQ168" s="5">
        <f>AM168*$AR$3</f>
        <v>11854.8</v>
      </c>
      <c r="AR168" s="5">
        <f>AM168*AL168*$AR$4</f>
        <v>6134.8590000000004</v>
      </c>
      <c r="AS168" s="5">
        <f>SUM($AP$9:AP167)</f>
        <v>443601</v>
      </c>
    </row>
    <row r="169" spans="1:45" x14ac:dyDescent="0.15">
      <c r="A169" s="5">
        <v>161</v>
      </c>
      <c r="D169" s="5">
        <v>161</v>
      </c>
      <c r="E169" s="5">
        <v>61</v>
      </c>
      <c r="F169" s="5">
        <v>3.3092809364548494</v>
      </c>
      <c r="G169" s="5">
        <v>440.31858269006983</v>
      </c>
      <c r="J169" s="5">
        <f t="shared" si="16"/>
        <v>161</v>
      </c>
      <c r="K169" s="5">
        <f>SUM($AP$9:AP168)</f>
        <v>461591</v>
      </c>
      <c r="L169" s="5">
        <f>LOOKUP(K169,AI:AI,AE:AE)</f>
        <v>112</v>
      </c>
      <c r="M169" s="5">
        <f>LOOKUP(L169,AE:AE,AG:AG)</f>
        <v>26450</v>
      </c>
      <c r="N169" s="5">
        <f>AM169/M169/$K$1</f>
        <v>8.963931947069943</v>
      </c>
      <c r="O169" s="5">
        <f>SUM($N$9:N169)</f>
        <v>547.0382547953767</v>
      </c>
      <c r="AE169" s="5">
        <f t="shared" si="17"/>
        <v>161</v>
      </c>
      <c r="AF169" s="5">
        <f t="shared" si="18"/>
        <v>425560</v>
      </c>
      <c r="AG169" s="5">
        <f t="shared" si="19"/>
        <v>415244</v>
      </c>
      <c r="AH169" s="5">
        <f>AG169*$AF$1</f>
        <v>4152440</v>
      </c>
      <c r="AI169" s="5">
        <f>SUM($AF$9:AF168)</f>
        <v>7428299</v>
      </c>
      <c r="AK169" s="5">
        <f t="shared" si="20"/>
        <v>161</v>
      </c>
      <c r="AL169" s="5">
        <f t="shared" si="21"/>
        <v>23</v>
      </c>
      <c r="AM169" s="5">
        <f t="shared" si="22"/>
        <v>355644</v>
      </c>
      <c r="AN169" s="5">
        <f>$AL$4*$AL$3^AL169*$AL$2</f>
        <v>88910.897228073518</v>
      </c>
      <c r="AO169" s="5">
        <f>IF(AL169=AL170,1,LOOKUP(MOD(AL169,$AL$1),$AN$1:$AN$5,$AO$1:$AO$5))</f>
        <v>4</v>
      </c>
      <c r="AP169" s="5">
        <f t="shared" si="23"/>
        <v>71959</v>
      </c>
      <c r="AQ169" s="5">
        <f>AM169*$AR$3</f>
        <v>47419.199999999997</v>
      </c>
      <c r="AR169" s="5">
        <f>AM169*AL169*$AR$4</f>
        <v>24539.436000000002</v>
      </c>
      <c r="AS169" s="5">
        <f>SUM($AP$9:AP168)</f>
        <v>461591</v>
      </c>
    </row>
    <row r="170" spans="1:45" x14ac:dyDescent="0.15">
      <c r="A170" s="5">
        <v>162</v>
      </c>
      <c r="D170" s="5">
        <v>162</v>
      </c>
      <c r="E170" s="5">
        <v>62</v>
      </c>
      <c r="F170" s="5">
        <v>3.0993735317149569</v>
      </c>
      <c r="G170" s="5">
        <v>443.41795622178478</v>
      </c>
      <c r="J170" s="5">
        <f t="shared" si="16"/>
        <v>162</v>
      </c>
      <c r="K170" s="5">
        <f>SUM($AP$9:AP169)</f>
        <v>533550</v>
      </c>
      <c r="L170" s="5">
        <f>LOOKUP(K170,AI:AI,AE:AE)</f>
        <v>114</v>
      </c>
      <c r="M170" s="5">
        <f>LOOKUP(L170,AE:AE,AG:AG)</f>
        <v>29681</v>
      </c>
      <c r="N170" s="5">
        <f>AM170/M170/$K$1</f>
        <v>3.1353391058252753</v>
      </c>
      <c r="O170" s="5">
        <f>SUM($N$9:N170)</f>
        <v>550.17359390120203</v>
      </c>
      <c r="AE170" s="5">
        <f t="shared" si="17"/>
        <v>162</v>
      </c>
      <c r="AF170" s="5">
        <f t="shared" si="18"/>
        <v>449546</v>
      </c>
      <c r="AG170" s="5">
        <f t="shared" si="19"/>
        <v>438714</v>
      </c>
      <c r="AH170" s="5">
        <f>AG170*$AF$1</f>
        <v>4387140</v>
      </c>
      <c r="AI170" s="5">
        <f>SUM($AF$9:AF169)</f>
        <v>7853859</v>
      </c>
      <c r="AK170" s="5">
        <f t="shared" si="20"/>
        <v>162</v>
      </c>
      <c r="AL170" s="5">
        <f t="shared" si="21"/>
        <v>24</v>
      </c>
      <c r="AM170" s="5">
        <f t="shared" si="22"/>
        <v>139590</v>
      </c>
      <c r="AN170" s="5">
        <f>$AL$4*$AL$3^AL170*$AL$2</f>
        <v>139590.10864807543</v>
      </c>
      <c r="AO170" s="5">
        <f>IF(AL170=AL171,1,LOOKUP(MOD(AL170,$AL$1),$AN$1:$AN$5,$AO$1:$AO$5))</f>
        <v>1</v>
      </c>
      <c r="AP170" s="5">
        <f t="shared" si="23"/>
        <v>28662</v>
      </c>
      <c r="AQ170" s="5">
        <f>AM170*$AR$3</f>
        <v>18612</v>
      </c>
      <c r="AR170" s="5">
        <f>AM170*AL170*$AR$4</f>
        <v>10050.48</v>
      </c>
      <c r="AS170" s="5">
        <f>SUM($AP$9:AP169)</f>
        <v>533550</v>
      </c>
    </row>
    <row r="171" spans="1:45" x14ac:dyDescent="0.15">
      <c r="A171" s="5">
        <v>163</v>
      </c>
      <c r="D171" s="5">
        <v>163</v>
      </c>
      <c r="E171" s="5">
        <v>62</v>
      </c>
      <c r="F171" s="5">
        <v>3.0993735317149569</v>
      </c>
      <c r="G171" s="5">
        <v>446.51732975349972</v>
      </c>
      <c r="J171" s="5">
        <f t="shared" si="16"/>
        <v>163</v>
      </c>
      <c r="K171" s="5">
        <f>SUM($AP$9:AP170)</f>
        <v>562212</v>
      </c>
      <c r="L171" s="5">
        <f>LOOKUP(K171,AI:AI,AE:AE)</f>
        <v>115</v>
      </c>
      <c r="M171" s="5">
        <f>LOOKUP(L171,AE:AE,AG:AG)</f>
        <v>31439</v>
      </c>
      <c r="N171" s="5">
        <f>AM171/M171/$K$1</f>
        <v>2.9600178122713827</v>
      </c>
      <c r="O171" s="5">
        <f>SUM($N$9:N171)</f>
        <v>553.13361171347344</v>
      </c>
      <c r="AE171" s="5">
        <f t="shared" si="17"/>
        <v>163</v>
      </c>
      <c r="AF171" s="5">
        <f t="shared" si="18"/>
        <v>474867</v>
      </c>
      <c r="AG171" s="5">
        <f t="shared" si="19"/>
        <v>463493</v>
      </c>
      <c r="AH171" s="5">
        <f>AG171*$AF$1</f>
        <v>4634930</v>
      </c>
      <c r="AI171" s="5">
        <f>SUM($AF$9:AF170)</f>
        <v>8303405</v>
      </c>
      <c r="AK171" s="5">
        <f t="shared" si="20"/>
        <v>163</v>
      </c>
      <c r="AL171" s="5">
        <f t="shared" si="21"/>
        <v>24</v>
      </c>
      <c r="AM171" s="5">
        <f t="shared" si="22"/>
        <v>139590</v>
      </c>
      <c r="AN171" s="5">
        <f>$AL$4*$AL$3^AL171*$AL$2</f>
        <v>139590.10864807543</v>
      </c>
      <c r="AO171" s="5">
        <f>IF(AL171=AL172,1,LOOKUP(MOD(AL171,$AL$1),$AN$1:$AN$5,$AO$1:$AO$5))</f>
        <v>1</v>
      </c>
      <c r="AP171" s="5">
        <f t="shared" si="23"/>
        <v>28662</v>
      </c>
      <c r="AQ171" s="5">
        <f>AM171*$AR$3</f>
        <v>18612</v>
      </c>
      <c r="AR171" s="5">
        <f>AM171*AL171*$AR$4</f>
        <v>10050.48</v>
      </c>
      <c r="AS171" s="5">
        <f>SUM($AP$9:AP170)</f>
        <v>562212</v>
      </c>
    </row>
    <row r="172" spans="1:45" x14ac:dyDescent="0.15">
      <c r="A172" s="5">
        <v>164</v>
      </c>
      <c r="D172" s="5">
        <v>164</v>
      </c>
      <c r="E172" s="5">
        <v>63</v>
      </c>
      <c r="F172" s="5">
        <v>2.9059471365638769</v>
      </c>
      <c r="G172" s="5">
        <v>449.42327689006362</v>
      </c>
      <c r="J172" s="5">
        <f t="shared" si="16"/>
        <v>164</v>
      </c>
      <c r="K172" s="5">
        <f>SUM($AP$9:AP171)</f>
        <v>590874</v>
      </c>
      <c r="L172" s="5">
        <f>LOOKUP(K172,AI:AI,AE:AE)</f>
        <v>116</v>
      </c>
      <c r="M172" s="5">
        <f>LOOKUP(L172,AE:AE,AG:AG)</f>
        <v>33298</v>
      </c>
      <c r="N172" s="5">
        <f>AM172/M172/$K$1</f>
        <v>2.7947624481950868</v>
      </c>
      <c r="O172" s="5">
        <f>SUM($N$9:N172)</f>
        <v>555.92837416166856</v>
      </c>
      <c r="AE172" s="5">
        <f t="shared" si="17"/>
        <v>164</v>
      </c>
      <c r="AF172" s="5">
        <f t="shared" si="18"/>
        <v>501596</v>
      </c>
      <c r="AG172" s="5">
        <f t="shared" si="19"/>
        <v>489654</v>
      </c>
      <c r="AH172" s="5">
        <f>AG172*$AF$1</f>
        <v>4896540</v>
      </c>
      <c r="AI172" s="5">
        <f>SUM($AF$9:AF171)</f>
        <v>8778272</v>
      </c>
      <c r="AK172" s="5">
        <f t="shared" si="20"/>
        <v>164</v>
      </c>
      <c r="AL172" s="5">
        <f t="shared" si="21"/>
        <v>24</v>
      </c>
      <c r="AM172" s="5">
        <f t="shared" si="22"/>
        <v>139590</v>
      </c>
      <c r="AN172" s="5">
        <f>$AL$4*$AL$3^AL172*$AL$2</f>
        <v>139590.10864807543</v>
      </c>
      <c r="AO172" s="5">
        <f>IF(AL172=AL173,1,LOOKUP(MOD(AL172,$AL$1),$AN$1:$AN$5,$AO$1:$AO$5))</f>
        <v>1</v>
      </c>
      <c r="AP172" s="5">
        <f t="shared" si="23"/>
        <v>28662</v>
      </c>
      <c r="AQ172" s="5">
        <f>AM172*$AR$3</f>
        <v>18612</v>
      </c>
      <c r="AR172" s="5">
        <f>AM172*AL172*$AR$4</f>
        <v>10050.48</v>
      </c>
      <c r="AS172" s="5">
        <f>SUM($AP$9:AP171)</f>
        <v>590874</v>
      </c>
    </row>
    <row r="173" spans="1:45" x14ac:dyDescent="0.15">
      <c r="A173" s="5">
        <v>165</v>
      </c>
      <c r="D173" s="5">
        <v>165</v>
      </c>
      <c r="E173" s="5">
        <v>63</v>
      </c>
      <c r="F173" s="5">
        <v>2.9059471365638769</v>
      </c>
      <c r="G173" s="5">
        <v>452.32922402662751</v>
      </c>
      <c r="J173" s="5">
        <f t="shared" si="16"/>
        <v>165</v>
      </c>
      <c r="K173" s="5">
        <f>SUM($AP$9:AP172)</f>
        <v>619536</v>
      </c>
      <c r="L173" s="5">
        <f>LOOKUP(K173,AI:AI,AE:AE)</f>
        <v>117</v>
      </c>
      <c r="M173" s="5">
        <f>LOOKUP(L173,AE:AE,AG:AG)</f>
        <v>35264</v>
      </c>
      <c r="N173" s="5">
        <f>AM173/M173/$K$1</f>
        <v>2.6389519056261341</v>
      </c>
      <c r="O173" s="5">
        <f>SUM($N$9:N173)</f>
        <v>558.56732606729474</v>
      </c>
      <c r="AE173" s="5">
        <f t="shared" si="17"/>
        <v>165</v>
      </c>
      <c r="AF173" s="5">
        <f t="shared" si="18"/>
        <v>529811</v>
      </c>
      <c r="AG173" s="5">
        <f t="shared" si="19"/>
        <v>517271</v>
      </c>
      <c r="AH173" s="5">
        <f>AG173*$AF$1</f>
        <v>5172710</v>
      </c>
      <c r="AI173" s="5">
        <f>SUM($AF$9:AF172)</f>
        <v>9279868</v>
      </c>
      <c r="AK173" s="5">
        <f t="shared" si="20"/>
        <v>165</v>
      </c>
      <c r="AL173" s="5">
        <f t="shared" si="21"/>
        <v>24</v>
      </c>
      <c r="AM173" s="5">
        <f t="shared" si="22"/>
        <v>139590</v>
      </c>
      <c r="AN173" s="5">
        <f>$AL$4*$AL$3^AL173*$AL$2</f>
        <v>139590.10864807543</v>
      </c>
      <c r="AO173" s="5">
        <f>IF(AL173=AL174,1,LOOKUP(MOD(AL173,$AL$1),$AN$1:$AN$5,$AO$1:$AO$5))</f>
        <v>1</v>
      </c>
      <c r="AP173" s="5">
        <f t="shared" si="23"/>
        <v>28662</v>
      </c>
      <c r="AQ173" s="5">
        <f>AM173*$AR$3</f>
        <v>18612</v>
      </c>
      <c r="AR173" s="5">
        <f>AM173*AL173*$AR$4</f>
        <v>10050.48</v>
      </c>
      <c r="AS173" s="5">
        <f>SUM($AP$9:AP172)</f>
        <v>619536</v>
      </c>
    </row>
    <row r="174" spans="1:45" x14ac:dyDescent="0.15">
      <c r="A174" s="5">
        <v>166</v>
      </c>
      <c r="D174" s="5">
        <v>166</v>
      </c>
      <c r="E174" s="5">
        <v>64</v>
      </c>
      <c r="F174" s="5">
        <v>2.7239504473503096</v>
      </c>
      <c r="G174" s="5">
        <v>455.05317447397783</v>
      </c>
      <c r="J174" s="5">
        <f t="shared" si="16"/>
        <v>166</v>
      </c>
      <c r="K174" s="5">
        <f>SUM($AP$9:AP173)</f>
        <v>648198</v>
      </c>
      <c r="L174" s="5">
        <f>LOOKUP(K174,AI:AI,AE:AE)</f>
        <v>118</v>
      </c>
      <c r="M174" s="5">
        <f>LOOKUP(L174,AE:AE,AG:AG)</f>
        <v>37344</v>
      </c>
      <c r="N174" s="5">
        <f>AM174/M174/$K$1</f>
        <v>2.4919665809768636</v>
      </c>
      <c r="O174" s="5">
        <f>SUM($N$9:N174)</f>
        <v>561.05929264827159</v>
      </c>
      <c r="AE174" s="5">
        <f t="shared" si="17"/>
        <v>166</v>
      </c>
      <c r="AF174" s="5">
        <f t="shared" si="18"/>
        <v>559593</v>
      </c>
      <c r="AG174" s="5">
        <f t="shared" si="19"/>
        <v>546426</v>
      </c>
      <c r="AH174" s="5">
        <f>AG174*$AF$1</f>
        <v>5464260</v>
      </c>
      <c r="AI174" s="5">
        <f>SUM($AF$9:AF173)</f>
        <v>9809679</v>
      </c>
      <c r="AK174" s="5">
        <f t="shared" si="20"/>
        <v>166</v>
      </c>
      <c r="AL174" s="5">
        <f t="shared" si="21"/>
        <v>24</v>
      </c>
      <c r="AM174" s="5">
        <f t="shared" si="22"/>
        <v>139590</v>
      </c>
      <c r="AN174" s="5">
        <f>$AL$4*$AL$3^AL174*$AL$2</f>
        <v>139590.10864807543</v>
      </c>
      <c r="AO174" s="5">
        <f>IF(AL174=AL175,1,LOOKUP(MOD(AL174,$AL$1),$AN$1:$AN$5,$AO$1:$AO$5))</f>
        <v>1</v>
      </c>
      <c r="AP174" s="5">
        <f t="shared" si="23"/>
        <v>28662</v>
      </c>
      <c r="AQ174" s="5">
        <f>AM174*$AR$3</f>
        <v>18612</v>
      </c>
      <c r="AR174" s="5">
        <f>AM174*AL174*$AR$4</f>
        <v>10050.48</v>
      </c>
      <c r="AS174" s="5">
        <f>SUM($AP$9:AP173)</f>
        <v>648198</v>
      </c>
    </row>
    <row r="175" spans="1:45" x14ac:dyDescent="0.15">
      <c r="A175" s="5">
        <v>167</v>
      </c>
      <c r="D175" s="5">
        <v>167</v>
      </c>
      <c r="E175" s="5">
        <v>64</v>
      </c>
      <c r="F175" s="5">
        <v>2.7239504473503096</v>
      </c>
      <c r="G175" s="5">
        <v>457.77712492132815</v>
      </c>
      <c r="J175" s="5">
        <f t="shared" si="16"/>
        <v>167</v>
      </c>
      <c r="K175" s="5">
        <f>SUM($AP$9:AP174)</f>
        <v>676860</v>
      </c>
      <c r="L175" s="5">
        <f>LOOKUP(K175,AI:AI,AE:AE)</f>
        <v>118</v>
      </c>
      <c r="M175" s="5">
        <f>LOOKUP(L175,AE:AE,AG:AG)</f>
        <v>37344</v>
      </c>
      <c r="N175" s="5">
        <f>AM175/M175/$K$1</f>
        <v>2.4919665809768636</v>
      </c>
      <c r="O175" s="5">
        <f>SUM($N$9:N175)</f>
        <v>563.55125922924844</v>
      </c>
      <c r="AE175" s="5">
        <f t="shared" si="17"/>
        <v>167</v>
      </c>
      <c r="AF175" s="5">
        <f t="shared" si="18"/>
        <v>591029</v>
      </c>
      <c r="AG175" s="5">
        <f t="shared" si="19"/>
        <v>577204</v>
      </c>
      <c r="AH175" s="5">
        <f>AG175*$AF$1</f>
        <v>5772040</v>
      </c>
      <c r="AI175" s="5">
        <f>SUM($AF$9:AF174)</f>
        <v>10369272</v>
      </c>
      <c r="AK175" s="5">
        <f t="shared" si="20"/>
        <v>167</v>
      </c>
      <c r="AL175" s="5">
        <f t="shared" si="21"/>
        <v>24</v>
      </c>
      <c r="AM175" s="5">
        <f t="shared" si="22"/>
        <v>139590</v>
      </c>
      <c r="AN175" s="5">
        <f>$AL$4*$AL$3^AL175*$AL$2</f>
        <v>139590.10864807543</v>
      </c>
      <c r="AO175" s="5">
        <f>IF(AL175=AL176,1,LOOKUP(MOD(AL175,$AL$1),$AN$1:$AN$5,$AO$1:$AO$5))</f>
        <v>1</v>
      </c>
      <c r="AP175" s="5">
        <f t="shared" si="23"/>
        <v>28662</v>
      </c>
      <c r="AQ175" s="5">
        <f>AM175*$AR$3</f>
        <v>18612</v>
      </c>
      <c r="AR175" s="5">
        <f>AM175*AL175*$AR$4</f>
        <v>10050.48</v>
      </c>
      <c r="AS175" s="5">
        <f>SUM($AP$9:AP174)</f>
        <v>676860</v>
      </c>
    </row>
    <row r="176" spans="1:45" x14ac:dyDescent="0.15">
      <c r="A176" s="5">
        <v>168</v>
      </c>
      <c r="D176" s="5">
        <v>168</v>
      </c>
      <c r="E176" s="5">
        <v>64</v>
      </c>
      <c r="F176" s="5">
        <v>2.7239504473503096</v>
      </c>
      <c r="G176" s="5">
        <v>460.50107536867847</v>
      </c>
      <c r="J176" s="5">
        <f t="shared" si="16"/>
        <v>168</v>
      </c>
      <c r="K176" s="5">
        <f>SUM($AP$9:AP175)</f>
        <v>705522</v>
      </c>
      <c r="L176" s="5">
        <f>LOOKUP(K176,AI:AI,AE:AE)</f>
        <v>119</v>
      </c>
      <c r="M176" s="5">
        <f>LOOKUP(L176,AE:AE,AG:AG)</f>
        <v>39543</v>
      </c>
      <c r="N176" s="5">
        <f>AM176/M176/$K$1</f>
        <v>14.120341569093561</v>
      </c>
      <c r="O176" s="5">
        <f>SUM($N$9:N176)</f>
        <v>577.67160079834196</v>
      </c>
      <c r="AE176" s="5">
        <f t="shared" si="17"/>
        <v>168</v>
      </c>
      <c r="AF176" s="5">
        <f t="shared" si="18"/>
        <v>624210</v>
      </c>
      <c r="AG176" s="5">
        <f t="shared" si="19"/>
        <v>609693</v>
      </c>
      <c r="AH176" s="5">
        <f>AG176*$AF$1</f>
        <v>6096930</v>
      </c>
      <c r="AI176" s="5">
        <f>SUM($AF$9:AF175)</f>
        <v>10960301</v>
      </c>
      <c r="AK176" s="5">
        <f t="shared" si="20"/>
        <v>168</v>
      </c>
      <c r="AL176" s="5">
        <f t="shared" si="21"/>
        <v>24</v>
      </c>
      <c r="AM176" s="5">
        <f t="shared" si="22"/>
        <v>837541</v>
      </c>
      <c r="AN176" s="5">
        <f>$AL$4*$AL$3^AL176*$AL$2</f>
        <v>139590.10864807543</v>
      </c>
      <c r="AO176" s="5">
        <f>IF(AL176=AL177,1,LOOKUP(MOD(AL176,$AL$1),$AN$1:$AN$5,$AO$1:$AO$5))</f>
        <v>6</v>
      </c>
      <c r="AP176" s="5">
        <f t="shared" si="23"/>
        <v>171975</v>
      </c>
      <c r="AQ176" s="5">
        <f>AM176*$AR$3</f>
        <v>111672.13333333333</v>
      </c>
      <c r="AR176" s="5">
        <f>AM176*AL176*$AR$4</f>
        <v>60302.952000000005</v>
      </c>
      <c r="AS176" s="5">
        <f>SUM($AP$9:AP175)</f>
        <v>705522</v>
      </c>
    </row>
    <row r="177" spans="1:45" x14ac:dyDescent="0.15">
      <c r="A177" s="5">
        <v>169</v>
      </c>
      <c r="D177" s="5">
        <v>169</v>
      </c>
      <c r="E177" s="5">
        <v>65</v>
      </c>
      <c r="F177" s="5">
        <v>2.5534838709677419</v>
      </c>
      <c r="G177" s="5">
        <v>463.05455923964621</v>
      </c>
      <c r="J177" s="5">
        <f t="shared" si="16"/>
        <v>169</v>
      </c>
      <c r="K177" s="5">
        <f>SUM($AP$9:AP176)</f>
        <v>877497</v>
      </c>
      <c r="L177" s="5">
        <f>LOOKUP(K177,AI:AI,AE:AE)</f>
        <v>123</v>
      </c>
      <c r="M177" s="5">
        <f>LOOKUP(L177,AE:AE,AG:AG)</f>
        <v>49681</v>
      </c>
      <c r="N177" s="5">
        <f>AM177/M177/$K$1</f>
        <v>2.9408425756325354</v>
      </c>
      <c r="O177" s="5">
        <f>SUM($N$9:N177)</f>
        <v>580.61244337397454</v>
      </c>
      <c r="AE177" s="5">
        <f t="shared" si="17"/>
        <v>169</v>
      </c>
      <c r="AF177" s="5">
        <f t="shared" si="18"/>
        <v>659231</v>
      </c>
      <c r="AG177" s="5">
        <f t="shared" si="19"/>
        <v>643989</v>
      </c>
      <c r="AH177" s="5">
        <f>AG177*$AF$1</f>
        <v>6439890</v>
      </c>
      <c r="AI177" s="5">
        <f>SUM($AF$9:AF176)</f>
        <v>11584511</v>
      </c>
      <c r="AK177" s="5">
        <f t="shared" si="20"/>
        <v>169</v>
      </c>
      <c r="AL177" s="5">
        <f t="shared" si="21"/>
        <v>25</v>
      </c>
      <c r="AM177" s="5">
        <f t="shared" si="22"/>
        <v>219156</v>
      </c>
      <c r="AN177" s="5">
        <f>$AL$4*$AL$3^AL177*$AL$2</f>
        <v>219156.47057747844</v>
      </c>
      <c r="AO177" s="5">
        <f>IF(AL177=AL178,1,LOOKUP(MOD(AL177,$AL$1),$AN$1:$AN$5,$AO$1:$AO$5))</f>
        <v>1</v>
      </c>
      <c r="AP177" s="5">
        <f t="shared" si="23"/>
        <v>45658</v>
      </c>
      <c r="AQ177" s="5">
        <f>AM177*$AR$3</f>
        <v>29220.799999999999</v>
      </c>
      <c r="AR177" s="5">
        <f>AM177*AL177*$AR$4</f>
        <v>16436.7</v>
      </c>
      <c r="AS177" s="5">
        <f>SUM($AP$9:AP176)</f>
        <v>877497</v>
      </c>
    </row>
    <row r="178" spans="1:45" x14ac:dyDescent="0.15">
      <c r="A178" s="5">
        <v>170</v>
      </c>
      <c r="D178" s="5">
        <v>170</v>
      </c>
      <c r="E178" s="5">
        <v>65</v>
      </c>
      <c r="F178" s="5">
        <v>10.213935483870968</v>
      </c>
      <c r="G178" s="5">
        <v>473.26849472351716</v>
      </c>
      <c r="J178" s="5">
        <f t="shared" si="16"/>
        <v>170</v>
      </c>
      <c r="K178" s="5">
        <f>SUM($AP$9:AP177)</f>
        <v>923155</v>
      </c>
      <c r="L178" s="5">
        <f>LOOKUP(K178,AI:AI,AE:AE)</f>
        <v>124</v>
      </c>
      <c r="M178" s="5">
        <f>LOOKUP(L178,AE:AE,AG:AG)</f>
        <v>52589</v>
      </c>
      <c r="N178" s="5">
        <f>AM178/M178/$K$1</f>
        <v>2.7782235828785491</v>
      </c>
      <c r="O178" s="5">
        <f>SUM($N$9:N178)</f>
        <v>583.39066695685312</v>
      </c>
      <c r="AE178" s="5">
        <f t="shared" si="17"/>
        <v>170</v>
      </c>
      <c r="AF178" s="5">
        <f t="shared" si="18"/>
        <v>696194</v>
      </c>
      <c r="AG178" s="5">
        <f t="shared" si="19"/>
        <v>680189</v>
      </c>
      <c r="AH178" s="5">
        <f>AG178*$AF$1</f>
        <v>6801890</v>
      </c>
      <c r="AI178" s="5">
        <f>SUM($AF$9:AF177)</f>
        <v>12243742</v>
      </c>
      <c r="AK178" s="5">
        <f t="shared" si="20"/>
        <v>170</v>
      </c>
      <c r="AL178" s="5">
        <f t="shared" si="21"/>
        <v>25</v>
      </c>
      <c r="AM178" s="5">
        <f t="shared" si="22"/>
        <v>219156</v>
      </c>
      <c r="AN178" s="5">
        <f>$AL$4*$AL$3^AL178*$AL$2</f>
        <v>219156.47057747844</v>
      </c>
      <c r="AO178" s="5">
        <f>IF(AL178=AL179,1,LOOKUP(MOD(AL178,$AL$1),$AN$1:$AN$5,$AO$1:$AO$5))</f>
        <v>1</v>
      </c>
      <c r="AP178" s="5">
        <f t="shared" si="23"/>
        <v>45658</v>
      </c>
      <c r="AQ178" s="5">
        <f>AM178*$AR$3</f>
        <v>29220.799999999999</v>
      </c>
      <c r="AR178" s="5">
        <f>AM178*AL178*$AR$4</f>
        <v>16436.7</v>
      </c>
      <c r="AS178" s="5">
        <f>SUM($AP$9:AP177)</f>
        <v>923155</v>
      </c>
    </row>
    <row r="179" spans="1:45" x14ac:dyDescent="0.15">
      <c r="A179" s="5">
        <v>171</v>
      </c>
      <c r="D179" s="5">
        <v>171</v>
      </c>
      <c r="E179" s="5">
        <v>67</v>
      </c>
      <c r="F179" s="5">
        <v>3.5286201022146506</v>
      </c>
      <c r="G179" s="5">
        <v>476.7971148257318</v>
      </c>
      <c r="J179" s="5">
        <f t="shared" si="16"/>
        <v>171</v>
      </c>
      <c r="K179" s="5">
        <f>SUM($AP$9:AP178)</f>
        <v>968813</v>
      </c>
      <c r="L179" s="5">
        <f>LOOKUP(K179,AI:AI,AE:AE)</f>
        <v>125</v>
      </c>
      <c r="M179" s="5">
        <f>LOOKUP(L179,AE:AE,AG:AG)</f>
        <v>55664</v>
      </c>
      <c r="N179" s="5">
        <f>AM179/M179/$K$1</f>
        <v>2.6247484909456742</v>
      </c>
      <c r="O179" s="5">
        <f>SUM($N$9:N179)</f>
        <v>586.01541544779877</v>
      </c>
      <c r="AE179" s="5">
        <f t="shared" si="17"/>
        <v>171</v>
      </c>
      <c r="AF179" s="5">
        <f t="shared" si="18"/>
        <v>735205</v>
      </c>
      <c r="AG179" s="5">
        <f t="shared" si="19"/>
        <v>718400</v>
      </c>
      <c r="AH179" s="5">
        <f>AG179*$AF$1</f>
        <v>7184000</v>
      </c>
      <c r="AI179" s="5">
        <f>SUM($AF$9:AF178)</f>
        <v>12939936</v>
      </c>
      <c r="AK179" s="5">
        <f t="shared" si="20"/>
        <v>171</v>
      </c>
      <c r="AL179" s="5">
        <f t="shared" si="21"/>
        <v>25</v>
      </c>
      <c r="AM179" s="5">
        <f t="shared" si="22"/>
        <v>219156</v>
      </c>
      <c r="AN179" s="5">
        <f>$AL$4*$AL$3^AL179*$AL$2</f>
        <v>219156.47057747844</v>
      </c>
      <c r="AO179" s="5">
        <f>IF(AL179=AL180,1,LOOKUP(MOD(AL179,$AL$1),$AN$1:$AN$5,$AO$1:$AO$5))</f>
        <v>1</v>
      </c>
      <c r="AP179" s="5">
        <f t="shared" si="23"/>
        <v>45658</v>
      </c>
      <c r="AQ179" s="5">
        <f>AM179*$AR$3</f>
        <v>29220.799999999999</v>
      </c>
      <c r="AR179" s="5">
        <f>AM179*AL179*$AR$4</f>
        <v>16436.7</v>
      </c>
      <c r="AS179" s="5">
        <f>SUM($AP$9:AP178)</f>
        <v>968813</v>
      </c>
    </row>
    <row r="180" spans="1:45" x14ac:dyDescent="0.15">
      <c r="A180" s="5">
        <v>172</v>
      </c>
      <c r="D180" s="5">
        <v>172</v>
      </c>
      <c r="E180" s="5">
        <v>67</v>
      </c>
      <c r="F180" s="5">
        <v>3.5286201022146506</v>
      </c>
      <c r="G180" s="5">
        <v>480.32573492794643</v>
      </c>
      <c r="J180" s="5">
        <f t="shared" si="16"/>
        <v>172</v>
      </c>
      <c r="K180" s="5">
        <f>SUM($AP$9:AP179)</f>
        <v>1014471</v>
      </c>
      <c r="L180" s="5">
        <f>LOOKUP(K180,AI:AI,AE:AE)</f>
        <v>125</v>
      </c>
      <c r="M180" s="5">
        <f>LOOKUP(L180,AE:AE,AG:AG)</f>
        <v>55664</v>
      </c>
      <c r="N180" s="5">
        <f>AM180/M180/$K$1</f>
        <v>2.6247484909456742</v>
      </c>
      <c r="O180" s="5">
        <f>SUM($N$9:N180)</f>
        <v>588.64016393874442</v>
      </c>
      <c r="AE180" s="5">
        <f t="shared" si="17"/>
        <v>172</v>
      </c>
      <c r="AF180" s="5">
        <f t="shared" si="18"/>
        <v>776376</v>
      </c>
      <c r="AG180" s="5">
        <f t="shared" si="19"/>
        <v>758731</v>
      </c>
      <c r="AH180" s="5">
        <f>AG180*$AF$1</f>
        <v>7587310</v>
      </c>
      <c r="AI180" s="5">
        <f>SUM($AF$9:AF179)</f>
        <v>13675141</v>
      </c>
      <c r="AK180" s="5">
        <f t="shared" si="20"/>
        <v>172</v>
      </c>
      <c r="AL180" s="5">
        <f t="shared" si="21"/>
        <v>25</v>
      </c>
      <c r="AM180" s="5">
        <f t="shared" si="22"/>
        <v>219156</v>
      </c>
      <c r="AN180" s="5">
        <f>$AL$4*$AL$3^AL180*$AL$2</f>
        <v>219156.47057747844</v>
      </c>
      <c r="AO180" s="5">
        <f>IF(AL180=AL181,1,LOOKUP(MOD(AL180,$AL$1),$AN$1:$AN$5,$AO$1:$AO$5))</f>
        <v>1</v>
      </c>
      <c r="AP180" s="5">
        <f t="shared" si="23"/>
        <v>45658</v>
      </c>
      <c r="AQ180" s="5">
        <f>AM180*$AR$3</f>
        <v>29220.799999999999</v>
      </c>
      <c r="AR180" s="5">
        <f>AM180*AL180*$AR$4</f>
        <v>16436.7</v>
      </c>
      <c r="AS180" s="5">
        <f>SUM($AP$9:AP179)</f>
        <v>1014471</v>
      </c>
    </row>
    <row r="181" spans="1:45" x14ac:dyDescent="0.15">
      <c r="A181" s="5">
        <v>173</v>
      </c>
      <c r="D181" s="5">
        <v>173</v>
      </c>
      <c r="E181" s="5">
        <v>68</v>
      </c>
      <c r="F181" s="5">
        <v>3.3105487480021312</v>
      </c>
      <c r="G181" s="5">
        <v>483.63628367594856</v>
      </c>
      <c r="J181" s="5">
        <f t="shared" si="16"/>
        <v>173</v>
      </c>
      <c r="K181" s="5">
        <f>SUM($AP$9:AP180)</f>
        <v>1060129</v>
      </c>
      <c r="L181" s="5">
        <f>LOOKUP(K181,AI:AI,AE:AE)</f>
        <v>126</v>
      </c>
      <c r="M181" s="5">
        <f>LOOKUP(L181,AE:AE,AG:AG)</f>
        <v>58915</v>
      </c>
      <c r="N181" s="5">
        <f>AM181/M181/$K$1</f>
        <v>2.4799117372485786</v>
      </c>
      <c r="O181" s="5">
        <f>SUM($N$9:N181)</f>
        <v>591.12007567599301</v>
      </c>
      <c r="AE181" s="5">
        <f t="shared" si="17"/>
        <v>173</v>
      </c>
      <c r="AF181" s="5">
        <f t="shared" si="18"/>
        <v>819827</v>
      </c>
      <c r="AG181" s="5">
        <f t="shared" si="19"/>
        <v>801299</v>
      </c>
      <c r="AH181" s="5">
        <f>AG181*$AF$1</f>
        <v>8012990</v>
      </c>
      <c r="AI181" s="5">
        <f>SUM($AF$9:AF180)</f>
        <v>14451517</v>
      </c>
      <c r="AK181" s="5">
        <f t="shared" si="20"/>
        <v>173</v>
      </c>
      <c r="AL181" s="5">
        <f t="shared" si="21"/>
        <v>25</v>
      </c>
      <c r="AM181" s="5">
        <f t="shared" si="22"/>
        <v>219156</v>
      </c>
      <c r="AN181" s="5">
        <f>$AL$4*$AL$3^AL181*$AL$2</f>
        <v>219156.47057747844</v>
      </c>
      <c r="AO181" s="5">
        <f>IF(AL181=AL182,1,LOOKUP(MOD(AL181,$AL$1),$AN$1:$AN$5,$AO$1:$AO$5))</f>
        <v>1</v>
      </c>
      <c r="AP181" s="5">
        <f t="shared" si="23"/>
        <v>45658</v>
      </c>
      <c r="AQ181" s="5">
        <f>AM181*$AR$3</f>
        <v>29220.799999999999</v>
      </c>
      <c r="AR181" s="5">
        <f>AM181*AL181*$AR$4</f>
        <v>16436.7</v>
      </c>
      <c r="AS181" s="5">
        <f>SUM($AP$9:AP180)</f>
        <v>1060129</v>
      </c>
    </row>
    <row r="182" spans="1:45" x14ac:dyDescent="0.15">
      <c r="A182" s="5">
        <v>174</v>
      </c>
      <c r="D182" s="5">
        <v>174</v>
      </c>
      <c r="E182" s="5">
        <v>69</v>
      </c>
      <c r="F182" s="5">
        <v>3.1085042521260631</v>
      </c>
      <c r="G182" s="5">
        <v>486.74478792807463</v>
      </c>
      <c r="J182" s="5">
        <f t="shared" si="16"/>
        <v>174</v>
      </c>
      <c r="K182" s="5">
        <f>SUM($AP$9:AP181)</f>
        <v>1105787</v>
      </c>
      <c r="L182" s="5">
        <f>LOOKUP(K182,AI:AI,AE:AE)</f>
        <v>127</v>
      </c>
      <c r="M182" s="5">
        <f>LOOKUP(L182,AE:AE,AG:AG)</f>
        <v>62351</v>
      </c>
      <c r="N182" s="5">
        <f>AM182/M182/$K$1</f>
        <v>2.3432503087360268</v>
      </c>
      <c r="O182" s="5">
        <f>SUM($N$9:N182)</f>
        <v>593.46332598472907</v>
      </c>
      <c r="AE182" s="5">
        <f t="shared" si="17"/>
        <v>174</v>
      </c>
      <c r="AF182" s="5">
        <f t="shared" si="18"/>
        <v>865681</v>
      </c>
      <c r="AG182" s="5">
        <f t="shared" si="19"/>
        <v>846228</v>
      </c>
      <c r="AH182" s="5">
        <f>AG182*$AF$1</f>
        <v>8462280</v>
      </c>
      <c r="AI182" s="5">
        <f>SUM($AF$9:AF181)</f>
        <v>15271344</v>
      </c>
      <c r="AK182" s="5">
        <f t="shared" si="20"/>
        <v>174</v>
      </c>
      <c r="AL182" s="5">
        <f t="shared" si="21"/>
        <v>25</v>
      </c>
      <c r="AM182" s="5">
        <f t="shared" si="22"/>
        <v>219156</v>
      </c>
      <c r="AN182" s="5">
        <f>$AL$4*$AL$3^AL182*$AL$2</f>
        <v>219156.47057747844</v>
      </c>
      <c r="AO182" s="5">
        <f>IF(AL182=AL183,1,LOOKUP(MOD(AL182,$AL$1),$AN$1:$AN$5,$AO$1:$AO$5))</f>
        <v>1</v>
      </c>
      <c r="AP182" s="5">
        <f t="shared" si="23"/>
        <v>45658</v>
      </c>
      <c r="AQ182" s="5">
        <f>AM182*$AR$3</f>
        <v>29220.799999999999</v>
      </c>
      <c r="AR182" s="5">
        <f>AM182*AL182*$AR$4</f>
        <v>16436.7</v>
      </c>
      <c r="AS182" s="5">
        <f>SUM($AP$9:AP181)</f>
        <v>1105787</v>
      </c>
    </row>
    <row r="183" spans="1:45" x14ac:dyDescent="0.15">
      <c r="A183" s="5">
        <v>175</v>
      </c>
      <c r="D183" s="5">
        <v>175</v>
      </c>
      <c r="E183" s="5">
        <v>69</v>
      </c>
      <c r="F183" s="5">
        <v>18.651075537768882</v>
      </c>
      <c r="G183" s="5">
        <v>505.39586346584349</v>
      </c>
      <c r="J183" s="5">
        <f t="shared" si="16"/>
        <v>175</v>
      </c>
      <c r="K183" s="5">
        <f>SUM($AP$9:AP182)</f>
        <v>1151445</v>
      </c>
      <c r="L183" s="5">
        <f>LOOKUP(K183,AI:AI,AE:AE)</f>
        <v>128</v>
      </c>
      <c r="M183" s="5">
        <f>LOOKUP(L183,AE:AE,AG:AG)</f>
        <v>65984</v>
      </c>
      <c r="N183" s="5">
        <f>AM183/M183/$K$1</f>
        <v>15.499666585838993</v>
      </c>
      <c r="O183" s="5">
        <f>SUM($N$9:N183)</f>
        <v>608.96299257056808</v>
      </c>
      <c r="AE183" s="5">
        <f t="shared" si="17"/>
        <v>175</v>
      </c>
      <c r="AF183" s="5">
        <f t="shared" si="18"/>
        <v>914072</v>
      </c>
      <c r="AG183" s="5">
        <f t="shared" si="19"/>
        <v>893646</v>
      </c>
      <c r="AH183" s="5">
        <f>AG183*$AF$1</f>
        <v>8936460</v>
      </c>
      <c r="AI183" s="5">
        <f>SUM($AF$9:AF182)</f>
        <v>16137025</v>
      </c>
      <c r="AK183" s="5">
        <f t="shared" si="20"/>
        <v>175</v>
      </c>
      <c r="AL183" s="5">
        <f t="shared" si="21"/>
        <v>25</v>
      </c>
      <c r="AM183" s="5">
        <f t="shared" si="22"/>
        <v>1534095</v>
      </c>
      <c r="AN183" s="5">
        <f>$AL$4*$AL$3^AL183*$AL$2</f>
        <v>219156.47057747844</v>
      </c>
      <c r="AO183" s="5">
        <f>IF(AL183=AL184,1,LOOKUP(MOD(AL183,$AL$1),$AN$1:$AN$5,$AO$1:$AO$5))</f>
        <v>7</v>
      </c>
      <c r="AP183" s="5">
        <f t="shared" si="23"/>
        <v>319603</v>
      </c>
      <c r="AQ183" s="5">
        <f>AM183*$AR$3</f>
        <v>204546</v>
      </c>
      <c r="AR183" s="5">
        <f>AM183*AL183*$AR$4</f>
        <v>115057.125</v>
      </c>
      <c r="AS183" s="5">
        <f>SUM($AP$9:AP182)</f>
        <v>1151445</v>
      </c>
    </row>
    <row r="184" spans="1:45" x14ac:dyDescent="0.15">
      <c r="A184" s="5">
        <v>176</v>
      </c>
      <c r="J184" s="5">
        <f t="shared" si="16"/>
        <v>176</v>
      </c>
      <c r="K184" s="5">
        <f>SUM($AP$9:AP183)</f>
        <v>1471048</v>
      </c>
      <c r="L184" s="5">
        <f>LOOKUP(K184,AI:AI,AE:AE)</f>
        <v>132</v>
      </c>
      <c r="M184" s="5">
        <f>LOOKUP(L184,AE:AE,AG:AG)</f>
        <v>82711</v>
      </c>
      <c r="N184" s="5">
        <f>AM184/M184/$K$1</f>
        <v>2.7733191473927286</v>
      </c>
      <c r="O184" s="5">
        <f>SUM($N$9:N184)</f>
        <v>611.7363117179608</v>
      </c>
      <c r="AE184" s="5">
        <f t="shared" si="17"/>
        <v>176</v>
      </c>
      <c r="AF184" s="5">
        <f t="shared" si="18"/>
        <v>965137</v>
      </c>
      <c r="AG184" s="5">
        <f t="shared" si="19"/>
        <v>943690</v>
      </c>
      <c r="AH184" s="5">
        <f>AG184*$AF$1</f>
        <v>9436900</v>
      </c>
      <c r="AI184" s="5">
        <f>SUM($AF$9:AF183)</f>
        <v>17051097</v>
      </c>
      <c r="AK184" s="5">
        <f t="shared" si="20"/>
        <v>176</v>
      </c>
      <c r="AL184" s="5">
        <f t="shared" si="21"/>
        <v>26</v>
      </c>
      <c r="AM184" s="5">
        <f t="shared" si="22"/>
        <v>344076</v>
      </c>
      <c r="AN184" s="5">
        <f>$AL$4*$AL$3^AL184*$AL$2</f>
        <v>344075.65880664112</v>
      </c>
      <c r="AO184" s="5">
        <f>IF(AL184=AL185,1,LOOKUP(MOD(AL184,$AL$1),$AN$1:$AN$5,$AO$1:$AO$5))</f>
        <v>1</v>
      </c>
      <c r="AP184" s="5">
        <f t="shared" si="23"/>
        <v>72715</v>
      </c>
      <c r="AQ184" s="5">
        <f>AM184*$AR$3</f>
        <v>45876.800000000003</v>
      </c>
      <c r="AR184" s="5">
        <f>AM184*AL184*$AR$4</f>
        <v>26837.928</v>
      </c>
      <c r="AS184" s="5">
        <f>SUM($AP$9:AP183)</f>
        <v>1471048</v>
      </c>
    </row>
    <row r="185" spans="1:45" x14ac:dyDescent="0.15">
      <c r="A185" s="5">
        <v>177</v>
      </c>
      <c r="J185" s="5">
        <f t="shared" si="16"/>
        <v>177</v>
      </c>
      <c r="K185" s="5">
        <f>SUM($AP$9:AP184)</f>
        <v>1543763</v>
      </c>
      <c r="L185" s="5">
        <f>LOOKUP(K185,AI:AI,AE:AE)</f>
        <v>133</v>
      </c>
      <c r="M185" s="5">
        <f>LOOKUP(L185,AE:AE,AG:AG)</f>
        <v>87504</v>
      </c>
      <c r="N185" s="5">
        <f>AM185/M185/$K$1</f>
        <v>2.6214115926129091</v>
      </c>
      <c r="O185" s="5">
        <f>SUM($N$9:N185)</f>
        <v>614.35772331057376</v>
      </c>
      <c r="AE185" s="5">
        <f t="shared" si="17"/>
        <v>177</v>
      </c>
      <c r="AF185" s="5">
        <f t="shared" si="18"/>
        <v>1019024</v>
      </c>
      <c r="AG185" s="5">
        <f t="shared" si="19"/>
        <v>996504</v>
      </c>
      <c r="AH185" s="5">
        <f>AG185*$AF$1</f>
        <v>9965040</v>
      </c>
      <c r="AI185" s="5">
        <f>SUM($AF$9:AF184)</f>
        <v>18016234</v>
      </c>
      <c r="AK185" s="5">
        <f t="shared" si="20"/>
        <v>177</v>
      </c>
      <c r="AL185" s="5">
        <f t="shared" si="21"/>
        <v>26</v>
      </c>
      <c r="AM185" s="5">
        <f t="shared" si="22"/>
        <v>344076</v>
      </c>
      <c r="AN185" s="5">
        <f>$AL$4*$AL$3^AL185*$AL$2</f>
        <v>344075.65880664112</v>
      </c>
      <c r="AO185" s="5">
        <f>IF(AL185=AL186,1,LOOKUP(MOD(AL185,$AL$1),$AN$1:$AN$5,$AO$1:$AO$5))</f>
        <v>1</v>
      </c>
      <c r="AP185" s="5">
        <f t="shared" si="23"/>
        <v>72715</v>
      </c>
      <c r="AQ185" s="5">
        <f>AM185*$AR$3</f>
        <v>45876.800000000003</v>
      </c>
      <c r="AR185" s="5">
        <f>AM185*AL185*$AR$4</f>
        <v>26837.928</v>
      </c>
      <c r="AS185" s="5">
        <f>SUM($AP$9:AP184)</f>
        <v>1543763</v>
      </c>
    </row>
    <row r="186" spans="1:45" x14ac:dyDescent="0.15">
      <c r="A186" s="5">
        <v>178</v>
      </c>
      <c r="J186" s="5">
        <f t="shared" si="16"/>
        <v>178</v>
      </c>
      <c r="K186" s="5">
        <f>SUM($AP$9:AP185)</f>
        <v>1616478</v>
      </c>
      <c r="L186" s="5">
        <f>LOOKUP(K186,AI:AI,AE:AE)</f>
        <v>133</v>
      </c>
      <c r="M186" s="5">
        <f>LOOKUP(L186,AE:AE,AG:AG)</f>
        <v>87504</v>
      </c>
      <c r="N186" s="5">
        <f>AM186/M186/$K$1</f>
        <v>2.6214115926129091</v>
      </c>
      <c r="O186" s="5">
        <f>SUM($N$9:N186)</f>
        <v>616.97913490318672</v>
      </c>
      <c r="AE186" s="5">
        <f t="shared" si="17"/>
        <v>178</v>
      </c>
      <c r="AF186" s="5">
        <f t="shared" si="18"/>
        <v>1075887</v>
      </c>
      <c r="AG186" s="5">
        <f t="shared" si="19"/>
        <v>1052241</v>
      </c>
      <c r="AH186" s="5">
        <f>AG186*$AF$1</f>
        <v>10522410</v>
      </c>
      <c r="AI186" s="5">
        <f>SUM($AF$9:AF185)</f>
        <v>19035258</v>
      </c>
      <c r="AK186" s="5">
        <f t="shared" si="20"/>
        <v>178</v>
      </c>
      <c r="AL186" s="5">
        <f t="shared" si="21"/>
        <v>26</v>
      </c>
      <c r="AM186" s="5">
        <f t="shared" si="22"/>
        <v>344076</v>
      </c>
      <c r="AN186" s="5">
        <f>$AL$4*$AL$3^AL186*$AL$2</f>
        <v>344075.65880664112</v>
      </c>
      <c r="AO186" s="5">
        <f>IF(AL186=AL187,1,LOOKUP(MOD(AL186,$AL$1),$AN$1:$AN$5,$AO$1:$AO$5))</f>
        <v>1</v>
      </c>
      <c r="AP186" s="5">
        <f t="shared" si="23"/>
        <v>72715</v>
      </c>
      <c r="AQ186" s="5">
        <f>AM186*$AR$3</f>
        <v>45876.800000000003</v>
      </c>
      <c r="AR186" s="5">
        <f>AM186*AL186*$AR$4</f>
        <v>26837.928</v>
      </c>
      <c r="AS186" s="5">
        <f>SUM($AP$9:AP185)</f>
        <v>1616478</v>
      </c>
    </row>
    <row r="187" spans="1:45" x14ac:dyDescent="0.15">
      <c r="A187" s="5">
        <v>179</v>
      </c>
      <c r="J187" s="5">
        <f t="shared" si="16"/>
        <v>179</v>
      </c>
      <c r="K187" s="5">
        <f>SUM($AP$9:AP186)</f>
        <v>1689193</v>
      </c>
      <c r="L187" s="5">
        <f>LOOKUP(K187,AI:AI,AE:AE)</f>
        <v>134</v>
      </c>
      <c r="M187" s="5">
        <f>LOOKUP(L187,AE:AE,AG:AG)</f>
        <v>92570</v>
      </c>
      <c r="N187" s="5">
        <f>AM187/M187/$K$1</f>
        <v>2.4779518202441397</v>
      </c>
      <c r="O187" s="5">
        <f>SUM($N$9:N187)</f>
        <v>619.45708672343085</v>
      </c>
      <c r="AE187" s="5">
        <f t="shared" si="17"/>
        <v>179</v>
      </c>
      <c r="AF187" s="5">
        <f t="shared" si="18"/>
        <v>1135888</v>
      </c>
      <c r="AG187" s="5">
        <f t="shared" si="19"/>
        <v>1111060</v>
      </c>
      <c r="AH187" s="5">
        <f>AG187*$AF$1</f>
        <v>11110600</v>
      </c>
      <c r="AI187" s="5">
        <f>SUM($AF$9:AF186)</f>
        <v>20111145</v>
      </c>
      <c r="AK187" s="5">
        <f t="shared" si="20"/>
        <v>179</v>
      </c>
      <c r="AL187" s="5">
        <f t="shared" si="21"/>
        <v>26</v>
      </c>
      <c r="AM187" s="5">
        <f t="shared" si="22"/>
        <v>344076</v>
      </c>
      <c r="AN187" s="5">
        <f>$AL$4*$AL$3^AL187*$AL$2</f>
        <v>344075.65880664112</v>
      </c>
      <c r="AO187" s="5">
        <f>IF(AL187=AL188,1,LOOKUP(MOD(AL187,$AL$1),$AN$1:$AN$5,$AO$1:$AO$5))</f>
        <v>1</v>
      </c>
      <c r="AP187" s="5">
        <f t="shared" si="23"/>
        <v>72715</v>
      </c>
      <c r="AQ187" s="5">
        <f>AM187*$AR$3</f>
        <v>45876.800000000003</v>
      </c>
      <c r="AR187" s="5">
        <f>AM187*AL187*$AR$4</f>
        <v>26837.928</v>
      </c>
      <c r="AS187" s="5">
        <f>SUM($AP$9:AP186)</f>
        <v>1689193</v>
      </c>
    </row>
    <row r="188" spans="1:45" x14ac:dyDescent="0.15">
      <c r="A188" s="5">
        <v>180</v>
      </c>
      <c r="J188" s="5">
        <f t="shared" si="16"/>
        <v>180</v>
      </c>
      <c r="K188" s="5">
        <f>SUM($AP$9:AP187)</f>
        <v>1761908</v>
      </c>
      <c r="L188" s="5">
        <f>LOOKUP(K188,AI:AI,AE:AE)</f>
        <v>135</v>
      </c>
      <c r="M188" s="5">
        <f>LOOKUP(L188,AE:AE,AG:AG)</f>
        <v>97924</v>
      </c>
      <c r="N188" s="5">
        <f>AM188/M188/$K$1</f>
        <v>2.342469670356603</v>
      </c>
      <c r="O188" s="5">
        <f>SUM($N$9:N188)</f>
        <v>621.7995563937875</v>
      </c>
      <c r="AE188" s="5">
        <f t="shared" si="17"/>
        <v>180</v>
      </c>
      <c r="AF188" s="5">
        <f t="shared" si="18"/>
        <v>1199200</v>
      </c>
      <c r="AG188" s="5">
        <f t="shared" si="19"/>
        <v>1173131</v>
      </c>
      <c r="AH188" s="5">
        <f>AG188*$AF$1</f>
        <v>11731310</v>
      </c>
      <c r="AI188" s="5">
        <f>SUM($AF$9:AF187)</f>
        <v>21247033</v>
      </c>
      <c r="AK188" s="5">
        <f t="shared" si="20"/>
        <v>180</v>
      </c>
      <c r="AL188" s="5">
        <f t="shared" si="21"/>
        <v>26</v>
      </c>
      <c r="AM188" s="5">
        <f t="shared" si="22"/>
        <v>344076</v>
      </c>
      <c r="AN188" s="5">
        <f>$AL$4*$AL$3^AL188*$AL$2</f>
        <v>344075.65880664112</v>
      </c>
      <c r="AO188" s="5">
        <f>IF(AL188=AL189,1,LOOKUP(MOD(AL188,$AL$1),$AN$1:$AN$5,$AO$1:$AO$5))</f>
        <v>1</v>
      </c>
      <c r="AP188" s="5">
        <f t="shared" si="23"/>
        <v>72715</v>
      </c>
      <c r="AQ188" s="5">
        <f>AM188*$AR$3</f>
        <v>45876.800000000003</v>
      </c>
      <c r="AR188" s="5">
        <f>AM188*AL188*$AR$4</f>
        <v>26837.928</v>
      </c>
      <c r="AS188" s="5">
        <f>SUM($AP$9:AP187)</f>
        <v>1761908</v>
      </c>
    </row>
    <row r="189" spans="1:45" x14ac:dyDescent="0.15">
      <c r="A189" s="5">
        <v>181</v>
      </c>
      <c r="J189" s="5">
        <f t="shared" si="16"/>
        <v>181</v>
      </c>
      <c r="K189" s="5">
        <f>SUM($AP$9:AP188)</f>
        <v>1834623</v>
      </c>
      <c r="L189" s="5">
        <f>LOOKUP(K189,AI:AI,AE:AE)</f>
        <v>136</v>
      </c>
      <c r="M189" s="5">
        <f>LOOKUP(L189,AE:AE,AG:AG)</f>
        <v>103582</v>
      </c>
      <c r="N189" s="5">
        <f>AM189/M189/$K$1</f>
        <v>2.2145160356046416</v>
      </c>
      <c r="O189" s="5">
        <f>SUM($N$9:N189)</f>
        <v>624.01407242939217</v>
      </c>
      <c r="AE189" s="5">
        <f t="shared" si="17"/>
        <v>181</v>
      </c>
      <c r="AF189" s="5">
        <f t="shared" si="18"/>
        <v>1266003</v>
      </c>
      <c r="AG189" s="5">
        <f t="shared" si="19"/>
        <v>1238630</v>
      </c>
      <c r="AH189" s="5">
        <f>AG189*$AF$1</f>
        <v>12386300</v>
      </c>
      <c r="AI189" s="5">
        <f>SUM($AF$9:AF188)</f>
        <v>22446233</v>
      </c>
      <c r="AK189" s="5">
        <f t="shared" si="20"/>
        <v>181</v>
      </c>
      <c r="AL189" s="5">
        <f t="shared" si="21"/>
        <v>26</v>
      </c>
      <c r="AM189" s="5">
        <f t="shared" si="22"/>
        <v>344076</v>
      </c>
      <c r="AN189" s="5">
        <f>$AL$4*$AL$3^AL189*$AL$2</f>
        <v>344075.65880664112</v>
      </c>
      <c r="AO189" s="5">
        <f>IF(AL189=AL190,1,LOOKUP(MOD(AL189,$AL$1),$AN$1:$AN$5,$AO$1:$AO$5))</f>
        <v>1</v>
      </c>
      <c r="AP189" s="5">
        <f t="shared" si="23"/>
        <v>72715</v>
      </c>
      <c r="AQ189" s="5">
        <f>AM189*$AR$3</f>
        <v>45876.800000000003</v>
      </c>
      <c r="AR189" s="5">
        <f>AM189*AL189*$AR$4</f>
        <v>26837.928</v>
      </c>
      <c r="AS189" s="5">
        <f>SUM($AP$9:AP188)</f>
        <v>1834623</v>
      </c>
    </row>
    <row r="190" spans="1:45" x14ac:dyDescent="0.15">
      <c r="A190" s="5">
        <v>182</v>
      </c>
      <c r="J190" s="5">
        <f t="shared" si="16"/>
        <v>182</v>
      </c>
      <c r="K190" s="5">
        <f>SUM($AP$9:AP189)</f>
        <v>1907338</v>
      </c>
      <c r="L190" s="5">
        <f>LOOKUP(K190,AI:AI,AE:AE)</f>
        <v>136</v>
      </c>
      <c r="M190" s="5">
        <f>LOOKUP(L190,AE:AE,AG:AG)</f>
        <v>103582</v>
      </c>
      <c r="N190" s="5">
        <f>AM190/M190/$K$1</f>
        <v>15.501599376983132</v>
      </c>
      <c r="O190" s="5">
        <f>SUM($N$9:N190)</f>
        <v>639.51567180637528</v>
      </c>
      <c r="AE190" s="5">
        <f t="shared" si="17"/>
        <v>182</v>
      </c>
      <c r="AF190" s="5">
        <f t="shared" si="18"/>
        <v>1336489</v>
      </c>
      <c r="AG190" s="5">
        <f t="shared" si="19"/>
        <v>1307747</v>
      </c>
      <c r="AH190" s="5">
        <f>AG190*$AF$1</f>
        <v>13077470</v>
      </c>
      <c r="AI190" s="5">
        <f>SUM($AF$9:AF189)</f>
        <v>23712236</v>
      </c>
      <c r="AK190" s="5">
        <f t="shared" si="20"/>
        <v>182</v>
      </c>
      <c r="AL190" s="5">
        <f t="shared" si="21"/>
        <v>26</v>
      </c>
      <c r="AM190" s="5">
        <f t="shared" si="22"/>
        <v>2408530</v>
      </c>
      <c r="AN190" s="5">
        <f>$AL$4*$AL$3^AL190*$AL$2</f>
        <v>344075.65880664112</v>
      </c>
      <c r="AO190" s="5">
        <f>IF(AL190=AL191,1,LOOKUP(MOD(AL190,$AL$1),$AN$1:$AN$5,$AO$1:$AO$5))</f>
        <v>7</v>
      </c>
      <c r="AP190" s="5">
        <f t="shared" si="23"/>
        <v>509003</v>
      </c>
      <c r="AQ190" s="5">
        <f>AM190*$AR$3</f>
        <v>321137.33333333331</v>
      </c>
      <c r="AR190" s="5">
        <f>AM190*AL190*$AR$4</f>
        <v>187865.34</v>
      </c>
      <c r="AS190" s="5">
        <f>SUM($AP$9:AP189)</f>
        <v>1907338</v>
      </c>
    </row>
    <row r="191" spans="1:45" x14ac:dyDescent="0.15">
      <c r="A191" s="5">
        <v>183</v>
      </c>
      <c r="J191" s="5">
        <f t="shared" si="16"/>
        <v>183</v>
      </c>
      <c r="K191" s="5">
        <f>SUM($AP$9:AP190)</f>
        <v>2416341</v>
      </c>
      <c r="L191" s="5">
        <f>LOOKUP(K191,AI:AI,AE:AE)</f>
        <v>141</v>
      </c>
      <c r="M191" s="5">
        <f>LOOKUP(L191,AE:AE,AG:AG)</f>
        <v>137060</v>
      </c>
      <c r="N191" s="5">
        <f>AM191/M191/$K$1</f>
        <v>2.6275548421615835</v>
      </c>
      <c r="O191" s="5">
        <f>SUM($N$9:N191)</f>
        <v>642.14322664853682</v>
      </c>
      <c r="AE191" s="5">
        <f t="shared" si="17"/>
        <v>183</v>
      </c>
      <c r="AF191" s="5">
        <f t="shared" si="18"/>
        <v>1410858</v>
      </c>
      <c r="AG191" s="5">
        <f t="shared" si="19"/>
        <v>1380679</v>
      </c>
      <c r="AH191" s="5">
        <f>AG191*$AF$1</f>
        <v>13806790</v>
      </c>
      <c r="AI191" s="5">
        <f>SUM($AF$9:AF190)</f>
        <v>25048725</v>
      </c>
      <c r="AK191" s="5">
        <f t="shared" si="20"/>
        <v>183</v>
      </c>
      <c r="AL191" s="5">
        <f t="shared" si="21"/>
        <v>27</v>
      </c>
      <c r="AM191" s="5">
        <f t="shared" si="22"/>
        <v>540199</v>
      </c>
      <c r="AN191" s="5">
        <f>$AL$4*$AL$3^AL191*$AL$2</f>
        <v>540198.78432642657</v>
      </c>
      <c r="AO191" s="5">
        <f>IF(AL191=AL192,1,LOOKUP(MOD(AL191,$AL$1),$AN$1:$AN$5,$AO$1:$AO$5))</f>
        <v>1</v>
      </c>
      <c r="AP191" s="5">
        <f t="shared" si="23"/>
        <v>115783</v>
      </c>
      <c r="AQ191" s="5">
        <f>AM191*$AR$3</f>
        <v>72026.533333333326</v>
      </c>
      <c r="AR191" s="5">
        <f>AM191*AL191*$AR$4</f>
        <v>43756.118999999999</v>
      </c>
      <c r="AS191" s="5">
        <f>SUM($AP$9:AP190)</f>
        <v>2416341</v>
      </c>
    </row>
    <row r="192" spans="1:45" x14ac:dyDescent="0.15">
      <c r="A192" s="5">
        <v>184</v>
      </c>
      <c r="J192" s="5">
        <f t="shared" si="16"/>
        <v>184</v>
      </c>
      <c r="K192" s="5">
        <f>SUM($AP$9:AP191)</f>
        <v>2532124</v>
      </c>
      <c r="L192" s="5">
        <f>LOOKUP(K192,AI:AI,AE:AE)</f>
        <v>141</v>
      </c>
      <c r="M192" s="5">
        <f>LOOKUP(L192,AE:AE,AG:AG)</f>
        <v>137060</v>
      </c>
      <c r="N192" s="5">
        <f>AM192/M192/$K$1</f>
        <v>2.6275548421615835</v>
      </c>
      <c r="O192" s="5">
        <f>SUM($N$9:N192)</f>
        <v>644.77078149069837</v>
      </c>
      <c r="AE192" s="5">
        <f t="shared" si="17"/>
        <v>184</v>
      </c>
      <c r="AF192" s="5">
        <f t="shared" si="18"/>
        <v>1489323</v>
      </c>
      <c r="AG192" s="5">
        <f t="shared" si="19"/>
        <v>1457635</v>
      </c>
      <c r="AH192" s="5">
        <f>AG192*$AF$1</f>
        <v>14576350</v>
      </c>
      <c r="AI192" s="5">
        <f>SUM($AF$9:AF191)</f>
        <v>26459583</v>
      </c>
      <c r="AK192" s="5">
        <f t="shared" si="20"/>
        <v>184</v>
      </c>
      <c r="AL192" s="5">
        <f t="shared" si="21"/>
        <v>27</v>
      </c>
      <c r="AM192" s="5">
        <f t="shared" si="22"/>
        <v>540199</v>
      </c>
      <c r="AN192" s="5">
        <f>$AL$4*$AL$3^AL192*$AL$2</f>
        <v>540198.78432642657</v>
      </c>
      <c r="AO192" s="5">
        <f>IF(AL192=AL193,1,LOOKUP(MOD(AL192,$AL$1),$AN$1:$AN$5,$AO$1:$AO$5))</f>
        <v>1</v>
      </c>
      <c r="AP192" s="5">
        <f t="shared" si="23"/>
        <v>115783</v>
      </c>
      <c r="AQ192" s="5">
        <f>AM192*$AR$3</f>
        <v>72026.533333333326</v>
      </c>
      <c r="AR192" s="5">
        <f>AM192*AL192*$AR$4</f>
        <v>43756.118999999999</v>
      </c>
      <c r="AS192" s="5">
        <f>SUM($AP$9:AP191)</f>
        <v>2532124</v>
      </c>
    </row>
    <row r="193" spans="1:45" x14ac:dyDescent="0.15">
      <c r="A193" s="5">
        <v>185</v>
      </c>
      <c r="J193" s="5">
        <f t="shared" si="16"/>
        <v>185</v>
      </c>
      <c r="K193" s="5">
        <f>SUM($AP$9:AP192)</f>
        <v>2647907</v>
      </c>
      <c r="L193" s="5">
        <f>LOOKUP(K193,AI:AI,AE:AE)</f>
        <v>142</v>
      </c>
      <c r="M193" s="5">
        <f>LOOKUP(L193,AE:AE,AG:AG)</f>
        <v>144934</v>
      </c>
      <c r="N193" s="5">
        <f>AM193/M193/$K$1</f>
        <v>2.4848045777158339</v>
      </c>
      <c r="O193" s="5">
        <f>SUM($N$9:N193)</f>
        <v>647.25558606841423</v>
      </c>
      <c r="AE193" s="5">
        <f t="shared" si="17"/>
        <v>185</v>
      </c>
      <c r="AF193" s="5">
        <f t="shared" si="18"/>
        <v>1572107</v>
      </c>
      <c r="AG193" s="5">
        <f t="shared" si="19"/>
        <v>1538835</v>
      </c>
      <c r="AH193" s="5">
        <f>AG193*$AF$1</f>
        <v>15388350</v>
      </c>
      <c r="AI193" s="5">
        <f>SUM($AF$9:AF192)</f>
        <v>27948906</v>
      </c>
      <c r="AK193" s="5">
        <f t="shared" si="20"/>
        <v>185</v>
      </c>
      <c r="AL193" s="5">
        <f t="shared" si="21"/>
        <v>27</v>
      </c>
      <c r="AM193" s="5">
        <f t="shared" si="22"/>
        <v>540199</v>
      </c>
      <c r="AN193" s="5">
        <f>$AL$4*$AL$3^AL193*$AL$2</f>
        <v>540198.78432642657</v>
      </c>
      <c r="AO193" s="5">
        <f>IF(AL193=AL194,1,LOOKUP(MOD(AL193,$AL$1),$AN$1:$AN$5,$AO$1:$AO$5))</f>
        <v>1</v>
      </c>
      <c r="AP193" s="5">
        <f t="shared" si="23"/>
        <v>115783</v>
      </c>
      <c r="AQ193" s="5">
        <f>AM193*$AR$3</f>
        <v>72026.533333333326</v>
      </c>
      <c r="AR193" s="5">
        <f>AM193*AL193*$AR$4</f>
        <v>43756.118999999999</v>
      </c>
      <c r="AS193" s="5">
        <f>SUM($AP$9:AP192)</f>
        <v>2647907</v>
      </c>
    </row>
    <row r="194" spans="1:45" x14ac:dyDescent="0.15">
      <c r="A194" s="5">
        <v>186</v>
      </c>
      <c r="J194" s="5">
        <f t="shared" si="16"/>
        <v>186</v>
      </c>
      <c r="K194" s="5">
        <f>SUM($AP$9:AP193)</f>
        <v>2763690</v>
      </c>
      <c r="L194" s="5">
        <f>LOOKUP(K194,AI:AI,AE:AE)</f>
        <v>143</v>
      </c>
      <c r="M194" s="5">
        <f>LOOKUP(L194,AE:AE,AG:AG)</f>
        <v>153252</v>
      </c>
      <c r="N194" s="5">
        <f>AM194/M194/$K$1</f>
        <v>2.3499377930902479</v>
      </c>
      <c r="O194" s="5">
        <f>SUM($N$9:N194)</f>
        <v>649.60552386150448</v>
      </c>
      <c r="AE194" s="5">
        <f t="shared" si="17"/>
        <v>186</v>
      </c>
      <c r="AF194" s="5">
        <f t="shared" si="18"/>
        <v>1659446</v>
      </c>
      <c r="AG194" s="5">
        <f t="shared" si="19"/>
        <v>1624511</v>
      </c>
      <c r="AH194" s="5">
        <f>AG194*$AF$1</f>
        <v>16245110</v>
      </c>
      <c r="AI194" s="5">
        <f>SUM($AF$9:AF193)</f>
        <v>29521013</v>
      </c>
      <c r="AK194" s="5">
        <f t="shared" si="20"/>
        <v>186</v>
      </c>
      <c r="AL194" s="5">
        <f t="shared" si="21"/>
        <v>27</v>
      </c>
      <c r="AM194" s="5">
        <f t="shared" si="22"/>
        <v>540199</v>
      </c>
      <c r="AN194" s="5">
        <f>$AL$4*$AL$3^AL194*$AL$2</f>
        <v>540198.78432642657</v>
      </c>
      <c r="AO194" s="5">
        <f>IF(AL194=AL195,1,LOOKUP(MOD(AL194,$AL$1),$AN$1:$AN$5,$AO$1:$AO$5))</f>
        <v>1</v>
      </c>
      <c r="AP194" s="5">
        <f t="shared" si="23"/>
        <v>115783</v>
      </c>
      <c r="AQ194" s="5">
        <f>AM194*$AR$3</f>
        <v>72026.533333333326</v>
      </c>
      <c r="AR194" s="5">
        <f>AM194*AL194*$AR$4</f>
        <v>43756.118999999999</v>
      </c>
      <c r="AS194" s="5">
        <f>SUM($AP$9:AP193)</f>
        <v>2763690</v>
      </c>
    </row>
    <row r="195" spans="1:45" x14ac:dyDescent="0.15">
      <c r="A195" s="5">
        <v>187</v>
      </c>
      <c r="J195" s="5">
        <f t="shared" si="16"/>
        <v>187</v>
      </c>
      <c r="K195" s="5">
        <f>SUM($AP$9:AP194)</f>
        <v>2879473</v>
      </c>
      <c r="L195" s="5">
        <f>LOOKUP(K195,AI:AI,AE:AE)</f>
        <v>144</v>
      </c>
      <c r="M195" s="5">
        <f>LOOKUP(L195,AE:AE,AG:AG)</f>
        <v>162040</v>
      </c>
      <c r="N195" s="5">
        <f>AM195/M195/$K$1</f>
        <v>2.2224923887106063</v>
      </c>
      <c r="O195" s="5">
        <f>SUM($N$9:N195)</f>
        <v>651.82801625021511</v>
      </c>
      <c r="AE195" s="5">
        <f t="shared" si="17"/>
        <v>187</v>
      </c>
      <c r="AF195" s="5">
        <f t="shared" si="18"/>
        <v>1751589</v>
      </c>
      <c r="AG195" s="5">
        <f t="shared" si="19"/>
        <v>1714907</v>
      </c>
      <c r="AH195" s="5">
        <f>AG195*$AF$1</f>
        <v>17149070</v>
      </c>
      <c r="AI195" s="5">
        <f>SUM($AF$9:AF194)</f>
        <v>31180459</v>
      </c>
      <c r="AK195" s="5">
        <f t="shared" si="20"/>
        <v>187</v>
      </c>
      <c r="AL195" s="5">
        <f t="shared" si="21"/>
        <v>27</v>
      </c>
      <c r="AM195" s="5">
        <f t="shared" si="22"/>
        <v>540199</v>
      </c>
      <c r="AN195" s="5">
        <f>$AL$4*$AL$3^AL195*$AL$2</f>
        <v>540198.78432642657</v>
      </c>
      <c r="AO195" s="5">
        <f>IF(AL195=AL196,1,LOOKUP(MOD(AL195,$AL$1),$AN$1:$AN$5,$AO$1:$AO$5))</f>
        <v>1</v>
      </c>
      <c r="AP195" s="5">
        <f t="shared" si="23"/>
        <v>115783</v>
      </c>
      <c r="AQ195" s="5">
        <f>AM195*$AR$3</f>
        <v>72026.533333333326</v>
      </c>
      <c r="AR195" s="5">
        <f>AM195*AL195*$AR$4</f>
        <v>43756.118999999999</v>
      </c>
      <c r="AS195" s="5">
        <f>SUM($AP$9:AP194)</f>
        <v>2879473</v>
      </c>
    </row>
    <row r="196" spans="1:45" x14ac:dyDescent="0.15">
      <c r="A196" s="5">
        <v>188</v>
      </c>
      <c r="J196" s="5">
        <f t="shared" si="16"/>
        <v>188</v>
      </c>
      <c r="K196" s="5">
        <f>SUM($AP$9:AP195)</f>
        <v>2995256</v>
      </c>
      <c r="L196" s="5">
        <f>LOOKUP(K196,AI:AI,AE:AE)</f>
        <v>144</v>
      </c>
      <c r="M196" s="5">
        <f>LOOKUP(L196,AE:AE,AG:AG)</f>
        <v>162040</v>
      </c>
      <c r="N196" s="5">
        <f>AM196/M196/$K$1</f>
        <v>2.2224923887106063</v>
      </c>
      <c r="O196" s="5">
        <f>SUM($N$9:N196)</f>
        <v>654.05050863892575</v>
      </c>
      <c r="AE196" s="5">
        <f t="shared" si="17"/>
        <v>188</v>
      </c>
      <c r="AF196" s="5">
        <f t="shared" si="18"/>
        <v>1848798</v>
      </c>
      <c r="AG196" s="5">
        <f t="shared" si="19"/>
        <v>1810281</v>
      </c>
      <c r="AH196" s="5">
        <f>AG196*$AF$1</f>
        <v>18102810</v>
      </c>
      <c r="AI196" s="5">
        <f>SUM($AF$9:AF195)</f>
        <v>32932048</v>
      </c>
      <c r="AK196" s="5">
        <f t="shared" si="20"/>
        <v>188</v>
      </c>
      <c r="AL196" s="5">
        <f t="shared" si="21"/>
        <v>27</v>
      </c>
      <c r="AM196" s="5">
        <f t="shared" si="22"/>
        <v>540199</v>
      </c>
      <c r="AN196" s="5">
        <f>$AL$4*$AL$3^AL196*$AL$2</f>
        <v>540198.78432642657</v>
      </c>
      <c r="AO196" s="5">
        <f>IF(AL196=AL197,1,LOOKUP(MOD(AL196,$AL$1),$AN$1:$AN$5,$AO$1:$AO$5))</f>
        <v>1</v>
      </c>
      <c r="AP196" s="5">
        <f t="shared" si="23"/>
        <v>115783</v>
      </c>
      <c r="AQ196" s="5">
        <f>AM196*$AR$3</f>
        <v>72026.533333333326</v>
      </c>
      <c r="AR196" s="5">
        <f>AM196*AL196*$AR$4</f>
        <v>43756.118999999999</v>
      </c>
      <c r="AS196" s="5">
        <f>SUM($AP$9:AP195)</f>
        <v>2995256</v>
      </c>
    </row>
    <row r="197" spans="1:45" x14ac:dyDescent="0.15">
      <c r="A197" s="5">
        <v>189</v>
      </c>
      <c r="J197" s="5">
        <f t="shared" si="16"/>
        <v>189</v>
      </c>
      <c r="K197" s="5">
        <f>SUM($AP$9:AP196)</f>
        <v>3111039</v>
      </c>
      <c r="L197" s="5">
        <f>LOOKUP(K197,AI:AI,AE:AE)</f>
        <v>145</v>
      </c>
      <c r="M197" s="5">
        <f>LOOKUP(L197,AE:AE,AG:AG)</f>
        <v>171323</v>
      </c>
      <c r="N197" s="5">
        <f>AM197/M197/$K$1</f>
        <v>14.714471106234035</v>
      </c>
      <c r="O197" s="5">
        <f>SUM($N$9:N197)</f>
        <v>668.76497974515974</v>
      </c>
      <c r="AE197" s="5">
        <f t="shared" si="17"/>
        <v>189</v>
      </c>
      <c r="AF197" s="5">
        <f t="shared" si="18"/>
        <v>1951348</v>
      </c>
      <c r="AG197" s="5">
        <f t="shared" si="19"/>
        <v>1910906</v>
      </c>
      <c r="AH197" s="5">
        <f>AG197*$AF$1</f>
        <v>19109060</v>
      </c>
      <c r="AI197" s="5">
        <f>SUM($AF$9:AF196)</f>
        <v>34780846</v>
      </c>
      <c r="AK197" s="5">
        <f t="shared" si="20"/>
        <v>189</v>
      </c>
      <c r="AL197" s="5">
        <f t="shared" si="21"/>
        <v>27</v>
      </c>
      <c r="AM197" s="5">
        <f t="shared" si="22"/>
        <v>3781391</v>
      </c>
      <c r="AN197" s="5">
        <f>$AL$4*$AL$3^AL197*$AL$2</f>
        <v>540198.78432642657</v>
      </c>
      <c r="AO197" s="5">
        <f>IF(AL197=AL198,1,LOOKUP(MOD(AL197,$AL$1),$AN$1:$AN$5,$AO$1:$AO$5))</f>
        <v>7</v>
      </c>
      <c r="AP197" s="5">
        <f t="shared" si="23"/>
        <v>810478</v>
      </c>
      <c r="AQ197" s="5">
        <f>AM197*$AR$3</f>
        <v>504185.46666666667</v>
      </c>
      <c r="AR197" s="5">
        <f>AM197*AL197*$AR$4</f>
        <v>306292.67100000003</v>
      </c>
      <c r="AS197" s="5">
        <f>SUM($AP$9:AP196)</f>
        <v>3111039</v>
      </c>
    </row>
    <row r="198" spans="1:45" x14ac:dyDescent="0.15">
      <c r="A198" s="5">
        <v>190</v>
      </c>
      <c r="J198" s="5">
        <f t="shared" si="16"/>
        <v>190</v>
      </c>
      <c r="K198" s="5">
        <f>SUM($AP$9:AP197)</f>
        <v>3921517</v>
      </c>
      <c r="L198" s="5">
        <f>LOOKUP(K198,AI:AI,AE:AE)</f>
        <v>149</v>
      </c>
      <c r="M198" s="5">
        <f>LOOKUP(L198,AE:AE,AG:AG)</f>
        <v>213989</v>
      </c>
      <c r="N198" s="5">
        <f>AM198/M198/$K$1</f>
        <v>2.6422292734673278</v>
      </c>
      <c r="O198" s="5">
        <f>SUM($N$9:N198)</f>
        <v>671.4072090186271</v>
      </c>
      <c r="AE198" s="5">
        <f t="shared" si="17"/>
        <v>190</v>
      </c>
      <c r="AF198" s="5">
        <f t="shared" si="18"/>
        <v>2059532</v>
      </c>
      <c r="AG198" s="5">
        <f t="shared" si="19"/>
        <v>2017067</v>
      </c>
      <c r="AH198" s="5">
        <f>AG198*$AF$1</f>
        <v>20170670</v>
      </c>
      <c r="AI198" s="5">
        <f>SUM($AF$9:AF197)</f>
        <v>36732194</v>
      </c>
      <c r="AK198" s="5">
        <f t="shared" si="20"/>
        <v>190</v>
      </c>
      <c r="AL198" s="5">
        <f t="shared" si="21"/>
        <v>28</v>
      </c>
      <c r="AM198" s="5">
        <f t="shared" si="22"/>
        <v>848112</v>
      </c>
      <c r="AN198" s="5">
        <f>$AL$4*$AL$3^AL198*$AL$2</f>
        <v>848112.09139248973</v>
      </c>
      <c r="AO198" s="5">
        <f>IF(AL198=AL199,1,LOOKUP(MOD(AL198,$AL$1),$AN$1:$AN$5,$AO$1:$AO$5))</f>
        <v>1</v>
      </c>
      <c r="AP198" s="5">
        <f t="shared" si="23"/>
        <v>184323</v>
      </c>
      <c r="AQ198" s="5">
        <f>AM198*$AR$3</f>
        <v>113081.59999999999</v>
      </c>
      <c r="AR198" s="5">
        <f>AM198*AL198*$AR$4</f>
        <v>71241.407999999996</v>
      </c>
      <c r="AS198" s="5">
        <f>SUM($AP$9:AP197)</f>
        <v>3921517</v>
      </c>
    </row>
    <row r="199" spans="1:45" x14ac:dyDescent="0.15">
      <c r="A199" s="5">
        <v>191</v>
      </c>
      <c r="J199" s="5">
        <f t="shared" si="16"/>
        <v>191</v>
      </c>
      <c r="K199" s="5">
        <f>SUM($AP$9:AP198)</f>
        <v>4105840</v>
      </c>
      <c r="L199" s="5">
        <f>LOOKUP(K199,AI:AI,AE:AE)</f>
        <v>150</v>
      </c>
      <c r="M199" s="5">
        <f>LOOKUP(L199,AE:AE,AG:AG)</f>
        <v>226197</v>
      </c>
      <c r="N199" s="5">
        <f>AM199/M199/$K$1</f>
        <v>2.499626431827124</v>
      </c>
      <c r="O199" s="5">
        <f>SUM($N$9:N199)</f>
        <v>673.9068354504542</v>
      </c>
      <c r="AE199" s="5">
        <f t="shared" si="17"/>
        <v>191</v>
      </c>
      <c r="AF199" s="5">
        <f t="shared" si="18"/>
        <v>2173656</v>
      </c>
      <c r="AG199" s="5">
        <f t="shared" si="19"/>
        <v>2129068</v>
      </c>
      <c r="AH199" s="5">
        <f>AG199*$AF$1</f>
        <v>21290680</v>
      </c>
      <c r="AI199" s="5">
        <f>SUM($AF$9:AF198)</f>
        <v>38791726</v>
      </c>
      <c r="AK199" s="5">
        <f t="shared" si="20"/>
        <v>191</v>
      </c>
      <c r="AL199" s="5">
        <f t="shared" si="21"/>
        <v>28</v>
      </c>
      <c r="AM199" s="5">
        <f t="shared" si="22"/>
        <v>848112</v>
      </c>
      <c r="AN199" s="5">
        <f>$AL$4*$AL$3^AL199*$AL$2</f>
        <v>848112.09139248973</v>
      </c>
      <c r="AO199" s="5">
        <f>IF(AL199=AL200,1,LOOKUP(MOD(AL199,$AL$1),$AN$1:$AN$5,$AO$1:$AO$5))</f>
        <v>1</v>
      </c>
      <c r="AP199" s="5">
        <f t="shared" si="23"/>
        <v>184323</v>
      </c>
      <c r="AQ199" s="5">
        <f>AM199*$AR$3</f>
        <v>113081.59999999999</v>
      </c>
      <c r="AR199" s="5">
        <f>AM199*AL199*$AR$4</f>
        <v>71241.407999999996</v>
      </c>
      <c r="AS199" s="5">
        <f>SUM($AP$9:AP198)</f>
        <v>4105840</v>
      </c>
    </row>
    <row r="200" spans="1:45" x14ac:dyDescent="0.15">
      <c r="A200" s="5">
        <v>192</v>
      </c>
      <c r="J200" s="5">
        <f t="shared" si="16"/>
        <v>192</v>
      </c>
      <c r="K200" s="5">
        <f>SUM($AP$9:AP199)</f>
        <v>4290163</v>
      </c>
      <c r="L200" s="5">
        <f>LOOKUP(K200,AI:AI,AE:AE)</f>
        <v>151</v>
      </c>
      <c r="M200" s="5">
        <f>LOOKUP(L200,AE:AE,AG:AG)</f>
        <v>239090</v>
      </c>
      <c r="N200" s="5">
        <f>AM200/M200/$K$1</f>
        <v>2.3648333263624575</v>
      </c>
      <c r="O200" s="5">
        <f>SUM($N$9:N200)</f>
        <v>676.27166877681668</v>
      </c>
      <c r="AE200" s="5">
        <f t="shared" si="17"/>
        <v>192</v>
      </c>
      <c r="AF200" s="5">
        <f t="shared" si="18"/>
        <v>2294043</v>
      </c>
      <c r="AG200" s="5">
        <f t="shared" si="19"/>
        <v>2247225</v>
      </c>
      <c r="AH200" s="5">
        <f>AG200*$AF$1</f>
        <v>22472250</v>
      </c>
      <c r="AI200" s="5">
        <f>SUM($AF$9:AF199)</f>
        <v>40965382</v>
      </c>
      <c r="AK200" s="5">
        <f t="shared" si="20"/>
        <v>192</v>
      </c>
      <c r="AL200" s="5">
        <f t="shared" si="21"/>
        <v>28</v>
      </c>
      <c r="AM200" s="5">
        <f t="shared" si="22"/>
        <v>848112</v>
      </c>
      <c r="AN200" s="5">
        <f>$AL$4*$AL$3^AL200*$AL$2</f>
        <v>848112.09139248973</v>
      </c>
      <c r="AO200" s="5">
        <f>IF(AL200=AL201,1,LOOKUP(MOD(AL200,$AL$1),$AN$1:$AN$5,$AO$1:$AO$5))</f>
        <v>1</v>
      </c>
      <c r="AP200" s="5">
        <f t="shared" si="23"/>
        <v>184323</v>
      </c>
      <c r="AQ200" s="5">
        <f>AM200*$AR$3</f>
        <v>113081.59999999999</v>
      </c>
      <c r="AR200" s="5">
        <f>AM200*AL200*$AR$4</f>
        <v>71241.407999999996</v>
      </c>
      <c r="AS200" s="5">
        <f>SUM($AP$9:AP199)</f>
        <v>4290163</v>
      </c>
    </row>
    <row r="201" spans="1:45" x14ac:dyDescent="0.15">
      <c r="A201" s="5">
        <v>193</v>
      </c>
      <c r="J201" s="5">
        <f t="shared" si="16"/>
        <v>193</v>
      </c>
      <c r="K201" s="5">
        <f>SUM($AP$9:AP200)</f>
        <v>4474486</v>
      </c>
      <c r="L201" s="5">
        <f>LOOKUP(K201,AI:AI,AE:AE)</f>
        <v>151</v>
      </c>
      <c r="M201" s="5">
        <f>LOOKUP(L201,AE:AE,AG:AG)</f>
        <v>239090</v>
      </c>
      <c r="N201" s="5">
        <f>AM201/M201/$K$1</f>
        <v>2.3648333263624575</v>
      </c>
      <c r="O201" s="5">
        <f>SUM($N$9:N201)</f>
        <v>678.63650210317917</v>
      </c>
      <c r="AE201" s="5">
        <f t="shared" si="17"/>
        <v>193</v>
      </c>
      <c r="AF201" s="5">
        <f t="shared" si="18"/>
        <v>2421034</v>
      </c>
      <c r="AG201" s="5">
        <f t="shared" si="19"/>
        <v>2371876</v>
      </c>
      <c r="AH201" s="5">
        <f>AG201*$AF$1</f>
        <v>23718760</v>
      </c>
      <c r="AI201" s="5">
        <f>SUM($AF$9:AF200)</f>
        <v>43259425</v>
      </c>
      <c r="AK201" s="5">
        <f t="shared" si="20"/>
        <v>193</v>
      </c>
      <c r="AL201" s="5">
        <f t="shared" si="21"/>
        <v>28</v>
      </c>
      <c r="AM201" s="5">
        <f t="shared" si="22"/>
        <v>848112</v>
      </c>
      <c r="AN201" s="5">
        <f>$AL$4*$AL$3^AL201*$AL$2</f>
        <v>848112.09139248973</v>
      </c>
      <c r="AO201" s="5">
        <f>IF(AL201=AL202,1,LOOKUP(MOD(AL201,$AL$1),$AN$1:$AN$5,$AO$1:$AO$5))</f>
        <v>1</v>
      </c>
      <c r="AP201" s="5">
        <f t="shared" si="23"/>
        <v>184323</v>
      </c>
      <c r="AQ201" s="5">
        <f>AM201*$AR$3</f>
        <v>113081.59999999999</v>
      </c>
      <c r="AR201" s="5">
        <f>AM201*AL201*$AR$4</f>
        <v>71241.407999999996</v>
      </c>
      <c r="AS201" s="5">
        <f>SUM($AP$9:AP200)</f>
        <v>4474486</v>
      </c>
    </row>
    <row r="202" spans="1:45" x14ac:dyDescent="0.15">
      <c r="A202" s="5">
        <v>194</v>
      </c>
      <c r="J202" s="5">
        <f t="shared" ref="J202:J265" si="24">A202</f>
        <v>194</v>
      </c>
      <c r="K202" s="5">
        <f>SUM($AP$9:AP201)</f>
        <v>4658809</v>
      </c>
      <c r="L202" s="5">
        <f>LOOKUP(K202,AI:AI,AE:AE)</f>
        <v>152</v>
      </c>
      <c r="M202" s="5">
        <f>LOOKUP(L202,AE:AE,AG:AG)</f>
        <v>252707</v>
      </c>
      <c r="N202" s="5">
        <f>AM202/M202/$K$1</f>
        <v>2.2374053746037901</v>
      </c>
      <c r="O202" s="5">
        <f>SUM($N$9:N202)</f>
        <v>680.87390747778295</v>
      </c>
      <c r="AE202" s="5">
        <f t="shared" ref="AE202:AE265" si="25">A202</f>
        <v>194</v>
      </c>
      <c r="AF202" s="5">
        <f t="shared" ref="AF202:AF265" si="26">ROUND(1.05^AE202*(AE202+4),0)</f>
        <v>2554990</v>
      </c>
      <c r="AG202" s="5">
        <f t="shared" ref="AG202:AG265" si="27">ROUND(1.05^AE202*AE202,0)</f>
        <v>2503374</v>
      </c>
      <c r="AH202" s="5">
        <f>AG202*$AF$1</f>
        <v>25033740</v>
      </c>
      <c r="AI202" s="5">
        <f>SUM($AF$9:AF201)</f>
        <v>45680459</v>
      </c>
      <c r="AK202" s="5">
        <f t="shared" ref="AK202:AK265" si="28">A202</f>
        <v>194</v>
      </c>
      <c r="AL202" s="5">
        <f t="shared" ref="AL202:AL265" si="29">ROUNDUP(AK202/$AL$1,0)</f>
        <v>28</v>
      </c>
      <c r="AM202" s="5">
        <f t="shared" ref="AM202:AM265" si="30">ROUND(AN202*AO202,0)</f>
        <v>848112</v>
      </c>
      <c r="AN202" s="5">
        <f>$AL$4*$AL$3^AL202*$AL$2</f>
        <v>848112.09139248973</v>
      </c>
      <c r="AO202" s="5">
        <f>IF(AL202=AL203,1,LOOKUP(MOD(AL202,$AL$1),$AN$1:$AN$5,$AO$1:$AO$5))</f>
        <v>1</v>
      </c>
      <c r="AP202" s="5">
        <f t="shared" ref="AP202:AP265" si="31">ROUND(AQ202+AR202,0)</f>
        <v>184323</v>
      </c>
      <c r="AQ202" s="5">
        <f>AM202*$AR$3</f>
        <v>113081.59999999999</v>
      </c>
      <c r="AR202" s="5">
        <f>AM202*AL202*$AR$4</f>
        <v>71241.407999999996</v>
      </c>
      <c r="AS202" s="5">
        <f>SUM($AP$9:AP201)</f>
        <v>4658809</v>
      </c>
    </row>
    <row r="203" spans="1:45" x14ac:dyDescent="0.15">
      <c r="A203" s="5">
        <v>195</v>
      </c>
      <c r="J203" s="5">
        <f t="shared" si="24"/>
        <v>195</v>
      </c>
      <c r="K203" s="5">
        <f>SUM($AP$9:AP202)</f>
        <v>4843132</v>
      </c>
      <c r="L203" s="5">
        <f>LOOKUP(K203,AI:AI,AE:AE)</f>
        <v>153</v>
      </c>
      <c r="M203" s="5">
        <f>LOOKUP(L203,AE:AE,AG:AG)</f>
        <v>267088</v>
      </c>
      <c r="N203" s="5">
        <f>AM203/M203/$K$1</f>
        <v>2.116935242317139</v>
      </c>
      <c r="O203" s="5">
        <f>SUM($N$9:N203)</f>
        <v>682.99084272010009</v>
      </c>
      <c r="AE203" s="5">
        <f t="shared" si="25"/>
        <v>195</v>
      </c>
      <c r="AF203" s="5">
        <f t="shared" si="26"/>
        <v>2696289</v>
      </c>
      <c r="AG203" s="5">
        <f t="shared" si="27"/>
        <v>2642092</v>
      </c>
      <c r="AH203" s="5">
        <f>AG203*$AF$1</f>
        <v>26420920</v>
      </c>
      <c r="AI203" s="5">
        <f>SUM($AF$9:AF202)</f>
        <v>48235449</v>
      </c>
      <c r="AK203" s="5">
        <f t="shared" si="28"/>
        <v>195</v>
      </c>
      <c r="AL203" s="5">
        <f t="shared" si="29"/>
        <v>28</v>
      </c>
      <c r="AM203" s="5">
        <f t="shared" si="30"/>
        <v>848112</v>
      </c>
      <c r="AN203" s="5">
        <f>$AL$4*$AL$3^AL203*$AL$2</f>
        <v>848112.09139248973</v>
      </c>
      <c r="AO203" s="5">
        <f>IF(AL203=AL204,1,LOOKUP(MOD(AL203,$AL$1),$AN$1:$AN$5,$AO$1:$AO$5))</f>
        <v>1</v>
      </c>
      <c r="AP203" s="5">
        <f t="shared" si="31"/>
        <v>184323</v>
      </c>
      <c r="AQ203" s="5">
        <f>AM203*$AR$3</f>
        <v>113081.59999999999</v>
      </c>
      <c r="AR203" s="5">
        <f>AM203*AL203*$AR$4</f>
        <v>71241.407999999996</v>
      </c>
      <c r="AS203" s="5">
        <f>SUM($AP$9:AP202)</f>
        <v>4843132</v>
      </c>
    </row>
    <row r="204" spans="1:45" x14ac:dyDescent="0.15">
      <c r="A204" s="5">
        <v>196</v>
      </c>
      <c r="J204" s="5">
        <f t="shared" si="24"/>
        <v>196</v>
      </c>
      <c r="K204" s="5">
        <f>SUM($AP$9:AP203)</f>
        <v>5027455</v>
      </c>
      <c r="L204" s="5">
        <f>LOOKUP(K204,AI:AI,AE:AE)</f>
        <v>154</v>
      </c>
      <c r="M204" s="5">
        <f>LOOKUP(L204,AE:AE,AG:AG)</f>
        <v>282275</v>
      </c>
      <c r="N204" s="5">
        <f>AM204/M204/$K$1</f>
        <v>20.030398252295338</v>
      </c>
      <c r="O204" s="5">
        <f>SUM($N$9:N204)</f>
        <v>703.02124097239539</v>
      </c>
      <c r="AE204" s="5">
        <f t="shared" si="25"/>
        <v>196</v>
      </c>
      <c r="AF204" s="5">
        <f t="shared" si="26"/>
        <v>2845330</v>
      </c>
      <c r="AG204" s="5">
        <f t="shared" si="27"/>
        <v>2788423</v>
      </c>
      <c r="AH204" s="5">
        <f>AG204*$AF$1</f>
        <v>27884230</v>
      </c>
      <c r="AI204" s="5">
        <f>SUM($AF$9:AF203)</f>
        <v>50931738</v>
      </c>
      <c r="AK204" s="5">
        <f t="shared" si="28"/>
        <v>196</v>
      </c>
      <c r="AL204" s="5">
        <f t="shared" si="29"/>
        <v>28</v>
      </c>
      <c r="AM204" s="5">
        <f t="shared" si="30"/>
        <v>8481121</v>
      </c>
      <c r="AN204" s="5">
        <f>$AL$4*$AL$3^AL204*$AL$2</f>
        <v>848112.09139248973</v>
      </c>
      <c r="AO204" s="5">
        <f>IF(AL204=AL205,1,LOOKUP(MOD(AL204,$AL$1),$AN$1:$AN$5,$AO$1:$AO$5))</f>
        <v>10</v>
      </c>
      <c r="AP204" s="5">
        <f t="shared" si="31"/>
        <v>1843230</v>
      </c>
      <c r="AQ204" s="5">
        <f>AM204*$AR$3</f>
        <v>1130816.1333333333</v>
      </c>
      <c r="AR204" s="5">
        <f>AM204*AL204*$AR$4</f>
        <v>712414.16399999999</v>
      </c>
      <c r="AS204" s="5">
        <f>SUM($AP$9:AP203)</f>
        <v>5027455</v>
      </c>
    </row>
    <row r="205" spans="1:45" x14ac:dyDescent="0.15">
      <c r="A205" s="5">
        <v>197</v>
      </c>
      <c r="J205" s="5">
        <f t="shared" si="24"/>
        <v>197</v>
      </c>
      <c r="K205" s="5">
        <f>SUM($AP$9:AP204)</f>
        <v>6870685</v>
      </c>
      <c r="L205" s="5">
        <f>LOOKUP(K205,AI:AI,AE:AE)</f>
        <v>159</v>
      </c>
      <c r="M205" s="5">
        <f>LOOKUP(L205,AE:AE,AG:AG)</f>
        <v>371960</v>
      </c>
      <c r="N205" s="5">
        <f>AM205/M205/$K$1</f>
        <v>2.386521848227408</v>
      </c>
      <c r="O205" s="5">
        <f>SUM($N$9:N205)</f>
        <v>705.40776282062279</v>
      </c>
      <c r="AE205" s="5">
        <f t="shared" si="25"/>
        <v>197</v>
      </c>
      <c r="AF205" s="5">
        <f t="shared" si="26"/>
        <v>3002534</v>
      </c>
      <c r="AG205" s="5">
        <f t="shared" si="27"/>
        <v>2942782</v>
      </c>
      <c r="AH205" s="5">
        <f>AG205*$AF$1</f>
        <v>29427820</v>
      </c>
      <c r="AI205" s="5">
        <f>SUM($AF$9:AF204)</f>
        <v>53777068</v>
      </c>
      <c r="AK205" s="5">
        <f t="shared" si="28"/>
        <v>197</v>
      </c>
      <c r="AL205" s="5">
        <f t="shared" si="29"/>
        <v>29</v>
      </c>
      <c r="AM205" s="5">
        <f t="shared" si="30"/>
        <v>1331536</v>
      </c>
      <c r="AN205" s="5">
        <f>$AL$4*$AL$3^AL205*$AL$2</f>
        <v>1331535.9834862088</v>
      </c>
      <c r="AO205" s="5">
        <f>IF(AL205=AL206,1,LOOKUP(MOD(AL205,$AL$1),$AN$1:$AN$5,$AO$1:$AO$5))</f>
        <v>1</v>
      </c>
      <c r="AP205" s="5">
        <f t="shared" si="31"/>
        <v>293382</v>
      </c>
      <c r="AQ205" s="5">
        <f>AM205*$AR$3</f>
        <v>177538.13333333333</v>
      </c>
      <c r="AR205" s="5">
        <f>AM205*AL205*$AR$4</f>
        <v>115843.632</v>
      </c>
      <c r="AS205" s="5">
        <f>SUM($AP$9:AP204)</f>
        <v>6870685</v>
      </c>
    </row>
    <row r="206" spans="1:45" x14ac:dyDescent="0.15">
      <c r="A206" s="5">
        <v>198</v>
      </c>
      <c r="J206" s="5">
        <f t="shared" si="24"/>
        <v>198</v>
      </c>
      <c r="K206" s="5">
        <f>SUM($AP$9:AP205)</f>
        <v>7164067</v>
      </c>
      <c r="L206" s="5">
        <f>LOOKUP(K206,AI:AI,AE:AE)</f>
        <v>160</v>
      </c>
      <c r="M206" s="5">
        <f>LOOKUP(L206,AE:AE,AG:AG)</f>
        <v>393014</v>
      </c>
      <c r="N206" s="5">
        <f>AM206/M206/$K$1</f>
        <v>2.2586744153304124</v>
      </c>
      <c r="O206" s="5">
        <f>SUM($N$9:N206)</f>
        <v>707.66643723595325</v>
      </c>
      <c r="AE206" s="5">
        <f t="shared" si="25"/>
        <v>198</v>
      </c>
      <c r="AF206" s="5">
        <f t="shared" si="26"/>
        <v>3168346</v>
      </c>
      <c r="AG206" s="5">
        <f t="shared" si="27"/>
        <v>3105606</v>
      </c>
      <c r="AH206" s="5">
        <f>AG206*$AF$1</f>
        <v>31056060</v>
      </c>
      <c r="AI206" s="5">
        <f>SUM($AF$9:AF205)</f>
        <v>56779602</v>
      </c>
      <c r="AK206" s="5">
        <f t="shared" si="28"/>
        <v>198</v>
      </c>
      <c r="AL206" s="5">
        <f t="shared" si="29"/>
        <v>29</v>
      </c>
      <c r="AM206" s="5">
        <f t="shared" si="30"/>
        <v>1331536</v>
      </c>
      <c r="AN206" s="5">
        <f>$AL$4*$AL$3^AL206*$AL$2</f>
        <v>1331535.9834862088</v>
      </c>
      <c r="AO206" s="5">
        <f>IF(AL206=AL207,1,LOOKUP(MOD(AL206,$AL$1),$AN$1:$AN$5,$AO$1:$AO$5))</f>
        <v>1</v>
      </c>
      <c r="AP206" s="5">
        <f t="shared" si="31"/>
        <v>293382</v>
      </c>
      <c r="AQ206" s="5">
        <f>AM206*$AR$3</f>
        <v>177538.13333333333</v>
      </c>
      <c r="AR206" s="5">
        <f>AM206*AL206*$AR$4</f>
        <v>115843.632</v>
      </c>
      <c r="AS206" s="5">
        <f>SUM($AP$9:AP205)</f>
        <v>7164067</v>
      </c>
    </row>
    <row r="207" spans="1:45" x14ac:dyDescent="0.15">
      <c r="A207" s="5">
        <v>199</v>
      </c>
      <c r="J207" s="5">
        <f t="shared" si="24"/>
        <v>199</v>
      </c>
      <c r="K207" s="5">
        <f>SUM($AP$9:AP206)</f>
        <v>7457449</v>
      </c>
      <c r="L207" s="5">
        <f>LOOKUP(K207,AI:AI,AE:AE)</f>
        <v>161</v>
      </c>
      <c r="M207" s="5">
        <f>LOOKUP(L207,AE:AE,AG:AG)</f>
        <v>415244</v>
      </c>
      <c r="N207" s="5">
        <f>AM207/M207/$K$1</f>
        <v>2.1377567566699738</v>
      </c>
      <c r="O207" s="5">
        <f>SUM($N$9:N207)</f>
        <v>709.80419399262325</v>
      </c>
      <c r="AE207" s="5">
        <f t="shared" si="25"/>
        <v>199</v>
      </c>
      <c r="AF207" s="5">
        <f t="shared" si="26"/>
        <v>3343232</v>
      </c>
      <c r="AG207" s="5">
        <f t="shared" si="27"/>
        <v>3277356</v>
      </c>
      <c r="AH207" s="5">
        <f>AG207*$AF$1</f>
        <v>32773560</v>
      </c>
      <c r="AI207" s="5">
        <f>SUM($AF$9:AF206)</f>
        <v>59947948</v>
      </c>
      <c r="AK207" s="5">
        <f t="shared" si="28"/>
        <v>199</v>
      </c>
      <c r="AL207" s="5">
        <f t="shared" si="29"/>
        <v>29</v>
      </c>
      <c r="AM207" s="5">
        <f t="shared" si="30"/>
        <v>1331536</v>
      </c>
      <c r="AN207" s="5">
        <f>$AL$4*$AL$3^AL207*$AL$2</f>
        <v>1331535.9834862088</v>
      </c>
      <c r="AO207" s="5">
        <f>IF(AL207=AL208,1,LOOKUP(MOD(AL207,$AL$1),$AN$1:$AN$5,$AO$1:$AO$5))</f>
        <v>1</v>
      </c>
      <c r="AP207" s="5">
        <f t="shared" si="31"/>
        <v>293382</v>
      </c>
      <c r="AQ207" s="5">
        <f>AM207*$AR$3</f>
        <v>177538.13333333333</v>
      </c>
      <c r="AR207" s="5">
        <f>AM207*AL207*$AR$4</f>
        <v>115843.632</v>
      </c>
      <c r="AS207" s="5">
        <f>SUM($AP$9:AP206)</f>
        <v>7457449</v>
      </c>
    </row>
    <row r="208" spans="1:45" x14ac:dyDescent="0.15">
      <c r="A208" s="5">
        <v>200</v>
      </c>
      <c r="J208" s="5">
        <f t="shared" si="24"/>
        <v>200</v>
      </c>
      <c r="K208" s="5">
        <f>SUM($AP$9:AP207)</f>
        <v>7750831</v>
      </c>
      <c r="L208" s="5">
        <f>LOOKUP(K208,AI:AI,AE:AE)</f>
        <v>161</v>
      </c>
      <c r="M208" s="5">
        <f>LOOKUP(L208,AE:AE,AG:AG)</f>
        <v>415244</v>
      </c>
      <c r="N208" s="5">
        <f>AM208/M208/$K$1</f>
        <v>2.1377567566699738</v>
      </c>
      <c r="O208" s="5">
        <f>SUM($N$9:N208)</f>
        <v>711.94195074929326</v>
      </c>
      <c r="AE208" s="5">
        <f t="shared" si="25"/>
        <v>200</v>
      </c>
      <c r="AF208" s="5">
        <f t="shared" si="26"/>
        <v>3527686</v>
      </c>
      <c r="AG208" s="5">
        <f t="shared" si="27"/>
        <v>3458516</v>
      </c>
      <c r="AH208" s="5">
        <f>AG208*$AF$1</f>
        <v>34585160</v>
      </c>
      <c r="AI208" s="5">
        <f>SUM($AF$9:AF207)</f>
        <v>63291180</v>
      </c>
      <c r="AK208" s="5">
        <f t="shared" si="28"/>
        <v>200</v>
      </c>
      <c r="AL208" s="5">
        <f t="shared" si="29"/>
        <v>29</v>
      </c>
      <c r="AM208" s="5">
        <f t="shared" si="30"/>
        <v>1331536</v>
      </c>
      <c r="AN208" s="5">
        <f>$AL$4*$AL$3^AL208*$AL$2</f>
        <v>1331535.9834862088</v>
      </c>
      <c r="AO208" s="5">
        <f>IF(AL208=AL209,1,LOOKUP(MOD(AL208,$AL$1),$AN$1:$AN$5,$AO$1:$AO$5))</f>
        <v>1</v>
      </c>
      <c r="AP208" s="5">
        <f t="shared" si="31"/>
        <v>293382</v>
      </c>
      <c r="AQ208" s="5">
        <f>AM208*$AR$3</f>
        <v>177538.13333333333</v>
      </c>
      <c r="AR208" s="5">
        <f>AM208*AL208*$AR$4</f>
        <v>115843.632</v>
      </c>
      <c r="AS208" s="5">
        <f>SUM($AP$9:AP207)</f>
        <v>7750831</v>
      </c>
    </row>
    <row r="209" spans="1:45" x14ac:dyDescent="0.15">
      <c r="A209" s="5">
        <v>201</v>
      </c>
      <c r="J209" s="5">
        <f t="shared" si="24"/>
        <v>201</v>
      </c>
      <c r="K209" s="5">
        <f>SUM($AP$9:AP208)</f>
        <v>8044213</v>
      </c>
      <c r="L209" s="5">
        <f>LOOKUP(K209,AI:AI,AE:AE)</f>
        <v>162</v>
      </c>
      <c r="M209" s="5">
        <f>LOOKUP(L209,AE:AE,AG:AG)</f>
        <v>438714</v>
      </c>
      <c r="N209" s="5">
        <f>AM209/M209/$K$1</f>
        <v>2.0233926126512185</v>
      </c>
      <c r="O209" s="5">
        <f>SUM($N$9:N209)</f>
        <v>713.96534336194452</v>
      </c>
      <c r="AE209" s="5">
        <f t="shared" si="25"/>
        <v>201</v>
      </c>
      <c r="AF209" s="5">
        <f t="shared" si="26"/>
        <v>3722228</v>
      </c>
      <c r="AG209" s="5">
        <f t="shared" si="27"/>
        <v>3649599</v>
      </c>
      <c r="AH209" s="5">
        <f>AG209*$AF$1</f>
        <v>36495990</v>
      </c>
      <c r="AI209" s="5">
        <f>SUM($AF$9:AF208)</f>
        <v>66818866</v>
      </c>
      <c r="AK209" s="5">
        <f t="shared" si="28"/>
        <v>201</v>
      </c>
      <c r="AL209" s="5">
        <f t="shared" si="29"/>
        <v>29</v>
      </c>
      <c r="AM209" s="5">
        <f t="shared" si="30"/>
        <v>1331536</v>
      </c>
      <c r="AN209" s="5">
        <f>$AL$4*$AL$3^AL209*$AL$2</f>
        <v>1331535.9834862088</v>
      </c>
      <c r="AO209" s="5">
        <f>IF(AL209=AL210,1,LOOKUP(MOD(AL209,$AL$1),$AN$1:$AN$5,$AO$1:$AO$5))</f>
        <v>1</v>
      </c>
      <c r="AP209" s="5">
        <f t="shared" si="31"/>
        <v>293382</v>
      </c>
      <c r="AQ209" s="5">
        <f>AM209*$AR$3</f>
        <v>177538.13333333333</v>
      </c>
      <c r="AR209" s="5">
        <f>AM209*AL209*$AR$4</f>
        <v>115843.632</v>
      </c>
      <c r="AS209" s="5">
        <f>SUM($AP$9:AP208)</f>
        <v>8044213</v>
      </c>
    </row>
    <row r="210" spans="1:45" x14ac:dyDescent="0.15">
      <c r="A210" s="5">
        <v>202</v>
      </c>
      <c r="J210" s="5">
        <f t="shared" si="24"/>
        <v>202</v>
      </c>
      <c r="K210" s="5">
        <f>SUM($AP$9:AP209)</f>
        <v>8337595</v>
      </c>
      <c r="L210" s="5">
        <f>LOOKUP(K210,AI:AI,AE:AE)</f>
        <v>163</v>
      </c>
      <c r="M210" s="5">
        <f>LOOKUP(L210,AE:AE,AG:AG)</f>
        <v>463493</v>
      </c>
      <c r="N210" s="5">
        <f>AM210/M210/$K$1</f>
        <v>1.9152191439065243</v>
      </c>
      <c r="O210" s="5">
        <f>SUM($N$9:N210)</f>
        <v>715.880562505851</v>
      </c>
      <c r="AE210" s="5">
        <f t="shared" si="25"/>
        <v>202</v>
      </c>
      <c r="AF210" s="5">
        <f t="shared" si="26"/>
        <v>3927404</v>
      </c>
      <c r="AG210" s="5">
        <f t="shared" si="27"/>
        <v>3851144</v>
      </c>
      <c r="AH210" s="5">
        <f>AG210*$AF$1</f>
        <v>38511440</v>
      </c>
      <c r="AI210" s="5">
        <f>SUM($AF$9:AF209)</f>
        <v>70541094</v>
      </c>
      <c r="AK210" s="5">
        <f t="shared" si="28"/>
        <v>202</v>
      </c>
      <c r="AL210" s="5">
        <f t="shared" si="29"/>
        <v>29</v>
      </c>
      <c r="AM210" s="5">
        <f t="shared" si="30"/>
        <v>1331536</v>
      </c>
      <c r="AN210" s="5">
        <f>$AL$4*$AL$3^AL210*$AL$2</f>
        <v>1331535.9834862088</v>
      </c>
      <c r="AO210" s="5">
        <f>IF(AL210=AL211,1,LOOKUP(MOD(AL210,$AL$1),$AN$1:$AN$5,$AO$1:$AO$5))</f>
        <v>1</v>
      </c>
      <c r="AP210" s="5">
        <f t="shared" si="31"/>
        <v>293382</v>
      </c>
      <c r="AQ210" s="5">
        <f>AM210*$AR$3</f>
        <v>177538.13333333333</v>
      </c>
      <c r="AR210" s="5">
        <f>AM210*AL210*$AR$4</f>
        <v>115843.632</v>
      </c>
      <c r="AS210" s="5">
        <f>SUM($AP$9:AP209)</f>
        <v>8337595</v>
      </c>
    </row>
    <row r="211" spans="1:45" x14ac:dyDescent="0.15">
      <c r="A211" s="5">
        <v>203</v>
      </c>
      <c r="J211" s="5">
        <f t="shared" si="24"/>
        <v>203</v>
      </c>
      <c r="K211" s="5">
        <f>SUM($AP$9:AP210)</f>
        <v>8630977</v>
      </c>
      <c r="L211" s="5">
        <f>LOOKUP(K211,AI:AI,AE:AE)</f>
        <v>163</v>
      </c>
      <c r="M211" s="5">
        <f>LOOKUP(L211,AE:AE,AG:AG)</f>
        <v>463493</v>
      </c>
      <c r="N211" s="5">
        <f>AM211/M211/$K$1</f>
        <v>3.8304382878130485</v>
      </c>
      <c r="O211" s="5">
        <f>SUM($N$9:N211)</f>
        <v>719.71100079366408</v>
      </c>
      <c r="AE211" s="5">
        <f t="shared" si="25"/>
        <v>203</v>
      </c>
      <c r="AF211" s="5">
        <f t="shared" si="26"/>
        <v>4143793</v>
      </c>
      <c r="AG211" s="5">
        <f t="shared" si="27"/>
        <v>4063720</v>
      </c>
      <c r="AH211" s="5">
        <f>AG211*$AF$1</f>
        <v>40637200</v>
      </c>
      <c r="AI211" s="5">
        <f>SUM($AF$9:AF210)</f>
        <v>74468498</v>
      </c>
      <c r="AK211" s="5">
        <f t="shared" si="28"/>
        <v>203</v>
      </c>
      <c r="AL211" s="5">
        <f t="shared" si="29"/>
        <v>29</v>
      </c>
      <c r="AM211" s="5">
        <f t="shared" si="30"/>
        <v>2663072</v>
      </c>
      <c r="AN211" s="5">
        <f>$AL$4*$AL$3^AL211*$AL$2</f>
        <v>1331535.9834862088</v>
      </c>
      <c r="AO211" s="5">
        <f>IF(AL211=AL212,1,LOOKUP(MOD(AL211,$AL$1),$AN$1:$AN$5,$AO$1:$AO$5))</f>
        <v>2</v>
      </c>
      <c r="AP211" s="5">
        <f t="shared" si="31"/>
        <v>586764</v>
      </c>
      <c r="AQ211" s="5">
        <f>AM211*$AR$3</f>
        <v>355076.26666666666</v>
      </c>
      <c r="AR211" s="5">
        <f>AM211*AL211*$AR$4</f>
        <v>231687.264</v>
      </c>
      <c r="AS211" s="5">
        <f>SUM($AP$9:AP210)</f>
        <v>8630977</v>
      </c>
    </row>
    <row r="212" spans="1:45" x14ac:dyDescent="0.15">
      <c r="A212" s="5">
        <v>204</v>
      </c>
      <c r="J212" s="5">
        <f t="shared" si="24"/>
        <v>204</v>
      </c>
      <c r="K212" s="5">
        <f>SUM($AP$9:AP211)</f>
        <v>9217741</v>
      </c>
      <c r="L212" s="5">
        <f>LOOKUP(K212,AI:AI,AE:AE)</f>
        <v>164</v>
      </c>
      <c r="M212" s="5">
        <f>LOOKUP(L212,AE:AE,AG:AG)</f>
        <v>489654</v>
      </c>
      <c r="N212" s="5">
        <f>AM212/M212/$K$1</f>
        <v>2.8462424487495253</v>
      </c>
      <c r="O212" s="5">
        <f>SUM($N$9:N212)</f>
        <v>722.55724324241362</v>
      </c>
      <c r="AE212" s="5">
        <f t="shared" si="25"/>
        <v>204</v>
      </c>
      <c r="AF212" s="5">
        <f t="shared" si="26"/>
        <v>4372002</v>
      </c>
      <c r="AG212" s="5">
        <f t="shared" si="27"/>
        <v>4287925</v>
      </c>
      <c r="AH212" s="5">
        <f>AG212*$AF$1</f>
        <v>42879250</v>
      </c>
      <c r="AI212" s="5">
        <f>SUM($AF$9:AF211)</f>
        <v>78612291</v>
      </c>
      <c r="AK212" s="5">
        <f t="shared" si="28"/>
        <v>204</v>
      </c>
      <c r="AL212" s="5">
        <f t="shared" si="29"/>
        <v>30</v>
      </c>
      <c r="AM212" s="5">
        <f t="shared" si="30"/>
        <v>2090511</v>
      </c>
      <c r="AN212" s="5">
        <f>$AL$4*$AL$3^AL212*$AL$2</f>
        <v>2090511.4940733481</v>
      </c>
      <c r="AO212" s="5">
        <f>IF(AL212=AL213,1,LOOKUP(MOD(AL212,$AL$1),$AN$1:$AN$5,$AO$1:$AO$5))</f>
        <v>1</v>
      </c>
      <c r="AP212" s="5">
        <f t="shared" si="31"/>
        <v>466881</v>
      </c>
      <c r="AQ212" s="5">
        <f>AM212*$AR$3</f>
        <v>278734.8</v>
      </c>
      <c r="AR212" s="5">
        <f>AM212*AL212*$AR$4</f>
        <v>188145.99</v>
      </c>
      <c r="AS212" s="5">
        <f>SUM($AP$9:AP211)</f>
        <v>9217741</v>
      </c>
    </row>
    <row r="213" spans="1:45" x14ac:dyDescent="0.15">
      <c r="A213" s="5">
        <v>205</v>
      </c>
      <c r="J213" s="5">
        <f t="shared" si="24"/>
        <v>205</v>
      </c>
      <c r="K213" s="5">
        <f>SUM($AP$9:AP212)</f>
        <v>9684622</v>
      </c>
      <c r="L213" s="5">
        <f>LOOKUP(K213,AI:AI,AE:AE)</f>
        <v>165</v>
      </c>
      <c r="M213" s="5">
        <f>LOOKUP(L213,AE:AE,AG:AG)</f>
        <v>517271</v>
      </c>
      <c r="N213" s="5">
        <f>AM213/M213/$K$1</f>
        <v>2.6942821074446468</v>
      </c>
      <c r="O213" s="5">
        <f>SUM($N$9:N213)</f>
        <v>725.2515253498583</v>
      </c>
      <c r="AE213" s="5">
        <f t="shared" si="25"/>
        <v>205</v>
      </c>
      <c r="AF213" s="5">
        <f t="shared" si="26"/>
        <v>4612672</v>
      </c>
      <c r="AG213" s="5">
        <f t="shared" si="27"/>
        <v>4524391</v>
      </c>
      <c r="AH213" s="5">
        <f>AG213*$AF$1</f>
        <v>45243910</v>
      </c>
      <c r="AI213" s="5">
        <f>SUM($AF$9:AF212)</f>
        <v>82984293</v>
      </c>
      <c r="AK213" s="5">
        <f t="shared" si="28"/>
        <v>205</v>
      </c>
      <c r="AL213" s="5">
        <f t="shared" si="29"/>
        <v>30</v>
      </c>
      <c r="AM213" s="5">
        <f t="shared" si="30"/>
        <v>2090511</v>
      </c>
      <c r="AN213" s="5">
        <f>$AL$4*$AL$3^AL213*$AL$2</f>
        <v>2090511.4940733481</v>
      </c>
      <c r="AO213" s="5">
        <f>IF(AL213=AL214,1,LOOKUP(MOD(AL213,$AL$1),$AN$1:$AN$5,$AO$1:$AO$5))</f>
        <v>1</v>
      </c>
      <c r="AP213" s="5">
        <f t="shared" si="31"/>
        <v>466881</v>
      </c>
      <c r="AQ213" s="5">
        <f>AM213*$AR$3</f>
        <v>278734.8</v>
      </c>
      <c r="AR213" s="5">
        <f>AM213*AL213*$AR$4</f>
        <v>188145.99</v>
      </c>
      <c r="AS213" s="5">
        <f>SUM($AP$9:AP212)</f>
        <v>9684622</v>
      </c>
    </row>
    <row r="214" spans="1:45" x14ac:dyDescent="0.15">
      <c r="A214" s="5">
        <v>206</v>
      </c>
      <c r="J214" s="5">
        <f t="shared" si="24"/>
        <v>206</v>
      </c>
      <c r="K214" s="5">
        <f>SUM($AP$9:AP213)</f>
        <v>10151503</v>
      </c>
      <c r="L214" s="5">
        <f>LOOKUP(K214,AI:AI,AE:AE)</f>
        <v>166</v>
      </c>
      <c r="M214" s="5">
        <f>LOOKUP(L214,AE:AE,AG:AG)</f>
        <v>546426</v>
      </c>
      <c r="N214" s="5">
        <f>AM214/M214/$K$1</f>
        <v>2.5505265122816265</v>
      </c>
      <c r="O214" s="5">
        <f>SUM($N$9:N214)</f>
        <v>727.80205186213993</v>
      </c>
      <c r="AE214" s="5">
        <f t="shared" si="25"/>
        <v>206</v>
      </c>
      <c r="AF214" s="5">
        <f t="shared" si="26"/>
        <v>4866480</v>
      </c>
      <c r="AG214" s="5">
        <f t="shared" si="27"/>
        <v>4773785</v>
      </c>
      <c r="AH214" s="5">
        <f>AG214*$AF$1</f>
        <v>47737850</v>
      </c>
      <c r="AI214" s="5">
        <f>SUM($AF$9:AF213)</f>
        <v>87596965</v>
      </c>
      <c r="AK214" s="5">
        <f t="shared" si="28"/>
        <v>206</v>
      </c>
      <c r="AL214" s="5">
        <f t="shared" si="29"/>
        <v>30</v>
      </c>
      <c r="AM214" s="5">
        <f t="shared" si="30"/>
        <v>2090511</v>
      </c>
      <c r="AN214" s="5">
        <f>$AL$4*$AL$3^AL214*$AL$2</f>
        <v>2090511.4940733481</v>
      </c>
      <c r="AO214" s="5">
        <f>IF(AL214=AL215,1,LOOKUP(MOD(AL214,$AL$1),$AN$1:$AN$5,$AO$1:$AO$5))</f>
        <v>1</v>
      </c>
      <c r="AP214" s="5">
        <f t="shared" si="31"/>
        <v>466881</v>
      </c>
      <c r="AQ214" s="5">
        <f>AM214*$AR$3</f>
        <v>278734.8</v>
      </c>
      <c r="AR214" s="5">
        <f>AM214*AL214*$AR$4</f>
        <v>188145.99</v>
      </c>
      <c r="AS214" s="5">
        <f>SUM($AP$9:AP213)</f>
        <v>10151503</v>
      </c>
    </row>
    <row r="215" spans="1:45" x14ac:dyDescent="0.15">
      <c r="A215" s="5">
        <v>207</v>
      </c>
      <c r="J215" s="5">
        <f t="shared" si="24"/>
        <v>207</v>
      </c>
      <c r="K215" s="5">
        <f>SUM($AP$9:AP214)</f>
        <v>10618384</v>
      </c>
      <c r="L215" s="5">
        <f>LOOKUP(K215,AI:AI,AE:AE)</f>
        <v>167</v>
      </c>
      <c r="M215" s="5">
        <f>LOOKUP(L215,AE:AE,AG:AG)</f>
        <v>577204</v>
      </c>
      <c r="N215" s="5">
        <f>AM215/M215/$K$1</f>
        <v>2.4145258868614907</v>
      </c>
      <c r="O215" s="5">
        <f>SUM($N$9:N215)</f>
        <v>730.21657774900143</v>
      </c>
      <c r="AE215" s="5">
        <f t="shared" si="25"/>
        <v>207</v>
      </c>
      <c r="AF215" s="5">
        <f t="shared" si="26"/>
        <v>5134136</v>
      </c>
      <c r="AG215" s="5">
        <f t="shared" si="27"/>
        <v>5036806</v>
      </c>
      <c r="AH215" s="5">
        <f>AG215*$AF$1</f>
        <v>50368060</v>
      </c>
      <c r="AI215" s="5">
        <f>SUM($AF$9:AF214)</f>
        <v>92463445</v>
      </c>
      <c r="AK215" s="5">
        <f t="shared" si="28"/>
        <v>207</v>
      </c>
      <c r="AL215" s="5">
        <f t="shared" si="29"/>
        <v>30</v>
      </c>
      <c r="AM215" s="5">
        <f t="shared" si="30"/>
        <v>2090511</v>
      </c>
      <c r="AN215" s="5">
        <f>$AL$4*$AL$3^AL215*$AL$2</f>
        <v>2090511.4940733481</v>
      </c>
      <c r="AO215" s="5">
        <f>IF(AL215=AL216,1,LOOKUP(MOD(AL215,$AL$1),$AN$1:$AN$5,$AO$1:$AO$5))</f>
        <v>1</v>
      </c>
      <c r="AP215" s="5">
        <f t="shared" si="31"/>
        <v>466881</v>
      </c>
      <c r="AQ215" s="5">
        <f>AM215*$AR$3</f>
        <v>278734.8</v>
      </c>
      <c r="AR215" s="5">
        <f>AM215*AL215*$AR$4</f>
        <v>188145.99</v>
      </c>
      <c r="AS215" s="5">
        <f>SUM($AP$9:AP214)</f>
        <v>10618384</v>
      </c>
    </row>
    <row r="216" spans="1:45" x14ac:dyDescent="0.15">
      <c r="A216" s="5">
        <v>208</v>
      </c>
      <c r="J216" s="5">
        <f t="shared" si="24"/>
        <v>208</v>
      </c>
      <c r="K216" s="5">
        <f>SUM($AP$9:AP215)</f>
        <v>11085265</v>
      </c>
      <c r="L216" s="5">
        <f>LOOKUP(K216,AI:AI,AE:AE)</f>
        <v>168</v>
      </c>
      <c r="M216" s="5">
        <f>LOOKUP(L216,AE:AE,AG:AG)</f>
        <v>609693</v>
      </c>
      <c r="N216" s="5">
        <f>AM216/M216/$K$1</f>
        <v>2.2858619009895143</v>
      </c>
      <c r="O216" s="5">
        <f>SUM($N$9:N216)</f>
        <v>732.50243964999095</v>
      </c>
      <c r="AE216" s="5">
        <f t="shared" si="25"/>
        <v>208</v>
      </c>
      <c r="AF216" s="5">
        <f t="shared" si="26"/>
        <v>5416392</v>
      </c>
      <c r="AG216" s="5">
        <f t="shared" si="27"/>
        <v>5314196</v>
      </c>
      <c r="AH216" s="5">
        <f>AG216*$AF$1</f>
        <v>53141960</v>
      </c>
      <c r="AI216" s="5">
        <f>SUM($AF$9:AF215)</f>
        <v>97597581</v>
      </c>
      <c r="AK216" s="5">
        <f t="shared" si="28"/>
        <v>208</v>
      </c>
      <c r="AL216" s="5">
        <f t="shared" si="29"/>
        <v>30</v>
      </c>
      <c r="AM216" s="5">
        <f t="shared" si="30"/>
        <v>2090511</v>
      </c>
      <c r="AN216" s="5">
        <f>$AL$4*$AL$3^AL216*$AL$2</f>
        <v>2090511.4940733481</v>
      </c>
      <c r="AO216" s="5">
        <f>IF(AL216=AL217,1,LOOKUP(MOD(AL216,$AL$1),$AN$1:$AN$5,$AO$1:$AO$5))</f>
        <v>1</v>
      </c>
      <c r="AP216" s="5">
        <f t="shared" si="31"/>
        <v>466881</v>
      </c>
      <c r="AQ216" s="5">
        <f>AM216*$AR$3</f>
        <v>278734.8</v>
      </c>
      <c r="AR216" s="5">
        <f>AM216*AL216*$AR$4</f>
        <v>188145.99</v>
      </c>
      <c r="AS216" s="5">
        <f>SUM($AP$9:AP215)</f>
        <v>11085265</v>
      </c>
    </row>
    <row r="217" spans="1:45" x14ac:dyDescent="0.15">
      <c r="A217" s="5">
        <v>209</v>
      </c>
      <c r="J217" s="5">
        <f t="shared" si="24"/>
        <v>209</v>
      </c>
      <c r="K217" s="5">
        <f>SUM($AP$9:AP216)</f>
        <v>11552146</v>
      </c>
      <c r="L217" s="5">
        <f>LOOKUP(K217,AI:AI,AE:AE)</f>
        <v>168</v>
      </c>
      <c r="M217" s="5">
        <f>LOOKUP(L217,AE:AE,AG:AG)</f>
        <v>609693</v>
      </c>
      <c r="N217" s="5">
        <f>AM217/M217/$K$1</f>
        <v>2.2858619009895143</v>
      </c>
      <c r="O217" s="5">
        <f>SUM($N$9:N217)</f>
        <v>734.78830155098046</v>
      </c>
      <c r="AE217" s="5">
        <f t="shared" si="25"/>
        <v>209</v>
      </c>
      <c r="AF217" s="5">
        <f t="shared" si="26"/>
        <v>5714038</v>
      </c>
      <c r="AG217" s="5">
        <f t="shared" si="27"/>
        <v>5606732</v>
      </c>
      <c r="AH217" s="5">
        <f>AG217*$AF$1</f>
        <v>56067320</v>
      </c>
      <c r="AI217" s="5">
        <f>SUM($AF$9:AF216)</f>
        <v>103013973</v>
      </c>
      <c r="AK217" s="5">
        <f t="shared" si="28"/>
        <v>209</v>
      </c>
      <c r="AL217" s="5">
        <f t="shared" si="29"/>
        <v>30</v>
      </c>
      <c r="AM217" s="5">
        <f t="shared" si="30"/>
        <v>2090511</v>
      </c>
      <c r="AN217" s="5">
        <f>$AL$4*$AL$3^AL217*$AL$2</f>
        <v>2090511.4940733481</v>
      </c>
      <c r="AO217" s="5">
        <f>IF(AL217=AL218,1,LOOKUP(MOD(AL217,$AL$1),$AN$1:$AN$5,$AO$1:$AO$5))</f>
        <v>1</v>
      </c>
      <c r="AP217" s="5">
        <f t="shared" si="31"/>
        <v>466881</v>
      </c>
      <c r="AQ217" s="5">
        <f>AM217*$AR$3</f>
        <v>278734.8</v>
      </c>
      <c r="AR217" s="5">
        <f>AM217*AL217*$AR$4</f>
        <v>188145.99</v>
      </c>
      <c r="AS217" s="5">
        <f>SUM($AP$9:AP216)</f>
        <v>11552146</v>
      </c>
    </row>
    <row r="218" spans="1:45" x14ac:dyDescent="0.15">
      <c r="A218" s="5">
        <v>210</v>
      </c>
      <c r="J218" s="5">
        <f t="shared" si="24"/>
        <v>210</v>
      </c>
      <c r="K218" s="5">
        <f>SUM($AP$9:AP217)</f>
        <v>12019027</v>
      </c>
      <c r="L218" s="5">
        <f>LOOKUP(K218,AI:AI,AE:AE)</f>
        <v>169</v>
      </c>
      <c r="M218" s="5">
        <f>LOOKUP(L218,AE:AE,AG:AG)</f>
        <v>643989</v>
      </c>
      <c r="N218" s="5">
        <f>AM218/M218/$K$1</f>
        <v>8.6565101784864851</v>
      </c>
      <c r="O218" s="5">
        <f>SUM($N$9:N218)</f>
        <v>743.44481172946689</v>
      </c>
      <c r="AE218" s="5">
        <f t="shared" si="25"/>
        <v>210</v>
      </c>
      <c r="AF218" s="5">
        <f t="shared" si="26"/>
        <v>6027907</v>
      </c>
      <c r="AG218" s="5">
        <f t="shared" si="27"/>
        <v>5915236</v>
      </c>
      <c r="AH218" s="5">
        <f>AG218*$AF$1</f>
        <v>59152360</v>
      </c>
      <c r="AI218" s="5">
        <f>SUM($AF$9:AF217)</f>
        <v>108728011</v>
      </c>
      <c r="AK218" s="5">
        <f t="shared" si="28"/>
        <v>210</v>
      </c>
      <c r="AL218" s="5">
        <f t="shared" si="29"/>
        <v>30</v>
      </c>
      <c r="AM218" s="5">
        <f t="shared" si="30"/>
        <v>8362046</v>
      </c>
      <c r="AN218" s="5">
        <f>$AL$4*$AL$3^AL218*$AL$2</f>
        <v>2090511.4940733481</v>
      </c>
      <c r="AO218" s="5">
        <f>IF(AL218=AL219,1,LOOKUP(MOD(AL218,$AL$1),$AN$1:$AN$5,$AO$1:$AO$5))</f>
        <v>4</v>
      </c>
      <c r="AP218" s="5">
        <f t="shared" si="31"/>
        <v>1867524</v>
      </c>
      <c r="AQ218" s="5">
        <f>AM218*$AR$3</f>
        <v>1114939.4666666666</v>
      </c>
      <c r="AR218" s="5">
        <f>AM218*AL218*$AR$4</f>
        <v>752584.14</v>
      </c>
      <c r="AS218" s="5">
        <f>SUM($AP$9:AP217)</f>
        <v>12019027</v>
      </c>
    </row>
    <row r="219" spans="1:45" x14ac:dyDescent="0.15">
      <c r="A219" s="5">
        <v>211</v>
      </c>
      <c r="J219" s="5">
        <f t="shared" si="24"/>
        <v>211</v>
      </c>
      <c r="K219" s="5">
        <f>SUM($AP$9:AP218)</f>
        <v>13886551</v>
      </c>
      <c r="L219" s="5">
        <f>LOOKUP(K219,AI:AI,AE:AE)</f>
        <v>172</v>
      </c>
      <c r="M219" s="5">
        <f>LOOKUP(L219,AE:AE,AG:AG)</f>
        <v>758731</v>
      </c>
      <c r="N219" s="5">
        <f>AM219/M219/$K$1</f>
        <v>2.883852994891031</v>
      </c>
      <c r="O219" s="5">
        <f>SUM($N$9:N219)</f>
        <v>746.32866472435796</v>
      </c>
      <c r="AE219" s="5">
        <f t="shared" si="25"/>
        <v>211</v>
      </c>
      <c r="AF219" s="5">
        <f t="shared" si="26"/>
        <v>6358879</v>
      </c>
      <c r="AG219" s="5">
        <f t="shared" si="27"/>
        <v>6240574</v>
      </c>
      <c r="AH219" s="5">
        <f>AG219*$AF$1</f>
        <v>62405740</v>
      </c>
      <c r="AI219" s="5">
        <f>SUM($AF$9:AF218)</f>
        <v>114755918</v>
      </c>
      <c r="AK219" s="5">
        <f t="shared" si="28"/>
        <v>211</v>
      </c>
      <c r="AL219" s="5">
        <f t="shared" si="29"/>
        <v>31</v>
      </c>
      <c r="AM219" s="5">
        <f t="shared" si="30"/>
        <v>3282103</v>
      </c>
      <c r="AN219" s="5">
        <f>$AL$4*$AL$3^AL219*$AL$2</f>
        <v>3282103.0456951573</v>
      </c>
      <c r="AO219" s="5">
        <f>IF(AL219=AL220,1,LOOKUP(MOD(AL219,$AL$1),$AN$1:$AN$5,$AO$1:$AO$5))</f>
        <v>1</v>
      </c>
      <c r="AP219" s="5">
        <f t="shared" si="31"/>
        <v>742849</v>
      </c>
      <c r="AQ219" s="5">
        <f>AM219*$AR$3</f>
        <v>437613.73333333334</v>
      </c>
      <c r="AR219" s="5">
        <f>AM219*AL219*$AR$4</f>
        <v>305235.57900000003</v>
      </c>
      <c r="AS219" s="5">
        <f>SUM($AP$9:AP218)</f>
        <v>13886551</v>
      </c>
    </row>
    <row r="220" spans="1:45" x14ac:dyDescent="0.15">
      <c r="A220" s="5">
        <v>212</v>
      </c>
      <c r="J220" s="5">
        <f t="shared" si="24"/>
        <v>212</v>
      </c>
      <c r="K220" s="5">
        <f>SUM($AP$9:AP219)</f>
        <v>14629400</v>
      </c>
      <c r="L220" s="5">
        <f>LOOKUP(K220,AI:AI,AE:AE)</f>
        <v>173</v>
      </c>
      <c r="M220" s="5">
        <f>LOOKUP(L220,AE:AE,AG:AG)</f>
        <v>801299</v>
      </c>
      <c r="N220" s="5">
        <f>AM220/M220/$K$1</f>
        <v>2.7306519372502236</v>
      </c>
      <c r="O220" s="5">
        <f>SUM($N$9:N220)</f>
        <v>749.05931666160814</v>
      </c>
      <c r="AE220" s="5">
        <f t="shared" si="25"/>
        <v>212</v>
      </c>
      <c r="AF220" s="5">
        <f t="shared" si="26"/>
        <v>6707878</v>
      </c>
      <c r="AG220" s="5">
        <f t="shared" si="27"/>
        <v>6583658</v>
      </c>
      <c r="AH220" s="5">
        <f>AG220*$AF$1</f>
        <v>65836580</v>
      </c>
      <c r="AI220" s="5">
        <f>SUM($AF$9:AF219)</f>
        <v>121114797</v>
      </c>
      <c r="AK220" s="5">
        <f t="shared" si="28"/>
        <v>212</v>
      </c>
      <c r="AL220" s="5">
        <f t="shared" si="29"/>
        <v>31</v>
      </c>
      <c r="AM220" s="5">
        <f t="shared" si="30"/>
        <v>3282103</v>
      </c>
      <c r="AN220" s="5">
        <f>$AL$4*$AL$3^AL220*$AL$2</f>
        <v>3282103.0456951573</v>
      </c>
      <c r="AO220" s="5">
        <f>IF(AL220=AL221,1,LOOKUP(MOD(AL220,$AL$1),$AN$1:$AN$5,$AO$1:$AO$5))</f>
        <v>1</v>
      </c>
      <c r="AP220" s="5">
        <f t="shared" si="31"/>
        <v>742849</v>
      </c>
      <c r="AQ220" s="5">
        <f>AM220*$AR$3</f>
        <v>437613.73333333334</v>
      </c>
      <c r="AR220" s="5">
        <f>AM220*AL220*$AR$4</f>
        <v>305235.57900000003</v>
      </c>
      <c r="AS220" s="5">
        <f>SUM($AP$9:AP219)</f>
        <v>14629400</v>
      </c>
    </row>
    <row r="221" spans="1:45" x14ac:dyDescent="0.15">
      <c r="A221" s="5">
        <v>213</v>
      </c>
      <c r="J221" s="5">
        <f t="shared" si="24"/>
        <v>213</v>
      </c>
      <c r="K221" s="5">
        <f>SUM($AP$9:AP220)</f>
        <v>15372249</v>
      </c>
      <c r="L221" s="5">
        <f>LOOKUP(K221,AI:AI,AE:AE)</f>
        <v>174</v>
      </c>
      <c r="M221" s="5">
        <f>LOOKUP(L221,AE:AE,AG:AG)</f>
        <v>846228</v>
      </c>
      <c r="N221" s="5">
        <f>AM221/M221/$K$1</f>
        <v>2.5856727343773387</v>
      </c>
      <c r="O221" s="5">
        <f>SUM($N$9:N221)</f>
        <v>751.64498939598548</v>
      </c>
      <c r="AE221" s="5">
        <f t="shared" si="25"/>
        <v>213</v>
      </c>
      <c r="AF221" s="5">
        <f t="shared" si="26"/>
        <v>7075880</v>
      </c>
      <c r="AG221" s="5">
        <f t="shared" si="27"/>
        <v>6945449</v>
      </c>
      <c r="AH221" s="5">
        <f>AG221*$AF$1</f>
        <v>69454490</v>
      </c>
      <c r="AI221" s="5">
        <f>SUM($AF$9:AF220)</f>
        <v>127822675</v>
      </c>
      <c r="AK221" s="5">
        <f t="shared" si="28"/>
        <v>213</v>
      </c>
      <c r="AL221" s="5">
        <f t="shared" si="29"/>
        <v>31</v>
      </c>
      <c r="AM221" s="5">
        <f t="shared" si="30"/>
        <v>3282103</v>
      </c>
      <c r="AN221" s="5">
        <f>$AL$4*$AL$3^AL221*$AL$2</f>
        <v>3282103.0456951573</v>
      </c>
      <c r="AO221" s="5">
        <f>IF(AL221=AL222,1,LOOKUP(MOD(AL221,$AL$1),$AN$1:$AN$5,$AO$1:$AO$5))</f>
        <v>1</v>
      </c>
      <c r="AP221" s="5">
        <f t="shared" si="31"/>
        <v>742849</v>
      </c>
      <c r="AQ221" s="5">
        <f>AM221*$AR$3</f>
        <v>437613.73333333334</v>
      </c>
      <c r="AR221" s="5">
        <f>AM221*AL221*$AR$4</f>
        <v>305235.57900000003</v>
      </c>
      <c r="AS221" s="5">
        <f>SUM($AP$9:AP220)</f>
        <v>15372249</v>
      </c>
    </row>
    <row r="222" spans="1:45" x14ac:dyDescent="0.15">
      <c r="A222" s="5">
        <v>214</v>
      </c>
      <c r="J222" s="5">
        <f t="shared" si="24"/>
        <v>214</v>
      </c>
      <c r="K222" s="5">
        <f>SUM($AP$9:AP221)</f>
        <v>16115098</v>
      </c>
      <c r="L222" s="5">
        <f>LOOKUP(K222,AI:AI,AE:AE)</f>
        <v>174</v>
      </c>
      <c r="M222" s="5">
        <f>LOOKUP(L222,AE:AE,AG:AG)</f>
        <v>846228</v>
      </c>
      <c r="N222" s="5">
        <f>AM222/M222/$K$1</f>
        <v>2.5856727343773387</v>
      </c>
      <c r="O222" s="5">
        <f>SUM($N$9:N222)</f>
        <v>754.23066213036282</v>
      </c>
      <c r="AE222" s="5">
        <f t="shared" si="25"/>
        <v>214</v>
      </c>
      <c r="AF222" s="5">
        <f t="shared" si="26"/>
        <v>7463912</v>
      </c>
      <c r="AG222" s="5">
        <f t="shared" si="27"/>
        <v>7326959</v>
      </c>
      <c r="AH222" s="5">
        <f>AG222*$AF$1</f>
        <v>73269590</v>
      </c>
      <c r="AI222" s="5">
        <f>SUM($AF$9:AF221)</f>
        <v>134898555</v>
      </c>
      <c r="AK222" s="5">
        <f t="shared" si="28"/>
        <v>214</v>
      </c>
      <c r="AL222" s="5">
        <f t="shared" si="29"/>
        <v>31</v>
      </c>
      <c r="AM222" s="5">
        <f t="shared" si="30"/>
        <v>3282103</v>
      </c>
      <c r="AN222" s="5">
        <f>$AL$4*$AL$3^AL222*$AL$2</f>
        <v>3282103.0456951573</v>
      </c>
      <c r="AO222" s="5">
        <f>IF(AL222=AL223,1,LOOKUP(MOD(AL222,$AL$1),$AN$1:$AN$5,$AO$1:$AO$5))</f>
        <v>1</v>
      </c>
      <c r="AP222" s="5">
        <f t="shared" si="31"/>
        <v>742849</v>
      </c>
      <c r="AQ222" s="5">
        <f>AM222*$AR$3</f>
        <v>437613.73333333334</v>
      </c>
      <c r="AR222" s="5">
        <f>AM222*AL222*$AR$4</f>
        <v>305235.57900000003</v>
      </c>
      <c r="AS222" s="5">
        <f>SUM($AP$9:AP221)</f>
        <v>16115098</v>
      </c>
    </row>
    <row r="223" spans="1:45" x14ac:dyDescent="0.15">
      <c r="A223" s="5">
        <v>215</v>
      </c>
      <c r="J223" s="5">
        <f t="shared" si="24"/>
        <v>215</v>
      </c>
      <c r="K223" s="5">
        <f>SUM($AP$9:AP222)</f>
        <v>16857947</v>
      </c>
      <c r="L223" s="5">
        <f>LOOKUP(K223,AI:AI,AE:AE)</f>
        <v>175</v>
      </c>
      <c r="M223" s="5">
        <f>LOOKUP(L223,AE:AE,AG:AG)</f>
        <v>893646</v>
      </c>
      <c r="N223" s="5">
        <f>AM223/M223/$K$1</f>
        <v>2.4484736312439899</v>
      </c>
      <c r="O223" s="5">
        <f>SUM($N$9:N223)</f>
        <v>756.67913576160686</v>
      </c>
      <c r="AE223" s="5">
        <f t="shared" si="25"/>
        <v>215</v>
      </c>
      <c r="AF223" s="5">
        <f t="shared" si="26"/>
        <v>7873057</v>
      </c>
      <c r="AG223" s="5">
        <f t="shared" si="27"/>
        <v>7729257</v>
      </c>
      <c r="AH223" s="5">
        <f>AG223*$AF$1</f>
        <v>77292570</v>
      </c>
      <c r="AI223" s="5">
        <f>SUM($AF$9:AF222)</f>
        <v>142362467</v>
      </c>
      <c r="AK223" s="5">
        <f t="shared" si="28"/>
        <v>215</v>
      </c>
      <c r="AL223" s="5">
        <f t="shared" si="29"/>
        <v>31</v>
      </c>
      <c r="AM223" s="5">
        <f t="shared" si="30"/>
        <v>3282103</v>
      </c>
      <c r="AN223" s="5">
        <f>$AL$4*$AL$3^AL223*$AL$2</f>
        <v>3282103.0456951573</v>
      </c>
      <c r="AO223" s="5">
        <f>IF(AL223=AL224,1,LOOKUP(MOD(AL223,$AL$1),$AN$1:$AN$5,$AO$1:$AO$5))</f>
        <v>1</v>
      </c>
      <c r="AP223" s="5">
        <f t="shared" si="31"/>
        <v>742849</v>
      </c>
      <c r="AQ223" s="5">
        <f>AM223*$AR$3</f>
        <v>437613.73333333334</v>
      </c>
      <c r="AR223" s="5">
        <f>AM223*AL223*$AR$4</f>
        <v>305235.57900000003</v>
      </c>
      <c r="AS223" s="5">
        <f>SUM($AP$9:AP222)</f>
        <v>16857947</v>
      </c>
    </row>
    <row r="224" spans="1:45" x14ac:dyDescent="0.15">
      <c r="A224" s="5">
        <v>216</v>
      </c>
      <c r="J224" s="5">
        <f t="shared" si="24"/>
        <v>216</v>
      </c>
      <c r="K224" s="5">
        <f>SUM($AP$9:AP223)</f>
        <v>17600796</v>
      </c>
      <c r="L224" s="5">
        <f>LOOKUP(K224,AI:AI,AE:AE)</f>
        <v>176</v>
      </c>
      <c r="M224" s="5">
        <f>LOOKUP(L224,AE:AE,AG:AG)</f>
        <v>943690</v>
      </c>
      <c r="N224" s="5">
        <f>AM224/M224/$K$1</f>
        <v>2.3186307650464313</v>
      </c>
      <c r="O224" s="5">
        <f>SUM($N$9:N224)</f>
        <v>758.99776652665332</v>
      </c>
      <c r="AE224" s="5">
        <f t="shared" si="25"/>
        <v>216</v>
      </c>
      <c r="AF224" s="5">
        <f t="shared" si="26"/>
        <v>8304458</v>
      </c>
      <c r="AG224" s="5">
        <f t="shared" si="27"/>
        <v>8153468</v>
      </c>
      <c r="AH224" s="5">
        <f>AG224*$AF$1</f>
        <v>81534680</v>
      </c>
      <c r="AI224" s="5">
        <f>SUM($AF$9:AF223)</f>
        <v>150235524</v>
      </c>
      <c r="AK224" s="5">
        <f t="shared" si="28"/>
        <v>216</v>
      </c>
      <c r="AL224" s="5">
        <f t="shared" si="29"/>
        <v>31</v>
      </c>
      <c r="AM224" s="5">
        <f t="shared" si="30"/>
        <v>3282103</v>
      </c>
      <c r="AN224" s="5">
        <f>$AL$4*$AL$3^AL224*$AL$2</f>
        <v>3282103.0456951573</v>
      </c>
      <c r="AO224" s="5">
        <f>IF(AL224=AL225,1,LOOKUP(MOD(AL224,$AL$1),$AN$1:$AN$5,$AO$1:$AO$5))</f>
        <v>1</v>
      </c>
      <c r="AP224" s="5">
        <f t="shared" si="31"/>
        <v>742849</v>
      </c>
      <c r="AQ224" s="5">
        <f>AM224*$AR$3</f>
        <v>437613.73333333334</v>
      </c>
      <c r="AR224" s="5">
        <f>AM224*AL224*$AR$4</f>
        <v>305235.57900000003</v>
      </c>
      <c r="AS224" s="5">
        <f>SUM($AP$9:AP223)</f>
        <v>17600796</v>
      </c>
    </row>
    <row r="225" spans="1:45" x14ac:dyDescent="0.15">
      <c r="A225" s="5">
        <v>217</v>
      </c>
      <c r="J225" s="5">
        <f t="shared" si="24"/>
        <v>217</v>
      </c>
      <c r="K225" s="5">
        <f>SUM($AP$9:AP224)</f>
        <v>18343645</v>
      </c>
      <c r="L225" s="5">
        <f>LOOKUP(K225,AI:AI,AE:AE)</f>
        <v>177</v>
      </c>
      <c r="M225" s="5">
        <f>LOOKUP(L225,AE:AE,AG:AG)</f>
        <v>996504</v>
      </c>
      <c r="N225" s="5">
        <f>AM225/M225/$K$1</f>
        <v>13.174469946934481</v>
      </c>
      <c r="O225" s="5">
        <f>SUM($N$9:N225)</f>
        <v>772.17223647358776</v>
      </c>
      <c r="AE225" s="5">
        <f t="shared" si="25"/>
        <v>217</v>
      </c>
      <c r="AF225" s="5">
        <f t="shared" si="26"/>
        <v>8759316</v>
      </c>
      <c r="AG225" s="5">
        <f t="shared" si="27"/>
        <v>8600776</v>
      </c>
      <c r="AH225" s="5">
        <f>AG225*$AF$1</f>
        <v>86007760</v>
      </c>
      <c r="AI225" s="5">
        <f>SUM($AF$9:AF224)</f>
        <v>158539982</v>
      </c>
      <c r="AK225" s="5">
        <f t="shared" si="28"/>
        <v>217</v>
      </c>
      <c r="AL225" s="5">
        <f t="shared" si="29"/>
        <v>31</v>
      </c>
      <c r="AM225" s="5">
        <f t="shared" si="30"/>
        <v>19692618</v>
      </c>
      <c r="AN225" s="5">
        <f>$AL$4*$AL$3^AL225*$AL$2</f>
        <v>3282103.0456951573</v>
      </c>
      <c r="AO225" s="5">
        <f>IF(AL225=AL226,1,LOOKUP(MOD(AL225,$AL$1),$AN$1:$AN$5,$AO$1:$AO$5))</f>
        <v>6</v>
      </c>
      <c r="AP225" s="5">
        <f t="shared" si="31"/>
        <v>4457096</v>
      </c>
      <c r="AQ225" s="5">
        <f>AM225*$AR$3</f>
        <v>2625682.4</v>
      </c>
      <c r="AR225" s="5">
        <f>AM225*AL225*$AR$4</f>
        <v>1831413.4739999999</v>
      </c>
      <c r="AS225" s="5">
        <f>SUM($AP$9:AP224)</f>
        <v>18343645</v>
      </c>
    </row>
    <row r="226" spans="1:45" x14ac:dyDescent="0.15">
      <c r="A226" s="5">
        <v>218</v>
      </c>
      <c r="J226" s="5">
        <f t="shared" si="24"/>
        <v>218</v>
      </c>
      <c r="K226" s="5">
        <f>SUM($AP$9:AP225)</f>
        <v>22800741</v>
      </c>
      <c r="L226" s="5">
        <f>LOOKUP(K226,AI:AI,AE:AE)</f>
        <v>181</v>
      </c>
      <c r="M226" s="5">
        <f>LOOKUP(L226,AE:AE,AG:AG)</f>
        <v>1238630</v>
      </c>
      <c r="N226" s="5">
        <f>AM226/M226/$K$1</f>
        <v>2.7734416250211926</v>
      </c>
      <c r="O226" s="5">
        <f>SUM($N$9:N226)</f>
        <v>774.94567809860894</v>
      </c>
      <c r="AE226" s="5">
        <f t="shared" si="25"/>
        <v>218</v>
      </c>
      <c r="AF226" s="5">
        <f t="shared" si="26"/>
        <v>9238898</v>
      </c>
      <c r="AG226" s="5">
        <f t="shared" si="27"/>
        <v>9072431</v>
      </c>
      <c r="AH226" s="5">
        <f>AG226*$AF$1</f>
        <v>90724310</v>
      </c>
      <c r="AI226" s="5">
        <f>SUM($AF$9:AF225)</f>
        <v>167299298</v>
      </c>
      <c r="AK226" s="5">
        <f t="shared" si="28"/>
        <v>218</v>
      </c>
      <c r="AL226" s="5">
        <f t="shared" si="29"/>
        <v>32</v>
      </c>
      <c r="AM226" s="5">
        <f t="shared" si="30"/>
        <v>5152902</v>
      </c>
      <c r="AN226" s="5">
        <f>$AL$4*$AL$3^AL226*$AL$2</f>
        <v>5152901.7817413956</v>
      </c>
      <c r="AO226" s="5">
        <f>IF(AL226=AL227,1,LOOKUP(MOD(AL226,$AL$1),$AN$1:$AN$5,$AO$1:$AO$5))</f>
        <v>1</v>
      </c>
      <c r="AP226" s="5">
        <f t="shared" si="31"/>
        <v>1181732</v>
      </c>
      <c r="AQ226" s="5">
        <f>AM226*$AR$3</f>
        <v>687053.6</v>
      </c>
      <c r="AR226" s="5">
        <f>AM226*AL226*$AR$4</f>
        <v>494678.592</v>
      </c>
      <c r="AS226" s="5">
        <f>SUM($AP$9:AP225)</f>
        <v>22800741</v>
      </c>
    </row>
    <row r="227" spans="1:45" x14ac:dyDescent="0.15">
      <c r="A227" s="5">
        <v>219</v>
      </c>
      <c r="J227" s="5">
        <f t="shared" si="24"/>
        <v>219</v>
      </c>
      <c r="K227" s="5">
        <f>SUM($AP$9:AP226)</f>
        <v>23982473</v>
      </c>
      <c r="L227" s="5">
        <f>LOOKUP(K227,AI:AI,AE:AE)</f>
        <v>182</v>
      </c>
      <c r="M227" s="5">
        <f>LOOKUP(L227,AE:AE,AG:AG)</f>
        <v>1307747</v>
      </c>
      <c r="N227" s="5">
        <f>AM227/M227/$K$1</f>
        <v>2.626859782511449</v>
      </c>
      <c r="O227" s="5">
        <f>SUM($N$9:N227)</f>
        <v>777.57253788112041</v>
      </c>
      <c r="AE227" s="5">
        <f t="shared" si="25"/>
        <v>219</v>
      </c>
      <c r="AF227" s="5">
        <f t="shared" si="26"/>
        <v>9744540</v>
      </c>
      <c r="AG227" s="5">
        <f t="shared" si="27"/>
        <v>9569750</v>
      </c>
      <c r="AH227" s="5">
        <f>AG227*$AF$1</f>
        <v>95697500</v>
      </c>
      <c r="AI227" s="5">
        <f>SUM($AF$9:AF226)</f>
        <v>176538196</v>
      </c>
      <c r="AK227" s="5">
        <f t="shared" si="28"/>
        <v>219</v>
      </c>
      <c r="AL227" s="5">
        <f t="shared" si="29"/>
        <v>32</v>
      </c>
      <c r="AM227" s="5">
        <f t="shared" si="30"/>
        <v>5152902</v>
      </c>
      <c r="AN227" s="5">
        <f>$AL$4*$AL$3^AL227*$AL$2</f>
        <v>5152901.7817413956</v>
      </c>
      <c r="AO227" s="5">
        <f>IF(AL227=AL228,1,LOOKUP(MOD(AL227,$AL$1),$AN$1:$AN$5,$AO$1:$AO$5))</f>
        <v>1</v>
      </c>
      <c r="AP227" s="5">
        <f t="shared" si="31"/>
        <v>1181732</v>
      </c>
      <c r="AQ227" s="5">
        <f>AM227*$AR$3</f>
        <v>687053.6</v>
      </c>
      <c r="AR227" s="5">
        <f>AM227*AL227*$AR$4</f>
        <v>494678.592</v>
      </c>
      <c r="AS227" s="5">
        <f>SUM($AP$9:AP226)</f>
        <v>23982473</v>
      </c>
    </row>
    <row r="228" spans="1:45" x14ac:dyDescent="0.15">
      <c r="A228" s="5">
        <v>220</v>
      </c>
      <c r="J228" s="5">
        <f t="shared" si="24"/>
        <v>220</v>
      </c>
      <c r="K228" s="5">
        <f>SUM($AP$9:AP227)</f>
        <v>25164205</v>
      </c>
      <c r="L228" s="5">
        <f>LOOKUP(K228,AI:AI,AE:AE)</f>
        <v>183</v>
      </c>
      <c r="M228" s="5">
        <f>LOOKUP(L228,AE:AE,AG:AG)</f>
        <v>1380679</v>
      </c>
      <c r="N228" s="5">
        <f>AM228/M228/$K$1</f>
        <v>2.4881004201555901</v>
      </c>
      <c r="O228" s="5">
        <f>SUM($N$9:N228)</f>
        <v>780.06063830127596</v>
      </c>
      <c r="AE228" s="5">
        <f t="shared" si="25"/>
        <v>220</v>
      </c>
      <c r="AF228" s="5">
        <f t="shared" si="26"/>
        <v>10277650</v>
      </c>
      <c r="AG228" s="5">
        <f t="shared" si="27"/>
        <v>10094120</v>
      </c>
      <c r="AH228" s="5">
        <f>AG228*$AF$1</f>
        <v>100941200</v>
      </c>
      <c r="AI228" s="5">
        <f>SUM($AF$9:AF227)</f>
        <v>186282736</v>
      </c>
      <c r="AK228" s="5">
        <f t="shared" si="28"/>
        <v>220</v>
      </c>
      <c r="AL228" s="5">
        <f t="shared" si="29"/>
        <v>32</v>
      </c>
      <c r="AM228" s="5">
        <f t="shared" si="30"/>
        <v>5152902</v>
      </c>
      <c r="AN228" s="5">
        <f>$AL$4*$AL$3^AL228*$AL$2</f>
        <v>5152901.7817413956</v>
      </c>
      <c r="AO228" s="5">
        <f>IF(AL228=AL229,1,LOOKUP(MOD(AL228,$AL$1),$AN$1:$AN$5,$AO$1:$AO$5))</f>
        <v>1</v>
      </c>
      <c r="AP228" s="5">
        <f t="shared" si="31"/>
        <v>1181732</v>
      </c>
      <c r="AQ228" s="5">
        <f>AM228*$AR$3</f>
        <v>687053.6</v>
      </c>
      <c r="AR228" s="5">
        <f>AM228*AL228*$AR$4</f>
        <v>494678.592</v>
      </c>
      <c r="AS228" s="5">
        <f>SUM($AP$9:AP227)</f>
        <v>25164205</v>
      </c>
    </row>
    <row r="229" spans="1:45" x14ac:dyDescent="0.15">
      <c r="A229" s="5">
        <v>221</v>
      </c>
      <c r="J229" s="5">
        <f t="shared" si="24"/>
        <v>221</v>
      </c>
      <c r="K229" s="5">
        <f>SUM($AP$9:AP228)</f>
        <v>26345937</v>
      </c>
      <c r="L229" s="5">
        <f>LOOKUP(K229,AI:AI,AE:AE)</f>
        <v>183</v>
      </c>
      <c r="M229" s="5">
        <f>LOOKUP(L229,AE:AE,AG:AG)</f>
        <v>1380679</v>
      </c>
      <c r="N229" s="5">
        <f>AM229/M229/$K$1</f>
        <v>2.4881004201555901</v>
      </c>
      <c r="O229" s="5">
        <f>SUM($N$9:N229)</f>
        <v>782.5487387214315</v>
      </c>
      <c r="AE229" s="5">
        <f t="shared" si="25"/>
        <v>221</v>
      </c>
      <c r="AF229" s="5">
        <f t="shared" si="26"/>
        <v>10839709</v>
      </c>
      <c r="AG229" s="5">
        <f t="shared" si="27"/>
        <v>10647003</v>
      </c>
      <c r="AH229" s="5">
        <f>AG229*$AF$1</f>
        <v>106470030</v>
      </c>
      <c r="AI229" s="5">
        <f>SUM($AF$9:AF228)</f>
        <v>196560386</v>
      </c>
      <c r="AK229" s="5">
        <f t="shared" si="28"/>
        <v>221</v>
      </c>
      <c r="AL229" s="5">
        <f t="shared" si="29"/>
        <v>32</v>
      </c>
      <c r="AM229" s="5">
        <f t="shared" si="30"/>
        <v>5152902</v>
      </c>
      <c r="AN229" s="5">
        <f>$AL$4*$AL$3^AL229*$AL$2</f>
        <v>5152901.7817413956</v>
      </c>
      <c r="AO229" s="5">
        <f>IF(AL229=AL230,1,LOOKUP(MOD(AL229,$AL$1),$AN$1:$AN$5,$AO$1:$AO$5))</f>
        <v>1</v>
      </c>
      <c r="AP229" s="5">
        <f t="shared" si="31"/>
        <v>1181732</v>
      </c>
      <c r="AQ229" s="5">
        <f>AM229*$AR$3</f>
        <v>687053.6</v>
      </c>
      <c r="AR229" s="5">
        <f>AM229*AL229*$AR$4</f>
        <v>494678.592</v>
      </c>
      <c r="AS229" s="5">
        <f>SUM($AP$9:AP228)</f>
        <v>26345937</v>
      </c>
    </row>
    <row r="230" spans="1:45" x14ac:dyDescent="0.15">
      <c r="A230" s="5">
        <v>222</v>
      </c>
      <c r="J230" s="5">
        <f t="shared" si="24"/>
        <v>222</v>
      </c>
      <c r="K230" s="5">
        <f>SUM($AP$9:AP229)</f>
        <v>27527669</v>
      </c>
      <c r="L230" s="5">
        <f>LOOKUP(K230,AI:AI,AE:AE)</f>
        <v>184</v>
      </c>
      <c r="M230" s="5">
        <f>LOOKUP(L230,AE:AE,AG:AG)</f>
        <v>1457635</v>
      </c>
      <c r="N230" s="5">
        <f>AM230/M230/$K$1</f>
        <v>2.3567408850638194</v>
      </c>
      <c r="O230" s="5">
        <f>SUM($N$9:N230)</f>
        <v>784.90547960649531</v>
      </c>
      <c r="AE230" s="5">
        <f t="shared" si="25"/>
        <v>222</v>
      </c>
      <c r="AF230" s="5">
        <f t="shared" si="26"/>
        <v>11432279</v>
      </c>
      <c r="AG230" s="5">
        <f t="shared" si="27"/>
        <v>11229938</v>
      </c>
      <c r="AH230" s="5">
        <f>AG230*$AF$1</f>
        <v>112299380</v>
      </c>
      <c r="AI230" s="5">
        <f>SUM($AF$9:AF229)</f>
        <v>207400095</v>
      </c>
      <c r="AK230" s="5">
        <f t="shared" si="28"/>
        <v>222</v>
      </c>
      <c r="AL230" s="5">
        <f t="shared" si="29"/>
        <v>32</v>
      </c>
      <c r="AM230" s="5">
        <f t="shared" si="30"/>
        <v>5152902</v>
      </c>
      <c r="AN230" s="5">
        <f>$AL$4*$AL$3^AL230*$AL$2</f>
        <v>5152901.7817413956</v>
      </c>
      <c r="AO230" s="5">
        <f>IF(AL230=AL231,1,LOOKUP(MOD(AL230,$AL$1),$AN$1:$AN$5,$AO$1:$AO$5))</f>
        <v>1</v>
      </c>
      <c r="AP230" s="5">
        <f t="shared" si="31"/>
        <v>1181732</v>
      </c>
      <c r="AQ230" s="5">
        <f>AM230*$AR$3</f>
        <v>687053.6</v>
      </c>
      <c r="AR230" s="5">
        <f>AM230*AL230*$AR$4</f>
        <v>494678.592</v>
      </c>
      <c r="AS230" s="5">
        <f>SUM($AP$9:AP229)</f>
        <v>27527669</v>
      </c>
    </row>
    <row r="231" spans="1:45" x14ac:dyDescent="0.15">
      <c r="A231" s="5">
        <v>223</v>
      </c>
      <c r="J231" s="5">
        <f t="shared" si="24"/>
        <v>223</v>
      </c>
      <c r="K231" s="5">
        <f>SUM($AP$9:AP230)</f>
        <v>28709401</v>
      </c>
      <c r="L231" s="5">
        <f>LOOKUP(K231,AI:AI,AE:AE)</f>
        <v>185</v>
      </c>
      <c r="M231" s="5">
        <f>LOOKUP(L231,AE:AE,AG:AG)</f>
        <v>1538835</v>
      </c>
      <c r="N231" s="5">
        <f>AM231/M231/$K$1</f>
        <v>2.2323822891992968</v>
      </c>
      <c r="O231" s="5">
        <f>SUM($N$9:N231)</f>
        <v>787.13786189569464</v>
      </c>
      <c r="AE231" s="5">
        <f t="shared" si="25"/>
        <v>223</v>
      </c>
      <c r="AF231" s="5">
        <f t="shared" si="26"/>
        <v>12057008</v>
      </c>
      <c r="AG231" s="5">
        <f t="shared" si="27"/>
        <v>11844550</v>
      </c>
      <c r="AH231" s="5">
        <f>AG231*$AF$1</f>
        <v>118445500</v>
      </c>
      <c r="AI231" s="5">
        <f>SUM($AF$9:AF230)</f>
        <v>218832374</v>
      </c>
      <c r="AK231" s="5">
        <f t="shared" si="28"/>
        <v>223</v>
      </c>
      <c r="AL231" s="5">
        <f t="shared" si="29"/>
        <v>32</v>
      </c>
      <c r="AM231" s="5">
        <f t="shared" si="30"/>
        <v>5152902</v>
      </c>
      <c r="AN231" s="5">
        <f>$AL$4*$AL$3^AL231*$AL$2</f>
        <v>5152901.7817413956</v>
      </c>
      <c r="AO231" s="5">
        <f>IF(AL231=AL232,1,LOOKUP(MOD(AL231,$AL$1),$AN$1:$AN$5,$AO$1:$AO$5))</f>
        <v>1</v>
      </c>
      <c r="AP231" s="5">
        <f t="shared" si="31"/>
        <v>1181732</v>
      </c>
      <c r="AQ231" s="5">
        <f>AM231*$AR$3</f>
        <v>687053.6</v>
      </c>
      <c r="AR231" s="5">
        <f>AM231*AL231*$AR$4</f>
        <v>494678.592</v>
      </c>
      <c r="AS231" s="5">
        <f>SUM($AP$9:AP230)</f>
        <v>28709401</v>
      </c>
    </row>
    <row r="232" spans="1:45" x14ac:dyDescent="0.15">
      <c r="A232" s="5">
        <v>224</v>
      </c>
      <c r="J232" s="5">
        <f t="shared" si="24"/>
        <v>224</v>
      </c>
      <c r="K232" s="5">
        <f>SUM($AP$9:AP231)</f>
        <v>29891133</v>
      </c>
      <c r="L232" s="5">
        <f>LOOKUP(K232,AI:AI,AE:AE)</f>
        <v>186</v>
      </c>
      <c r="M232" s="5">
        <f>LOOKUP(L232,AE:AE,AG:AG)</f>
        <v>1624511</v>
      </c>
      <c r="N232" s="5">
        <f>AM232/M232/$K$1</f>
        <v>14.802531141165966</v>
      </c>
      <c r="O232" s="5">
        <f>SUM($N$9:N232)</f>
        <v>801.94039303686066</v>
      </c>
      <c r="AE232" s="5">
        <f t="shared" si="25"/>
        <v>224</v>
      </c>
      <c r="AF232" s="5">
        <f t="shared" si="26"/>
        <v>12715629</v>
      </c>
      <c r="AG232" s="5">
        <f t="shared" si="27"/>
        <v>12492548</v>
      </c>
      <c r="AH232" s="5">
        <f>AG232*$AF$1</f>
        <v>124925480</v>
      </c>
      <c r="AI232" s="5">
        <f>SUM($AF$9:AF231)</f>
        <v>230889382</v>
      </c>
      <c r="AK232" s="5">
        <f t="shared" si="28"/>
        <v>224</v>
      </c>
      <c r="AL232" s="5">
        <f t="shared" si="29"/>
        <v>32</v>
      </c>
      <c r="AM232" s="5">
        <f t="shared" si="30"/>
        <v>36070312</v>
      </c>
      <c r="AN232" s="5">
        <f>$AL$4*$AL$3^AL232*$AL$2</f>
        <v>5152901.7817413956</v>
      </c>
      <c r="AO232" s="5">
        <f>IF(AL232=AL233,1,LOOKUP(MOD(AL232,$AL$1),$AN$1:$AN$5,$AO$1:$AO$5))</f>
        <v>7</v>
      </c>
      <c r="AP232" s="5">
        <f t="shared" si="31"/>
        <v>8272125</v>
      </c>
      <c r="AQ232" s="5">
        <f>AM232*$AR$3</f>
        <v>4809374.9333333336</v>
      </c>
      <c r="AR232" s="5">
        <f>AM232*AL232*$AR$4</f>
        <v>3462749.952</v>
      </c>
      <c r="AS232" s="5">
        <f>SUM($AP$9:AP231)</f>
        <v>29891133</v>
      </c>
    </row>
    <row r="233" spans="1:45" x14ac:dyDescent="0.15">
      <c r="A233" s="5">
        <v>225</v>
      </c>
      <c r="J233" s="5">
        <f t="shared" si="24"/>
        <v>225</v>
      </c>
      <c r="K233" s="5">
        <f>SUM($AP$9:AP232)</f>
        <v>38163258</v>
      </c>
      <c r="L233" s="5">
        <f>LOOKUP(K233,AI:AI,AE:AE)</f>
        <v>190</v>
      </c>
      <c r="M233" s="5">
        <f>LOOKUP(L233,AE:AE,AG:AG)</f>
        <v>2017067</v>
      </c>
      <c r="N233" s="5">
        <f>AM233/M233/$K$1</f>
        <v>2.673867881764298</v>
      </c>
      <c r="O233" s="5">
        <f>SUM($N$9:N233)</f>
        <v>804.61426091862495</v>
      </c>
      <c r="AE233" s="5">
        <f t="shared" si="25"/>
        <v>225</v>
      </c>
      <c r="AF233" s="5">
        <f t="shared" si="26"/>
        <v>13409969</v>
      </c>
      <c r="AG233" s="5">
        <f t="shared" si="27"/>
        <v>13175734</v>
      </c>
      <c r="AH233" s="5">
        <f>AG233*$AF$1</f>
        <v>131757340</v>
      </c>
      <c r="AI233" s="5">
        <f>SUM($AF$9:AF232)</f>
        <v>243605011</v>
      </c>
      <c r="AK233" s="5">
        <f t="shared" si="28"/>
        <v>225</v>
      </c>
      <c r="AL233" s="5">
        <f t="shared" si="29"/>
        <v>33</v>
      </c>
      <c r="AM233" s="5">
        <f t="shared" si="30"/>
        <v>8090056</v>
      </c>
      <c r="AN233" s="5">
        <f>$AL$4*$AL$3^AL233*$AL$2</f>
        <v>8090055.7973339902</v>
      </c>
      <c r="AO233" s="5">
        <f>IF(AL233=AL234,1,LOOKUP(MOD(AL233,$AL$1),$AN$1:$AN$5,$AO$1:$AO$5))</f>
        <v>1</v>
      </c>
      <c r="AP233" s="5">
        <f t="shared" si="31"/>
        <v>1879590</v>
      </c>
      <c r="AQ233" s="5">
        <f>AM233*$AR$3</f>
        <v>1078674.1333333333</v>
      </c>
      <c r="AR233" s="5">
        <f>AM233*AL233*$AR$4</f>
        <v>800915.54399999999</v>
      </c>
      <c r="AS233" s="5">
        <f>SUM($AP$9:AP232)</f>
        <v>38163258</v>
      </c>
    </row>
    <row r="234" spans="1:45" x14ac:dyDescent="0.15">
      <c r="A234" s="5">
        <v>226</v>
      </c>
      <c r="J234" s="5">
        <f t="shared" si="24"/>
        <v>226</v>
      </c>
      <c r="K234" s="5">
        <f>SUM($AP$9:AP233)</f>
        <v>40042848</v>
      </c>
      <c r="L234" s="5">
        <f>LOOKUP(K234,AI:AI,AE:AE)</f>
        <v>191</v>
      </c>
      <c r="M234" s="5">
        <f>LOOKUP(L234,AE:AE,AG:AG)</f>
        <v>2129068</v>
      </c>
      <c r="N234" s="5">
        <f>AM234/M234/$K$1</f>
        <v>2.5332073314082346</v>
      </c>
      <c r="O234" s="5">
        <f>SUM($N$9:N234)</f>
        <v>807.14746825003317</v>
      </c>
      <c r="AE234" s="5">
        <f t="shared" si="25"/>
        <v>226</v>
      </c>
      <c r="AF234" s="5">
        <f t="shared" si="26"/>
        <v>14141954</v>
      </c>
      <c r="AG234" s="5">
        <f t="shared" si="27"/>
        <v>13896007</v>
      </c>
      <c r="AH234" s="5">
        <f>AG234*$AF$1</f>
        <v>138960070</v>
      </c>
      <c r="AI234" s="5">
        <f>SUM($AF$9:AF233)</f>
        <v>257014980</v>
      </c>
      <c r="AK234" s="5">
        <f t="shared" si="28"/>
        <v>226</v>
      </c>
      <c r="AL234" s="5">
        <f t="shared" si="29"/>
        <v>33</v>
      </c>
      <c r="AM234" s="5">
        <f t="shared" si="30"/>
        <v>8090056</v>
      </c>
      <c r="AN234" s="5">
        <f>$AL$4*$AL$3^AL234*$AL$2</f>
        <v>8090055.7973339902</v>
      </c>
      <c r="AO234" s="5">
        <f>IF(AL234=AL235,1,LOOKUP(MOD(AL234,$AL$1),$AN$1:$AN$5,$AO$1:$AO$5))</f>
        <v>1</v>
      </c>
      <c r="AP234" s="5">
        <f t="shared" si="31"/>
        <v>1879590</v>
      </c>
      <c r="AQ234" s="5">
        <f>AM234*$AR$3</f>
        <v>1078674.1333333333</v>
      </c>
      <c r="AR234" s="5">
        <f>AM234*AL234*$AR$4</f>
        <v>800915.54399999999</v>
      </c>
      <c r="AS234" s="5">
        <f>SUM($AP$9:AP233)</f>
        <v>40042848</v>
      </c>
    </row>
    <row r="235" spans="1:45" x14ac:dyDescent="0.15">
      <c r="A235" s="5">
        <v>227</v>
      </c>
      <c r="J235" s="5">
        <f t="shared" si="24"/>
        <v>227</v>
      </c>
      <c r="K235" s="5">
        <f>SUM($AP$9:AP234)</f>
        <v>41922438</v>
      </c>
      <c r="L235" s="5">
        <f>LOOKUP(K235,AI:AI,AE:AE)</f>
        <v>192</v>
      </c>
      <c r="M235" s="5">
        <f>LOOKUP(L235,AE:AE,AG:AG)</f>
        <v>2247225</v>
      </c>
      <c r="N235" s="5">
        <f>AM235/M235/$K$1</f>
        <v>2.4000136464602639</v>
      </c>
      <c r="O235" s="5">
        <f>SUM($N$9:N235)</f>
        <v>809.54748189649342</v>
      </c>
      <c r="AE235" s="5">
        <f t="shared" si="25"/>
        <v>227</v>
      </c>
      <c r="AF235" s="5">
        <f t="shared" si="26"/>
        <v>14913613</v>
      </c>
      <c r="AG235" s="5">
        <f t="shared" si="27"/>
        <v>14655369</v>
      </c>
      <c r="AH235" s="5">
        <f>AG235*$AF$1</f>
        <v>146553690</v>
      </c>
      <c r="AI235" s="5">
        <f>SUM($AF$9:AF234)</f>
        <v>271156934</v>
      </c>
      <c r="AK235" s="5">
        <f t="shared" si="28"/>
        <v>227</v>
      </c>
      <c r="AL235" s="5">
        <f t="shared" si="29"/>
        <v>33</v>
      </c>
      <c r="AM235" s="5">
        <f t="shared" si="30"/>
        <v>8090056</v>
      </c>
      <c r="AN235" s="5">
        <f>$AL$4*$AL$3^AL235*$AL$2</f>
        <v>8090055.7973339902</v>
      </c>
      <c r="AO235" s="5">
        <f>IF(AL235=AL236,1,LOOKUP(MOD(AL235,$AL$1),$AN$1:$AN$5,$AO$1:$AO$5))</f>
        <v>1</v>
      </c>
      <c r="AP235" s="5">
        <f t="shared" si="31"/>
        <v>1879590</v>
      </c>
      <c r="AQ235" s="5">
        <f>AM235*$AR$3</f>
        <v>1078674.1333333333</v>
      </c>
      <c r="AR235" s="5">
        <f>AM235*AL235*$AR$4</f>
        <v>800915.54399999999</v>
      </c>
      <c r="AS235" s="5">
        <f>SUM($AP$9:AP234)</f>
        <v>41922438</v>
      </c>
    </row>
    <row r="236" spans="1:45" x14ac:dyDescent="0.15">
      <c r="A236" s="5">
        <v>228</v>
      </c>
      <c r="J236" s="5">
        <f t="shared" si="24"/>
        <v>228</v>
      </c>
      <c r="K236" s="5">
        <f>SUM($AP$9:AP235)</f>
        <v>43802028</v>
      </c>
      <c r="L236" s="5">
        <f>LOOKUP(K236,AI:AI,AE:AE)</f>
        <v>193</v>
      </c>
      <c r="M236" s="5">
        <f>LOOKUP(L236,AE:AE,AG:AG)</f>
        <v>2371876</v>
      </c>
      <c r="N236" s="5">
        <f>AM236/M236/$K$1</f>
        <v>2.2738839073655903</v>
      </c>
      <c r="O236" s="5">
        <f>SUM($N$9:N236)</f>
        <v>811.82136580385907</v>
      </c>
      <c r="AE236" s="5">
        <f t="shared" si="25"/>
        <v>228</v>
      </c>
      <c r="AF236" s="5">
        <f t="shared" si="26"/>
        <v>15727083</v>
      </c>
      <c r="AG236" s="5">
        <f t="shared" si="27"/>
        <v>15455926</v>
      </c>
      <c r="AH236" s="5">
        <f>AG236*$AF$1</f>
        <v>154559260</v>
      </c>
      <c r="AI236" s="5">
        <f>SUM($AF$9:AF235)</f>
        <v>286070547</v>
      </c>
      <c r="AK236" s="5">
        <f t="shared" si="28"/>
        <v>228</v>
      </c>
      <c r="AL236" s="5">
        <f t="shared" si="29"/>
        <v>33</v>
      </c>
      <c r="AM236" s="5">
        <f t="shared" si="30"/>
        <v>8090056</v>
      </c>
      <c r="AN236" s="5">
        <f>$AL$4*$AL$3^AL236*$AL$2</f>
        <v>8090055.7973339902</v>
      </c>
      <c r="AO236" s="5">
        <f>IF(AL236=AL237,1,LOOKUP(MOD(AL236,$AL$1),$AN$1:$AN$5,$AO$1:$AO$5))</f>
        <v>1</v>
      </c>
      <c r="AP236" s="5">
        <f t="shared" si="31"/>
        <v>1879590</v>
      </c>
      <c r="AQ236" s="5">
        <f>AM236*$AR$3</f>
        <v>1078674.1333333333</v>
      </c>
      <c r="AR236" s="5">
        <f>AM236*AL236*$AR$4</f>
        <v>800915.54399999999</v>
      </c>
      <c r="AS236" s="5">
        <f>SUM($AP$9:AP235)</f>
        <v>43802028</v>
      </c>
    </row>
    <row r="237" spans="1:45" x14ac:dyDescent="0.15">
      <c r="A237" s="5">
        <v>229</v>
      </c>
      <c r="J237" s="5">
        <f t="shared" si="24"/>
        <v>229</v>
      </c>
      <c r="K237" s="5">
        <f>SUM($AP$9:AP236)</f>
        <v>45681618</v>
      </c>
      <c r="L237" s="5">
        <f>LOOKUP(K237,AI:AI,AE:AE)</f>
        <v>194</v>
      </c>
      <c r="M237" s="5">
        <f>LOOKUP(L237,AE:AE,AG:AG)</f>
        <v>2503374</v>
      </c>
      <c r="N237" s="5">
        <f>AM237/M237/$K$1</f>
        <v>2.1544406335875768</v>
      </c>
      <c r="O237" s="5">
        <f>SUM($N$9:N237)</f>
        <v>813.97580643744664</v>
      </c>
      <c r="AE237" s="5">
        <f t="shared" si="25"/>
        <v>229</v>
      </c>
      <c r="AF237" s="5">
        <f t="shared" si="26"/>
        <v>16584616</v>
      </c>
      <c r="AG237" s="5">
        <f t="shared" si="27"/>
        <v>16299901</v>
      </c>
      <c r="AH237" s="5">
        <f>AG237*$AF$1</f>
        <v>162999010</v>
      </c>
      <c r="AI237" s="5">
        <f>SUM($AF$9:AF236)</f>
        <v>301797630</v>
      </c>
      <c r="AK237" s="5">
        <f t="shared" si="28"/>
        <v>229</v>
      </c>
      <c r="AL237" s="5">
        <f t="shared" si="29"/>
        <v>33</v>
      </c>
      <c r="AM237" s="5">
        <f t="shared" si="30"/>
        <v>8090056</v>
      </c>
      <c r="AN237" s="5">
        <f>$AL$4*$AL$3^AL237*$AL$2</f>
        <v>8090055.7973339902</v>
      </c>
      <c r="AO237" s="5">
        <f>IF(AL237=AL238,1,LOOKUP(MOD(AL237,$AL$1),$AN$1:$AN$5,$AO$1:$AO$5))</f>
        <v>1</v>
      </c>
      <c r="AP237" s="5">
        <f t="shared" si="31"/>
        <v>1879590</v>
      </c>
      <c r="AQ237" s="5">
        <f>AM237*$AR$3</f>
        <v>1078674.1333333333</v>
      </c>
      <c r="AR237" s="5">
        <f>AM237*AL237*$AR$4</f>
        <v>800915.54399999999</v>
      </c>
      <c r="AS237" s="5">
        <f>SUM($AP$9:AP236)</f>
        <v>45681618</v>
      </c>
    </row>
    <row r="238" spans="1:45" x14ac:dyDescent="0.15">
      <c r="A238" s="5">
        <v>230</v>
      </c>
      <c r="J238" s="5">
        <f t="shared" si="24"/>
        <v>230</v>
      </c>
      <c r="K238" s="5">
        <f>SUM($AP$9:AP237)</f>
        <v>47561208</v>
      </c>
      <c r="L238" s="5">
        <f>LOOKUP(K238,AI:AI,AE:AE)</f>
        <v>194</v>
      </c>
      <c r="M238" s="5">
        <f>LOOKUP(L238,AE:AE,AG:AG)</f>
        <v>2503374</v>
      </c>
      <c r="N238" s="5">
        <f>AM238/M238/$K$1</f>
        <v>2.1544406335875768</v>
      </c>
      <c r="O238" s="5">
        <f>SUM($N$9:N238)</f>
        <v>816.1302470710342</v>
      </c>
      <c r="AE238" s="5">
        <f t="shared" si="25"/>
        <v>230</v>
      </c>
      <c r="AF238" s="5">
        <f t="shared" si="26"/>
        <v>17488584</v>
      </c>
      <c r="AG238" s="5">
        <f t="shared" si="27"/>
        <v>17189634</v>
      </c>
      <c r="AH238" s="5">
        <f>AG238*$AF$1</f>
        <v>171896340</v>
      </c>
      <c r="AI238" s="5">
        <f>SUM($AF$9:AF237)</f>
        <v>318382246</v>
      </c>
      <c r="AK238" s="5">
        <f t="shared" si="28"/>
        <v>230</v>
      </c>
      <c r="AL238" s="5">
        <f t="shared" si="29"/>
        <v>33</v>
      </c>
      <c r="AM238" s="5">
        <f t="shared" si="30"/>
        <v>8090056</v>
      </c>
      <c r="AN238" s="5">
        <f>$AL$4*$AL$3^AL238*$AL$2</f>
        <v>8090055.7973339902</v>
      </c>
      <c r="AO238" s="5">
        <f>IF(AL238=AL239,1,LOOKUP(MOD(AL238,$AL$1),$AN$1:$AN$5,$AO$1:$AO$5))</f>
        <v>1</v>
      </c>
      <c r="AP238" s="5">
        <f t="shared" si="31"/>
        <v>1879590</v>
      </c>
      <c r="AQ238" s="5">
        <f>AM238*$AR$3</f>
        <v>1078674.1333333333</v>
      </c>
      <c r="AR238" s="5">
        <f>AM238*AL238*$AR$4</f>
        <v>800915.54399999999</v>
      </c>
      <c r="AS238" s="5">
        <f>SUM($AP$9:AP237)</f>
        <v>47561208</v>
      </c>
    </row>
    <row r="239" spans="1:45" x14ac:dyDescent="0.15">
      <c r="A239" s="5">
        <v>231</v>
      </c>
      <c r="J239" s="5">
        <f t="shared" si="24"/>
        <v>231</v>
      </c>
      <c r="K239" s="5">
        <f>SUM($AP$9:AP238)</f>
        <v>49440798</v>
      </c>
      <c r="L239" s="5">
        <f>LOOKUP(K239,AI:AI,AE:AE)</f>
        <v>195</v>
      </c>
      <c r="M239" s="5">
        <f>LOOKUP(L239,AE:AE,AG:AG)</f>
        <v>2642092</v>
      </c>
      <c r="N239" s="5">
        <f>AM239/M239/$K$1</f>
        <v>14.289280615512254</v>
      </c>
      <c r="O239" s="5">
        <f>SUM($N$9:N239)</f>
        <v>830.41952768654642</v>
      </c>
      <c r="AE239" s="5">
        <f t="shared" si="25"/>
        <v>231</v>
      </c>
      <c r="AF239" s="5">
        <f t="shared" si="26"/>
        <v>18441487</v>
      </c>
      <c r="AG239" s="5">
        <f t="shared" si="27"/>
        <v>18127590</v>
      </c>
      <c r="AH239" s="5">
        <f>AG239*$AF$1</f>
        <v>181275900</v>
      </c>
      <c r="AI239" s="5">
        <f>SUM($AF$9:AF238)</f>
        <v>335870830</v>
      </c>
      <c r="AK239" s="5">
        <f t="shared" si="28"/>
        <v>231</v>
      </c>
      <c r="AL239" s="5">
        <f t="shared" si="29"/>
        <v>33</v>
      </c>
      <c r="AM239" s="5">
        <f t="shared" si="30"/>
        <v>56630391</v>
      </c>
      <c r="AN239" s="5">
        <f>$AL$4*$AL$3^AL239*$AL$2</f>
        <v>8090055.7973339902</v>
      </c>
      <c r="AO239" s="5">
        <f>IF(AL239=AL240,1,LOOKUP(MOD(AL239,$AL$1),$AN$1:$AN$5,$AO$1:$AO$5))</f>
        <v>7</v>
      </c>
      <c r="AP239" s="5">
        <f t="shared" si="31"/>
        <v>13157128</v>
      </c>
      <c r="AQ239" s="5">
        <f>AM239*$AR$3</f>
        <v>7550718.7999999998</v>
      </c>
      <c r="AR239" s="5">
        <f>AM239*AL239*$AR$4</f>
        <v>5606408.7089999998</v>
      </c>
      <c r="AS239" s="5">
        <f>SUM($AP$9:AP238)</f>
        <v>49440798</v>
      </c>
    </row>
    <row r="240" spans="1:45" x14ac:dyDescent="0.15">
      <c r="A240" s="5">
        <v>232</v>
      </c>
      <c r="J240" s="5">
        <f t="shared" si="24"/>
        <v>232</v>
      </c>
      <c r="K240" s="5">
        <f>SUM($AP$9:AP239)</f>
        <v>62597926</v>
      </c>
      <c r="L240" s="5">
        <f>LOOKUP(K240,AI:AI,AE:AE)</f>
        <v>199</v>
      </c>
      <c r="M240" s="5">
        <f>LOOKUP(L240,AE:AE,AG:AG)</f>
        <v>3277356</v>
      </c>
      <c r="N240" s="5">
        <f>AM240/M240/$K$1</f>
        <v>2.5836656133785891</v>
      </c>
      <c r="O240" s="5">
        <f>SUM($N$9:N240)</f>
        <v>833.00319329992499</v>
      </c>
      <c r="AE240" s="5">
        <f t="shared" si="25"/>
        <v>232</v>
      </c>
      <c r="AF240" s="5">
        <f t="shared" si="26"/>
        <v>19445960</v>
      </c>
      <c r="AG240" s="5">
        <f t="shared" si="27"/>
        <v>19116367</v>
      </c>
      <c r="AH240" s="5">
        <f>AG240*$AF$1</f>
        <v>191163670</v>
      </c>
      <c r="AI240" s="5">
        <f>SUM($AF$9:AF239)</f>
        <v>354312317</v>
      </c>
      <c r="AK240" s="5">
        <f t="shared" si="28"/>
        <v>232</v>
      </c>
      <c r="AL240" s="5">
        <f t="shared" si="29"/>
        <v>34</v>
      </c>
      <c r="AM240" s="5">
        <f t="shared" si="30"/>
        <v>12701388</v>
      </c>
      <c r="AN240" s="5">
        <f>$AL$4*$AL$3^AL240*$AL$2</f>
        <v>12701387.601814365</v>
      </c>
      <c r="AO240" s="5">
        <f>IF(AL240=AL241,1,LOOKUP(MOD(AL240,$AL$1),$AN$1:$AN$5,$AO$1:$AO$5))</f>
        <v>1</v>
      </c>
      <c r="AP240" s="5">
        <f t="shared" si="31"/>
        <v>2989060</v>
      </c>
      <c r="AQ240" s="5">
        <f>AM240*$AR$3</f>
        <v>1693518.4</v>
      </c>
      <c r="AR240" s="5">
        <f>AM240*AL240*$AR$4</f>
        <v>1295541.5760000001</v>
      </c>
      <c r="AS240" s="5">
        <f>SUM($AP$9:AP239)</f>
        <v>62597926</v>
      </c>
    </row>
    <row r="241" spans="1:45" x14ac:dyDescent="0.15">
      <c r="A241" s="5">
        <v>233</v>
      </c>
      <c r="J241" s="5">
        <f t="shared" si="24"/>
        <v>233</v>
      </c>
      <c r="K241" s="5">
        <f>SUM($AP$9:AP240)</f>
        <v>65586986</v>
      </c>
      <c r="L241" s="5">
        <f>LOOKUP(K241,AI:AI,AE:AE)</f>
        <v>200</v>
      </c>
      <c r="M241" s="5">
        <f>LOOKUP(L241,AE:AE,AG:AG)</f>
        <v>3458516</v>
      </c>
      <c r="N241" s="5">
        <f>AM241/M241/$K$1</f>
        <v>2.4483310182748901</v>
      </c>
      <c r="O241" s="5">
        <f>SUM($N$9:N241)</f>
        <v>835.45152431819986</v>
      </c>
      <c r="AE241" s="5">
        <f t="shared" si="25"/>
        <v>233</v>
      </c>
      <c r="AF241" s="5">
        <f t="shared" si="26"/>
        <v>20504776</v>
      </c>
      <c r="AG241" s="5">
        <f t="shared" si="27"/>
        <v>20158704</v>
      </c>
      <c r="AH241" s="5">
        <f>AG241*$AF$1</f>
        <v>201587040</v>
      </c>
      <c r="AI241" s="5">
        <f>SUM($AF$9:AF240)</f>
        <v>373758277</v>
      </c>
      <c r="AK241" s="5">
        <f t="shared" si="28"/>
        <v>233</v>
      </c>
      <c r="AL241" s="5">
        <f t="shared" si="29"/>
        <v>34</v>
      </c>
      <c r="AM241" s="5">
        <f t="shared" si="30"/>
        <v>12701388</v>
      </c>
      <c r="AN241" s="5">
        <f>$AL$4*$AL$3^AL241*$AL$2</f>
        <v>12701387.601814365</v>
      </c>
      <c r="AO241" s="5">
        <f>IF(AL241=AL242,1,LOOKUP(MOD(AL241,$AL$1),$AN$1:$AN$5,$AO$1:$AO$5))</f>
        <v>1</v>
      </c>
      <c r="AP241" s="5">
        <f t="shared" si="31"/>
        <v>2989060</v>
      </c>
      <c r="AQ241" s="5">
        <f>AM241*$AR$3</f>
        <v>1693518.4</v>
      </c>
      <c r="AR241" s="5">
        <f>AM241*AL241*$AR$4</f>
        <v>1295541.5760000001</v>
      </c>
      <c r="AS241" s="5">
        <f>SUM($AP$9:AP240)</f>
        <v>65586986</v>
      </c>
    </row>
    <row r="242" spans="1:45" x14ac:dyDescent="0.15">
      <c r="A242" s="5">
        <v>234</v>
      </c>
      <c r="J242" s="5">
        <f t="shared" si="24"/>
        <v>234</v>
      </c>
      <c r="K242" s="5">
        <f>SUM($AP$9:AP241)</f>
        <v>68576046</v>
      </c>
      <c r="L242" s="5">
        <f>LOOKUP(K242,AI:AI,AE:AE)</f>
        <v>201</v>
      </c>
      <c r="M242" s="5">
        <f>LOOKUP(L242,AE:AE,AG:AG)</f>
        <v>3649599</v>
      </c>
      <c r="N242" s="5">
        <f>AM242/M242/$K$1</f>
        <v>2.3201431170931381</v>
      </c>
      <c r="O242" s="5">
        <f>SUM($N$9:N242)</f>
        <v>837.77166743529301</v>
      </c>
      <c r="AE242" s="5">
        <f t="shared" si="25"/>
        <v>234</v>
      </c>
      <c r="AF242" s="5">
        <f t="shared" si="26"/>
        <v>21620859</v>
      </c>
      <c r="AG242" s="5">
        <f t="shared" si="27"/>
        <v>21257483</v>
      </c>
      <c r="AH242" s="5">
        <f>AG242*$AF$1</f>
        <v>212574830</v>
      </c>
      <c r="AI242" s="5">
        <f>SUM($AF$9:AF241)</f>
        <v>394263053</v>
      </c>
      <c r="AK242" s="5">
        <f t="shared" si="28"/>
        <v>234</v>
      </c>
      <c r="AL242" s="5">
        <f t="shared" si="29"/>
        <v>34</v>
      </c>
      <c r="AM242" s="5">
        <f t="shared" si="30"/>
        <v>12701388</v>
      </c>
      <c r="AN242" s="5">
        <f>$AL$4*$AL$3^AL242*$AL$2</f>
        <v>12701387.601814365</v>
      </c>
      <c r="AO242" s="5">
        <f>IF(AL242=AL243,1,LOOKUP(MOD(AL242,$AL$1),$AN$1:$AN$5,$AO$1:$AO$5))</f>
        <v>1</v>
      </c>
      <c r="AP242" s="5">
        <f t="shared" si="31"/>
        <v>2989060</v>
      </c>
      <c r="AQ242" s="5">
        <f>AM242*$AR$3</f>
        <v>1693518.4</v>
      </c>
      <c r="AR242" s="5">
        <f>AM242*AL242*$AR$4</f>
        <v>1295541.5760000001</v>
      </c>
      <c r="AS242" s="5">
        <f>SUM($AP$9:AP241)</f>
        <v>68576046</v>
      </c>
    </row>
    <row r="243" spans="1:45" x14ac:dyDescent="0.15">
      <c r="A243" s="5">
        <v>235</v>
      </c>
      <c r="J243" s="5">
        <f t="shared" si="24"/>
        <v>235</v>
      </c>
      <c r="K243" s="5">
        <f>SUM($AP$9:AP242)</f>
        <v>71565106</v>
      </c>
      <c r="L243" s="5">
        <f>LOOKUP(K243,AI:AI,AE:AE)</f>
        <v>202</v>
      </c>
      <c r="M243" s="5">
        <f>LOOKUP(L243,AE:AE,AG:AG)</f>
        <v>3851144</v>
      </c>
      <c r="N243" s="5">
        <f>AM243/M243/$K$1</f>
        <v>2.1987212111518031</v>
      </c>
      <c r="O243" s="5">
        <f>SUM($N$9:N243)</f>
        <v>839.9703886464448</v>
      </c>
      <c r="AE243" s="5">
        <f t="shared" si="25"/>
        <v>235</v>
      </c>
      <c r="AF243" s="5">
        <f t="shared" si="26"/>
        <v>22797288</v>
      </c>
      <c r="AG243" s="5">
        <f t="shared" si="27"/>
        <v>22415743</v>
      </c>
      <c r="AH243" s="5">
        <f>AG243*$AF$1</f>
        <v>224157430</v>
      </c>
      <c r="AI243" s="5">
        <f>SUM($AF$9:AF242)</f>
        <v>415883912</v>
      </c>
      <c r="AK243" s="5">
        <f t="shared" si="28"/>
        <v>235</v>
      </c>
      <c r="AL243" s="5">
        <f t="shared" si="29"/>
        <v>34</v>
      </c>
      <c r="AM243" s="5">
        <f t="shared" si="30"/>
        <v>12701388</v>
      </c>
      <c r="AN243" s="5">
        <f>$AL$4*$AL$3^AL243*$AL$2</f>
        <v>12701387.601814365</v>
      </c>
      <c r="AO243" s="5">
        <f>IF(AL243=AL244,1,LOOKUP(MOD(AL243,$AL$1),$AN$1:$AN$5,$AO$1:$AO$5))</f>
        <v>1</v>
      </c>
      <c r="AP243" s="5">
        <f t="shared" si="31"/>
        <v>2989060</v>
      </c>
      <c r="AQ243" s="5">
        <f>AM243*$AR$3</f>
        <v>1693518.4</v>
      </c>
      <c r="AR243" s="5">
        <f>AM243*AL243*$AR$4</f>
        <v>1295541.5760000001</v>
      </c>
      <c r="AS243" s="5">
        <f>SUM($AP$9:AP242)</f>
        <v>71565106</v>
      </c>
    </row>
    <row r="244" spans="1:45" x14ac:dyDescent="0.15">
      <c r="A244" s="5">
        <v>236</v>
      </c>
      <c r="J244" s="5">
        <f t="shared" si="24"/>
        <v>236</v>
      </c>
      <c r="K244" s="5">
        <f>SUM($AP$9:AP243)</f>
        <v>74554166</v>
      </c>
      <c r="L244" s="5">
        <f>LOOKUP(K244,AI:AI,AE:AE)</f>
        <v>203</v>
      </c>
      <c r="M244" s="5">
        <f>LOOKUP(L244,AE:AE,AG:AG)</f>
        <v>4063720</v>
      </c>
      <c r="N244" s="5">
        <f>AM244/M244/$K$1</f>
        <v>2.083704585945882</v>
      </c>
      <c r="O244" s="5">
        <f>SUM($N$9:N244)</f>
        <v>842.05409323239064</v>
      </c>
      <c r="AE244" s="5">
        <f t="shared" si="25"/>
        <v>236</v>
      </c>
      <c r="AF244" s="5">
        <f t="shared" si="26"/>
        <v>24037308</v>
      </c>
      <c r="AG244" s="5">
        <f t="shared" si="27"/>
        <v>23636686</v>
      </c>
      <c r="AH244" s="5">
        <f>AG244*$AF$1</f>
        <v>236366860</v>
      </c>
      <c r="AI244" s="5">
        <f>SUM($AF$9:AF243)</f>
        <v>438681200</v>
      </c>
      <c r="AK244" s="5">
        <f t="shared" si="28"/>
        <v>236</v>
      </c>
      <c r="AL244" s="5">
        <f t="shared" si="29"/>
        <v>34</v>
      </c>
      <c r="AM244" s="5">
        <f t="shared" si="30"/>
        <v>12701388</v>
      </c>
      <c r="AN244" s="5">
        <f>$AL$4*$AL$3^AL244*$AL$2</f>
        <v>12701387.601814365</v>
      </c>
      <c r="AO244" s="5">
        <f>IF(AL244=AL245,1,LOOKUP(MOD(AL244,$AL$1),$AN$1:$AN$5,$AO$1:$AO$5))</f>
        <v>1</v>
      </c>
      <c r="AP244" s="5">
        <f t="shared" si="31"/>
        <v>2989060</v>
      </c>
      <c r="AQ244" s="5">
        <f>AM244*$AR$3</f>
        <v>1693518.4</v>
      </c>
      <c r="AR244" s="5">
        <f>AM244*AL244*$AR$4</f>
        <v>1295541.5760000001</v>
      </c>
      <c r="AS244" s="5">
        <f>SUM($AP$9:AP243)</f>
        <v>74554166</v>
      </c>
    </row>
    <row r="245" spans="1:45" x14ac:dyDescent="0.15">
      <c r="A245" s="5">
        <v>237</v>
      </c>
      <c r="J245" s="5">
        <f t="shared" si="24"/>
        <v>237</v>
      </c>
      <c r="K245" s="5">
        <f>SUM($AP$9:AP244)</f>
        <v>77543226</v>
      </c>
      <c r="L245" s="5">
        <f>LOOKUP(K245,AI:AI,AE:AE)</f>
        <v>203</v>
      </c>
      <c r="M245" s="5">
        <f>LOOKUP(L245,AE:AE,AG:AG)</f>
        <v>4063720</v>
      </c>
      <c r="N245" s="5">
        <f>AM245/M245/$K$1</f>
        <v>2.083704585945882</v>
      </c>
      <c r="O245" s="5">
        <f>SUM($N$9:N245)</f>
        <v>844.13779781833648</v>
      </c>
      <c r="AE245" s="5">
        <f t="shared" si="25"/>
        <v>237</v>
      </c>
      <c r="AF245" s="5">
        <f t="shared" si="26"/>
        <v>25344336</v>
      </c>
      <c r="AG245" s="5">
        <f t="shared" si="27"/>
        <v>24923683</v>
      </c>
      <c r="AH245" s="5">
        <f>AG245*$AF$1</f>
        <v>249236830</v>
      </c>
      <c r="AI245" s="5">
        <f>SUM($AF$9:AF244)</f>
        <v>462718508</v>
      </c>
      <c r="AK245" s="5">
        <f t="shared" si="28"/>
        <v>237</v>
      </c>
      <c r="AL245" s="5">
        <f t="shared" si="29"/>
        <v>34</v>
      </c>
      <c r="AM245" s="5">
        <f t="shared" si="30"/>
        <v>12701388</v>
      </c>
      <c r="AN245" s="5">
        <f>$AL$4*$AL$3^AL245*$AL$2</f>
        <v>12701387.601814365</v>
      </c>
      <c r="AO245" s="5">
        <f>IF(AL245=AL246,1,LOOKUP(MOD(AL245,$AL$1),$AN$1:$AN$5,$AO$1:$AO$5))</f>
        <v>1</v>
      </c>
      <c r="AP245" s="5">
        <f t="shared" si="31"/>
        <v>2989060</v>
      </c>
      <c r="AQ245" s="5">
        <f>AM245*$AR$3</f>
        <v>1693518.4</v>
      </c>
      <c r="AR245" s="5">
        <f>AM245*AL245*$AR$4</f>
        <v>1295541.5760000001</v>
      </c>
      <c r="AS245" s="5">
        <f>SUM($AP$9:AP244)</f>
        <v>77543226</v>
      </c>
    </row>
    <row r="246" spans="1:45" x14ac:dyDescent="0.15">
      <c r="A246" s="5">
        <v>238</v>
      </c>
      <c r="J246" s="5">
        <f t="shared" si="24"/>
        <v>238</v>
      </c>
      <c r="K246" s="5">
        <f>SUM($AP$9:AP245)</f>
        <v>80532286</v>
      </c>
      <c r="L246" s="5">
        <f>LOOKUP(K246,AI:AI,AE:AE)</f>
        <v>204</v>
      </c>
      <c r="M246" s="5">
        <f>LOOKUP(L246,AE:AE,AG:AG)</f>
        <v>4287925</v>
      </c>
      <c r="N246" s="5">
        <f>AM246/M246/$K$1</f>
        <v>13.823269296921005</v>
      </c>
      <c r="O246" s="5">
        <f>SUM($N$9:N246)</f>
        <v>857.96106711525749</v>
      </c>
      <c r="AE246" s="5">
        <f t="shared" si="25"/>
        <v>238</v>
      </c>
      <c r="AF246" s="5">
        <f t="shared" si="26"/>
        <v>26721974</v>
      </c>
      <c r="AG246" s="5">
        <f t="shared" si="27"/>
        <v>26280289</v>
      </c>
      <c r="AH246" s="5">
        <f>AG246*$AF$1</f>
        <v>262802890</v>
      </c>
      <c r="AI246" s="5">
        <f>SUM($AF$9:AF245)</f>
        <v>488062844</v>
      </c>
      <c r="AK246" s="5">
        <f t="shared" si="28"/>
        <v>238</v>
      </c>
      <c r="AL246" s="5">
        <f t="shared" si="29"/>
        <v>34</v>
      </c>
      <c r="AM246" s="5">
        <f t="shared" si="30"/>
        <v>88909713</v>
      </c>
      <c r="AN246" s="5">
        <f>$AL$4*$AL$3^AL246*$AL$2</f>
        <v>12701387.601814365</v>
      </c>
      <c r="AO246" s="5">
        <f>IF(AL246=AL247,1,LOOKUP(MOD(AL246,$AL$1),$AN$1:$AN$5,$AO$1:$AO$5))</f>
        <v>7</v>
      </c>
      <c r="AP246" s="5">
        <f t="shared" si="31"/>
        <v>20923419</v>
      </c>
      <c r="AQ246" s="5">
        <f>AM246*$AR$3</f>
        <v>11854628.4</v>
      </c>
      <c r="AR246" s="5">
        <f>AM246*AL246*$AR$4</f>
        <v>9068790.7259999998</v>
      </c>
      <c r="AS246" s="5">
        <f>SUM($AP$9:AP245)</f>
        <v>80532286</v>
      </c>
    </row>
    <row r="247" spans="1:45" x14ac:dyDescent="0.15">
      <c r="A247" s="5">
        <v>239</v>
      </c>
      <c r="J247" s="5">
        <f t="shared" si="24"/>
        <v>239</v>
      </c>
      <c r="K247" s="5">
        <f>SUM($AP$9:AP246)</f>
        <v>101455705</v>
      </c>
      <c r="L247" s="5">
        <f>LOOKUP(K247,AI:AI,AE:AE)</f>
        <v>208</v>
      </c>
      <c r="M247" s="5">
        <f>LOOKUP(L247,AE:AE,AG:AG)</f>
        <v>5314196</v>
      </c>
      <c r="N247" s="5">
        <f>AM247/M247/$K$1</f>
        <v>2.5016238266961426</v>
      </c>
      <c r="O247" s="5">
        <f>SUM($N$9:N247)</f>
        <v>860.46269094195361</v>
      </c>
      <c r="AE247" s="5">
        <f t="shared" si="25"/>
        <v>239</v>
      </c>
      <c r="AF247" s="5">
        <f t="shared" si="26"/>
        <v>28174016</v>
      </c>
      <c r="AG247" s="5">
        <f t="shared" si="27"/>
        <v>27710246</v>
      </c>
      <c r="AH247" s="5">
        <f>AG247*$AF$1</f>
        <v>277102460</v>
      </c>
      <c r="AI247" s="5">
        <f>SUM($AF$9:AF246)</f>
        <v>514784818</v>
      </c>
      <c r="AK247" s="5">
        <f t="shared" si="28"/>
        <v>239</v>
      </c>
      <c r="AL247" s="5">
        <f t="shared" si="29"/>
        <v>35</v>
      </c>
      <c r="AM247" s="5">
        <f t="shared" si="30"/>
        <v>19941179</v>
      </c>
      <c r="AN247" s="5">
        <f>$AL$4*$AL$3^AL247*$AL$2</f>
        <v>19941178.534848556</v>
      </c>
      <c r="AO247" s="5">
        <f>IF(AL247=AL248,1,LOOKUP(MOD(AL247,$AL$1),$AN$1:$AN$5,$AO$1:$AO$5))</f>
        <v>1</v>
      </c>
      <c r="AP247" s="5">
        <f t="shared" si="31"/>
        <v>4752648</v>
      </c>
      <c r="AQ247" s="5">
        <f>AM247*$AR$3</f>
        <v>2658823.8666666667</v>
      </c>
      <c r="AR247" s="5">
        <f>AM247*AL247*$AR$4</f>
        <v>2093823.7950000002</v>
      </c>
      <c r="AS247" s="5">
        <f>SUM($AP$9:AP246)</f>
        <v>101455705</v>
      </c>
    </row>
    <row r="248" spans="1:45" x14ac:dyDescent="0.15">
      <c r="A248" s="5">
        <v>240</v>
      </c>
      <c r="J248" s="5">
        <f t="shared" si="24"/>
        <v>240</v>
      </c>
      <c r="K248" s="5">
        <f>SUM($AP$9:AP247)</f>
        <v>106208353</v>
      </c>
      <c r="L248" s="5">
        <f>LOOKUP(K248,AI:AI,AE:AE)</f>
        <v>209</v>
      </c>
      <c r="M248" s="5">
        <f>LOOKUP(L248,AE:AE,AG:AG)</f>
        <v>5606732</v>
      </c>
      <c r="N248" s="5">
        <f>AM248/M248/$K$1</f>
        <v>2.3710994806481449</v>
      </c>
      <c r="O248" s="5">
        <f>SUM($N$9:N248)</f>
        <v>862.83379042260174</v>
      </c>
      <c r="AE248" s="5">
        <f t="shared" si="25"/>
        <v>240</v>
      </c>
      <c r="AF248" s="5">
        <f t="shared" si="26"/>
        <v>29704456</v>
      </c>
      <c r="AG248" s="5">
        <f t="shared" si="27"/>
        <v>29217498</v>
      </c>
      <c r="AH248" s="5">
        <f>AG248*$AF$1</f>
        <v>292174980</v>
      </c>
      <c r="AI248" s="5">
        <f>SUM($AF$9:AF247)</f>
        <v>542958834</v>
      </c>
      <c r="AK248" s="5">
        <f t="shared" si="28"/>
        <v>240</v>
      </c>
      <c r="AL248" s="5">
        <f t="shared" si="29"/>
        <v>35</v>
      </c>
      <c r="AM248" s="5">
        <f t="shared" si="30"/>
        <v>19941179</v>
      </c>
      <c r="AN248" s="5">
        <f>$AL$4*$AL$3^AL248*$AL$2</f>
        <v>19941178.534848556</v>
      </c>
      <c r="AO248" s="5">
        <f>IF(AL248=AL249,1,LOOKUP(MOD(AL248,$AL$1),$AN$1:$AN$5,$AO$1:$AO$5))</f>
        <v>1</v>
      </c>
      <c r="AP248" s="5">
        <f t="shared" si="31"/>
        <v>4752648</v>
      </c>
      <c r="AQ248" s="5">
        <f>AM248*$AR$3</f>
        <v>2658823.8666666667</v>
      </c>
      <c r="AR248" s="5">
        <f>AM248*AL248*$AR$4</f>
        <v>2093823.7950000002</v>
      </c>
      <c r="AS248" s="5">
        <f>SUM($AP$9:AP247)</f>
        <v>106208353</v>
      </c>
    </row>
    <row r="249" spans="1:45" x14ac:dyDescent="0.15">
      <c r="A249" s="5">
        <v>241</v>
      </c>
      <c r="J249" s="5">
        <f t="shared" si="24"/>
        <v>241</v>
      </c>
      <c r="K249" s="5">
        <f>SUM($AP$9:AP248)</f>
        <v>110961001</v>
      </c>
      <c r="L249" s="5">
        <f>LOOKUP(K249,AI:AI,AE:AE)</f>
        <v>210</v>
      </c>
      <c r="M249" s="5">
        <f>LOOKUP(L249,AE:AE,AG:AG)</f>
        <v>5915236</v>
      </c>
      <c r="N249" s="5">
        <f>AM249/M249/$K$1</f>
        <v>2.2474368450106357</v>
      </c>
      <c r="O249" s="5">
        <f>SUM($N$9:N249)</f>
        <v>865.08122726761235</v>
      </c>
      <c r="AE249" s="5">
        <f t="shared" si="25"/>
        <v>241</v>
      </c>
      <c r="AF249" s="5">
        <f t="shared" si="26"/>
        <v>31317505</v>
      </c>
      <c r="AG249" s="5">
        <f t="shared" si="27"/>
        <v>30806199</v>
      </c>
      <c r="AH249" s="5">
        <f>AG249*$AF$1</f>
        <v>308061990</v>
      </c>
      <c r="AI249" s="5">
        <f>SUM($AF$9:AF248)</f>
        <v>572663290</v>
      </c>
      <c r="AK249" s="5">
        <f t="shared" si="28"/>
        <v>241</v>
      </c>
      <c r="AL249" s="5">
        <f t="shared" si="29"/>
        <v>35</v>
      </c>
      <c r="AM249" s="5">
        <f t="shared" si="30"/>
        <v>19941179</v>
      </c>
      <c r="AN249" s="5">
        <f>$AL$4*$AL$3^AL249*$AL$2</f>
        <v>19941178.534848556</v>
      </c>
      <c r="AO249" s="5">
        <f>IF(AL249=AL250,1,LOOKUP(MOD(AL249,$AL$1),$AN$1:$AN$5,$AO$1:$AO$5))</f>
        <v>1</v>
      </c>
      <c r="AP249" s="5">
        <f t="shared" si="31"/>
        <v>4752648</v>
      </c>
      <c r="AQ249" s="5">
        <f>AM249*$AR$3</f>
        <v>2658823.8666666667</v>
      </c>
      <c r="AR249" s="5">
        <f>AM249*AL249*$AR$4</f>
        <v>2093823.7950000002</v>
      </c>
      <c r="AS249" s="5">
        <f>SUM($AP$9:AP248)</f>
        <v>110961001</v>
      </c>
    </row>
    <row r="250" spans="1:45" x14ac:dyDescent="0.15">
      <c r="A250" s="5">
        <v>242</v>
      </c>
      <c r="J250" s="5">
        <f t="shared" si="24"/>
        <v>242</v>
      </c>
      <c r="K250" s="5">
        <f>SUM($AP$9:AP249)</f>
        <v>115713649</v>
      </c>
      <c r="L250" s="5">
        <f>LOOKUP(K250,AI:AI,AE:AE)</f>
        <v>211</v>
      </c>
      <c r="M250" s="5">
        <f>LOOKUP(L250,AE:AE,AG:AG)</f>
        <v>6240574</v>
      </c>
      <c r="N250" s="5">
        <f>AM250/M250/$K$1</f>
        <v>2.1302718841781756</v>
      </c>
      <c r="O250" s="5">
        <f>SUM($N$9:N250)</f>
        <v>867.21149915179058</v>
      </c>
      <c r="AE250" s="5">
        <f t="shared" si="25"/>
        <v>242</v>
      </c>
      <c r="AF250" s="5">
        <f t="shared" si="26"/>
        <v>33017598</v>
      </c>
      <c r="AG250" s="5">
        <f t="shared" si="27"/>
        <v>32480727</v>
      </c>
      <c r="AH250" s="5">
        <f>AG250*$AF$1</f>
        <v>324807270</v>
      </c>
      <c r="AI250" s="5">
        <f>SUM($AF$9:AF249)</f>
        <v>603980795</v>
      </c>
      <c r="AK250" s="5">
        <f t="shared" si="28"/>
        <v>242</v>
      </c>
      <c r="AL250" s="5">
        <f t="shared" si="29"/>
        <v>35</v>
      </c>
      <c r="AM250" s="5">
        <f t="shared" si="30"/>
        <v>19941179</v>
      </c>
      <c r="AN250" s="5">
        <f>$AL$4*$AL$3^AL250*$AL$2</f>
        <v>19941178.534848556</v>
      </c>
      <c r="AO250" s="5">
        <f>IF(AL250=AL251,1,LOOKUP(MOD(AL250,$AL$1),$AN$1:$AN$5,$AO$1:$AO$5))</f>
        <v>1</v>
      </c>
      <c r="AP250" s="5">
        <f t="shared" si="31"/>
        <v>4752648</v>
      </c>
      <c r="AQ250" s="5">
        <f>AM250*$AR$3</f>
        <v>2658823.8666666667</v>
      </c>
      <c r="AR250" s="5">
        <f>AM250*AL250*$AR$4</f>
        <v>2093823.7950000002</v>
      </c>
      <c r="AS250" s="5">
        <f>SUM($AP$9:AP249)</f>
        <v>115713649</v>
      </c>
    </row>
    <row r="251" spans="1:45" x14ac:dyDescent="0.15">
      <c r="A251" s="5">
        <v>243</v>
      </c>
      <c r="J251" s="5">
        <f t="shared" si="24"/>
        <v>243</v>
      </c>
      <c r="K251" s="5">
        <f>SUM($AP$9:AP250)</f>
        <v>120466297</v>
      </c>
      <c r="L251" s="5">
        <f>LOOKUP(K251,AI:AI,AE:AE)</f>
        <v>211</v>
      </c>
      <c r="M251" s="5">
        <f>LOOKUP(L251,AE:AE,AG:AG)</f>
        <v>6240574</v>
      </c>
      <c r="N251" s="5">
        <f>AM251/M251/$K$1</f>
        <v>2.1302718841781756</v>
      </c>
      <c r="O251" s="5">
        <f>SUM($N$9:N251)</f>
        <v>869.3417710359688</v>
      </c>
      <c r="AE251" s="5">
        <f t="shared" si="25"/>
        <v>243</v>
      </c>
      <c r="AF251" s="5">
        <f t="shared" si="26"/>
        <v>34809407</v>
      </c>
      <c r="AG251" s="5">
        <f t="shared" si="27"/>
        <v>34245692</v>
      </c>
      <c r="AH251" s="5">
        <f>AG251*$AF$1</f>
        <v>342456920</v>
      </c>
      <c r="AI251" s="5">
        <f>SUM($AF$9:AF250)</f>
        <v>636998393</v>
      </c>
      <c r="AK251" s="5">
        <f t="shared" si="28"/>
        <v>243</v>
      </c>
      <c r="AL251" s="5">
        <f t="shared" si="29"/>
        <v>35</v>
      </c>
      <c r="AM251" s="5">
        <f t="shared" si="30"/>
        <v>19941179</v>
      </c>
      <c r="AN251" s="5">
        <f>$AL$4*$AL$3^AL251*$AL$2</f>
        <v>19941178.534848556</v>
      </c>
      <c r="AO251" s="5">
        <f>IF(AL251=AL252,1,LOOKUP(MOD(AL251,$AL$1),$AN$1:$AN$5,$AO$1:$AO$5))</f>
        <v>1</v>
      </c>
      <c r="AP251" s="5">
        <f t="shared" si="31"/>
        <v>4752648</v>
      </c>
      <c r="AQ251" s="5">
        <f>AM251*$AR$3</f>
        <v>2658823.8666666667</v>
      </c>
      <c r="AR251" s="5">
        <f>AM251*AL251*$AR$4</f>
        <v>2093823.7950000002</v>
      </c>
      <c r="AS251" s="5">
        <f>SUM($AP$9:AP250)</f>
        <v>120466297</v>
      </c>
    </row>
    <row r="252" spans="1:45" x14ac:dyDescent="0.15">
      <c r="A252" s="5">
        <v>244</v>
      </c>
      <c r="J252" s="5">
        <f t="shared" si="24"/>
        <v>244</v>
      </c>
      <c r="K252" s="5">
        <f>SUM($AP$9:AP251)</f>
        <v>125218945</v>
      </c>
      <c r="L252" s="5">
        <f>LOOKUP(K252,AI:AI,AE:AE)</f>
        <v>212</v>
      </c>
      <c r="M252" s="5">
        <f>LOOKUP(L252,AE:AE,AG:AG)</f>
        <v>6583658</v>
      </c>
      <c r="N252" s="5">
        <f>AM252/M252/$K$1</f>
        <v>2.0192603159722657</v>
      </c>
      <c r="O252" s="5">
        <f>SUM($N$9:N252)</f>
        <v>871.36103135194105</v>
      </c>
      <c r="AE252" s="5">
        <f t="shared" si="25"/>
        <v>244</v>
      </c>
      <c r="AF252" s="5">
        <f t="shared" si="26"/>
        <v>36697853</v>
      </c>
      <c r="AG252" s="5">
        <f t="shared" si="27"/>
        <v>36105952</v>
      </c>
      <c r="AH252" s="5">
        <f>AG252*$AF$1</f>
        <v>361059520</v>
      </c>
      <c r="AI252" s="5">
        <f>SUM($AF$9:AF251)</f>
        <v>671807800</v>
      </c>
      <c r="AK252" s="5">
        <f t="shared" si="28"/>
        <v>244</v>
      </c>
      <c r="AL252" s="5">
        <f t="shared" si="29"/>
        <v>35</v>
      </c>
      <c r="AM252" s="5">
        <f t="shared" si="30"/>
        <v>19941179</v>
      </c>
      <c r="AN252" s="5">
        <f>$AL$4*$AL$3^AL252*$AL$2</f>
        <v>19941178.534848556</v>
      </c>
      <c r="AO252" s="5">
        <f>IF(AL252=AL253,1,LOOKUP(MOD(AL252,$AL$1),$AN$1:$AN$5,$AO$1:$AO$5))</f>
        <v>1</v>
      </c>
      <c r="AP252" s="5">
        <f t="shared" si="31"/>
        <v>4752648</v>
      </c>
      <c r="AQ252" s="5">
        <f>AM252*$AR$3</f>
        <v>2658823.8666666667</v>
      </c>
      <c r="AR252" s="5">
        <f>AM252*AL252*$AR$4</f>
        <v>2093823.7950000002</v>
      </c>
      <c r="AS252" s="5">
        <f>SUM($AP$9:AP251)</f>
        <v>125218945</v>
      </c>
    </row>
    <row r="253" spans="1:45" x14ac:dyDescent="0.15">
      <c r="A253" s="5">
        <v>245</v>
      </c>
      <c r="J253" s="5">
        <f t="shared" si="24"/>
        <v>245</v>
      </c>
      <c r="K253" s="5">
        <f>SUM($AP$9:AP252)</f>
        <v>129971593</v>
      </c>
      <c r="L253" s="5">
        <f>LOOKUP(K253,AI:AI,AE:AE)</f>
        <v>213</v>
      </c>
      <c r="M253" s="5">
        <f>LOOKUP(L253,AE:AE,AG:AG)</f>
        <v>6945449</v>
      </c>
      <c r="N253" s="5">
        <f>AM253/M253/$K$1</f>
        <v>19.1407625338549</v>
      </c>
      <c r="O253" s="5">
        <f>SUM($N$9:N253)</f>
        <v>890.50179388579591</v>
      </c>
      <c r="AE253" s="5">
        <f t="shared" si="25"/>
        <v>245</v>
      </c>
      <c r="AF253" s="5">
        <f t="shared" si="26"/>
        <v>38688119</v>
      </c>
      <c r="AG253" s="5">
        <f t="shared" si="27"/>
        <v>38066623</v>
      </c>
      <c r="AH253" s="5">
        <f>AG253*$AF$1</f>
        <v>380666230</v>
      </c>
      <c r="AI253" s="5">
        <f>SUM($AF$9:AF252)</f>
        <v>708505653</v>
      </c>
      <c r="AK253" s="5">
        <f t="shared" si="28"/>
        <v>245</v>
      </c>
      <c r="AL253" s="5">
        <f t="shared" si="29"/>
        <v>35</v>
      </c>
      <c r="AM253" s="5">
        <f t="shared" si="30"/>
        <v>199411785</v>
      </c>
      <c r="AN253" s="5">
        <f>$AL$4*$AL$3^AL253*$AL$2</f>
        <v>19941178.534848556</v>
      </c>
      <c r="AO253" s="5">
        <f>IF(AL253=AL254,1,LOOKUP(MOD(AL253,$AL$1),$AN$1:$AN$5,$AO$1:$AO$5))</f>
        <v>10</v>
      </c>
      <c r="AP253" s="5">
        <f t="shared" si="31"/>
        <v>47526475</v>
      </c>
      <c r="AQ253" s="5">
        <f>AM253*$AR$3</f>
        <v>26588238</v>
      </c>
      <c r="AR253" s="5">
        <f>AM253*AL253*$AR$4</f>
        <v>20938237.425000001</v>
      </c>
      <c r="AS253" s="5">
        <f>SUM($AP$9:AP252)</f>
        <v>129971593</v>
      </c>
    </row>
    <row r="254" spans="1:45" x14ac:dyDescent="0.15">
      <c r="A254" s="5">
        <v>246</v>
      </c>
      <c r="J254" s="5">
        <f t="shared" si="24"/>
        <v>246</v>
      </c>
      <c r="K254" s="5">
        <f>SUM($AP$9:AP253)</f>
        <v>177498068</v>
      </c>
      <c r="L254" s="5">
        <f>LOOKUP(K254,AI:AI,AE:AE)</f>
        <v>219</v>
      </c>
      <c r="M254" s="5">
        <f>LOOKUP(L254,AE:AE,AG:AG)</f>
        <v>9569750</v>
      </c>
      <c r="N254" s="5">
        <f>AM254/M254/$K$1</f>
        <v>2.1810148297151613</v>
      </c>
      <c r="O254" s="5">
        <f>SUM($N$9:N254)</f>
        <v>892.6828087155111</v>
      </c>
      <c r="AE254" s="5">
        <f t="shared" si="25"/>
        <v>246</v>
      </c>
      <c r="AF254" s="5">
        <f t="shared" si="26"/>
        <v>40785668</v>
      </c>
      <c r="AG254" s="5">
        <f t="shared" si="27"/>
        <v>40133097</v>
      </c>
      <c r="AH254" s="5">
        <f>AG254*$AF$1</f>
        <v>401330970</v>
      </c>
      <c r="AI254" s="5">
        <f>SUM($AF$9:AF253)</f>
        <v>747193772</v>
      </c>
      <c r="AK254" s="5">
        <f t="shared" si="28"/>
        <v>246</v>
      </c>
      <c r="AL254" s="5">
        <f t="shared" si="29"/>
        <v>36</v>
      </c>
      <c r="AM254" s="5">
        <f t="shared" si="30"/>
        <v>31307650</v>
      </c>
      <c r="AN254" s="5">
        <f>$AL$4*$AL$3^AL254*$AL$2</f>
        <v>31307650.299712226</v>
      </c>
      <c r="AO254" s="5">
        <f>IF(AL254=AL255,1,LOOKUP(MOD(AL254,$AL$1),$AN$1:$AN$5,$AO$1:$AO$5))</f>
        <v>1</v>
      </c>
      <c r="AP254" s="5">
        <f t="shared" si="31"/>
        <v>7555580</v>
      </c>
      <c r="AQ254" s="5">
        <f>AM254*$AR$3</f>
        <v>4174353.3333333335</v>
      </c>
      <c r="AR254" s="5">
        <f>AM254*AL254*$AR$4</f>
        <v>3381226.2</v>
      </c>
      <c r="AS254" s="5">
        <f>SUM($AP$9:AP253)</f>
        <v>177498068</v>
      </c>
    </row>
    <row r="255" spans="1:45" x14ac:dyDescent="0.15">
      <c r="A255" s="5">
        <v>247</v>
      </c>
      <c r="J255" s="5">
        <f t="shared" si="24"/>
        <v>247</v>
      </c>
      <c r="K255" s="5">
        <f>SUM($AP$9:AP254)</f>
        <v>185053648</v>
      </c>
      <c r="L255" s="5">
        <f>LOOKUP(K255,AI:AI,AE:AE)</f>
        <v>219</v>
      </c>
      <c r="M255" s="5">
        <f>LOOKUP(L255,AE:AE,AG:AG)</f>
        <v>9569750</v>
      </c>
      <c r="N255" s="5">
        <f>AM255/M255/$K$1</f>
        <v>2.1810148297151613</v>
      </c>
      <c r="O255" s="5">
        <f>SUM($N$9:N255)</f>
        <v>894.8638235452263</v>
      </c>
      <c r="AE255" s="5">
        <f t="shared" si="25"/>
        <v>247</v>
      </c>
      <c r="AF255" s="5">
        <f t="shared" si="26"/>
        <v>42996251</v>
      </c>
      <c r="AG255" s="5">
        <f t="shared" si="27"/>
        <v>42311052</v>
      </c>
      <c r="AH255" s="5">
        <f>AG255*$AF$1</f>
        <v>423110520</v>
      </c>
      <c r="AI255" s="5">
        <f>SUM($AF$9:AF254)</f>
        <v>787979440</v>
      </c>
      <c r="AK255" s="5">
        <f t="shared" si="28"/>
        <v>247</v>
      </c>
      <c r="AL255" s="5">
        <f t="shared" si="29"/>
        <v>36</v>
      </c>
      <c r="AM255" s="5">
        <f t="shared" si="30"/>
        <v>31307650</v>
      </c>
      <c r="AN255" s="5">
        <f>$AL$4*$AL$3^AL255*$AL$2</f>
        <v>31307650.299712226</v>
      </c>
      <c r="AO255" s="5">
        <f>IF(AL255=AL256,1,LOOKUP(MOD(AL255,$AL$1),$AN$1:$AN$5,$AO$1:$AO$5))</f>
        <v>1</v>
      </c>
      <c r="AP255" s="5">
        <f t="shared" si="31"/>
        <v>7555580</v>
      </c>
      <c r="AQ255" s="5">
        <f>AM255*$AR$3</f>
        <v>4174353.3333333335</v>
      </c>
      <c r="AR255" s="5">
        <f>AM255*AL255*$AR$4</f>
        <v>3381226.2</v>
      </c>
      <c r="AS255" s="5">
        <f>SUM($AP$9:AP254)</f>
        <v>185053648</v>
      </c>
    </row>
    <row r="256" spans="1:45" x14ac:dyDescent="0.15">
      <c r="A256" s="5">
        <v>248</v>
      </c>
      <c r="J256" s="5">
        <f t="shared" si="24"/>
        <v>248</v>
      </c>
      <c r="K256" s="5">
        <f>SUM($AP$9:AP255)</f>
        <v>192609228</v>
      </c>
      <c r="L256" s="5">
        <f>LOOKUP(K256,AI:AI,AE:AE)</f>
        <v>220</v>
      </c>
      <c r="M256" s="5">
        <f>LOOKUP(L256,AE:AE,AG:AG)</f>
        <v>10094120</v>
      </c>
      <c r="N256" s="5">
        <f>AM256/M256/$K$1</f>
        <v>2.0677153299808864</v>
      </c>
      <c r="O256" s="5">
        <f>SUM($N$9:N256)</f>
        <v>896.93153887520714</v>
      </c>
      <c r="AE256" s="5">
        <f t="shared" si="25"/>
        <v>248</v>
      </c>
      <c r="AF256" s="5">
        <f t="shared" si="26"/>
        <v>45325929</v>
      </c>
      <c r="AG256" s="5">
        <f t="shared" si="27"/>
        <v>44606469</v>
      </c>
      <c r="AH256" s="5">
        <f>AG256*$AF$1</f>
        <v>446064690</v>
      </c>
      <c r="AI256" s="5">
        <f>SUM($AF$9:AF255)</f>
        <v>830975691</v>
      </c>
      <c r="AK256" s="5">
        <f t="shared" si="28"/>
        <v>248</v>
      </c>
      <c r="AL256" s="5">
        <f t="shared" si="29"/>
        <v>36</v>
      </c>
      <c r="AM256" s="5">
        <f t="shared" si="30"/>
        <v>31307650</v>
      </c>
      <c r="AN256" s="5">
        <f>$AL$4*$AL$3^AL256*$AL$2</f>
        <v>31307650.299712226</v>
      </c>
      <c r="AO256" s="5">
        <f>IF(AL256=AL257,1,LOOKUP(MOD(AL256,$AL$1),$AN$1:$AN$5,$AO$1:$AO$5))</f>
        <v>1</v>
      </c>
      <c r="AP256" s="5">
        <f t="shared" si="31"/>
        <v>7555580</v>
      </c>
      <c r="AQ256" s="5">
        <f>AM256*$AR$3</f>
        <v>4174353.3333333335</v>
      </c>
      <c r="AR256" s="5">
        <f>AM256*AL256*$AR$4</f>
        <v>3381226.2</v>
      </c>
      <c r="AS256" s="5">
        <f>SUM($AP$9:AP255)</f>
        <v>192609228</v>
      </c>
    </row>
    <row r="257" spans="1:45" x14ac:dyDescent="0.15">
      <c r="A257" s="5">
        <v>249</v>
      </c>
      <c r="J257" s="5">
        <f t="shared" si="24"/>
        <v>249</v>
      </c>
      <c r="K257" s="5">
        <f>SUM($AP$9:AP256)</f>
        <v>200164808</v>
      </c>
      <c r="L257" s="5">
        <f>LOOKUP(K257,AI:AI,AE:AE)</f>
        <v>221</v>
      </c>
      <c r="M257" s="5">
        <f>LOOKUP(L257,AE:AE,AG:AG)</f>
        <v>10647003</v>
      </c>
      <c r="N257" s="5">
        <f>AM257/M257/$K$1</f>
        <v>1.9603419541317557</v>
      </c>
      <c r="O257" s="5">
        <f>SUM($N$9:N257)</f>
        <v>898.8918808293389</v>
      </c>
      <c r="AE257" s="5">
        <f t="shared" si="25"/>
        <v>249</v>
      </c>
      <c r="AF257" s="5">
        <f t="shared" si="26"/>
        <v>47781083</v>
      </c>
      <c r="AG257" s="5">
        <f t="shared" si="27"/>
        <v>47025651</v>
      </c>
      <c r="AH257" s="5">
        <f>AG257*$AF$1</f>
        <v>470256510</v>
      </c>
      <c r="AI257" s="5">
        <f>SUM($AF$9:AF256)</f>
        <v>876301620</v>
      </c>
      <c r="AK257" s="5">
        <f t="shared" si="28"/>
        <v>249</v>
      </c>
      <c r="AL257" s="5">
        <f t="shared" si="29"/>
        <v>36</v>
      </c>
      <c r="AM257" s="5">
        <f t="shared" si="30"/>
        <v>31307650</v>
      </c>
      <c r="AN257" s="5">
        <f>$AL$4*$AL$3^AL257*$AL$2</f>
        <v>31307650.299712226</v>
      </c>
      <c r="AO257" s="5">
        <f>IF(AL257=AL258,1,LOOKUP(MOD(AL257,$AL$1),$AN$1:$AN$5,$AO$1:$AO$5))</f>
        <v>1</v>
      </c>
      <c r="AP257" s="5">
        <f t="shared" si="31"/>
        <v>7555580</v>
      </c>
      <c r="AQ257" s="5">
        <f>AM257*$AR$3</f>
        <v>4174353.3333333335</v>
      </c>
      <c r="AR257" s="5">
        <f>AM257*AL257*$AR$4</f>
        <v>3381226.2</v>
      </c>
      <c r="AS257" s="5">
        <f>SUM($AP$9:AP256)</f>
        <v>200164808</v>
      </c>
    </row>
    <row r="258" spans="1:45" x14ac:dyDescent="0.15">
      <c r="A258" s="5">
        <v>250</v>
      </c>
      <c r="J258" s="5">
        <f t="shared" si="24"/>
        <v>250</v>
      </c>
      <c r="K258" s="5">
        <f>SUM($AP$9:AP257)</f>
        <v>207720388</v>
      </c>
      <c r="L258" s="5">
        <f>LOOKUP(K258,AI:AI,AE:AE)</f>
        <v>222</v>
      </c>
      <c r="M258" s="5">
        <f>LOOKUP(L258,AE:AE,AG:AG)</f>
        <v>11229938</v>
      </c>
      <c r="N258" s="5">
        <f>AM258/M258/$K$1</f>
        <v>1.8585825377367771</v>
      </c>
      <c r="O258" s="5">
        <f>SUM($N$9:N258)</f>
        <v>900.75046336707567</v>
      </c>
      <c r="AE258" s="5">
        <f t="shared" si="25"/>
        <v>250</v>
      </c>
      <c r="AF258" s="5">
        <f t="shared" si="26"/>
        <v>50368438</v>
      </c>
      <c r="AG258" s="5">
        <f t="shared" si="27"/>
        <v>49575234</v>
      </c>
      <c r="AH258" s="5">
        <f>AG258*$AF$1</f>
        <v>495752340</v>
      </c>
      <c r="AI258" s="5">
        <f>SUM($AF$9:AF257)</f>
        <v>924082703</v>
      </c>
      <c r="AK258" s="5">
        <f t="shared" si="28"/>
        <v>250</v>
      </c>
      <c r="AL258" s="5">
        <f t="shared" si="29"/>
        <v>36</v>
      </c>
      <c r="AM258" s="5">
        <f t="shared" si="30"/>
        <v>31307650</v>
      </c>
      <c r="AN258" s="5">
        <f>$AL$4*$AL$3^AL258*$AL$2</f>
        <v>31307650.299712226</v>
      </c>
      <c r="AO258" s="5">
        <f>IF(AL258=AL259,1,LOOKUP(MOD(AL258,$AL$1),$AN$1:$AN$5,$AO$1:$AO$5))</f>
        <v>1</v>
      </c>
      <c r="AP258" s="5">
        <f t="shared" si="31"/>
        <v>7555580</v>
      </c>
      <c r="AQ258" s="5">
        <f>AM258*$AR$3</f>
        <v>4174353.3333333335</v>
      </c>
      <c r="AR258" s="5">
        <f>AM258*AL258*$AR$4</f>
        <v>3381226.2</v>
      </c>
      <c r="AS258" s="5">
        <f>SUM($AP$9:AP257)</f>
        <v>207720388</v>
      </c>
    </row>
    <row r="259" spans="1:45" x14ac:dyDescent="0.15">
      <c r="A259" s="5">
        <v>251</v>
      </c>
      <c r="J259" s="5">
        <f t="shared" si="24"/>
        <v>251</v>
      </c>
      <c r="K259" s="5">
        <f>SUM($AP$9:AP258)</f>
        <v>215275968</v>
      </c>
      <c r="L259" s="5">
        <f>LOOKUP(K259,AI:AI,AE:AE)</f>
        <v>222</v>
      </c>
      <c r="M259" s="5">
        <f>LOOKUP(L259,AE:AE,AG:AG)</f>
        <v>11229938</v>
      </c>
      <c r="N259" s="5">
        <f>AM259/M259/$K$1</f>
        <v>1.8585825377367771</v>
      </c>
      <c r="O259" s="5">
        <f>SUM($N$9:N259)</f>
        <v>902.60904590481243</v>
      </c>
      <c r="AE259" s="5">
        <f t="shared" si="25"/>
        <v>251</v>
      </c>
      <c r="AF259" s="5">
        <f t="shared" si="26"/>
        <v>53095076</v>
      </c>
      <c r="AG259" s="5">
        <f t="shared" si="27"/>
        <v>52262212</v>
      </c>
      <c r="AH259" s="5">
        <f>AG259*$AF$1</f>
        <v>522622120</v>
      </c>
      <c r="AI259" s="5">
        <f>SUM($AF$9:AF258)</f>
        <v>974451141</v>
      </c>
      <c r="AK259" s="5">
        <f t="shared" si="28"/>
        <v>251</v>
      </c>
      <c r="AL259" s="5">
        <f t="shared" si="29"/>
        <v>36</v>
      </c>
      <c r="AM259" s="5">
        <f t="shared" si="30"/>
        <v>31307650</v>
      </c>
      <c r="AN259" s="5">
        <f>$AL$4*$AL$3^AL259*$AL$2</f>
        <v>31307650.299712226</v>
      </c>
      <c r="AO259" s="5">
        <f>IF(AL259=AL260,1,LOOKUP(MOD(AL259,$AL$1),$AN$1:$AN$5,$AO$1:$AO$5))</f>
        <v>1</v>
      </c>
      <c r="AP259" s="5">
        <f t="shared" si="31"/>
        <v>7555580</v>
      </c>
      <c r="AQ259" s="5">
        <f>AM259*$AR$3</f>
        <v>4174353.3333333335</v>
      </c>
      <c r="AR259" s="5">
        <f>AM259*AL259*$AR$4</f>
        <v>3381226.2</v>
      </c>
      <c r="AS259" s="5">
        <f>SUM($AP$9:AP258)</f>
        <v>215275968</v>
      </c>
    </row>
    <row r="260" spans="1:45" x14ac:dyDescent="0.15">
      <c r="A260" s="5">
        <v>252</v>
      </c>
      <c r="J260" s="5">
        <f t="shared" si="24"/>
        <v>252</v>
      </c>
      <c r="K260" s="5">
        <f>SUM($AP$9:AP259)</f>
        <v>222831548</v>
      </c>
      <c r="L260" s="5">
        <f>LOOKUP(K260,AI:AI,AE:AE)</f>
        <v>223</v>
      </c>
      <c r="M260" s="5">
        <f>LOOKUP(L260,AE:AE,AG:AG)</f>
        <v>11844550</v>
      </c>
      <c r="N260" s="5">
        <f>AM260/M260/$K$1</f>
        <v>3.5242819693445511</v>
      </c>
      <c r="O260" s="5">
        <f>SUM($N$9:N260)</f>
        <v>906.13332787415698</v>
      </c>
      <c r="AE260" s="5">
        <f t="shared" si="25"/>
        <v>252</v>
      </c>
      <c r="AF260" s="5">
        <f t="shared" si="26"/>
        <v>55968457</v>
      </c>
      <c r="AG260" s="5">
        <f t="shared" si="27"/>
        <v>55093949</v>
      </c>
      <c r="AH260" s="5">
        <f>AG260*$AF$1</f>
        <v>550939490</v>
      </c>
      <c r="AI260" s="5">
        <f>SUM($AF$9:AF259)</f>
        <v>1027546217</v>
      </c>
      <c r="AK260" s="5">
        <f t="shared" si="28"/>
        <v>252</v>
      </c>
      <c r="AL260" s="5">
        <f t="shared" si="29"/>
        <v>36</v>
      </c>
      <c r="AM260" s="5">
        <f t="shared" si="30"/>
        <v>62615301</v>
      </c>
      <c r="AN260" s="5">
        <f>$AL$4*$AL$3^AL260*$AL$2</f>
        <v>31307650.299712226</v>
      </c>
      <c r="AO260" s="5">
        <f>IF(AL260=AL261,1,LOOKUP(MOD(AL260,$AL$1),$AN$1:$AN$5,$AO$1:$AO$5))</f>
        <v>2</v>
      </c>
      <c r="AP260" s="5">
        <f t="shared" si="31"/>
        <v>15111159</v>
      </c>
      <c r="AQ260" s="5">
        <f>AM260*$AR$3</f>
        <v>8348706.7999999998</v>
      </c>
      <c r="AR260" s="5">
        <f>AM260*AL260*$AR$4</f>
        <v>6762452.5080000004</v>
      </c>
      <c r="AS260" s="5">
        <f>SUM($AP$9:AP259)</f>
        <v>222831548</v>
      </c>
    </row>
    <row r="261" spans="1:45" x14ac:dyDescent="0.15">
      <c r="A261" s="5">
        <v>253</v>
      </c>
      <c r="J261" s="5">
        <f t="shared" si="24"/>
        <v>253</v>
      </c>
      <c r="K261" s="5">
        <f>SUM($AP$9:AP260)</f>
        <v>237942707</v>
      </c>
      <c r="L261" s="5">
        <f>LOOKUP(K261,AI:AI,AE:AE)</f>
        <v>224</v>
      </c>
      <c r="M261" s="5">
        <f>LOOKUP(L261,AE:AE,AG:AG)</f>
        <v>12492548</v>
      </c>
      <c r="N261" s="5">
        <f>AM261/M261/$K$1</f>
        <v>2.6230576820677416</v>
      </c>
      <c r="O261" s="5">
        <f>SUM($N$9:N261)</f>
        <v>908.7563855562247</v>
      </c>
      <c r="AE261" s="5">
        <f t="shared" si="25"/>
        <v>253</v>
      </c>
      <c r="AF261" s="5">
        <f t="shared" si="26"/>
        <v>58996438</v>
      </c>
      <c r="AG261" s="5">
        <f t="shared" si="27"/>
        <v>58078205</v>
      </c>
      <c r="AH261" s="5">
        <f>AG261*$AF$1</f>
        <v>580782050</v>
      </c>
      <c r="AI261" s="5">
        <f>SUM($AF$9:AF260)</f>
        <v>1083514674</v>
      </c>
      <c r="AK261" s="5">
        <f t="shared" si="28"/>
        <v>253</v>
      </c>
      <c r="AL261" s="5">
        <f t="shared" si="29"/>
        <v>37</v>
      </c>
      <c r="AM261" s="5">
        <f t="shared" si="30"/>
        <v>49153011</v>
      </c>
      <c r="AN261" s="5">
        <f>$AL$4*$AL$3^AL261*$AL$2</f>
        <v>49153010.970548205</v>
      </c>
      <c r="AO261" s="5">
        <f>IF(AL261=AL262,1,LOOKUP(MOD(AL261,$AL$1),$AN$1:$AN$5,$AO$1:$AO$5))</f>
        <v>1</v>
      </c>
      <c r="AP261" s="5">
        <f t="shared" si="31"/>
        <v>12009719</v>
      </c>
      <c r="AQ261" s="5">
        <f>AM261*$AR$3</f>
        <v>6553734.7999999998</v>
      </c>
      <c r="AR261" s="5">
        <f>AM261*AL261*$AR$4</f>
        <v>5455984.2209999999</v>
      </c>
      <c r="AS261" s="5">
        <f>SUM($AP$9:AP260)</f>
        <v>237942707</v>
      </c>
    </row>
    <row r="262" spans="1:45" x14ac:dyDescent="0.15">
      <c r="A262" s="5">
        <v>254</v>
      </c>
      <c r="J262" s="5">
        <f t="shared" si="24"/>
        <v>254</v>
      </c>
      <c r="K262" s="5">
        <f>SUM($AP$9:AP261)</f>
        <v>249952426</v>
      </c>
      <c r="L262" s="5">
        <f>LOOKUP(K262,AI:AI,AE:AE)</f>
        <v>225</v>
      </c>
      <c r="M262" s="5">
        <f>LOOKUP(L262,AE:AE,AG:AG)</f>
        <v>13175734</v>
      </c>
      <c r="N262" s="5">
        <f>AM262/M262/$K$1</f>
        <v>2.4870473250294824</v>
      </c>
      <c r="O262" s="5">
        <f>SUM($N$9:N262)</f>
        <v>911.24343288125419</v>
      </c>
      <c r="AE262" s="5">
        <f t="shared" si="25"/>
        <v>254</v>
      </c>
      <c r="AF262" s="5">
        <f t="shared" si="26"/>
        <v>62187295</v>
      </c>
      <c r="AG262" s="5">
        <f t="shared" si="27"/>
        <v>61223151</v>
      </c>
      <c r="AH262" s="5">
        <f>AG262*$AF$1</f>
        <v>612231510</v>
      </c>
      <c r="AI262" s="5">
        <f>SUM($AF$9:AF261)</f>
        <v>1142511112</v>
      </c>
      <c r="AK262" s="5">
        <f t="shared" si="28"/>
        <v>254</v>
      </c>
      <c r="AL262" s="5">
        <f t="shared" si="29"/>
        <v>37</v>
      </c>
      <c r="AM262" s="5">
        <f t="shared" si="30"/>
        <v>49153011</v>
      </c>
      <c r="AN262" s="5">
        <f>$AL$4*$AL$3^AL262*$AL$2</f>
        <v>49153010.970548205</v>
      </c>
      <c r="AO262" s="5">
        <f>IF(AL262=AL263,1,LOOKUP(MOD(AL262,$AL$1),$AN$1:$AN$5,$AO$1:$AO$5))</f>
        <v>1</v>
      </c>
      <c r="AP262" s="5">
        <f t="shared" si="31"/>
        <v>12009719</v>
      </c>
      <c r="AQ262" s="5">
        <f>AM262*$AR$3</f>
        <v>6553734.7999999998</v>
      </c>
      <c r="AR262" s="5">
        <f>AM262*AL262*$AR$4</f>
        <v>5455984.2209999999</v>
      </c>
      <c r="AS262" s="5">
        <f>SUM($AP$9:AP261)</f>
        <v>249952426</v>
      </c>
    </row>
    <row r="263" spans="1:45" x14ac:dyDescent="0.15">
      <c r="A263" s="5">
        <v>255</v>
      </c>
      <c r="J263" s="5">
        <f t="shared" si="24"/>
        <v>255</v>
      </c>
      <c r="K263" s="5">
        <f>SUM($AP$9:AP262)</f>
        <v>261962145</v>
      </c>
      <c r="L263" s="5">
        <f>LOOKUP(K263,AI:AI,AE:AE)</f>
        <v>226</v>
      </c>
      <c r="M263" s="5">
        <f>LOOKUP(L263,AE:AE,AG:AG)</f>
        <v>13896007</v>
      </c>
      <c r="N263" s="5">
        <f>AM263/M263/$K$1</f>
        <v>2.3581359738808421</v>
      </c>
      <c r="O263" s="5">
        <f>SUM($N$9:N263)</f>
        <v>913.60156885513504</v>
      </c>
      <c r="AE263" s="5">
        <f t="shared" si="25"/>
        <v>255</v>
      </c>
      <c r="AF263" s="5">
        <f t="shared" si="26"/>
        <v>65549748</v>
      </c>
      <c r="AG263" s="5">
        <f t="shared" si="27"/>
        <v>64537397</v>
      </c>
      <c r="AH263" s="5">
        <f>AG263*$AF$1</f>
        <v>645373970</v>
      </c>
      <c r="AI263" s="5">
        <f>SUM($AF$9:AF262)</f>
        <v>1204698407</v>
      </c>
      <c r="AK263" s="5">
        <f t="shared" si="28"/>
        <v>255</v>
      </c>
      <c r="AL263" s="5">
        <f t="shared" si="29"/>
        <v>37</v>
      </c>
      <c r="AM263" s="5">
        <f t="shared" si="30"/>
        <v>49153011</v>
      </c>
      <c r="AN263" s="5">
        <f>$AL$4*$AL$3^AL263*$AL$2</f>
        <v>49153010.970548205</v>
      </c>
      <c r="AO263" s="5">
        <f>IF(AL263=AL264,1,LOOKUP(MOD(AL263,$AL$1),$AN$1:$AN$5,$AO$1:$AO$5))</f>
        <v>1</v>
      </c>
      <c r="AP263" s="5">
        <f t="shared" si="31"/>
        <v>12009719</v>
      </c>
      <c r="AQ263" s="5">
        <f>AM263*$AR$3</f>
        <v>6553734.7999999998</v>
      </c>
      <c r="AR263" s="5">
        <f>AM263*AL263*$AR$4</f>
        <v>5455984.2209999999</v>
      </c>
      <c r="AS263" s="5">
        <f>SUM($AP$9:AP262)</f>
        <v>261962145</v>
      </c>
    </row>
    <row r="264" spans="1:45" x14ac:dyDescent="0.15">
      <c r="A264" s="5">
        <v>256</v>
      </c>
      <c r="J264" s="5">
        <f t="shared" si="24"/>
        <v>256</v>
      </c>
      <c r="K264" s="5">
        <f>SUM($AP$9:AP263)</f>
        <v>273971864</v>
      </c>
      <c r="L264" s="5">
        <f>LOOKUP(K264,AI:AI,AE:AE)</f>
        <v>227</v>
      </c>
      <c r="M264" s="5">
        <f>LOOKUP(L264,AE:AE,AG:AG)</f>
        <v>14655369</v>
      </c>
      <c r="N264" s="5">
        <f>AM264/M264/$K$1</f>
        <v>2.2359501149373995</v>
      </c>
      <c r="O264" s="5">
        <f>SUM($N$9:N264)</f>
        <v>915.83751897007244</v>
      </c>
      <c r="AE264" s="5">
        <f t="shared" si="25"/>
        <v>256</v>
      </c>
      <c r="AF264" s="5">
        <f t="shared" si="26"/>
        <v>69092978</v>
      </c>
      <c r="AG264" s="5">
        <f t="shared" si="27"/>
        <v>68030009</v>
      </c>
      <c r="AH264" s="5">
        <f>AG264*$AF$1</f>
        <v>680300090</v>
      </c>
      <c r="AI264" s="5">
        <f>SUM($AF$9:AF263)</f>
        <v>1270248155</v>
      </c>
      <c r="AK264" s="5">
        <f t="shared" si="28"/>
        <v>256</v>
      </c>
      <c r="AL264" s="5">
        <f t="shared" si="29"/>
        <v>37</v>
      </c>
      <c r="AM264" s="5">
        <f t="shared" si="30"/>
        <v>49153011</v>
      </c>
      <c r="AN264" s="5">
        <f>$AL$4*$AL$3^AL264*$AL$2</f>
        <v>49153010.970548205</v>
      </c>
      <c r="AO264" s="5">
        <f>IF(AL264=AL265,1,LOOKUP(MOD(AL264,$AL$1),$AN$1:$AN$5,$AO$1:$AO$5))</f>
        <v>1</v>
      </c>
      <c r="AP264" s="5">
        <f t="shared" si="31"/>
        <v>12009719</v>
      </c>
      <c r="AQ264" s="5">
        <f>AM264*$AR$3</f>
        <v>6553734.7999999998</v>
      </c>
      <c r="AR264" s="5">
        <f>AM264*AL264*$AR$4</f>
        <v>5455984.2209999999</v>
      </c>
      <c r="AS264" s="5">
        <f>SUM($AP$9:AP263)</f>
        <v>273971864</v>
      </c>
    </row>
    <row r="265" spans="1:45" x14ac:dyDescent="0.15">
      <c r="A265" s="5">
        <v>257</v>
      </c>
      <c r="J265" s="5">
        <f t="shared" si="24"/>
        <v>257</v>
      </c>
      <c r="K265" s="5">
        <f>SUM($AP$9:AP264)</f>
        <v>285981583</v>
      </c>
      <c r="L265" s="5">
        <f>LOOKUP(K265,AI:AI,AE:AE)</f>
        <v>227</v>
      </c>
      <c r="M265" s="5">
        <f>LOOKUP(L265,AE:AE,AG:AG)</f>
        <v>14655369</v>
      </c>
      <c r="N265" s="5">
        <f>AM265/M265/$K$1</f>
        <v>2.2359501149373995</v>
      </c>
      <c r="O265" s="5">
        <f>SUM($N$9:N265)</f>
        <v>918.07346908500983</v>
      </c>
      <c r="AE265" s="5">
        <f t="shared" si="25"/>
        <v>257</v>
      </c>
      <c r="AF265" s="5">
        <f t="shared" si="26"/>
        <v>72826656</v>
      </c>
      <c r="AG265" s="5">
        <f t="shared" si="27"/>
        <v>71710539</v>
      </c>
      <c r="AH265" s="5">
        <f>AG265*$AF$1</f>
        <v>717105390</v>
      </c>
      <c r="AI265" s="5">
        <f>SUM($AF$9:AF264)</f>
        <v>1339341133</v>
      </c>
      <c r="AK265" s="5">
        <f t="shared" si="28"/>
        <v>257</v>
      </c>
      <c r="AL265" s="5">
        <f t="shared" si="29"/>
        <v>37</v>
      </c>
      <c r="AM265" s="5">
        <f t="shared" si="30"/>
        <v>49153011</v>
      </c>
      <c r="AN265" s="5">
        <f>$AL$4*$AL$3^AL265*$AL$2</f>
        <v>49153010.970548205</v>
      </c>
      <c r="AO265" s="5">
        <f>IF(AL265=AL266,1,LOOKUP(MOD(AL265,$AL$1),$AN$1:$AN$5,$AO$1:$AO$5))</f>
        <v>1</v>
      </c>
      <c r="AP265" s="5">
        <f t="shared" si="31"/>
        <v>12009719</v>
      </c>
      <c r="AQ265" s="5">
        <f>AM265*$AR$3</f>
        <v>6553734.7999999998</v>
      </c>
      <c r="AR265" s="5">
        <f>AM265*AL265*$AR$4</f>
        <v>5455984.2209999999</v>
      </c>
      <c r="AS265" s="5">
        <f>SUM($AP$9:AP264)</f>
        <v>285981583</v>
      </c>
    </row>
    <row r="266" spans="1:45" x14ac:dyDescent="0.15">
      <c r="A266" s="5">
        <v>258</v>
      </c>
      <c r="J266" s="5">
        <f t="shared" ref="J266:J329" si="32">A266</f>
        <v>258</v>
      </c>
      <c r="K266" s="5">
        <f>SUM($AP$9:AP265)</f>
        <v>297991302</v>
      </c>
      <c r="L266" s="5">
        <f>LOOKUP(K266,AI:AI,AE:AE)</f>
        <v>228</v>
      </c>
      <c r="M266" s="5">
        <f>LOOKUP(L266,AE:AE,AG:AG)</f>
        <v>15455926</v>
      </c>
      <c r="N266" s="5">
        <f>AM266/M266/$K$1</f>
        <v>2.1201365741528524</v>
      </c>
      <c r="O266" s="5">
        <f>SUM($N$9:N266)</f>
        <v>920.1936056591627</v>
      </c>
      <c r="AE266" s="5">
        <f t="shared" ref="AE266:AE329" si="33">A266</f>
        <v>258</v>
      </c>
      <c r="AF266" s="5">
        <f t="shared" ref="AF266:AF329" si="34">ROUND(1.05^AE266*(AE266+4),0)</f>
        <v>76760970</v>
      </c>
      <c r="AG266" s="5">
        <f t="shared" ref="AG266:AG329" si="35">ROUND(1.05^AE266*AE266,0)</f>
        <v>75589046</v>
      </c>
      <c r="AH266" s="5">
        <f>AG266*$AF$1</f>
        <v>755890460</v>
      </c>
      <c r="AI266" s="5">
        <f>SUM($AF$9:AF265)</f>
        <v>1412167789</v>
      </c>
      <c r="AK266" s="5">
        <f t="shared" ref="AK266:AK329" si="36">A266</f>
        <v>258</v>
      </c>
      <c r="AL266" s="5">
        <f t="shared" ref="AL266:AL329" si="37">ROUNDUP(AK266/$AL$1,0)</f>
        <v>37</v>
      </c>
      <c r="AM266" s="5">
        <f t="shared" ref="AM266:AM329" si="38">ROUND(AN266*AO266,0)</f>
        <v>49153011</v>
      </c>
      <c r="AN266" s="5">
        <f>$AL$4*$AL$3^AL266*$AL$2</f>
        <v>49153010.970548205</v>
      </c>
      <c r="AO266" s="5">
        <f>IF(AL266=AL267,1,LOOKUP(MOD(AL266,$AL$1),$AN$1:$AN$5,$AO$1:$AO$5))</f>
        <v>1</v>
      </c>
      <c r="AP266" s="5">
        <f t="shared" ref="AP266:AP329" si="39">ROUND(AQ266+AR266,0)</f>
        <v>12009719</v>
      </c>
      <c r="AQ266" s="5">
        <f>AM266*$AR$3</f>
        <v>6553734.7999999998</v>
      </c>
      <c r="AR266" s="5">
        <f>AM266*AL266*$AR$4</f>
        <v>5455984.2209999999</v>
      </c>
      <c r="AS266" s="5">
        <f>SUM($AP$9:AP265)</f>
        <v>297991302</v>
      </c>
    </row>
    <row r="267" spans="1:45" x14ac:dyDescent="0.15">
      <c r="A267" s="5">
        <v>259</v>
      </c>
      <c r="J267" s="5">
        <f t="shared" si="32"/>
        <v>259</v>
      </c>
      <c r="K267" s="5">
        <f>SUM($AP$9:AP266)</f>
        <v>310001021</v>
      </c>
      <c r="L267" s="5">
        <f>LOOKUP(K267,AI:AI,AE:AE)</f>
        <v>229</v>
      </c>
      <c r="M267" s="5">
        <f>LOOKUP(L267,AE:AE,AG:AG)</f>
        <v>16299901</v>
      </c>
      <c r="N267" s="5">
        <f>AM267/M267/$K$1</f>
        <v>8.04144123329338</v>
      </c>
      <c r="O267" s="5">
        <f>SUM($N$9:N267)</f>
        <v>928.23504689245613</v>
      </c>
      <c r="AE267" s="5">
        <f t="shared" si="33"/>
        <v>259</v>
      </c>
      <c r="AF267" s="5">
        <f t="shared" si="34"/>
        <v>80906648</v>
      </c>
      <c r="AG267" s="5">
        <f t="shared" si="35"/>
        <v>79676128</v>
      </c>
      <c r="AH267" s="5">
        <f>AG267*$AF$1</f>
        <v>796761280</v>
      </c>
      <c r="AI267" s="5">
        <f>SUM($AF$9:AF266)</f>
        <v>1488928759</v>
      </c>
      <c r="AK267" s="5">
        <f t="shared" si="36"/>
        <v>259</v>
      </c>
      <c r="AL267" s="5">
        <f t="shared" si="37"/>
        <v>37</v>
      </c>
      <c r="AM267" s="5">
        <f t="shared" si="38"/>
        <v>196612044</v>
      </c>
      <c r="AN267" s="5">
        <f>$AL$4*$AL$3^AL267*$AL$2</f>
        <v>49153010.970548205</v>
      </c>
      <c r="AO267" s="5">
        <f>IF(AL267=AL268,1,LOOKUP(MOD(AL267,$AL$1),$AN$1:$AN$5,$AO$1:$AO$5))</f>
        <v>4</v>
      </c>
      <c r="AP267" s="5">
        <f t="shared" si="39"/>
        <v>48038876</v>
      </c>
      <c r="AQ267" s="5">
        <f>AM267*$AR$3</f>
        <v>26214939.199999999</v>
      </c>
      <c r="AR267" s="5">
        <f>AM267*AL267*$AR$4</f>
        <v>21823936.884</v>
      </c>
      <c r="AS267" s="5">
        <f>SUM($AP$9:AP266)</f>
        <v>310001021</v>
      </c>
    </row>
    <row r="268" spans="1:45" x14ac:dyDescent="0.15">
      <c r="A268" s="5">
        <v>260</v>
      </c>
      <c r="J268" s="5">
        <f t="shared" si="32"/>
        <v>260</v>
      </c>
      <c r="K268" s="5">
        <f>SUM($AP$9:AP267)</f>
        <v>358039897</v>
      </c>
      <c r="L268" s="5">
        <f>LOOKUP(K268,AI:AI,AE:AE)</f>
        <v>232</v>
      </c>
      <c r="M268" s="5">
        <f>LOOKUP(L268,AE:AE,AG:AG)</f>
        <v>19116367</v>
      </c>
      <c r="N268" s="5">
        <f>AM268/M268/$K$1</f>
        <v>2.6912445236063944</v>
      </c>
      <c r="O268" s="5">
        <f>SUM($N$9:N268)</f>
        <v>930.92629141606255</v>
      </c>
      <c r="AE268" s="5">
        <f t="shared" si="33"/>
        <v>260</v>
      </c>
      <c r="AF268" s="5">
        <f t="shared" si="34"/>
        <v>85274992</v>
      </c>
      <c r="AG268" s="5">
        <f t="shared" si="35"/>
        <v>83982946</v>
      </c>
      <c r="AH268" s="5">
        <f>AG268*$AF$1</f>
        <v>839829460</v>
      </c>
      <c r="AI268" s="5">
        <f>SUM($AF$9:AF267)</f>
        <v>1569835407</v>
      </c>
      <c r="AK268" s="5">
        <f t="shared" si="36"/>
        <v>260</v>
      </c>
      <c r="AL268" s="5">
        <f t="shared" si="37"/>
        <v>38</v>
      </c>
      <c r="AM268" s="5">
        <f t="shared" si="38"/>
        <v>77170227</v>
      </c>
      <c r="AN268" s="5">
        <f>$AL$4*$AL$3^AL268*$AL$2</f>
        <v>77170227.223760679</v>
      </c>
      <c r="AO268" s="5">
        <f>IF(AL268=AL269,1,LOOKUP(MOD(AL268,$AL$1),$AN$1:$AN$5,$AO$1:$AO$5))</f>
        <v>1</v>
      </c>
      <c r="AP268" s="5">
        <f t="shared" si="39"/>
        <v>19086769</v>
      </c>
      <c r="AQ268" s="5">
        <f>AM268*$AR$3</f>
        <v>10289363.6</v>
      </c>
      <c r="AR268" s="5">
        <f>AM268*AL268*$AR$4</f>
        <v>8797405.8780000005</v>
      </c>
      <c r="AS268" s="5">
        <f>SUM($AP$9:AP267)</f>
        <v>358039897</v>
      </c>
    </row>
    <row r="269" spans="1:45" x14ac:dyDescent="0.15">
      <c r="A269" s="5">
        <v>261</v>
      </c>
      <c r="J269" s="5">
        <f t="shared" si="32"/>
        <v>261</v>
      </c>
      <c r="K269" s="5">
        <f>SUM($AP$9:AP268)</f>
        <v>377126666</v>
      </c>
      <c r="L269" s="5">
        <f>LOOKUP(K269,AI:AI,AE:AE)</f>
        <v>233</v>
      </c>
      <c r="M269" s="5">
        <f>LOOKUP(L269,AE:AE,AG:AG)</f>
        <v>20158704</v>
      </c>
      <c r="N269" s="5">
        <f>AM269/M269/$K$1</f>
        <v>2.552089558931963</v>
      </c>
      <c r="O269" s="5">
        <f>SUM($N$9:N269)</f>
        <v>933.47838097499448</v>
      </c>
      <c r="AE269" s="5">
        <f t="shared" si="33"/>
        <v>261</v>
      </c>
      <c r="AF269" s="5">
        <f t="shared" si="34"/>
        <v>89877903</v>
      </c>
      <c r="AG269" s="5">
        <f t="shared" si="35"/>
        <v>88521255</v>
      </c>
      <c r="AH269" s="5">
        <f>AG269*$AF$1</f>
        <v>885212550</v>
      </c>
      <c r="AI269" s="5">
        <f>SUM($AF$9:AF268)</f>
        <v>1655110399</v>
      </c>
      <c r="AK269" s="5">
        <f t="shared" si="36"/>
        <v>261</v>
      </c>
      <c r="AL269" s="5">
        <f t="shared" si="37"/>
        <v>38</v>
      </c>
      <c r="AM269" s="5">
        <f t="shared" si="38"/>
        <v>77170227</v>
      </c>
      <c r="AN269" s="5">
        <f>$AL$4*$AL$3^AL269*$AL$2</f>
        <v>77170227.223760679</v>
      </c>
      <c r="AO269" s="5">
        <f>IF(AL269=AL270,1,LOOKUP(MOD(AL269,$AL$1),$AN$1:$AN$5,$AO$1:$AO$5))</f>
        <v>1</v>
      </c>
      <c r="AP269" s="5">
        <f t="shared" si="39"/>
        <v>19086769</v>
      </c>
      <c r="AQ269" s="5">
        <f>AM269*$AR$3</f>
        <v>10289363.6</v>
      </c>
      <c r="AR269" s="5">
        <f>AM269*AL269*$AR$4</f>
        <v>8797405.8780000005</v>
      </c>
      <c r="AS269" s="5">
        <f>SUM($AP$9:AP268)</f>
        <v>377126666</v>
      </c>
    </row>
    <row r="270" spans="1:45" x14ac:dyDescent="0.15">
      <c r="A270" s="5">
        <v>262</v>
      </c>
      <c r="J270" s="5">
        <f t="shared" si="32"/>
        <v>262</v>
      </c>
      <c r="K270" s="5">
        <f>SUM($AP$9:AP269)</f>
        <v>396213435</v>
      </c>
      <c r="L270" s="5">
        <f>LOOKUP(K270,AI:AI,AE:AE)</f>
        <v>234</v>
      </c>
      <c r="M270" s="5">
        <f>LOOKUP(L270,AE:AE,AG:AG)</f>
        <v>21257483</v>
      </c>
      <c r="N270" s="5">
        <f>AM270/M270/$K$1</f>
        <v>2.4201744863208874</v>
      </c>
      <c r="O270" s="5">
        <f>SUM($N$9:N270)</f>
        <v>935.89855546131537</v>
      </c>
      <c r="AE270" s="5">
        <f t="shared" si="33"/>
        <v>262</v>
      </c>
      <c r="AF270" s="5">
        <f t="shared" si="34"/>
        <v>94727918</v>
      </c>
      <c r="AG270" s="5">
        <f t="shared" si="35"/>
        <v>93303438</v>
      </c>
      <c r="AH270" s="5">
        <f>AG270*$AF$1</f>
        <v>933034380</v>
      </c>
      <c r="AI270" s="5">
        <f>SUM($AF$9:AF269)</f>
        <v>1744988302</v>
      </c>
      <c r="AK270" s="5">
        <f t="shared" si="36"/>
        <v>262</v>
      </c>
      <c r="AL270" s="5">
        <f t="shared" si="37"/>
        <v>38</v>
      </c>
      <c r="AM270" s="5">
        <f t="shared" si="38"/>
        <v>77170227</v>
      </c>
      <c r="AN270" s="5">
        <f>$AL$4*$AL$3^AL270*$AL$2</f>
        <v>77170227.223760679</v>
      </c>
      <c r="AO270" s="5">
        <f>IF(AL270=AL271,1,LOOKUP(MOD(AL270,$AL$1),$AN$1:$AN$5,$AO$1:$AO$5))</f>
        <v>1</v>
      </c>
      <c r="AP270" s="5">
        <f t="shared" si="39"/>
        <v>19086769</v>
      </c>
      <c r="AQ270" s="5">
        <f>AM270*$AR$3</f>
        <v>10289363.6</v>
      </c>
      <c r="AR270" s="5">
        <f>AM270*AL270*$AR$4</f>
        <v>8797405.8780000005</v>
      </c>
      <c r="AS270" s="5">
        <f>SUM($AP$9:AP269)</f>
        <v>396213435</v>
      </c>
    </row>
    <row r="271" spans="1:45" x14ac:dyDescent="0.15">
      <c r="A271" s="5">
        <v>263</v>
      </c>
      <c r="J271" s="5">
        <f t="shared" si="32"/>
        <v>263</v>
      </c>
      <c r="K271" s="5">
        <f>SUM($AP$9:AP270)</f>
        <v>415300204</v>
      </c>
      <c r="L271" s="5">
        <f>LOOKUP(K271,AI:AI,AE:AE)</f>
        <v>234</v>
      </c>
      <c r="M271" s="5">
        <f>LOOKUP(L271,AE:AE,AG:AG)</f>
        <v>21257483</v>
      </c>
      <c r="N271" s="5">
        <f>AM271/M271/$K$1</f>
        <v>2.4201744863208874</v>
      </c>
      <c r="O271" s="5">
        <f>SUM($N$9:N271)</f>
        <v>938.31872994763626</v>
      </c>
      <c r="AE271" s="5">
        <f t="shared" si="33"/>
        <v>263</v>
      </c>
      <c r="AF271" s="5">
        <f t="shared" si="34"/>
        <v>99838240</v>
      </c>
      <c r="AG271" s="5">
        <f t="shared" si="35"/>
        <v>98342536</v>
      </c>
      <c r="AH271" s="5">
        <f>AG271*$AF$1</f>
        <v>983425360</v>
      </c>
      <c r="AI271" s="5">
        <f>SUM($AF$9:AF270)</f>
        <v>1839716220</v>
      </c>
      <c r="AK271" s="5">
        <f t="shared" si="36"/>
        <v>263</v>
      </c>
      <c r="AL271" s="5">
        <f t="shared" si="37"/>
        <v>38</v>
      </c>
      <c r="AM271" s="5">
        <f t="shared" si="38"/>
        <v>77170227</v>
      </c>
      <c r="AN271" s="5">
        <f>$AL$4*$AL$3^AL271*$AL$2</f>
        <v>77170227.223760679</v>
      </c>
      <c r="AO271" s="5">
        <f>IF(AL271=AL272,1,LOOKUP(MOD(AL271,$AL$1),$AN$1:$AN$5,$AO$1:$AO$5))</f>
        <v>1</v>
      </c>
      <c r="AP271" s="5">
        <f t="shared" si="39"/>
        <v>19086769</v>
      </c>
      <c r="AQ271" s="5">
        <f>AM271*$AR$3</f>
        <v>10289363.6</v>
      </c>
      <c r="AR271" s="5">
        <f>AM271*AL271*$AR$4</f>
        <v>8797405.8780000005</v>
      </c>
      <c r="AS271" s="5">
        <f>SUM($AP$9:AP270)</f>
        <v>415300204</v>
      </c>
    </row>
    <row r="272" spans="1:45" x14ac:dyDescent="0.15">
      <c r="A272" s="5">
        <v>264</v>
      </c>
      <c r="J272" s="5">
        <f t="shared" si="32"/>
        <v>264</v>
      </c>
      <c r="K272" s="5">
        <f>SUM($AP$9:AP271)</f>
        <v>434386973</v>
      </c>
      <c r="L272" s="5">
        <f>LOOKUP(K272,AI:AI,AE:AE)</f>
        <v>235</v>
      </c>
      <c r="M272" s="5">
        <f>LOOKUP(L272,AE:AE,AG:AG)</f>
        <v>22415743</v>
      </c>
      <c r="N272" s="5">
        <f>AM272/M272/$K$1</f>
        <v>2.2951199074686035</v>
      </c>
      <c r="O272" s="5">
        <f>SUM($N$9:N272)</f>
        <v>940.61384985510483</v>
      </c>
      <c r="AE272" s="5">
        <f t="shared" si="33"/>
        <v>264</v>
      </c>
      <c r="AF272" s="5">
        <f t="shared" si="34"/>
        <v>105222774</v>
      </c>
      <c r="AG272" s="5">
        <f t="shared" si="35"/>
        <v>103652285</v>
      </c>
      <c r="AH272" s="5">
        <f>AG272*$AF$1</f>
        <v>1036522850</v>
      </c>
      <c r="AI272" s="5">
        <f>SUM($AF$9:AF271)</f>
        <v>1939554460</v>
      </c>
      <c r="AK272" s="5">
        <f t="shared" si="36"/>
        <v>264</v>
      </c>
      <c r="AL272" s="5">
        <f t="shared" si="37"/>
        <v>38</v>
      </c>
      <c r="AM272" s="5">
        <f t="shared" si="38"/>
        <v>77170227</v>
      </c>
      <c r="AN272" s="5">
        <f>$AL$4*$AL$3^AL272*$AL$2</f>
        <v>77170227.223760679</v>
      </c>
      <c r="AO272" s="5">
        <f>IF(AL272=AL273,1,LOOKUP(MOD(AL272,$AL$1),$AN$1:$AN$5,$AO$1:$AO$5))</f>
        <v>1</v>
      </c>
      <c r="AP272" s="5">
        <f t="shared" si="39"/>
        <v>19086769</v>
      </c>
      <c r="AQ272" s="5">
        <f>AM272*$AR$3</f>
        <v>10289363.6</v>
      </c>
      <c r="AR272" s="5">
        <f>AM272*AL272*$AR$4</f>
        <v>8797405.8780000005</v>
      </c>
      <c r="AS272" s="5">
        <f>SUM($AP$9:AP271)</f>
        <v>434386973</v>
      </c>
    </row>
    <row r="273" spans="1:45" x14ac:dyDescent="0.15">
      <c r="A273" s="5">
        <v>265</v>
      </c>
      <c r="J273" s="5">
        <f t="shared" si="32"/>
        <v>265</v>
      </c>
      <c r="K273" s="5">
        <f>SUM($AP$9:AP272)</f>
        <v>453473742</v>
      </c>
      <c r="L273" s="5">
        <f>LOOKUP(K273,AI:AI,AE:AE)</f>
        <v>236</v>
      </c>
      <c r="M273" s="5">
        <f>LOOKUP(L273,AE:AE,AG:AG)</f>
        <v>23636686</v>
      </c>
      <c r="N273" s="5">
        <f>AM273/M273/$K$1</f>
        <v>2.1765664611358799</v>
      </c>
      <c r="O273" s="5">
        <f>SUM($N$9:N273)</f>
        <v>942.79041631624068</v>
      </c>
      <c r="AE273" s="5">
        <f t="shared" si="33"/>
        <v>265</v>
      </c>
      <c r="AF273" s="5">
        <f t="shared" si="34"/>
        <v>110896166</v>
      </c>
      <c r="AG273" s="5">
        <f t="shared" si="35"/>
        <v>109247153</v>
      </c>
      <c r="AH273" s="5">
        <f>AG273*$AF$1</f>
        <v>1092471530</v>
      </c>
      <c r="AI273" s="5">
        <f>SUM($AF$9:AF272)</f>
        <v>2044777234</v>
      </c>
      <c r="AK273" s="5">
        <f t="shared" si="36"/>
        <v>265</v>
      </c>
      <c r="AL273" s="5">
        <f t="shared" si="37"/>
        <v>38</v>
      </c>
      <c r="AM273" s="5">
        <f t="shared" si="38"/>
        <v>77170227</v>
      </c>
      <c r="AN273" s="5">
        <f>$AL$4*$AL$3^AL273*$AL$2</f>
        <v>77170227.223760679</v>
      </c>
      <c r="AO273" s="5">
        <f>IF(AL273=AL274,1,LOOKUP(MOD(AL273,$AL$1),$AN$1:$AN$5,$AO$1:$AO$5))</f>
        <v>1</v>
      </c>
      <c r="AP273" s="5">
        <f t="shared" si="39"/>
        <v>19086769</v>
      </c>
      <c r="AQ273" s="5">
        <f>AM273*$AR$3</f>
        <v>10289363.6</v>
      </c>
      <c r="AR273" s="5">
        <f>AM273*AL273*$AR$4</f>
        <v>8797405.8780000005</v>
      </c>
      <c r="AS273" s="5">
        <f>SUM($AP$9:AP272)</f>
        <v>453473742</v>
      </c>
    </row>
    <row r="274" spans="1:45" x14ac:dyDescent="0.15">
      <c r="A274" s="5">
        <v>266</v>
      </c>
      <c r="J274" s="5">
        <f t="shared" si="32"/>
        <v>266</v>
      </c>
      <c r="K274" s="5">
        <f>SUM($AP$9:AP273)</f>
        <v>472560511</v>
      </c>
      <c r="L274" s="5">
        <f>LOOKUP(K274,AI:AI,AE:AE)</f>
        <v>237</v>
      </c>
      <c r="M274" s="5">
        <f>LOOKUP(L274,AE:AE,AG:AG)</f>
        <v>24923683</v>
      </c>
      <c r="N274" s="5">
        <f>AM274/M274/$K$1</f>
        <v>12.385043922548151</v>
      </c>
      <c r="O274" s="5">
        <f>SUM($N$9:N274)</f>
        <v>955.17546023878879</v>
      </c>
      <c r="AE274" s="5">
        <f t="shared" si="33"/>
        <v>266</v>
      </c>
      <c r="AF274" s="5">
        <f t="shared" si="34"/>
        <v>116873841</v>
      </c>
      <c r="AG274" s="5">
        <f t="shared" si="35"/>
        <v>115142377</v>
      </c>
      <c r="AH274" s="5">
        <f>AG274*$AF$1</f>
        <v>1151423770</v>
      </c>
      <c r="AI274" s="5">
        <f>SUM($AF$9:AF273)</f>
        <v>2155673400</v>
      </c>
      <c r="AK274" s="5">
        <f t="shared" si="36"/>
        <v>266</v>
      </c>
      <c r="AL274" s="5">
        <f t="shared" si="37"/>
        <v>38</v>
      </c>
      <c r="AM274" s="5">
        <f t="shared" si="38"/>
        <v>463021363</v>
      </c>
      <c r="AN274" s="5">
        <f>$AL$4*$AL$3^AL274*$AL$2</f>
        <v>77170227.223760679</v>
      </c>
      <c r="AO274" s="5">
        <f>IF(AL274=AL275,1,LOOKUP(MOD(AL274,$AL$1),$AN$1:$AN$5,$AO$1:$AO$5))</f>
        <v>6</v>
      </c>
      <c r="AP274" s="5">
        <f t="shared" si="39"/>
        <v>114520617</v>
      </c>
      <c r="AQ274" s="5">
        <f>AM274*$AR$3</f>
        <v>61736181.733333334</v>
      </c>
      <c r="AR274" s="5">
        <f>AM274*AL274*$AR$4</f>
        <v>52784435.381999999</v>
      </c>
      <c r="AS274" s="5">
        <f>SUM($AP$9:AP273)</f>
        <v>472560511</v>
      </c>
    </row>
    <row r="275" spans="1:45" x14ac:dyDescent="0.15">
      <c r="A275" s="5">
        <v>267</v>
      </c>
      <c r="J275" s="5">
        <f t="shared" si="32"/>
        <v>267</v>
      </c>
      <c r="K275" s="5">
        <f>SUM($AP$9:AP274)</f>
        <v>587081128</v>
      </c>
      <c r="L275" s="5">
        <f>LOOKUP(K275,AI:AI,AE:AE)</f>
        <v>241</v>
      </c>
      <c r="M275" s="5">
        <f>LOOKUP(L275,AE:AE,AG:AG)</f>
        <v>30806199</v>
      </c>
      <c r="N275" s="5">
        <f>AM275/M275/$K$1</f>
        <v>2.6219237454989712</v>
      </c>
      <c r="O275" s="5">
        <f>SUM($N$9:N275)</f>
        <v>957.79738398428776</v>
      </c>
      <c r="AE275" s="5">
        <f t="shared" si="33"/>
        <v>267</v>
      </c>
      <c r="AF275" s="5">
        <f t="shared" si="34"/>
        <v>123172042</v>
      </c>
      <c r="AG275" s="5">
        <f t="shared" si="35"/>
        <v>121354005</v>
      </c>
      <c r="AH275" s="5">
        <f>AG275*$AF$1</f>
        <v>1213540050</v>
      </c>
      <c r="AI275" s="5">
        <f>SUM($AF$9:AF274)</f>
        <v>2272547241</v>
      </c>
      <c r="AK275" s="5">
        <f t="shared" si="36"/>
        <v>267</v>
      </c>
      <c r="AL275" s="5">
        <f t="shared" si="37"/>
        <v>39</v>
      </c>
      <c r="AM275" s="5">
        <f t="shared" si="38"/>
        <v>121157257</v>
      </c>
      <c r="AN275" s="5">
        <f>$AL$4*$AL$3^AL275*$AL$2</f>
        <v>121157256.74130428</v>
      </c>
      <c r="AO275" s="5">
        <f>IF(AL275=AL276,1,LOOKUP(MOD(AL275,$AL$1),$AN$1:$AN$5,$AO$1:$AO$5))</f>
        <v>1</v>
      </c>
      <c r="AP275" s="5">
        <f t="shared" si="39"/>
        <v>30329700</v>
      </c>
      <c r="AQ275" s="5">
        <f>AM275*$AR$3</f>
        <v>16154300.933333334</v>
      </c>
      <c r="AR275" s="5">
        <f>AM275*AL275*$AR$4</f>
        <v>14175399.069</v>
      </c>
      <c r="AS275" s="5">
        <f>SUM($AP$9:AP274)</f>
        <v>587081128</v>
      </c>
    </row>
    <row r="276" spans="1:45" x14ac:dyDescent="0.15">
      <c r="A276" s="5">
        <v>268</v>
      </c>
      <c r="J276" s="5">
        <f t="shared" si="32"/>
        <v>268</v>
      </c>
      <c r="K276" s="5">
        <f>SUM($AP$9:AP275)</f>
        <v>617410828</v>
      </c>
      <c r="L276" s="5">
        <f>LOOKUP(K276,AI:AI,AE:AE)</f>
        <v>242</v>
      </c>
      <c r="M276" s="5">
        <f>LOOKUP(L276,AE:AE,AG:AG)</f>
        <v>32480727</v>
      </c>
      <c r="N276" s="5">
        <f>AM276/M276/$K$1</f>
        <v>2.4867517487113715</v>
      </c>
      <c r="O276" s="5">
        <f>SUM($N$9:N276)</f>
        <v>960.28413573299918</v>
      </c>
      <c r="AE276" s="5">
        <f t="shared" si="33"/>
        <v>268</v>
      </c>
      <c r="AF276" s="5">
        <f t="shared" si="34"/>
        <v>129807879</v>
      </c>
      <c r="AG276" s="5">
        <f t="shared" si="35"/>
        <v>127898940</v>
      </c>
      <c r="AH276" s="5">
        <f>AG276*$AF$1</f>
        <v>1278989400</v>
      </c>
      <c r="AI276" s="5">
        <f>SUM($AF$9:AF275)</f>
        <v>2395719283</v>
      </c>
      <c r="AK276" s="5">
        <f t="shared" si="36"/>
        <v>268</v>
      </c>
      <c r="AL276" s="5">
        <f t="shared" si="37"/>
        <v>39</v>
      </c>
      <c r="AM276" s="5">
        <f t="shared" si="38"/>
        <v>121157257</v>
      </c>
      <c r="AN276" s="5">
        <f>$AL$4*$AL$3^AL276*$AL$2</f>
        <v>121157256.74130428</v>
      </c>
      <c r="AO276" s="5">
        <f>IF(AL276=AL277,1,LOOKUP(MOD(AL276,$AL$1),$AN$1:$AN$5,$AO$1:$AO$5))</f>
        <v>1</v>
      </c>
      <c r="AP276" s="5">
        <f t="shared" si="39"/>
        <v>30329700</v>
      </c>
      <c r="AQ276" s="5">
        <f>AM276*$AR$3</f>
        <v>16154300.933333334</v>
      </c>
      <c r="AR276" s="5">
        <f>AM276*AL276*$AR$4</f>
        <v>14175399.069</v>
      </c>
      <c r="AS276" s="5">
        <f>SUM($AP$9:AP275)</f>
        <v>617410828</v>
      </c>
    </row>
    <row r="277" spans="1:45" x14ac:dyDescent="0.15">
      <c r="A277" s="5">
        <v>269</v>
      </c>
      <c r="J277" s="5">
        <f t="shared" si="32"/>
        <v>269</v>
      </c>
      <c r="K277" s="5">
        <f>SUM($AP$9:AP276)</f>
        <v>647740528</v>
      </c>
      <c r="L277" s="5">
        <f>LOOKUP(K277,AI:AI,AE:AE)</f>
        <v>243</v>
      </c>
      <c r="M277" s="5">
        <f>LOOKUP(L277,AE:AE,AG:AG)</f>
        <v>34245692</v>
      </c>
      <c r="N277" s="5">
        <f>AM277/M277/$K$1</f>
        <v>2.3585887727620358</v>
      </c>
      <c r="O277" s="5">
        <f>SUM($N$9:N277)</f>
        <v>962.64272450576118</v>
      </c>
      <c r="AE277" s="5">
        <f t="shared" si="33"/>
        <v>269</v>
      </c>
      <c r="AF277" s="5">
        <f t="shared" si="34"/>
        <v>136799370</v>
      </c>
      <c r="AG277" s="5">
        <f t="shared" si="35"/>
        <v>134794983</v>
      </c>
      <c r="AH277" s="5">
        <f>AG277*$AF$1</f>
        <v>1347949830</v>
      </c>
      <c r="AI277" s="5">
        <f>SUM($AF$9:AF276)</f>
        <v>2525527162</v>
      </c>
      <c r="AK277" s="5">
        <f t="shared" si="36"/>
        <v>269</v>
      </c>
      <c r="AL277" s="5">
        <f t="shared" si="37"/>
        <v>39</v>
      </c>
      <c r="AM277" s="5">
        <f t="shared" si="38"/>
        <v>121157257</v>
      </c>
      <c r="AN277" s="5">
        <f>$AL$4*$AL$3^AL277*$AL$2</f>
        <v>121157256.74130428</v>
      </c>
      <c r="AO277" s="5">
        <f>IF(AL277=AL278,1,LOOKUP(MOD(AL277,$AL$1),$AN$1:$AN$5,$AO$1:$AO$5))</f>
        <v>1</v>
      </c>
      <c r="AP277" s="5">
        <f t="shared" si="39"/>
        <v>30329700</v>
      </c>
      <c r="AQ277" s="5">
        <f>AM277*$AR$3</f>
        <v>16154300.933333334</v>
      </c>
      <c r="AR277" s="5">
        <f>AM277*AL277*$AR$4</f>
        <v>14175399.069</v>
      </c>
      <c r="AS277" s="5">
        <f>SUM($AP$9:AP276)</f>
        <v>647740528</v>
      </c>
    </row>
    <row r="278" spans="1:45" x14ac:dyDescent="0.15">
      <c r="A278" s="5">
        <v>270</v>
      </c>
      <c r="J278" s="5">
        <f t="shared" si="32"/>
        <v>270</v>
      </c>
      <c r="K278" s="5">
        <f>SUM($AP$9:AP277)</f>
        <v>678070228</v>
      </c>
      <c r="L278" s="5">
        <f>LOOKUP(K278,AI:AI,AE:AE)</f>
        <v>244</v>
      </c>
      <c r="M278" s="5">
        <f>LOOKUP(L278,AE:AE,AG:AG)</f>
        <v>36105952</v>
      </c>
      <c r="N278" s="5">
        <f>AM278/M278/$K$1</f>
        <v>2.2370689648805455</v>
      </c>
      <c r="O278" s="5">
        <f>SUM($N$9:N278)</f>
        <v>964.87979347064174</v>
      </c>
      <c r="AE278" s="5">
        <f t="shared" si="33"/>
        <v>270</v>
      </c>
      <c r="AF278" s="5">
        <f t="shared" si="34"/>
        <v>144165490</v>
      </c>
      <c r="AG278" s="5">
        <f t="shared" si="35"/>
        <v>142060884</v>
      </c>
      <c r="AH278" s="5">
        <f>AG278*$AF$1</f>
        <v>1420608840</v>
      </c>
      <c r="AI278" s="5">
        <f>SUM($AF$9:AF277)</f>
        <v>2662326532</v>
      </c>
      <c r="AK278" s="5">
        <f t="shared" si="36"/>
        <v>270</v>
      </c>
      <c r="AL278" s="5">
        <f t="shared" si="37"/>
        <v>39</v>
      </c>
      <c r="AM278" s="5">
        <f t="shared" si="38"/>
        <v>121157257</v>
      </c>
      <c r="AN278" s="5">
        <f>$AL$4*$AL$3^AL278*$AL$2</f>
        <v>121157256.74130428</v>
      </c>
      <c r="AO278" s="5">
        <f>IF(AL278=AL279,1,LOOKUP(MOD(AL278,$AL$1),$AN$1:$AN$5,$AO$1:$AO$5))</f>
        <v>1</v>
      </c>
      <c r="AP278" s="5">
        <f t="shared" si="39"/>
        <v>30329700</v>
      </c>
      <c r="AQ278" s="5">
        <f>AM278*$AR$3</f>
        <v>16154300.933333334</v>
      </c>
      <c r="AR278" s="5">
        <f>AM278*AL278*$AR$4</f>
        <v>14175399.069</v>
      </c>
      <c r="AS278" s="5">
        <f>SUM($AP$9:AP277)</f>
        <v>678070228</v>
      </c>
    </row>
    <row r="279" spans="1:45" x14ac:dyDescent="0.15">
      <c r="A279" s="5">
        <v>271</v>
      </c>
      <c r="J279" s="5">
        <f t="shared" si="32"/>
        <v>271</v>
      </c>
      <c r="K279" s="5">
        <f>SUM($AP$9:AP278)</f>
        <v>708399928</v>
      </c>
      <c r="L279" s="5">
        <f>LOOKUP(K279,AI:AI,AE:AE)</f>
        <v>244</v>
      </c>
      <c r="M279" s="5">
        <f>LOOKUP(L279,AE:AE,AG:AG)</f>
        <v>36105952</v>
      </c>
      <c r="N279" s="5">
        <f>AM279/M279/$K$1</f>
        <v>2.2370689648805455</v>
      </c>
      <c r="O279" s="5">
        <f>SUM($N$9:N279)</f>
        <v>967.11686243552231</v>
      </c>
      <c r="AE279" s="5">
        <f t="shared" si="33"/>
        <v>271</v>
      </c>
      <c r="AF279" s="5">
        <f t="shared" si="34"/>
        <v>151926223</v>
      </c>
      <c r="AG279" s="5">
        <f t="shared" si="35"/>
        <v>149716387</v>
      </c>
      <c r="AH279" s="5">
        <f>AG279*$AF$1</f>
        <v>1497163870</v>
      </c>
      <c r="AI279" s="5">
        <f>SUM($AF$9:AF278)</f>
        <v>2806492022</v>
      </c>
      <c r="AK279" s="5">
        <f t="shared" si="36"/>
        <v>271</v>
      </c>
      <c r="AL279" s="5">
        <f t="shared" si="37"/>
        <v>39</v>
      </c>
      <c r="AM279" s="5">
        <f t="shared" si="38"/>
        <v>121157257</v>
      </c>
      <c r="AN279" s="5">
        <f>$AL$4*$AL$3^AL279*$AL$2</f>
        <v>121157256.74130428</v>
      </c>
      <c r="AO279" s="5">
        <f>IF(AL279=AL280,1,LOOKUP(MOD(AL279,$AL$1),$AN$1:$AN$5,$AO$1:$AO$5))</f>
        <v>1</v>
      </c>
      <c r="AP279" s="5">
        <f t="shared" si="39"/>
        <v>30329700</v>
      </c>
      <c r="AQ279" s="5">
        <f>AM279*$AR$3</f>
        <v>16154300.933333334</v>
      </c>
      <c r="AR279" s="5">
        <f>AM279*AL279*$AR$4</f>
        <v>14175399.069</v>
      </c>
      <c r="AS279" s="5">
        <f>SUM($AP$9:AP278)</f>
        <v>708399928</v>
      </c>
    </row>
    <row r="280" spans="1:45" x14ac:dyDescent="0.15">
      <c r="A280" s="5">
        <v>272</v>
      </c>
      <c r="J280" s="5">
        <f t="shared" si="32"/>
        <v>272</v>
      </c>
      <c r="K280" s="5">
        <f>SUM($AP$9:AP279)</f>
        <v>738729628</v>
      </c>
      <c r="L280" s="5">
        <f>LOOKUP(K280,AI:AI,AE:AE)</f>
        <v>245</v>
      </c>
      <c r="M280" s="5">
        <f>LOOKUP(L280,AE:AE,AG:AG)</f>
        <v>38066623</v>
      </c>
      <c r="N280" s="5">
        <f>AM280/M280/$K$1</f>
        <v>2.1218458140262841</v>
      </c>
      <c r="O280" s="5">
        <f>SUM($N$9:N280)</f>
        <v>969.23870824954861</v>
      </c>
      <c r="AE280" s="5">
        <f t="shared" si="33"/>
        <v>272</v>
      </c>
      <c r="AF280" s="5">
        <f t="shared" si="34"/>
        <v>160102616</v>
      </c>
      <c r="AG280" s="5">
        <f t="shared" si="35"/>
        <v>157782289</v>
      </c>
      <c r="AH280" s="5">
        <f>AG280*$AF$1</f>
        <v>1577822890</v>
      </c>
      <c r="AI280" s="5">
        <f>SUM($AF$9:AF279)</f>
        <v>2958418245</v>
      </c>
      <c r="AK280" s="5">
        <f t="shared" si="36"/>
        <v>272</v>
      </c>
      <c r="AL280" s="5">
        <f t="shared" si="37"/>
        <v>39</v>
      </c>
      <c r="AM280" s="5">
        <f t="shared" si="38"/>
        <v>121157257</v>
      </c>
      <c r="AN280" s="5">
        <f>$AL$4*$AL$3^AL280*$AL$2</f>
        <v>121157256.74130428</v>
      </c>
      <c r="AO280" s="5">
        <f>IF(AL280=AL281,1,LOOKUP(MOD(AL280,$AL$1),$AN$1:$AN$5,$AO$1:$AO$5))</f>
        <v>1</v>
      </c>
      <c r="AP280" s="5">
        <f t="shared" si="39"/>
        <v>30329700</v>
      </c>
      <c r="AQ280" s="5">
        <f>AM280*$AR$3</f>
        <v>16154300.933333334</v>
      </c>
      <c r="AR280" s="5">
        <f>AM280*AL280*$AR$4</f>
        <v>14175399.069</v>
      </c>
      <c r="AS280" s="5">
        <f>SUM($AP$9:AP279)</f>
        <v>738729628</v>
      </c>
    </row>
    <row r="281" spans="1:45" x14ac:dyDescent="0.15">
      <c r="A281" s="5">
        <v>273</v>
      </c>
      <c r="J281" s="5">
        <f t="shared" si="32"/>
        <v>273</v>
      </c>
      <c r="K281" s="5">
        <f>SUM($AP$9:AP280)</f>
        <v>769059328</v>
      </c>
      <c r="L281" s="5">
        <f>LOOKUP(K281,AI:AI,AE:AE)</f>
        <v>246</v>
      </c>
      <c r="M281" s="5">
        <f>LOOKUP(L281,AE:AE,AG:AG)</f>
        <v>40133097</v>
      </c>
      <c r="N281" s="5">
        <f>AM281/M281/$K$1</f>
        <v>14.088136067179997</v>
      </c>
      <c r="O281" s="5">
        <f>SUM($N$9:N281)</f>
        <v>983.32684431672863</v>
      </c>
      <c r="AE281" s="5">
        <f t="shared" si="33"/>
        <v>273</v>
      </c>
      <c r="AF281" s="5">
        <f t="shared" si="34"/>
        <v>168716833</v>
      </c>
      <c r="AG281" s="5">
        <f t="shared" si="35"/>
        <v>166280489</v>
      </c>
      <c r="AH281" s="5">
        <f>AG281*$AF$1</f>
        <v>1662804890</v>
      </c>
      <c r="AI281" s="5">
        <f>SUM($AF$9:AF280)</f>
        <v>3118520861</v>
      </c>
      <c r="AK281" s="5">
        <f t="shared" si="36"/>
        <v>273</v>
      </c>
      <c r="AL281" s="5">
        <f t="shared" si="37"/>
        <v>39</v>
      </c>
      <c r="AM281" s="5">
        <f t="shared" si="38"/>
        <v>848100797</v>
      </c>
      <c r="AN281" s="5">
        <f>$AL$4*$AL$3^AL281*$AL$2</f>
        <v>121157256.74130428</v>
      </c>
      <c r="AO281" s="5">
        <f>IF(AL281=AL282,1,LOOKUP(MOD(AL281,$AL$1),$AN$1:$AN$5,$AO$1:$AO$5))</f>
        <v>7</v>
      </c>
      <c r="AP281" s="5">
        <f t="shared" si="39"/>
        <v>212307900</v>
      </c>
      <c r="AQ281" s="5">
        <f>AM281*$AR$3</f>
        <v>113080106.26666667</v>
      </c>
      <c r="AR281" s="5">
        <f>AM281*AL281*$AR$4</f>
        <v>99227793.248999998</v>
      </c>
      <c r="AS281" s="5">
        <f>SUM($AP$9:AP280)</f>
        <v>769059328</v>
      </c>
    </row>
    <row r="282" spans="1:45" x14ac:dyDescent="0.15">
      <c r="A282" s="5">
        <v>274</v>
      </c>
      <c r="J282" s="5">
        <f t="shared" si="32"/>
        <v>274</v>
      </c>
      <c r="K282" s="5">
        <f>SUM($AP$9:AP281)</f>
        <v>981367228</v>
      </c>
      <c r="L282" s="5">
        <f>LOOKUP(K282,AI:AI,AE:AE)</f>
        <v>251</v>
      </c>
      <c r="M282" s="5">
        <f>LOOKUP(L282,AE:AE,AG:AG)</f>
        <v>52262212</v>
      </c>
      <c r="N282" s="5">
        <f>AM282/M282/$K$1</f>
        <v>2.4264426848216831</v>
      </c>
      <c r="O282" s="5">
        <f>SUM($N$9:N282)</f>
        <v>985.75328700155035</v>
      </c>
      <c r="AE282" s="5">
        <f t="shared" si="33"/>
        <v>274</v>
      </c>
      <c r="AF282" s="5">
        <f t="shared" si="34"/>
        <v>177792215</v>
      </c>
      <c r="AG282" s="5">
        <f t="shared" si="35"/>
        <v>175234054</v>
      </c>
      <c r="AH282" s="5">
        <f>AG282*$AF$1</f>
        <v>1752340540</v>
      </c>
      <c r="AI282" s="5">
        <f>SUM($AF$9:AF281)</f>
        <v>3287237694</v>
      </c>
      <c r="AK282" s="5">
        <f t="shared" si="36"/>
        <v>274</v>
      </c>
      <c r="AL282" s="5">
        <f t="shared" si="37"/>
        <v>40</v>
      </c>
      <c r="AM282" s="5">
        <f t="shared" si="38"/>
        <v>190216893</v>
      </c>
      <c r="AN282" s="5">
        <f>$AL$4*$AL$3^AL282*$AL$2</f>
        <v>190216893.0838477</v>
      </c>
      <c r="AO282" s="5">
        <f>IF(AL282=AL283,1,LOOKUP(MOD(AL282,$AL$1),$AN$1:$AN$5,$AO$1:$AO$5))</f>
        <v>1</v>
      </c>
      <c r="AP282" s="5">
        <f t="shared" si="39"/>
        <v>48188280</v>
      </c>
      <c r="AQ282" s="5">
        <f>AM282*$AR$3</f>
        <v>25362252.399999999</v>
      </c>
      <c r="AR282" s="5">
        <f>AM282*AL282*$AR$4</f>
        <v>22826027.16</v>
      </c>
      <c r="AS282" s="5">
        <f>SUM($AP$9:AP281)</f>
        <v>981367228</v>
      </c>
    </row>
    <row r="283" spans="1:45" x14ac:dyDescent="0.15">
      <c r="A283" s="5">
        <v>275</v>
      </c>
      <c r="J283" s="5">
        <f t="shared" si="32"/>
        <v>275</v>
      </c>
      <c r="K283" s="5">
        <f>SUM($AP$9:AP282)</f>
        <v>1029555508</v>
      </c>
      <c r="L283" s="5">
        <f>LOOKUP(K283,AI:AI,AE:AE)</f>
        <v>252</v>
      </c>
      <c r="M283" s="5">
        <f>LOOKUP(L283,AE:AE,AG:AG)</f>
        <v>55093949</v>
      </c>
      <c r="N283" s="5">
        <f>AM283/M283/$K$1</f>
        <v>2.301727581734974</v>
      </c>
      <c r="O283" s="5">
        <f>SUM($N$9:N283)</f>
        <v>988.05501458328536</v>
      </c>
      <c r="AE283" s="5">
        <f t="shared" si="33"/>
        <v>275</v>
      </c>
      <c r="AF283" s="5">
        <f t="shared" si="34"/>
        <v>187353343</v>
      </c>
      <c r="AG283" s="5">
        <f t="shared" si="35"/>
        <v>184667274</v>
      </c>
      <c r="AH283" s="5">
        <f>AG283*$AF$1</f>
        <v>1846672740</v>
      </c>
      <c r="AI283" s="5">
        <f>SUM($AF$9:AF282)</f>
        <v>3465029909</v>
      </c>
      <c r="AK283" s="5">
        <f t="shared" si="36"/>
        <v>275</v>
      </c>
      <c r="AL283" s="5">
        <f t="shared" si="37"/>
        <v>40</v>
      </c>
      <c r="AM283" s="5">
        <f t="shared" si="38"/>
        <v>190216893</v>
      </c>
      <c r="AN283" s="5">
        <f>$AL$4*$AL$3^AL283*$AL$2</f>
        <v>190216893.0838477</v>
      </c>
      <c r="AO283" s="5">
        <f>IF(AL283=AL284,1,LOOKUP(MOD(AL283,$AL$1),$AN$1:$AN$5,$AO$1:$AO$5))</f>
        <v>1</v>
      </c>
      <c r="AP283" s="5">
        <f t="shared" si="39"/>
        <v>48188280</v>
      </c>
      <c r="AQ283" s="5">
        <f>AM283*$AR$3</f>
        <v>25362252.399999999</v>
      </c>
      <c r="AR283" s="5">
        <f>AM283*AL283*$AR$4</f>
        <v>22826027.16</v>
      </c>
      <c r="AS283" s="5">
        <f>SUM($AP$9:AP282)</f>
        <v>1029555508</v>
      </c>
    </row>
    <row r="284" spans="1:45" x14ac:dyDescent="0.15">
      <c r="A284" s="5">
        <v>276</v>
      </c>
      <c r="J284" s="5">
        <f t="shared" si="32"/>
        <v>276</v>
      </c>
      <c r="K284" s="5">
        <f>SUM($AP$9:AP283)</f>
        <v>1077743788</v>
      </c>
      <c r="L284" s="5">
        <f>LOOKUP(K284,AI:AI,AE:AE)</f>
        <v>252</v>
      </c>
      <c r="M284" s="5">
        <f>LOOKUP(L284,AE:AE,AG:AG)</f>
        <v>55093949</v>
      </c>
      <c r="N284" s="5">
        <f>AM284/M284/$K$1</f>
        <v>2.301727581734974</v>
      </c>
      <c r="O284" s="5">
        <f>SUM($N$9:N284)</f>
        <v>990.35674216502036</v>
      </c>
      <c r="AE284" s="5">
        <f t="shared" si="33"/>
        <v>276</v>
      </c>
      <c r="AF284" s="5">
        <f t="shared" si="34"/>
        <v>197426104</v>
      </c>
      <c r="AG284" s="5">
        <f t="shared" si="35"/>
        <v>194605731</v>
      </c>
      <c r="AH284" s="5">
        <f>AG284*$AF$1</f>
        <v>1946057310</v>
      </c>
      <c r="AI284" s="5">
        <f>SUM($AF$9:AF283)</f>
        <v>3652383252</v>
      </c>
      <c r="AK284" s="5">
        <f t="shared" si="36"/>
        <v>276</v>
      </c>
      <c r="AL284" s="5">
        <f t="shared" si="37"/>
        <v>40</v>
      </c>
      <c r="AM284" s="5">
        <f t="shared" si="38"/>
        <v>190216893</v>
      </c>
      <c r="AN284" s="5">
        <f>$AL$4*$AL$3^AL284*$AL$2</f>
        <v>190216893.0838477</v>
      </c>
      <c r="AO284" s="5">
        <f>IF(AL284=AL285,1,LOOKUP(MOD(AL284,$AL$1),$AN$1:$AN$5,$AO$1:$AO$5))</f>
        <v>1</v>
      </c>
      <c r="AP284" s="5">
        <f t="shared" si="39"/>
        <v>48188280</v>
      </c>
      <c r="AQ284" s="5">
        <f>AM284*$AR$3</f>
        <v>25362252.399999999</v>
      </c>
      <c r="AR284" s="5">
        <f>AM284*AL284*$AR$4</f>
        <v>22826027.16</v>
      </c>
      <c r="AS284" s="5">
        <f>SUM($AP$9:AP283)</f>
        <v>1077743788</v>
      </c>
    </row>
    <row r="285" spans="1:45" x14ac:dyDescent="0.15">
      <c r="A285" s="5">
        <v>277</v>
      </c>
      <c r="J285" s="5">
        <f t="shared" si="32"/>
        <v>277</v>
      </c>
      <c r="K285" s="5">
        <f>SUM($AP$9:AP284)</f>
        <v>1125932068</v>
      </c>
      <c r="L285" s="5">
        <f>LOOKUP(K285,AI:AI,AE:AE)</f>
        <v>253</v>
      </c>
      <c r="M285" s="5">
        <f>LOOKUP(L285,AE:AE,AG:AG)</f>
        <v>58078205</v>
      </c>
      <c r="N285" s="5">
        <f>AM285/M285/$K$1</f>
        <v>2.1834569783966291</v>
      </c>
      <c r="O285" s="5">
        <f>SUM($N$9:N285)</f>
        <v>992.540199143417</v>
      </c>
      <c r="AE285" s="5">
        <f t="shared" si="33"/>
        <v>277</v>
      </c>
      <c r="AF285" s="5">
        <f t="shared" si="34"/>
        <v>208037757</v>
      </c>
      <c r="AG285" s="5">
        <f t="shared" si="35"/>
        <v>205076365</v>
      </c>
      <c r="AH285" s="5">
        <f>AG285*$AF$1</f>
        <v>2050763650</v>
      </c>
      <c r="AI285" s="5">
        <f>SUM($AF$9:AF284)</f>
        <v>3849809356</v>
      </c>
      <c r="AK285" s="5">
        <f t="shared" si="36"/>
        <v>277</v>
      </c>
      <c r="AL285" s="5">
        <f t="shared" si="37"/>
        <v>40</v>
      </c>
      <c r="AM285" s="5">
        <f t="shared" si="38"/>
        <v>190216893</v>
      </c>
      <c r="AN285" s="5">
        <f>$AL$4*$AL$3^AL285*$AL$2</f>
        <v>190216893.0838477</v>
      </c>
      <c r="AO285" s="5">
        <f>IF(AL285=AL286,1,LOOKUP(MOD(AL285,$AL$1),$AN$1:$AN$5,$AO$1:$AO$5))</f>
        <v>1</v>
      </c>
      <c r="AP285" s="5">
        <f t="shared" si="39"/>
        <v>48188280</v>
      </c>
      <c r="AQ285" s="5">
        <f>AM285*$AR$3</f>
        <v>25362252.399999999</v>
      </c>
      <c r="AR285" s="5">
        <f>AM285*AL285*$AR$4</f>
        <v>22826027.16</v>
      </c>
      <c r="AS285" s="5">
        <f>SUM($AP$9:AP284)</f>
        <v>1125932068</v>
      </c>
    </row>
    <row r="286" spans="1:45" x14ac:dyDescent="0.15">
      <c r="A286" s="5">
        <v>278</v>
      </c>
      <c r="J286" s="5">
        <f t="shared" si="32"/>
        <v>278</v>
      </c>
      <c r="K286" s="5">
        <f>SUM($AP$9:AP285)</f>
        <v>1174120348</v>
      </c>
      <c r="L286" s="5">
        <f>LOOKUP(K286,AI:AI,AE:AE)</f>
        <v>254</v>
      </c>
      <c r="M286" s="5">
        <f>LOOKUP(L286,AE:AE,AG:AG)</f>
        <v>61223151</v>
      </c>
      <c r="N286" s="5">
        <f>AM286/M286/$K$1</f>
        <v>2.0712959056942366</v>
      </c>
      <c r="O286" s="5">
        <f>SUM($N$9:N286)</f>
        <v>994.61149504911123</v>
      </c>
      <c r="AE286" s="5">
        <f t="shared" si="33"/>
        <v>278</v>
      </c>
      <c r="AF286" s="5">
        <f t="shared" si="34"/>
        <v>219217010</v>
      </c>
      <c r="AG286" s="5">
        <f t="shared" si="35"/>
        <v>216107549</v>
      </c>
      <c r="AH286" s="5">
        <f>AG286*$AF$1</f>
        <v>2161075490</v>
      </c>
      <c r="AI286" s="5">
        <f>SUM($AF$9:AF285)</f>
        <v>4057847113</v>
      </c>
      <c r="AK286" s="5">
        <f t="shared" si="36"/>
        <v>278</v>
      </c>
      <c r="AL286" s="5">
        <f t="shared" si="37"/>
        <v>40</v>
      </c>
      <c r="AM286" s="5">
        <f t="shared" si="38"/>
        <v>190216893</v>
      </c>
      <c r="AN286" s="5">
        <f>$AL$4*$AL$3^AL286*$AL$2</f>
        <v>190216893.0838477</v>
      </c>
      <c r="AO286" s="5">
        <f>IF(AL286=AL287,1,LOOKUP(MOD(AL286,$AL$1),$AN$1:$AN$5,$AO$1:$AO$5))</f>
        <v>1</v>
      </c>
      <c r="AP286" s="5">
        <f t="shared" si="39"/>
        <v>48188280</v>
      </c>
      <c r="AQ286" s="5">
        <f>AM286*$AR$3</f>
        <v>25362252.399999999</v>
      </c>
      <c r="AR286" s="5">
        <f>AM286*AL286*$AR$4</f>
        <v>22826027.16</v>
      </c>
      <c r="AS286" s="5">
        <f>SUM($AP$9:AP285)</f>
        <v>1174120348</v>
      </c>
    </row>
    <row r="287" spans="1:45" x14ac:dyDescent="0.15">
      <c r="A287" s="5">
        <v>279</v>
      </c>
      <c r="J287" s="5">
        <f t="shared" si="32"/>
        <v>279</v>
      </c>
      <c r="K287" s="5">
        <f>SUM($AP$9:AP286)</f>
        <v>1222308628</v>
      </c>
      <c r="L287" s="5">
        <f>LOOKUP(K287,AI:AI,AE:AE)</f>
        <v>255</v>
      </c>
      <c r="M287" s="5">
        <f>LOOKUP(L287,AE:AE,AG:AG)</f>
        <v>64537397</v>
      </c>
      <c r="N287" s="5">
        <f>AM287/M287/$K$1</f>
        <v>1.9649268159978623</v>
      </c>
      <c r="O287" s="5">
        <f>SUM($N$9:N287)</f>
        <v>996.57642186510907</v>
      </c>
      <c r="AE287" s="5">
        <f t="shared" si="33"/>
        <v>279</v>
      </c>
      <c r="AF287" s="5">
        <f t="shared" si="34"/>
        <v>230994094</v>
      </c>
      <c r="AG287" s="5">
        <f t="shared" si="35"/>
        <v>227729160</v>
      </c>
      <c r="AH287" s="5">
        <f>AG287*$AF$1</f>
        <v>2277291600</v>
      </c>
      <c r="AI287" s="5">
        <f>SUM($AF$9:AF286)</f>
        <v>4277064123</v>
      </c>
      <c r="AK287" s="5">
        <f t="shared" si="36"/>
        <v>279</v>
      </c>
      <c r="AL287" s="5">
        <f t="shared" si="37"/>
        <v>40</v>
      </c>
      <c r="AM287" s="5">
        <f t="shared" si="38"/>
        <v>190216893</v>
      </c>
      <c r="AN287" s="5">
        <f>$AL$4*$AL$3^AL287*$AL$2</f>
        <v>190216893.0838477</v>
      </c>
      <c r="AO287" s="5">
        <f>IF(AL287=AL288,1,LOOKUP(MOD(AL287,$AL$1),$AN$1:$AN$5,$AO$1:$AO$5))</f>
        <v>1</v>
      </c>
      <c r="AP287" s="5">
        <f t="shared" si="39"/>
        <v>48188280</v>
      </c>
      <c r="AQ287" s="5">
        <f>AM287*$AR$3</f>
        <v>25362252.399999999</v>
      </c>
      <c r="AR287" s="5">
        <f>AM287*AL287*$AR$4</f>
        <v>22826027.16</v>
      </c>
      <c r="AS287" s="5">
        <f>SUM($AP$9:AP286)</f>
        <v>1222308628</v>
      </c>
    </row>
    <row r="288" spans="1:45" x14ac:dyDescent="0.15">
      <c r="A288" s="5">
        <v>280</v>
      </c>
      <c r="J288" s="5">
        <f t="shared" si="32"/>
        <v>280</v>
      </c>
      <c r="K288" s="5">
        <f>SUM($AP$9:AP287)</f>
        <v>1270496908</v>
      </c>
      <c r="L288" s="5">
        <f>LOOKUP(K288,AI:AI,AE:AE)</f>
        <v>256</v>
      </c>
      <c r="M288" s="5">
        <f>LOOKUP(L288,AE:AE,AG:AG)</f>
        <v>68030009</v>
      </c>
      <c r="N288" s="5">
        <f>AM288/M288/$K$1</f>
        <v>13.04834216127572</v>
      </c>
      <c r="O288" s="5">
        <f>SUM($N$9:N288)</f>
        <v>1009.6247640263848</v>
      </c>
      <c r="AE288" s="5">
        <f t="shared" si="33"/>
        <v>280</v>
      </c>
      <c r="AF288" s="5">
        <f t="shared" si="34"/>
        <v>243400844</v>
      </c>
      <c r="AG288" s="5">
        <f t="shared" si="35"/>
        <v>239972663</v>
      </c>
      <c r="AH288" s="5">
        <f>AG288*$AF$1</f>
        <v>2399726630</v>
      </c>
      <c r="AI288" s="5">
        <f>SUM($AF$9:AF287)</f>
        <v>4508058217</v>
      </c>
      <c r="AK288" s="5">
        <f t="shared" si="36"/>
        <v>280</v>
      </c>
      <c r="AL288" s="5">
        <f t="shared" si="37"/>
        <v>40</v>
      </c>
      <c r="AM288" s="5">
        <f t="shared" si="38"/>
        <v>1331518252</v>
      </c>
      <c r="AN288" s="5">
        <f>$AL$4*$AL$3^AL288*$AL$2</f>
        <v>190216893.0838477</v>
      </c>
      <c r="AO288" s="5">
        <f>IF(AL288=AL289,1,LOOKUP(MOD(AL288,$AL$1),$AN$1:$AN$5,$AO$1:$AO$5))</f>
        <v>7</v>
      </c>
      <c r="AP288" s="5">
        <f t="shared" si="39"/>
        <v>337317957</v>
      </c>
      <c r="AQ288" s="5">
        <f>AM288*$AR$3</f>
        <v>177535766.93333334</v>
      </c>
      <c r="AR288" s="5">
        <f>AM288*AL288*$AR$4</f>
        <v>159782190.24000001</v>
      </c>
      <c r="AS288" s="5">
        <f>SUM($AP$9:AP287)</f>
        <v>1270496908</v>
      </c>
    </row>
    <row r="289" spans="1:45" x14ac:dyDescent="0.15">
      <c r="A289" s="5">
        <v>281</v>
      </c>
      <c r="J289" s="5">
        <f t="shared" si="32"/>
        <v>281</v>
      </c>
      <c r="K289" s="5">
        <f>SUM($AP$9:AP288)</f>
        <v>1607814865</v>
      </c>
      <c r="L289" s="5">
        <f>LOOKUP(K289,AI:AI,AE:AE)</f>
        <v>260</v>
      </c>
      <c r="M289" s="5">
        <f>LOOKUP(L289,AE:AE,AG:AG)</f>
        <v>83982946</v>
      </c>
      <c r="N289" s="5">
        <f>AM289/M289/$K$1</f>
        <v>2.3706441702263379</v>
      </c>
      <c r="O289" s="5">
        <f>SUM($N$9:N289)</f>
        <v>1011.9954081966112</v>
      </c>
      <c r="AE289" s="5">
        <f t="shared" si="33"/>
        <v>281</v>
      </c>
      <c r="AF289" s="5">
        <f t="shared" si="34"/>
        <v>256470784</v>
      </c>
      <c r="AG289" s="5">
        <f t="shared" si="35"/>
        <v>252871194</v>
      </c>
      <c r="AH289" s="5">
        <f>AG289*$AF$1</f>
        <v>2528711940</v>
      </c>
      <c r="AI289" s="5">
        <f>SUM($AF$9:AF288)</f>
        <v>4751459061</v>
      </c>
      <c r="AK289" s="5">
        <f t="shared" si="36"/>
        <v>281</v>
      </c>
      <c r="AL289" s="5">
        <f t="shared" si="37"/>
        <v>41</v>
      </c>
      <c r="AM289" s="5">
        <f t="shared" si="38"/>
        <v>298640522</v>
      </c>
      <c r="AN289" s="5">
        <f>$AL$4*$AL$3^AL289*$AL$2</f>
        <v>298640522.1416409</v>
      </c>
      <c r="AO289" s="5">
        <f>IF(AL289=AL290,1,LOOKUP(MOD(AL289,$AL$1),$AN$1:$AN$5,$AO$1:$AO$5))</f>
        <v>1</v>
      </c>
      <c r="AP289" s="5">
        <f t="shared" si="39"/>
        <v>76551520</v>
      </c>
      <c r="AQ289" s="5">
        <f>AM289*$AR$3</f>
        <v>39818736.266666666</v>
      </c>
      <c r="AR289" s="5">
        <f>AM289*AL289*$AR$4</f>
        <v>36732784.206</v>
      </c>
      <c r="AS289" s="5">
        <f>SUM($AP$9:AP288)</f>
        <v>1607814865</v>
      </c>
    </row>
    <row r="290" spans="1:45" x14ac:dyDescent="0.15">
      <c r="A290" s="5">
        <v>282</v>
      </c>
      <c r="J290" s="5">
        <f t="shared" si="32"/>
        <v>282</v>
      </c>
      <c r="K290" s="5">
        <f>SUM($AP$9:AP289)</f>
        <v>1684366385</v>
      </c>
      <c r="L290" s="5">
        <f>LOOKUP(K290,AI:AI,AE:AE)</f>
        <v>261</v>
      </c>
      <c r="M290" s="5">
        <f>LOOKUP(L290,AE:AE,AG:AG)</f>
        <v>88521255</v>
      </c>
      <c r="N290" s="5">
        <f>AM290/M290/$K$1</f>
        <v>2.2491059501283996</v>
      </c>
      <c r="O290" s="5">
        <f>SUM($N$9:N290)</f>
        <v>1014.2445141467396</v>
      </c>
      <c r="AE290" s="5">
        <f t="shared" si="33"/>
        <v>282</v>
      </c>
      <c r="AF290" s="5">
        <f t="shared" si="34"/>
        <v>270239215</v>
      </c>
      <c r="AG290" s="5">
        <f t="shared" si="35"/>
        <v>266459646</v>
      </c>
      <c r="AH290" s="5">
        <f>AG290*$AF$1</f>
        <v>2664596460</v>
      </c>
      <c r="AI290" s="5">
        <f>SUM($AF$9:AF289)</f>
        <v>5007929845</v>
      </c>
      <c r="AK290" s="5">
        <f t="shared" si="36"/>
        <v>282</v>
      </c>
      <c r="AL290" s="5">
        <f t="shared" si="37"/>
        <v>41</v>
      </c>
      <c r="AM290" s="5">
        <f t="shared" si="38"/>
        <v>298640522</v>
      </c>
      <c r="AN290" s="5">
        <f>$AL$4*$AL$3^AL290*$AL$2</f>
        <v>298640522.1416409</v>
      </c>
      <c r="AO290" s="5">
        <f>IF(AL290=AL291,1,LOOKUP(MOD(AL290,$AL$1),$AN$1:$AN$5,$AO$1:$AO$5))</f>
        <v>1</v>
      </c>
      <c r="AP290" s="5">
        <f t="shared" si="39"/>
        <v>76551520</v>
      </c>
      <c r="AQ290" s="5">
        <f>AM290*$AR$3</f>
        <v>39818736.266666666</v>
      </c>
      <c r="AR290" s="5">
        <f>AM290*AL290*$AR$4</f>
        <v>36732784.206</v>
      </c>
      <c r="AS290" s="5">
        <f>SUM($AP$9:AP289)</f>
        <v>1684366385</v>
      </c>
    </row>
    <row r="291" spans="1:45" x14ac:dyDescent="0.15">
      <c r="A291" s="5">
        <v>283</v>
      </c>
      <c r="J291" s="5">
        <f t="shared" si="32"/>
        <v>283</v>
      </c>
      <c r="K291" s="5">
        <f>SUM($AP$9:AP290)</f>
        <v>1760917905</v>
      </c>
      <c r="L291" s="5">
        <f>LOOKUP(K291,AI:AI,AE:AE)</f>
        <v>262</v>
      </c>
      <c r="M291" s="5">
        <f>LOOKUP(L291,AE:AE,AG:AG)</f>
        <v>93303438</v>
      </c>
      <c r="N291" s="5">
        <f>AM291/M291/$K$1</f>
        <v>2.1338300667263015</v>
      </c>
      <c r="O291" s="5">
        <f>SUM($N$9:N291)</f>
        <v>1016.3783442134659</v>
      </c>
      <c r="AE291" s="5">
        <f t="shared" si="33"/>
        <v>283</v>
      </c>
      <c r="AF291" s="5">
        <f t="shared" si="34"/>
        <v>284743313</v>
      </c>
      <c r="AG291" s="5">
        <f t="shared" si="35"/>
        <v>280774765</v>
      </c>
      <c r="AH291" s="5">
        <f>AG291*$AF$1</f>
        <v>2807747650</v>
      </c>
      <c r="AI291" s="5">
        <f>SUM($AF$9:AF290)</f>
        <v>5278169060</v>
      </c>
      <c r="AK291" s="5">
        <f t="shared" si="36"/>
        <v>283</v>
      </c>
      <c r="AL291" s="5">
        <f t="shared" si="37"/>
        <v>41</v>
      </c>
      <c r="AM291" s="5">
        <f t="shared" si="38"/>
        <v>298640522</v>
      </c>
      <c r="AN291" s="5">
        <f>$AL$4*$AL$3^AL291*$AL$2</f>
        <v>298640522.1416409</v>
      </c>
      <c r="AO291" s="5">
        <f>IF(AL291=AL292,1,LOOKUP(MOD(AL291,$AL$1),$AN$1:$AN$5,$AO$1:$AO$5))</f>
        <v>1</v>
      </c>
      <c r="AP291" s="5">
        <f t="shared" si="39"/>
        <v>76551520</v>
      </c>
      <c r="AQ291" s="5">
        <f>AM291*$AR$3</f>
        <v>39818736.266666666</v>
      </c>
      <c r="AR291" s="5">
        <f>AM291*AL291*$AR$4</f>
        <v>36732784.206</v>
      </c>
      <c r="AS291" s="5">
        <f>SUM($AP$9:AP290)</f>
        <v>1760917905</v>
      </c>
    </row>
    <row r="292" spans="1:45" x14ac:dyDescent="0.15">
      <c r="A292" s="5">
        <v>284</v>
      </c>
      <c r="J292" s="5">
        <f t="shared" si="32"/>
        <v>284</v>
      </c>
      <c r="K292" s="5">
        <f>SUM($AP$9:AP291)</f>
        <v>1837469425</v>
      </c>
      <c r="L292" s="5">
        <f>LOOKUP(K292,AI:AI,AE:AE)</f>
        <v>262</v>
      </c>
      <c r="M292" s="5">
        <f>LOOKUP(L292,AE:AE,AG:AG)</f>
        <v>93303438</v>
      </c>
      <c r="N292" s="5">
        <f>AM292/M292/$K$1</f>
        <v>2.1338300667263015</v>
      </c>
      <c r="O292" s="5">
        <f>SUM($N$9:N292)</f>
        <v>1018.5121742801922</v>
      </c>
      <c r="AE292" s="5">
        <f t="shared" si="33"/>
        <v>284</v>
      </c>
      <c r="AF292" s="5">
        <f t="shared" si="34"/>
        <v>300022222</v>
      </c>
      <c r="AG292" s="5">
        <f t="shared" si="35"/>
        <v>295855247</v>
      </c>
      <c r="AH292" s="5">
        <f>AG292*$AF$1</f>
        <v>2958552470</v>
      </c>
      <c r="AI292" s="5">
        <f>SUM($AF$9:AF291)</f>
        <v>5562912373</v>
      </c>
      <c r="AK292" s="5">
        <f t="shared" si="36"/>
        <v>284</v>
      </c>
      <c r="AL292" s="5">
        <f t="shared" si="37"/>
        <v>41</v>
      </c>
      <c r="AM292" s="5">
        <f t="shared" si="38"/>
        <v>298640522</v>
      </c>
      <c r="AN292" s="5">
        <f>$AL$4*$AL$3^AL292*$AL$2</f>
        <v>298640522.1416409</v>
      </c>
      <c r="AO292" s="5">
        <f>IF(AL292=AL293,1,LOOKUP(MOD(AL292,$AL$1),$AN$1:$AN$5,$AO$1:$AO$5))</f>
        <v>1</v>
      </c>
      <c r="AP292" s="5">
        <f t="shared" si="39"/>
        <v>76551520</v>
      </c>
      <c r="AQ292" s="5">
        <f>AM292*$AR$3</f>
        <v>39818736.266666666</v>
      </c>
      <c r="AR292" s="5">
        <f>AM292*AL292*$AR$4</f>
        <v>36732784.206</v>
      </c>
      <c r="AS292" s="5">
        <f>SUM($AP$9:AP291)</f>
        <v>1837469425</v>
      </c>
    </row>
    <row r="293" spans="1:45" x14ac:dyDescent="0.15">
      <c r="A293" s="5">
        <v>285</v>
      </c>
      <c r="J293" s="5">
        <f t="shared" si="32"/>
        <v>285</v>
      </c>
      <c r="K293" s="5">
        <f>SUM($AP$9:AP292)</f>
        <v>1914020945</v>
      </c>
      <c r="L293" s="5">
        <f>LOOKUP(K293,AI:AI,AE:AE)</f>
        <v>263</v>
      </c>
      <c r="M293" s="5">
        <f>LOOKUP(L293,AE:AE,AG:AG)</f>
        <v>98342536</v>
      </c>
      <c r="N293" s="5">
        <f>AM293/M293/$K$1</f>
        <v>2.0244920400805335</v>
      </c>
      <c r="O293" s="5">
        <f>SUM($N$9:N293)</f>
        <v>1020.5366663202727</v>
      </c>
      <c r="AE293" s="5">
        <f t="shared" si="33"/>
        <v>285</v>
      </c>
      <c r="AF293" s="5">
        <f t="shared" si="34"/>
        <v>316117164</v>
      </c>
      <c r="AG293" s="5">
        <f t="shared" si="35"/>
        <v>311741840</v>
      </c>
      <c r="AH293" s="5">
        <f>AG293*$AF$1</f>
        <v>3117418400</v>
      </c>
      <c r="AI293" s="5">
        <f>SUM($AF$9:AF292)</f>
        <v>5862934595</v>
      </c>
      <c r="AK293" s="5">
        <f t="shared" si="36"/>
        <v>285</v>
      </c>
      <c r="AL293" s="5">
        <f t="shared" si="37"/>
        <v>41</v>
      </c>
      <c r="AM293" s="5">
        <f t="shared" si="38"/>
        <v>298640522</v>
      </c>
      <c r="AN293" s="5">
        <f>$AL$4*$AL$3^AL293*$AL$2</f>
        <v>298640522.1416409</v>
      </c>
      <c r="AO293" s="5">
        <f>IF(AL293=AL294,1,LOOKUP(MOD(AL293,$AL$1),$AN$1:$AN$5,$AO$1:$AO$5))</f>
        <v>1</v>
      </c>
      <c r="AP293" s="5">
        <f t="shared" si="39"/>
        <v>76551520</v>
      </c>
      <c r="AQ293" s="5">
        <f>AM293*$AR$3</f>
        <v>39818736.266666666</v>
      </c>
      <c r="AR293" s="5">
        <f>AM293*AL293*$AR$4</f>
        <v>36732784.206</v>
      </c>
      <c r="AS293" s="5">
        <f>SUM($AP$9:AP292)</f>
        <v>1914020945</v>
      </c>
    </row>
    <row r="294" spans="1:45" x14ac:dyDescent="0.15">
      <c r="A294" s="5">
        <v>286</v>
      </c>
      <c r="J294" s="5">
        <f t="shared" si="32"/>
        <v>286</v>
      </c>
      <c r="K294" s="5">
        <f>SUM($AP$9:AP293)</f>
        <v>1990572465</v>
      </c>
      <c r="L294" s="5">
        <f>LOOKUP(K294,AI:AI,AE:AE)</f>
        <v>264</v>
      </c>
      <c r="M294" s="5">
        <f>LOOKUP(L294,AE:AE,AG:AG)</f>
        <v>103652285</v>
      </c>
      <c r="N294" s="5">
        <f>AM294/M294/$K$1</f>
        <v>1.9207842965867403</v>
      </c>
      <c r="O294" s="5">
        <f>SUM($N$9:N294)</f>
        <v>1022.4574506168594</v>
      </c>
      <c r="AE294" s="5">
        <f t="shared" si="33"/>
        <v>286</v>
      </c>
      <c r="AF294" s="5">
        <f t="shared" si="34"/>
        <v>333071545</v>
      </c>
      <c r="AG294" s="5">
        <f t="shared" si="35"/>
        <v>328477455</v>
      </c>
      <c r="AH294" s="5">
        <f>AG294*$AF$1</f>
        <v>3284774550</v>
      </c>
      <c r="AI294" s="5">
        <f>SUM($AF$9:AF293)</f>
        <v>6179051759</v>
      </c>
      <c r="AK294" s="5">
        <f t="shared" si="36"/>
        <v>286</v>
      </c>
      <c r="AL294" s="5">
        <f t="shared" si="37"/>
        <v>41</v>
      </c>
      <c r="AM294" s="5">
        <f t="shared" si="38"/>
        <v>298640522</v>
      </c>
      <c r="AN294" s="5">
        <f>$AL$4*$AL$3^AL294*$AL$2</f>
        <v>298640522.1416409</v>
      </c>
      <c r="AO294" s="5">
        <f>IF(AL294=AL295,1,LOOKUP(MOD(AL294,$AL$1),$AN$1:$AN$5,$AO$1:$AO$5))</f>
        <v>1</v>
      </c>
      <c r="AP294" s="5">
        <f t="shared" si="39"/>
        <v>76551520</v>
      </c>
      <c r="AQ294" s="5">
        <f>AM294*$AR$3</f>
        <v>39818736.266666666</v>
      </c>
      <c r="AR294" s="5">
        <f>AM294*AL294*$AR$4</f>
        <v>36732784.206</v>
      </c>
      <c r="AS294" s="5">
        <f>SUM($AP$9:AP293)</f>
        <v>1990572465</v>
      </c>
    </row>
    <row r="295" spans="1:45" x14ac:dyDescent="0.15">
      <c r="A295" s="5">
        <v>287</v>
      </c>
      <c r="J295" s="5">
        <f t="shared" si="32"/>
        <v>287</v>
      </c>
      <c r="K295" s="5">
        <f>SUM($AP$9:AP294)</f>
        <v>2067123985</v>
      </c>
      <c r="L295" s="5">
        <f>LOOKUP(K295,AI:AI,AE:AE)</f>
        <v>265</v>
      </c>
      <c r="M295" s="5">
        <f>LOOKUP(L295,AE:AE,AG:AG)</f>
        <v>109247153</v>
      </c>
      <c r="N295" s="5">
        <f>AM295/M295/$K$1</f>
        <v>12.756906992349721</v>
      </c>
      <c r="O295" s="5">
        <f>SUM($N$9:N295)</f>
        <v>1035.2143576092092</v>
      </c>
      <c r="AE295" s="5">
        <f t="shared" si="33"/>
        <v>287</v>
      </c>
      <c r="AF295" s="5">
        <f t="shared" si="34"/>
        <v>350931071</v>
      </c>
      <c r="AG295" s="5">
        <f t="shared" si="35"/>
        <v>346107276</v>
      </c>
      <c r="AH295" s="5">
        <f>AG295*$AF$1</f>
        <v>3461072760</v>
      </c>
      <c r="AI295" s="5">
        <f>SUM($AF$9:AF294)</f>
        <v>6512123304</v>
      </c>
      <c r="AK295" s="5">
        <f t="shared" si="36"/>
        <v>287</v>
      </c>
      <c r="AL295" s="5">
        <f t="shared" si="37"/>
        <v>41</v>
      </c>
      <c r="AM295" s="5">
        <f t="shared" si="38"/>
        <v>2090483655</v>
      </c>
      <c r="AN295" s="5">
        <f>$AL$4*$AL$3^AL295*$AL$2</f>
        <v>298640522.1416409</v>
      </c>
      <c r="AO295" s="5">
        <f>IF(AL295=AL296,1,LOOKUP(MOD(AL295,$AL$1),$AN$1:$AN$5,$AO$1:$AO$5))</f>
        <v>7</v>
      </c>
      <c r="AP295" s="5">
        <f t="shared" si="39"/>
        <v>535860644</v>
      </c>
      <c r="AQ295" s="5">
        <f>AM295*$AR$3</f>
        <v>278731154</v>
      </c>
      <c r="AR295" s="5">
        <f>AM295*AL295*$AR$4</f>
        <v>257129489.565</v>
      </c>
      <c r="AS295" s="5">
        <f>SUM($AP$9:AP294)</f>
        <v>2067123985</v>
      </c>
    </row>
    <row r="296" spans="1:45" x14ac:dyDescent="0.15">
      <c r="A296" s="5">
        <v>288</v>
      </c>
      <c r="J296" s="5">
        <f t="shared" si="32"/>
        <v>288</v>
      </c>
      <c r="K296" s="5">
        <f>SUM($AP$9:AP295)</f>
        <v>2602984629</v>
      </c>
      <c r="L296" s="5">
        <f>LOOKUP(K296,AI:AI,AE:AE)</f>
        <v>269</v>
      </c>
      <c r="M296" s="5">
        <f>LOOKUP(L296,AE:AE,AG:AG)</f>
        <v>134794983</v>
      </c>
      <c r="N296" s="5">
        <f>AM296/M296/$K$1</f>
        <v>2.3189073735778432</v>
      </c>
      <c r="O296" s="5">
        <f>SUM($N$9:N296)</f>
        <v>1037.5332649827869</v>
      </c>
      <c r="AE296" s="5">
        <f t="shared" si="33"/>
        <v>288</v>
      </c>
      <c r="AF296" s="5">
        <f t="shared" si="34"/>
        <v>369743871</v>
      </c>
      <c r="AG296" s="5">
        <f t="shared" si="35"/>
        <v>364678886</v>
      </c>
      <c r="AH296" s="5">
        <f>AG296*$AF$1</f>
        <v>3646788860</v>
      </c>
      <c r="AI296" s="5">
        <f>SUM($AF$9:AF295)</f>
        <v>6863054375</v>
      </c>
      <c r="AK296" s="5">
        <f t="shared" si="36"/>
        <v>288</v>
      </c>
      <c r="AL296" s="5">
        <f t="shared" si="37"/>
        <v>42</v>
      </c>
      <c r="AM296" s="5">
        <f t="shared" si="38"/>
        <v>468865620</v>
      </c>
      <c r="AN296" s="5">
        <f>$AL$4*$AL$3^AL296*$AL$2</f>
        <v>468865619.76237613</v>
      </c>
      <c r="AO296" s="5">
        <f>IF(AL296=AL297,1,LOOKUP(MOD(AL296,$AL$1),$AN$1:$AN$5,$AO$1:$AO$5))</f>
        <v>1</v>
      </c>
      <c r="AP296" s="5">
        <f t="shared" si="39"/>
        <v>121592484</v>
      </c>
      <c r="AQ296" s="5">
        <f>AM296*$AR$3</f>
        <v>62515416</v>
      </c>
      <c r="AR296" s="5">
        <f>AM296*AL296*$AR$4</f>
        <v>59077068.120000005</v>
      </c>
      <c r="AS296" s="5">
        <f>SUM($AP$9:AP295)</f>
        <v>2602984629</v>
      </c>
    </row>
    <row r="297" spans="1:45" x14ac:dyDescent="0.15">
      <c r="A297" s="5">
        <v>289</v>
      </c>
      <c r="J297" s="5">
        <f t="shared" si="32"/>
        <v>289</v>
      </c>
      <c r="K297" s="5">
        <f>SUM($AP$9:AP296)</f>
        <v>2724577113</v>
      </c>
      <c r="L297" s="5">
        <f>LOOKUP(K297,AI:AI,AE:AE)</f>
        <v>270</v>
      </c>
      <c r="M297" s="5">
        <f>LOOKUP(L297,AE:AE,AG:AG)</f>
        <v>142060884</v>
      </c>
      <c r="N297" s="5">
        <f>AM297/M297/$K$1</f>
        <v>2.2003036388257304</v>
      </c>
      <c r="O297" s="5">
        <f>SUM($N$9:N297)</f>
        <v>1039.7335686216127</v>
      </c>
      <c r="AE297" s="5">
        <f t="shared" si="33"/>
        <v>289</v>
      </c>
      <c r="AF297" s="5">
        <f t="shared" si="34"/>
        <v>389560623</v>
      </c>
      <c r="AG297" s="5">
        <f t="shared" si="35"/>
        <v>384242389</v>
      </c>
      <c r="AH297" s="5">
        <f>AG297*$AF$1</f>
        <v>3842423890</v>
      </c>
      <c r="AI297" s="5">
        <f>SUM($AF$9:AF296)</f>
        <v>7232798246</v>
      </c>
      <c r="AK297" s="5">
        <f t="shared" si="36"/>
        <v>289</v>
      </c>
      <c r="AL297" s="5">
        <f t="shared" si="37"/>
        <v>42</v>
      </c>
      <c r="AM297" s="5">
        <f t="shared" si="38"/>
        <v>468865620</v>
      </c>
      <c r="AN297" s="5">
        <f>$AL$4*$AL$3^AL297*$AL$2</f>
        <v>468865619.76237613</v>
      </c>
      <c r="AO297" s="5">
        <f>IF(AL297=AL298,1,LOOKUP(MOD(AL297,$AL$1),$AN$1:$AN$5,$AO$1:$AO$5))</f>
        <v>1</v>
      </c>
      <c r="AP297" s="5">
        <f t="shared" si="39"/>
        <v>121592484</v>
      </c>
      <c r="AQ297" s="5">
        <f>AM297*$AR$3</f>
        <v>62515416</v>
      </c>
      <c r="AR297" s="5">
        <f>AM297*AL297*$AR$4</f>
        <v>59077068.120000005</v>
      </c>
      <c r="AS297" s="5">
        <f>SUM($AP$9:AP296)</f>
        <v>2724577113</v>
      </c>
    </row>
    <row r="298" spans="1:45" x14ac:dyDescent="0.15">
      <c r="A298" s="5">
        <v>290</v>
      </c>
      <c r="J298" s="5">
        <f t="shared" si="32"/>
        <v>290</v>
      </c>
      <c r="K298" s="5">
        <f>SUM($AP$9:AP297)</f>
        <v>2846169597</v>
      </c>
      <c r="L298" s="5">
        <f>LOOKUP(K298,AI:AI,AE:AE)</f>
        <v>271</v>
      </c>
      <c r="M298" s="5">
        <f>LOOKUP(L298,AE:AE,AG:AG)</f>
        <v>149716387</v>
      </c>
      <c r="N298" s="5">
        <f>AM298/M298/$K$1</f>
        <v>2.0877947047974112</v>
      </c>
      <c r="O298" s="5">
        <f>SUM($N$9:N298)</f>
        <v>1041.8213633264102</v>
      </c>
      <c r="AE298" s="5">
        <f t="shared" si="33"/>
        <v>290</v>
      </c>
      <c r="AF298" s="5">
        <f t="shared" si="34"/>
        <v>410434690</v>
      </c>
      <c r="AG298" s="5">
        <f t="shared" si="35"/>
        <v>404850545</v>
      </c>
      <c r="AH298" s="5">
        <f>AG298*$AF$1</f>
        <v>4048505450</v>
      </c>
      <c r="AI298" s="5">
        <f>SUM($AF$9:AF297)</f>
        <v>7622358869</v>
      </c>
      <c r="AK298" s="5">
        <f t="shared" si="36"/>
        <v>290</v>
      </c>
      <c r="AL298" s="5">
        <f t="shared" si="37"/>
        <v>42</v>
      </c>
      <c r="AM298" s="5">
        <f t="shared" si="38"/>
        <v>468865620</v>
      </c>
      <c r="AN298" s="5">
        <f>$AL$4*$AL$3^AL298*$AL$2</f>
        <v>468865619.76237613</v>
      </c>
      <c r="AO298" s="5">
        <f>IF(AL298=AL299,1,LOOKUP(MOD(AL298,$AL$1),$AN$1:$AN$5,$AO$1:$AO$5))</f>
        <v>1</v>
      </c>
      <c r="AP298" s="5">
        <f t="shared" si="39"/>
        <v>121592484</v>
      </c>
      <c r="AQ298" s="5">
        <f>AM298*$AR$3</f>
        <v>62515416</v>
      </c>
      <c r="AR298" s="5">
        <f>AM298*AL298*$AR$4</f>
        <v>59077068.120000005</v>
      </c>
      <c r="AS298" s="5">
        <f>SUM($AP$9:AP297)</f>
        <v>2846169597</v>
      </c>
    </row>
    <row r="299" spans="1:45" x14ac:dyDescent="0.15">
      <c r="A299" s="5">
        <v>291</v>
      </c>
      <c r="J299" s="5">
        <f t="shared" si="32"/>
        <v>291</v>
      </c>
      <c r="K299" s="5">
        <f>SUM($AP$9:AP298)</f>
        <v>2967762081</v>
      </c>
      <c r="L299" s="5">
        <f>LOOKUP(K299,AI:AI,AE:AE)</f>
        <v>272</v>
      </c>
      <c r="M299" s="5">
        <f>LOOKUP(L299,AE:AE,AG:AG)</f>
        <v>157782289</v>
      </c>
      <c r="N299" s="5">
        <f>AM299/M299/$K$1</f>
        <v>1.9810656948955785</v>
      </c>
      <c r="O299" s="5">
        <f>SUM($N$9:N299)</f>
        <v>1043.8024290213057</v>
      </c>
      <c r="AE299" s="5">
        <f t="shared" si="33"/>
        <v>291</v>
      </c>
      <c r="AF299" s="5">
        <f t="shared" si="34"/>
        <v>432422263</v>
      </c>
      <c r="AG299" s="5">
        <f t="shared" si="35"/>
        <v>426558910</v>
      </c>
      <c r="AH299" s="5">
        <f>AG299*$AF$1</f>
        <v>4265589100</v>
      </c>
      <c r="AI299" s="5">
        <f>SUM($AF$9:AF298)</f>
        <v>8032793559</v>
      </c>
      <c r="AK299" s="5">
        <f t="shared" si="36"/>
        <v>291</v>
      </c>
      <c r="AL299" s="5">
        <f t="shared" si="37"/>
        <v>42</v>
      </c>
      <c r="AM299" s="5">
        <f t="shared" si="38"/>
        <v>468865620</v>
      </c>
      <c r="AN299" s="5">
        <f>$AL$4*$AL$3^AL299*$AL$2</f>
        <v>468865619.76237613</v>
      </c>
      <c r="AO299" s="5">
        <f>IF(AL299=AL300,1,LOOKUP(MOD(AL299,$AL$1),$AN$1:$AN$5,$AO$1:$AO$5))</f>
        <v>1</v>
      </c>
      <c r="AP299" s="5">
        <f t="shared" si="39"/>
        <v>121592484</v>
      </c>
      <c r="AQ299" s="5">
        <f>AM299*$AR$3</f>
        <v>62515416</v>
      </c>
      <c r="AR299" s="5">
        <f>AM299*AL299*$AR$4</f>
        <v>59077068.120000005</v>
      </c>
      <c r="AS299" s="5">
        <f>SUM($AP$9:AP298)</f>
        <v>2967762081</v>
      </c>
    </row>
    <row r="300" spans="1:45" x14ac:dyDescent="0.15">
      <c r="A300" s="5">
        <v>292</v>
      </c>
      <c r="J300" s="5">
        <f t="shared" si="32"/>
        <v>292</v>
      </c>
      <c r="K300" s="5">
        <f>SUM($AP$9:AP299)</f>
        <v>3089354565</v>
      </c>
      <c r="L300" s="5">
        <f>LOOKUP(K300,AI:AI,AE:AE)</f>
        <v>272</v>
      </c>
      <c r="M300" s="5">
        <f>LOOKUP(L300,AE:AE,AG:AG)</f>
        <v>157782289</v>
      </c>
      <c r="N300" s="5">
        <f>AM300/M300/$K$1</f>
        <v>1.9810656948955785</v>
      </c>
      <c r="O300" s="5">
        <f>SUM($N$9:N300)</f>
        <v>1045.7834947162012</v>
      </c>
      <c r="AE300" s="5">
        <f t="shared" si="33"/>
        <v>292</v>
      </c>
      <c r="AF300" s="5">
        <f t="shared" si="34"/>
        <v>455582506</v>
      </c>
      <c r="AG300" s="5">
        <f t="shared" si="35"/>
        <v>449425986</v>
      </c>
      <c r="AH300" s="5">
        <f>AG300*$AF$1</f>
        <v>4494259860</v>
      </c>
      <c r="AI300" s="5">
        <f>SUM($AF$9:AF299)</f>
        <v>8465215822</v>
      </c>
      <c r="AK300" s="5">
        <f t="shared" si="36"/>
        <v>292</v>
      </c>
      <c r="AL300" s="5">
        <f t="shared" si="37"/>
        <v>42</v>
      </c>
      <c r="AM300" s="5">
        <f t="shared" si="38"/>
        <v>468865620</v>
      </c>
      <c r="AN300" s="5">
        <f>$AL$4*$AL$3^AL300*$AL$2</f>
        <v>468865619.76237613</v>
      </c>
      <c r="AO300" s="5">
        <f>IF(AL300=AL301,1,LOOKUP(MOD(AL300,$AL$1),$AN$1:$AN$5,$AO$1:$AO$5))</f>
        <v>1</v>
      </c>
      <c r="AP300" s="5">
        <f t="shared" si="39"/>
        <v>121592484</v>
      </c>
      <c r="AQ300" s="5">
        <f>AM300*$AR$3</f>
        <v>62515416</v>
      </c>
      <c r="AR300" s="5">
        <f>AM300*AL300*$AR$4</f>
        <v>59077068.120000005</v>
      </c>
      <c r="AS300" s="5">
        <f>SUM($AP$9:AP299)</f>
        <v>3089354565</v>
      </c>
    </row>
    <row r="301" spans="1:45" x14ac:dyDescent="0.15">
      <c r="A301" s="5">
        <v>293</v>
      </c>
      <c r="J301" s="5">
        <f t="shared" si="32"/>
        <v>293</v>
      </c>
      <c r="K301" s="5">
        <f>SUM($AP$9:AP300)</f>
        <v>3210947049</v>
      </c>
      <c r="L301" s="5">
        <f>LOOKUP(K301,AI:AI,AE:AE)</f>
        <v>273</v>
      </c>
      <c r="M301" s="5">
        <f>LOOKUP(L301,AE:AE,AG:AG)</f>
        <v>166280489</v>
      </c>
      <c r="N301" s="5">
        <f>AM301/M301/$K$1</f>
        <v>1.8798181427046441</v>
      </c>
      <c r="O301" s="5">
        <f>SUM($N$9:N301)</f>
        <v>1047.6633128589058</v>
      </c>
      <c r="AE301" s="5">
        <f t="shared" si="33"/>
        <v>293</v>
      </c>
      <c r="AF301" s="5">
        <f t="shared" si="34"/>
        <v>479977718</v>
      </c>
      <c r="AG301" s="5">
        <f t="shared" si="35"/>
        <v>473513372</v>
      </c>
      <c r="AH301" s="5">
        <f>AG301*$AF$1</f>
        <v>4735133720</v>
      </c>
      <c r="AI301" s="5">
        <f>SUM($AF$9:AF300)</f>
        <v>8920798328</v>
      </c>
      <c r="AK301" s="5">
        <f t="shared" si="36"/>
        <v>293</v>
      </c>
      <c r="AL301" s="5">
        <f t="shared" si="37"/>
        <v>42</v>
      </c>
      <c r="AM301" s="5">
        <f t="shared" si="38"/>
        <v>468865620</v>
      </c>
      <c r="AN301" s="5">
        <f>$AL$4*$AL$3^AL301*$AL$2</f>
        <v>468865619.76237613</v>
      </c>
      <c r="AO301" s="5">
        <f>IF(AL301=AL302,1,LOOKUP(MOD(AL301,$AL$1),$AN$1:$AN$5,$AO$1:$AO$5))</f>
        <v>1</v>
      </c>
      <c r="AP301" s="5">
        <f t="shared" si="39"/>
        <v>121592484</v>
      </c>
      <c r="AQ301" s="5">
        <f>AM301*$AR$3</f>
        <v>62515416</v>
      </c>
      <c r="AR301" s="5">
        <f>AM301*AL301*$AR$4</f>
        <v>59077068.120000005</v>
      </c>
      <c r="AS301" s="5">
        <f>SUM($AP$9:AP300)</f>
        <v>3210947049</v>
      </c>
    </row>
    <row r="302" spans="1:45" x14ac:dyDescent="0.15">
      <c r="A302" s="5">
        <v>294</v>
      </c>
      <c r="J302" s="5">
        <f t="shared" si="32"/>
        <v>294</v>
      </c>
      <c r="K302" s="5">
        <f>SUM($AP$9:AP301)</f>
        <v>3332539533</v>
      </c>
      <c r="L302" s="5">
        <f>LOOKUP(K302,AI:AI,AE:AE)</f>
        <v>274</v>
      </c>
      <c r="M302" s="5">
        <f>LOOKUP(L302,AE:AE,AG:AG)</f>
        <v>175234054</v>
      </c>
      <c r="N302" s="5">
        <f>AM302/M302/$K$1</f>
        <v>17.837690376475948</v>
      </c>
      <c r="O302" s="5">
        <f>SUM($N$9:N302)</f>
        <v>1065.5010032353816</v>
      </c>
      <c r="AE302" s="5">
        <f t="shared" si="33"/>
        <v>294</v>
      </c>
      <c r="AF302" s="5">
        <f t="shared" si="34"/>
        <v>505673495</v>
      </c>
      <c r="AG302" s="5">
        <f t="shared" si="35"/>
        <v>498885931</v>
      </c>
      <c r="AH302" s="5">
        <f>AG302*$AF$1</f>
        <v>4988859310</v>
      </c>
      <c r="AI302" s="5">
        <f>SUM($AF$9:AF301)</f>
        <v>9400776046</v>
      </c>
      <c r="AK302" s="5">
        <f t="shared" si="36"/>
        <v>294</v>
      </c>
      <c r="AL302" s="5">
        <f t="shared" si="37"/>
        <v>42</v>
      </c>
      <c r="AM302" s="5">
        <f t="shared" si="38"/>
        <v>4688656198</v>
      </c>
      <c r="AN302" s="5">
        <f>$AL$4*$AL$3^AL302*$AL$2</f>
        <v>468865619.76237613</v>
      </c>
      <c r="AO302" s="5">
        <f>IF(AL302=AL303,1,LOOKUP(MOD(AL302,$AL$1),$AN$1:$AN$5,$AO$1:$AO$5))</f>
        <v>10</v>
      </c>
      <c r="AP302" s="5">
        <f t="shared" si="39"/>
        <v>1215924841</v>
      </c>
      <c r="AQ302" s="5">
        <f>AM302*$AR$3</f>
        <v>625154159.73333335</v>
      </c>
      <c r="AR302" s="5">
        <f>AM302*AL302*$AR$4</f>
        <v>590770680.94799995</v>
      </c>
      <c r="AS302" s="5">
        <f>SUM($AP$9:AP301)</f>
        <v>3332539533</v>
      </c>
    </row>
    <row r="303" spans="1:45" x14ac:dyDescent="0.15">
      <c r="A303" s="5">
        <v>295</v>
      </c>
      <c r="J303" s="5">
        <f t="shared" si="32"/>
        <v>295</v>
      </c>
      <c r="K303" s="5">
        <f>SUM($AP$9:AP302)</f>
        <v>4548464374</v>
      </c>
      <c r="L303" s="5">
        <f>LOOKUP(K303,AI:AI,AE:AE)</f>
        <v>280</v>
      </c>
      <c r="M303" s="5">
        <f>LOOKUP(L303,AE:AE,AG:AG)</f>
        <v>239972663</v>
      </c>
      <c r="N303" s="5">
        <f>AM303/M303/$K$1</f>
        <v>2.0450079988208212</v>
      </c>
      <c r="O303" s="5">
        <f>SUM($N$9:N303)</f>
        <v>1067.5460112342025</v>
      </c>
      <c r="AE303" s="5">
        <f t="shared" si="33"/>
        <v>295</v>
      </c>
      <c r="AF303" s="5">
        <f t="shared" si="34"/>
        <v>532738905</v>
      </c>
      <c r="AG303" s="5">
        <f t="shared" si="35"/>
        <v>525611963</v>
      </c>
      <c r="AH303" s="5">
        <f>AG303*$AF$1</f>
        <v>5256119630</v>
      </c>
      <c r="AI303" s="5">
        <f>SUM($AF$9:AF302)</f>
        <v>9906449541</v>
      </c>
      <c r="AK303" s="5">
        <f t="shared" si="36"/>
        <v>295</v>
      </c>
      <c r="AL303" s="5">
        <f t="shared" si="37"/>
        <v>43</v>
      </c>
      <c r="AM303" s="5">
        <f t="shared" si="38"/>
        <v>736119023</v>
      </c>
      <c r="AN303" s="5">
        <f>$AL$4*$AL$3^AL303*$AL$2</f>
        <v>736119023.02693057</v>
      </c>
      <c r="AO303" s="5">
        <f>IF(AL303=AL304,1,LOOKUP(MOD(AL303,$AL$1),$AN$1:$AN$5,$AO$1:$AO$5))</f>
        <v>1</v>
      </c>
      <c r="AP303" s="5">
        <f t="shared" si="39"/>
        <v>193108557</v>
      </c>
      <c r="AQ303" s="5">
        <f>AM303*$AR$3</f>
        <v>98149203.066666663</v>
      </c>
      <c r="AR303" s="5">
        <f>AM303*AL303*$AR$4</f>
        <v>94959353.967000008</v>
      </c>
      <c r="AS303" s="5">
        <f>SUM($AP$9:AP302)</f>
        <v>4548464374</v>
      </c>
    </row>
    <row r="304" spans="1:45" x14ac:dyDescent="0.15">
      <c r="A304" s="5">
        <v>296</v>
      </c>
      <c r="J304" s="5">
        <f t="shared" si="32"/>
        <v>296</v>
      </c>
      <c r="K304" s="5">
        <f>SUM($AP$9:AP303)</f>
        <v>4741572931</v>
      </c>
      <c r="L304" s="5">
        <f>LOOKUP(K304,AI:AI,AE:AE)</f>
        <v>280</v>
      </c>
      <c r="M304" s="5">
        <f>LOOKUP(L304,AE:AE,AG:AG)</f>
        <v>239972663</v>
      </c>
      <c r="N304" s="5">
        <f>AM304/M304/$K$1</f>
        <v>2.0450079988208212</v>
      </c>
      <c r="O304" s="5">
        <f>SUM($N$9:N304)</f>
        <v>1069.5910192330234</v>
      </c>
      <c r="AE304" s="5">
        <f t="shared" si="33"/>
        <v>296</v>
      </c>
      <c r="AF304" s="5">
        <f t="shared" si="34"/>
        <v>561246673</v>
      </c>
      <c r="AG304" s="5">
        <f t="shared" si="35"/>
        <v>553763384</v>
      </c>
      <c r="AH304" s="5">
        <f>AG304*$AF$1</f>
        <v>5537633840</v>
      </c>
      <c r="AI304" s="5">
        <f>SUM($AF$9:AF303)</f>
        <v>10439188446</v>
      </c>
      <c r="AK304" s="5">
        <f t="shared" si="36"/>
        <v>296</v>
      </c>
      <c r="AL304" s="5">
        <f t="shared" si="37"/>
        <v>43</v>
      </c>
      <c r="AM304" s="5">
        <f t="shared" si="38"/>
        <v>736119023</v>
      </c>
      <c r="AN304" s="5">
        <f>$AL$4*$AL$3^AL304*$AL$2</f>
        <v>736119023.02693057</v>
      </c>
      <c r="AO304" s="5">
        <f>IF(AL304=AL305,1,LOOKUP(MOD(AL304,$AL$1),$AN$1:$AN$5,$AO$1:$AO$5))</f>
        <v>1</v>
      </c>
      <c r="AP304" s="5">
        <f t="shared" si="39"/>
        <v>193108557</v>
      </c>
      <c r="AQ304" s="5">
        <f>AM304*$AR$3</f>
        <v>98149203.066666663</v>
      </c>
      <c r="AR304" s="5">
        <f>AM304*AL304*$AR$4</f>
        <v>94959353.967000008</v>
      </c>
      <c r="AS304" s="5">
        <f>SUM($AP$9:AP303)</f>
        <v>4741572931</v>
      </c>
    </row>
    <row r="305" spans="1:45" x14ac:dyDescent="0.15">
      <c r="A305" s="5">
        <v>297</v>
      </c>
      <c r="J305" s="5">
        <f t="shared" si="32"/>
        <v>297</v>
      </c>
      <c r="K305" s="5">
        <f>SUM($AP$9:AP304)</f>
        <v>4934681488</v>
      </c>
      <c r="L305" s="5">
        <f>LOOKUP(K305,AI:AI,AE:AE)</f>
        <v>281</v>
      </c>
      <c r="M305" s="5">
        <f>LOOKUP(L305,AE:AE,AG:AG)</f>
        <v>252871194</v>
      </c>
      <c r="N305" s="5">
        <f>AM305/M305/$K$1</f>
        <v>1.9406956070027228</v>
      </c>
      <c r="O305" s="5">
        <f>SUM($N$9:N305)</f>
        <v>1071.5317148400261</v>
      </c>
      <c r="AE305" s="5">
        <f t="shared" si="33"/>
        <v>297</v>
      </c>
      <c r="AF305" s="5">
        <f t="shared" si="34"/>
        <v>591273370</v>
      </c>
      <c r="AG305" s="5">
        <f t="shared" si="35"/>
        <v>583415916</v>
      </c>
      <c r="AH305" s="5">
        <f>AG305*$AF$1</f>
        <v>5834159160</v>
      </c>
      <c r="AI305" s="5">
        <f>SUM($AF$9:AF304)</f>
        <v>11000435119</v>
      </c>
      <c r="AK305" s="5">
        <f t="shared" si="36"/>
        <v>297</v>
      </c>
      <c r="AL305" s="5">
        <f t="shared" si="37"/>
        <v>43</v>
      </c>
      <c r="AM305" s="5">
        <f t="shared" si="38"/>
        <v>736119023</v>
      </c>
      <c r="AN305" s="5">
        <f>$AL$4*$AL$3^AL305*$AL$2</f>
        <v>736119023.02693057</v>
      </c>
      <c r="AO305" s="5">
        <f>IF(AL305=AL306,1,LOOKUP(MOD(AL305,$AL$1),$AN$1:$AN$5,$AO$1:$AO$5))</f>
        <v>1</v>
      </c>
      <c r="AP305" s="5">
        <f t="shared" si="39"/>
        <v>193108557</v>
      </c>
      <c r="AQ305" s="5">
        <f>AM305*$AR$3</f>
        <v>98149203.066666663</v>
      </c>
      <c r="AR305" s="5">
        <f>AM305*AL305*$AR$4</f>
        <v>94959353.967000008</v>
      </c>
      <c r="AS305" s="5">
        <f>SUM($AP$9:AP304)</f>
        <v>4934681488</v>
      </c>
    </row>
    <row r="306" spans="1:45" x14ac:dyDescent="0.15">
      <c r="A306" s="5">
        <v>298</v>
      </c>
      <c r="J306" s="5">
        <f t="shared" si="32"/>
        <v>298</v>
      </c>
      <c r="K306" s="5">
        <f>SUM($AP$9:AP305)</f>
        <v>5127790045</v>
      </c>
      <c r="L306" s="5">
        <f>LOOKUP(K306,AI:AI,AE:AE)</f>
        <v>282</v>
      </c>
      <c r="M306" s="5">
        <f>LOOKUP(L306,AE:AE,AG:AG)</f>
        <v>266459646</v>
      </c>
      <c r="N306" s="5">
        <f>AM306/M306/$K$1</f>
        <v>1.8417273410823842</v>
      </c>
      <c r="O306" s="5">
        <f>SUM($N$9:N306)</f>
        <v>1073.3734421811084</v>
      </c>
      <c r="AE306" s="5">
        <f t="shared" si="33"/>
        <v>298</v>
      </c>
      <c r="AF306" s="5">
        <f t="shared" si="34"/>
        <v>622899620</v>
      </c>
      <c r="AG306" s="5">
        <f t="shared" si="35"/>
        <v>614649294</v>
      </c>
      <c r="AH306" s="5">
        <f>AG306*$AF$1</f>
        <v>6146492940</v>
      </c>
      <c r="AI306" s="5">
        <f>SUM($AF$9:AF305)</f>
        <v>11591708489</v>
      </c>
      <c r="AK306" s="5">
        <f t="shared" si="36"/>
        <v>298</v>
      </c>
      <c r="AL306" s="5">
        <f t="shared" si="37"/>
        <v>43</v>
      </c>
      <c r="AM306" s="5">
        <f t="shared" si="38"/>
        <v>736119023</v>
      </c>
      <c r="AN306" s="5">
        <f>$AL$4*$AL$3^AL306*$AL$2</f>
        <v>736119023.02693057</v>
      </c>
      <c r="AO306" s="5">
        <f>IF(AL306=AL307,1,LOOKUP(MOD(AL306,$AL$1),$AN$1:$AN$5,$AO$1:$AO$5))</f>
        <v>1</v>
      </c>
      <c r="AP306" s="5">
        <f t="shared" si="39"/>
        <v>193108557</v>
      </c>
      <c r="AQ306" s="5">
        <f>AM306*$AR$3</f>
        <v>98149203.066666663</v>
      </c>
      <c r="AR306" s="5">
        <f>AM306*AL306*$AR$4</f>
        <v>94959353.967000008</v>
      </c>
      <c r="AS306" s="5">
        <f>SUM($AP$9:AP305)</f>
        <v>5127790045</v>
      </c>
    </row>
    <row r="307" spans="1:45" x14ac:dyDescent="0.15">
      <c r="A307" s="5">
        <v>299</v>
      </c>
      <c r="J307" s="5">
        <f t="shared" si="32"/>
        <v>299</v>
      </c>
      <c r="K307" s="5">
        <f>SUM($AP$9:AP306)</f>
        <v>5320898602</v>
      </c>
      <c r="L307" s="5">
        <f>LOOKUP(K307,AI:AI,AE:AE)</f>
        <v>283</v>
      </c>
      <c r="M307" s="5">
        <f>LOOKUP(L307,AE:AE,AG:AG)</f>
        <v>280774765</v>
      </c>
      <c r="N307" s="5">
        <f>AM307/M307/$K$1</f>
        <v>1.7478280689980572</v>
      </c>
      <c r="O307" s="5">
        <f>SUM($N$9:N307)</f>
        <v>1075.1212702501066</v>
      </c>
      <c r="AE307" s="5">
        <f t="shared" si="33"/>
        <v>299</v>
      </c>
      <c r="AF307" s="5">
        <f t="shared" si="34"/>
        <v>656210311</v>
      </c>
      <c r="AG307" s="5">
        <f t="shared" si="35"/>
        <v>647547469</v>
      </c>
      <c r="AH307" s="5">
        <f>AG307*$AF$1</f>
        <v>6475474690</v>
      </c>
      <c r="AI307" s="5">
        <f>SUM($AF$9:AF306)</f>
        <v>12214608109</v>
      </c>
      <c r="AK307" s="5">
        <f t="shared" si="36"/>
        <v>299</v>
      </c>
      <c r="AL307" s="5">
        <f t="shared" si="37"/>
        <v>43</v>
      </c>
      <c r="AM307" s="5">
        <f t="shared" si="38"/>
        <v>736119023</v>
      </c>
      <c r="AN307" s="5">
        <f>$AL$4*$AL$3^AL307*$AL$2</f>
        <v>736119023.02693057</v>
      </c>
      <c r="AO307" s="5">
        <f>IF(AL307=AL308,1,LOOKUP(MOD(AL307,$AL$1),$AN$1:$AN$5,$AO$1:$AO$5))</f>
        <v>1</v>
      </c>
      <c r="AP307" s="5">
        <f t="shared" si="39"/>
        <v>193108557</v>
      </c>
      <c r="AQ307" s="5">
        <f>AM307*$AR$3</f>
        <v>98149203.066666663</v>
      </c>
      <c r="AR307" s="5">
        <f>AM307*AL307*$AR$4</f>
        <v>94959353.967000008</v>
      </c>
      <c r="AS307" s="5">
        <f>SUM($AP$9:AP306)</f>
        <v>5320898602</v>
      </c>
    </row>
    <row r="308" spans="1:45" x14ac:dyDescent="0.15">
      <c r="A308" s="5">
        <v>300</v>
      </c>
      <c r="J308" s="5">
        <f t="shared" si="32"/>
        <v>300</v>
      </c>
      <c r="K308" s="5">
        <f>SUM($AP$9:AP307)</f>
        <v>5514007159</v>
      </c>
      <c r="L308" s="5">
        <f>LOOKUP(K308,AI:AI,AE:AE)</f>
        <v>283</v>
      </c>
      <c r="M308" s="5">
        <f>LOOKUP(L308,AE:AE,AG:AG)</f>
        <v>280774765</v>
      </c>
      <c r="N308" s="5">
        <f>AM308/M308/$K$1</f>
        <v>1.7478280689980572</v>
      </c>
      <c r="O308" s="5">
        <f>SUM($N$9:N308)</f>
        <v>1076.8690983191048</v>
      </c>
      <c r="AE308" s="5">
        <f t="shared" si="33"/>
        <v>300</v>
      </c>
      <c r="AF308" s="5">
        <f t="shared" si="34"/>
        <v>691294823</v>
      </c>
      <c r="AG308" s="5">
        <f t="shared" si="35"/>
        <v>682198839</v>
      </c>
      <c r="AH308" s="5">
        <f>AG308*$AF$1</f>
        <v>6821988390</v>
      </c>
      <c r="AI308" s="5">
        <f>SUM($AF$9:AF307)</f>
        <v>12870818420</v>
      </c>
      <c r="AK308" s="5">
        <f t="shared" si="36"/>
        <v>300</v>
      </c>
      <c r="AL308" s="5">
        <f t="shared" si="37"/>
        <v>43</v>
      </c>
      <c r="AM308" s="5">
        <f t="shared" si="38"/>
        <v>736119023</v>
      </c>
      <c r="AN308" s="5">
        <f>$AL$4*$AL$3^AL308*$AL$2</f>
        <v>736119023.02693057</v>
      </c>
      <c r="AO308" s="5">
        <f>IF(AL308=AL309,1,LOOKUP(MOD(AL308,$AL$1),$AN$1:$AN$5,$AO$1:$AO$5))</f>
        <v>1</v>
      </c>
      <c r="AP308" s="5">
        <f t="shared" si="39"/>
        <v>193108557</v>
      </c>
      <c r="AQ308" s="5">
        <f>AM308*$AR$3</f>
        <v>98149203.066666663</v>
      </c>
      <c r="AR308" s="5">
        <f>AM308*AL308*$AR$4</f>
        <v>94959353.967000008</v>
      </c>
      <c r="AS308" s="5">
        <f>SUM($AP$9:AP307)</f>
        <v>5514007159</v>
      </c>
    </row>
    <row r="309" spans="1:45" x14ac:dyDescent="0.15">
      <c r="A309" s="5">
        <v>301</v>
      </c>
      <c r="J309" s="5">
        <f t="shared" si="32"/>
        <v>301</v>
      </c>
      <c r="K309" s="5">
        <f>SUM($AP$9:AP308)</f>
        <v>5707115716</v>
      </c>
      <c r="L309" s="5">
        <f>LOOKUP(K309,AI:AI,AE:AE)</f>
        <v>284</v>
      </c>
      <c r="M309" s="5">
        <f>LOOKUP(L309,AE:AE,AG:AG)</f>
        <v>295855247</v>
      </c>
      <c r="N309" s="5">
        <f>AM309/M309/$K$1</f>
        <v>3.3174738005125413</v>
      </c>
      <c r="O309" s="5">
        <f>SUM($N$9:N309)</f>
        <v>1080.1865721196173</v>
      </c>
      <c r="AE309" s="5">
        <f t="shared" si="33"/>
        <v>301</v>
      </c>
      <c r="AF309" s="5">
        <f t="shared" si="34"/>
        <v>728247260</v>
      </c>
      <c r="AG309" s="5">
        <f t="shared" si="35"/>
        <v>718696476</v>
      </c>
      <c r="AH309" s="5">
        <f>AG309*$AF$1</f>
        <v>7186964760</v>
      </c>
      <c r="AI309" s="5">
        <f>SUM($AF$9:AF308)</f>
        <v>13562113243</v>
      </c>
      <c r="AK309" s="5">
        <f t="shared" si="36"/>
        <v>301</v>
      </c>
      <c r="AL309" s="5">
        <f t="shared" si="37"/>
        <v>43</v>
      </c>
      <c r="AM309" s="5">
        <f t="shared" si="38"/>
        <v>1472238046</v>
      </c>
      <c r="AN309" s="5">
        <f>$AL$4*$AL$3^AL309*$AL$2</f>
        <v>736119023.02693057</v>
      </c>
      <c r="AO309" s="5">
        <f>IF(AL309=AL310,1,LOOKUP(MOD(AL309,$AL$1),$AN$1:$AN$5,$AO$1:$AO$5))</f>
        <v>2</v>
      </c>
      <c r="AP309" s="5">
        <f t="shared" si="39"/>
        <v>386217114</v>
      </c>
      <c r="AQ309" s="5">
        <f>AM309*$AR$3</f>
        <v>196298406.13333333</v>
      </c>
      <c r="AR309" s="5">
        <f>AM309*AL309*$AR$4</f>
        <v>189918707.93400002</v>
      </c>
      <c r="AS309" s="5">
        <f>SUM($AP$9:AP308)</f>
        <v>5707115716</v>
      </c>
    </row>
    <row r="310" spans="1:45" x14ac:dyDescent="0.15">
      <c r="A310" s="5">
        <v>302</v>
      </c>
      <c r="J310" s="5">
        <f t="shared" si="32"/>
        <v>302</v>
      </c>
      <c r="K310" s="5">
        <f>SUM($AP$9:AP309)</f>
        <v>6093332830</v>
      </c>
      <c r="L310" s="5">
        <f>LOOKUP(K310,AI:AI,AE:AE)</f>
        <v>285</v>
      </c>
      <c r="M310" s="5">
        <f>LOOKUP(L310,AE:AE,AG:AG)</f>
        <v>311741840</v>
      </c>
      <c r="N310" s="5">
        <f>AM310/M310/$K$1</f>
        <v>2.4715041266196414</v>
      </c>
      <c r="O310" s="5">
        <f>SUM($N$9:N310)</f>
        <v>1082.658076246237</v>
      </c>
      <c r="AE310" s="5">
        <f t="shared" si="33"/>
        <v>302</v>
      </c>
      <c r="AF310" s="5">
        <f t="shared" si="34"/>
        <v>767166704</v>
      </c>
      <c r="AG310" s="5">
        <f t="shared" si="35"/>
        <v>757138381</v>
      </c>
      <c r="AH310" s="5">
        <f>AG310*$AF$1</f>
        <v>7571383810</v>
      </c>
      <c r="AI310" s="5">
        <f>SUM($AF$9:AF309)</f>
        <v>14290360503</v>
      </c>
      <c r="AK310" s="5">
        <f t="shared" si="36"/>
        <v>302</v>
      </c>
      <c r="AL310" s="5">
        <f t="shared" si="37"/>
        <v>44</v>
      </c>
      <c r="AM310" s="5">
        <f t="shared" si="38"/>
        <v>1155706866</v>
      </c>
      <c r="AN310" s="5">
        <f>$AL$4*$AL$3^AL310*$AL$2</f>
        <v>1155706866.152281</v>
      </c>
      <c r="AO310" s="5">
        <f>IF(AL310=AL311,1,LOOKUP(MOD(AL310,$AL$1),$AN$1:$AN$5,$AO$1:$AO$5))</f>
        <v>1</v>
      </c>
      <c r="AP310" s="5">
        <f t="shared" si="39"/>
        <v>306647555</v>
      </c>
      <c r="AQ310" s="5">
        <f>AM310*$AR$3</f>
        <v>154094248.80000001</v>
      </c>
      <c r="AR310" s="5">
        <f>AM310*AL310*$AR$4</f>
        <v>152553306.31200001</v>
      </c>
      <c r="AS310" s="5">
        <f>SUM($AP$9:AP309)</f>
        <v>6093332830</v>
      </c>
    </row>
    <row r="311" spans="1:45" x14ac:dyDescent="0.15">
      <c r="A311" s="5">
        <v>303</v>
      </c>
      <c r="J311" s="5">
        <f t="shared" si="32"/>
        <v>303</v>
      </c>
      <c r="K311" s="5">
        <f>SUM($AP$9:AP310)</f>
        <v>6399980385</v>
      </c>
      <c r="L311" s="5">
        <f>LOOKUP(K311,AI:AI,AE:AE)</f>
        <v>286</v>
      </c>
      <c r="M311" s="5">
        <f>LOOKUP(L311,AE:AE,AG:AG)</f>
        <v>328477455</v>
      </c>
      <c r="N311" s="5">
        <f>AM311/M311/$K$1</f>
        <v>2.3455833338698997</v>
      </c>
      <c r="O311" s="5">
        <f>SUM($N$9:N311)</f>
        <v>1085.0036595801068</v>
      </c>
      <c r="AE311" s="5">
        <f t="shared" si="33"/>
        <v>303</v>
      </c>
      <c r="AF311" s="5">
        <f t="shared" si="34"/>
        <v>808157474</v>
      </c>
      <c r="AG311" s="5">
        <f t="shared" si="35"/>
        <v>797627735</v>
      </c>
      <c r="AH311" s="5">
        <f>AG311*$AF$1</f>
        <v>7976277350</v>
      </c>
      <c r="AI311" s="5">
        <f>SUM($AF$9:AF310)</f>
        <v>15057527207</v>
      </c>
      <c r="AK311" s="5">
        <f t="shared" si="36"/>
        <v>303</v>
      </c>
      <c r="AL311" s="5">
        <f t="shared" si="37"/>
        <v>44</v>
      </c>
      <c r="AM311" s="5">
        <f t="shared" si="38"/>
        <v>1155706866</v>
      </c>
      <c r="AN311" s="5">
        <f>$AL$4*$AL$3^AL311*$AL$2</f>
        <v>1155706866.152281</v>
      </c>
      <c r="AO311" s="5">
        <f>IF(AL311=AL312,1,LOOKUP(MOD(AL311,$AL$1),$AN$1:$AN$5,$AO$1:$AO$5))</f>
        <v>1</v>
      </c>
      <c r="AP311" s="5">
        <f t="shared" si="39"/>
        <v>306647555</v>
      </c>
      <c r="AQ311" s="5">
        <f>AM311*$AR$3</f>
        <v>154094248.80000001</v>
      </c>
      <c r="AR311" s="5">
        <f>AM311*AL311*$AR$4</f>
        <v>152553306.31200001</v>
      </c>
      <c r="AS311" s="5">
        <f>SUM($AP$9:AP310)</f>
        <v>6399980385</v>
      </c>
    </row>
    <row r="312" spans="1:45" x14ac:dyDescent="0.15">
      <c r="A312" s="5">
        <v>304</v>
      </c>
      <c r="J312" s="5">
        <f t="shared" si="32"/>
        <v>304</v>
      </c>
      <c r="K312" s="5">
        <f>SUM($AP$9:AP311)</f>
        <v>6706627940</v>
      </c>
      <c r="L312" s="5">
        <f>LOOKUP(K312,AI:AI,AE:AE)</f>
        <v>287</v>
      </c>
      <c r="M312" s="5">
        <f>LOOKUP(L312,AE:AE,AG:AG)</f>
        <v>346107276</v>
      </c>
      <c r="N312" s="5">
        <f>AM312/M312/$K$1</f>
        <v>2.2261053073036234</v>
      </c>
      <c r="O312" s="5">
        <f>SUM($N$9:N312)</f>
        <v>1087.2297648874105</v>
      </c>
      <c r="AE312" s="5">
        <f t="shared" si="33"/>
        <v>304</v>
      </c>
      <c r="AF312" s="5">
        <f t="shared" si="34"/>
        <v>851329404</v>
      </c>
      <c r="AG312" s="5">
        <f t="shared" si="35"/>
        <v>840273178</v>
      </c>
      <c r="AH312" s="5">
        <f>AG312*$AF$1</f>
        <v>8402731780</v>
      </c>
      <c r="AI312" s="5">
        <f>SUM($AF$9:AF311)</f>
        <v>15865684681</v>
      </c>
      <c r="AK312" s="5">
        <f t="shared" si="36"/>
        <v>304</v>
      </c>
      <c r="AL312" s="5">
        <f t="shared" si="37"/>
        <v>44</v>
      </c>
      <c r="AM312" s="5">
        <f t="shared" si="38"/>
        <v>1155706866</v>
      </c>
      <c r="AN312" s="5">
        <f>$AL$4*$AL$3^AL312*$AL$2</f>
        <v>1155706866.152281</v>
      </c>
      <c r="AO312" s="5">
        <f>IF(AL312=AL313,1,LOOKUP(MOD(AL312,$AL$1),$AN$1:$AN$5,$AO$1:$AO$5))</f>
        <v>1</v>
      </c>
      <c r="AP312" s="5">
        <f t="shared" si="39"/>
        <v>306647555</v>
      </c>
      <c r="AQ312" s="5">
        <f>AM312*$AR$3</f>
        <v>154094248.80000001</v>
      </c>
      <c r="AR312" s="5">
        <f>AM312*AL312*$AR$4</f>
        <v>152553306.31200001</v>
      </c>
      <c r="AS312" s="5">
        <f>SUM($AP$9:AP311)</f>
        <v>6706627940</v>
      </c>
    </row>
    <row r="313" spans="1:45" x14ac:dyDescent="0.15">
      <c r="A313" s="5">
        <v>305</v>
      </c>
      <c r="J313" s="5">
        <f t="shared" si="32"/>
        <v>305</v>
      </c>
      <c r="K313" s="5">
        <f>SUM($AP$9:AP312)</f>
        <v>7013275495</v>
      </c>
      <c r="L313" s="5">
        <f>LOOKUP(K313,AI:AI,AE:AE)</f>
        <v>288</v>
      </c>
      <c r="M313" s="5">
        <f>LOOKUP(L313,AE:AE,AG:AG)</f>
        <v>364678886</v>
      </c>
      <c r="N313" s="5">
        <f>AM313/M313/$K$1</f>
        <v>2.1127388329249199</v>
      </c>
      <c r="O313" s="5">
        <f>SUM($N$9:N313)</f>
        <v>1089.3425037203353</v>
      </c>
      <c r="AE313" s="5">
        <f t="shared" si="33"/>
        <v>305</v>
      </c>
      <c r="AF313" s="5">
        <f t="shared" si="34"/>
        <v>896798134</v>
      </c>
      <c r="AG313" s="5">
        <f t="shared" si="35"/>
        <v>885189096</v>
      </c>
      <c r="AH313" s="5">
        <f>AG313*$AF$1</f>
        <v>8851890960</v>
      </c>
      <c r="AI313" s="5">
        <f>SUM($AF$9:AF312)</f>
        <v>16717014085</v>
      </c>
      <c r="AK313" s="5">
        <f t="shared" si="36"/>
        <v>305</v>
      </c>
      <c r="AL313" s="5">
        <f t="shared" si="37"/>
        <v>44</v>
      </c>
      <c r="AM313" s="5">
        <f t="shared" si="38"/>
        <v>1155706866</v>
      </c>
      <c r="AN313" s="5">
        <f>$AL$4*$AL$3^AL313*$AL$2</f>
        <v>1155706866.152281</v>
      </c>
      <c r="AO313" s="5">
        <f>IF(AL313=AL314,1,LOOKUP(MOD(AL313,$AL$1),$AN$1:$AN$5,$AO$1:$AO$5))</f>
        <v>1</v>
      </c>
      <c r="AP313" s="5">
        <f t="shared" si="39"/>
        <v>306647555</v>
      </c>
      <c r="AQ313" s="5">
        <f>AM313*$AR$3</f>
        <v>154094248.80000001</v>
      </c>
      <c r="AR313" s="5">
        <f>AM313*AL313*$AR$4</f>
        <v>152553306.31200001</v>
      </c>
      <c r="AS313" s="5">
        <f>SUM($AP$9:AP312)</f>
        <v>7013275495</v>
      </c>
    </row>
    <row r="314" spans="1:45" x14ac:dyDescent="0.15">
      <c r="A314" s="5">
        <v>306</v>
      </c>
      <c r="J314" s="5">
        <f t="shared" si="32"/>
        <v>306</v>
      </c>
      <c r="K314" s="5">
        <f>SUM($AP$9:AP313)</f>
        <v>7319923050</v>
      </c>
      <c r="L314" s="5">
        <f>LOOKUP(K314,AI:AI,AE:AE)</f>
        <v>289</v>
      </c>
      <c r="M314" s="5">
        <f>LOOKUP(L314,AE:AE,AG:AG)</f>
        <v>384242389</v>
      </c>
      <c r="N314" s="5">
        <f>AM314/M314/$K$1</f>
        <v>2.0051698252375796</v>
      </c>
      <c r="O314" s="5">
        <f>SUM($N$9:N314)</f>
        <v>1091.3476735455729</v>
      </c>
      <c r="AE314" s="5">
        <f t="shared" si="33"/>
        <v>306</v>
      </c>
      <c r="AF314" s="5">
        <f t="shared" si="34"/>
        <v>944685413</v>
      </c>
      <c r="AG314" s="5">
        <f t="shared" si="35"/>
        <v>932495923</v>
      </c>
      <c r="AH314" s="5">
        <f>AG314*$AF$1</f>
        <v>9324959230</v>
      </c>
      <c r="AI314" s="5">
        <f>SUM($AF$9:AF313)</f>
        <v>17613812219</v>
      </c>
      <c r="AK314" s="5">
        <f t="shared" si="36"/>
        <v>306</v>
      </c>
      <c r="AL314" s="5">
        <f t="shared" si="37"/>
        <v>44</v>
      </c>
      <c r="AM314" s="5">
        <f t="shared" si="38"/>
        <v>1155706866</v>
      </c>
      <c r="AN314" s="5">
        <f>$AL$4*$AL$3^AL314*$AL$2</f>
        <v>1155706866.152281</v>
      </c>
      <c r="AO314" s="5">
        <f>IF(AL314=AL315,1,LOOKUP(MOD(AL314,$AL$1),$AN$1:$AN$5,$AO$1:$AO$5))</f>
        <v>1</v>
      </c>
      <c r="AP314" s="5">
        <f t="shared" si="39"/>
        <v>306647555</v>
      </c>
      <c r="AQ314" s="5">
        <f>AM314*$AR$3</f>
        <v>154094248.80000001</v>
      </c>
      <c r="AR314" s="5">
        <f>AM314*AL314*$AR$4</f>
        <v>152553306.31200001</v>
      </c>
      <c r="AS314" s="5">
        <f>SUM($AP$9:AP313)</f>
        <v>7319923050</v>
      </c>
    </row>
    <row r="315" spans="1:45" x14ac:dyDescent="0.15">
      <c r="A315" s="5">
        <v>307</v>
      </c>
      <c r="J315" s="5">
        <f t="shared" si="32"/>
        <v>307</v>
      </c>
      <c r="K315" s="5">
        <f>SUM($AP$9:AP314)</f>
        <v>7626570605</v>
      </c>
      <c r="L315" s="5">
        <f>LOOKUP(K315,AI:AI,AE:AE)</f>
        <v>290</v>
      </c>
      <c r="M315" s="5">
        <f>LOOKUP(L315,AE:AE,AG:AG)</f>
        <v>404850545</v>
      </c>
      <c r="N315" s="5">
        <f>AM315/M315/$K$1</f>
        <v>1.9031004243800635</v>
      </c>
      <c r="O315" s="5">
        <f>SUM($N$9:N315)</f>
        <v>1093.2507739699529</v>
      </c>
      <c r="AE315" s="5">
        <f t="shared" si="33"/>
        <v>307</v>
      </c>
      <c r="AF315" s="5">
        <f t="shared" si="34"/>
        <v>995119424</v>
      </c>
      <c r="AG315" s="5">
        <f t="shared" si="35"/>
        <v>982320460</v>
      </c>
      <c r="AH315" s="5">
        <f>AG315*$AF$1</f>
        <v>9823204600</v>
      </c>
      <c r="AI315" s="5">
        <f>SUM($AF$9:AF314)</f>
        <v>18558497632</v>
      </c>
      <c r="AK315" s="5">
        <f t="shared" si="36"/>
        <v>307</v>
      </c>
      <c r="AL315" s="5">
        <f t="shared" si="37"/>
        <v>44</v>
      </c>
      <c r="AM315" s="5">
        <f t="shared" si="38"/>
        <v>1155706866</v>
      </c>
      <c r="AN315" s="5">
        <f>$AL$4*$AL$3^AL315*$AL$2</f>
        <v>1155706866.152281</v>
      </c>
      <c r="AO315" s="5">
        <f>IF(AL315=AL316,1,LOOKUP(MOD(AL315,$AL$1),$AN$1:$AN$5,$AO$1:$AO$5))</f>
        <v>1</v>
      </c>
      <c r="AP315" s="5">
        <f t="shared" si="39"/>
        <v>306647555</v>
      </c>
      <c r="AQ315" s="5">
        <f>AM315*$AR$3</f>
        <v>154094248.80000001</v>
      </c>
      <c r="AR315" s="5">
        <f>AM315*AL315*$AR$4</f>
        <v>152553306.31200001</v>
      </c>
      <c r="AS315" s="5">
        <f>SUM($AP$9:AP314)</f>
        <v>7626570605</v>
      </c>
    </row>
    <row r="316" spans="1:45" x14ac:dyDescent="0.15">
      <c r="A316" s="5">
        <v>308</v>
      </c>
      <c r="J316" s="5">
        <f t="shared" si="32"/>
        <v>308</v>
      </c>
      <c r="K316" s="5">
        <f>SUM($AP$9:AP315)</f>
        <v>7933218160</v>
      </c>
      <c r="L316" s="5">
        <f>LOOKUP(K316,AI:AI,AE:AE)</f>
        <v>290</v>
      </c>
      <c r="M316" s="5">
        <f>LOOKUP(L316,AE:AE,AG:AG)</f>
        <v>404850545</v>
      </c>
      <c r="N316" s="5">
        <f>AM316/M316/$K$1</f>
        <v>7.6124016991669521</v>
      </c>
      <c r="O316" s="5">
        <f>SUM($N$9:N316)</f>
        <v>1100.8631756691198</v>
      </c>
      <c r="AE316" s="5">
        <f t="shared" si="33"/>
        <v>308</v>
      </c>
      <c r="AF316" s="5">
        <f t="shared" si="34"/>
        <v>1048235123</v>
      </c>
      <c r="AG316" s="5">
        <f t="shared" si="35"/>
        <v>1034796211</v>
      </c>
      <c r="AH316" s="5">
        <f>AG316*$AF$1</f>
        <v>10347962110</v>
      </c>
      <c r="AI316" s="5">
        <f>SUM($AF$9:AF315)</f>
        <v>19553617056</v>
      </c>
      <c r="AK316" s="5">
        <f t="shared" si="36"/>
        <v>308</v>
      </c>
      <c r="AL316" s="5">
        <f t="shared" si="37"/>
        <v>44</v>
      </c>
      <c r="AM316" s="5">
        <f t="shared" si="38"/>
        <v>4622827465</v>
      </c>
      <c r="AN316" s="5">
        <f>$AL$4*$AL$3^AL316*$AL$2</f>
        <v>1155706866.152281</v>
      </c>
      <c r="AO316" s="5">
        <f>IF(AL316=AL317,1,LOOKUP(MOD(AL316,$AL$1),$AN$1:$AN$5,$AO$1:$AO$5))</f>
        <v>4</v>
      </c>
      <c r="AP316" s="5">
        <f t="shared" si="39"/>
        <v>1226590221</v>
      </c>
      <c r="AQ316" s="5">
        <f>AM316*$AR$3</f>
        <v>616376995.33333337</v>
      </c>
      <c r="AR316" s="5">
        <f>AM316*AL316*$AR$4</f>
        <v>610213225.38</v>
      </c>
      <c r="AS316" s="5">
        <f>SUM($AP$9:AP315)</f>
        <v>7933218160</v>
      </c>
    </row>
    <row r="317" spans="1:45" x14ac:dyDescent="0.15">
      <c r="A317" s="5">
        <v>309</v>
      </c>
      <c r="J317" s="5">
        <f t="shared" si="32"/>
        <v>309</v>
      </c>
      <c r="K317" s="5">
        <f>SUM($AP$9:AP316)</f>
        <v>9159808381</v>
      </c>
      <c r="L317" s="5">
        <f>LOOKUP(K317,AI:AI,AE:AE)</f>
        <v>293</v>
      </c>
      <c r="M317" s="5">
        <f>LOOKUP(L317,AE:AE,AG:AG)</f>
        <v>473513372</v>
      </c>
      <c r="N317" s="5">
        <f>AM317/M317/$K$1</f>
        <v>2.5546054765552291</v>
      </c>
      <c r="O317" s="5">
        <f>SUM($N$9:N317)</f>
        <v>1103.417781145675</v>
      </c>
      <c r="AE317" s="5">
        <f t="shared" si="33"/>
        <v>309</v>
      </c>
      <c r="AF317" s="5">
        <f t="shared" si="34"/>
        <v>1104174594</v>
      </c>
      <c r="AG317" s="5">
        <f t="shared" si="35"/>
        <v>1090063736</v>
      </c>
      <c r="AH317" s="5">
        <f>AG317*$AF$1</f>
        <v>10900637360</v>
      </c>
      <c r="AI317" s="5">
        <f>SUM($AF$9:AF316)</f>
        <v>20601852179</v>
      </c>
      <c r="AK317" s="5">
        <f t="shared" si="36"/>
        <v>309</v>
      </c>
      <c r="AL317" s="5">
        <f t="shared" si="37"/>
        <v>45</v>
      </c>
      <c r="AM317" s="5">
        <f t="shared" si="38"/>
        <v>1814459780</v>
      </c>
      <c r="AN317" s="5">
        <f>$AL$4*$AL$3^AL317*$AL$2</f>
        <v>1814459779.8590813</v>
      </c>
      <c r="AO317" s="5">
        <f>IF(AL317=AL318,1,LOOKUP(MOD(AL317,$AL$1),$AN$1:$AN$5,$AO$1:$AO$5))</f>
        <v>1</v>
      </c>
      <c r="AP317" s="5">
        <f t="shared" si="39"/>
        <v>486880041</v>
      </c>
      <c r="AQ317" s="5">
        <f>AM317*$AR$3</f>
        <v>241927970.66666666</v>
      </c>
      <c r="AR317" s="5">
        <f>AM317*AL317*$AR$4</f>
        <v>244952070.30000001</v>
      </c>
      <c r="AS317" s="5">
        <f>SUM($AP$9:AP316)</f>
        <v>9159808381</v>
      </c>
    </row>
    <row r="318" spans="1:45" x14ac:dyDescent="0.15">
      <c r="A318" s="5">
        <v>310</v>
      </c>
      <c r="J318" s="5">
        <f t="shared" si="32"/>
        <v>310</v>
      </c>
      <c r="K318" s="5">
        <f>SUM($AP$9:AP317)</f>
        <v>9646688422</v>
      </c>
      <c r="L318" s="5">
        <f>LOOKUP(K318,AI:AI,AE:AE)</f>
        <v>294</v>
      </c>
      <c r="M318" s="5">
        <f>LOOKUP(L318,AE:AE,AG:AG)</f>
        <v>498885931</v>
      </c>
      <c r="N318" s="5">
        <f>AM318/M318/$K$1</f>
        <v>2.4246822332885816</v>
      </c>
      <c r="O318" s="5">
        <f>SUM($N$9:N318)</f>
        <v>1105.8424633789637</v>
      </c>
      <c r="AE318" s="5">
        <f t="shared" si="33"/>
        <v>310</v>
      </c>
      <c r="AF318" s="5">
        <f t="shared" si="34"/>
        <v>1163087424</v>
      </c>
      <c r="AG318" s="5">
        <f t="shared" si="35"/>
        <v>1148271023</v>
      </c>
      <c r="AH318" s="5">
        <f>AG318*$AF$1</f>
        <v>11482710230</v>
      </c>
      <c r="AI318" s="5">
        <f>SUM($AF$9:AF317)</f>
        <v>21706026773</v>
      </c>
      <c r="AK318" s="5">
        <f t="shared" si="36"/>
        <v>310</v>
      </c>
      <c r="AL318" s="5">
        <f t="shared" si="37"/>
        <v>45</v>
      </c>
      <c r="AM318" s="5">
        <f t="shared" si="38"/>
        <v>1814459780</v>
      </c>
      <c r="AN318" s="5">
        <f>$AL$4*$AL$3^AL318*$AL$2</f>
        <v>1814459779.8590813</v>
      </c>
      <c r="AO318" s="5">
        <f>IF(AL318=AL319,1,LOOKUP(MOD(AL318,$AL$1),$AN$1:$AN$5,$AO$1:$AO$5))</f>
        <v>1</v>
      </c>
      <c r="AP318" s="5">
        <f t="shared" si="39"/>
        <v>486880041</v>
      </c>
      <c r="AQ318" s="5">
        <f>AM318*$AR$3</f>
        <v>241927970.66666666</v>
      </c>
      <c r="AR318" s="5">
        <f>AM318*AL318*$AR$4</f>
        <v>244952070.30000001</v>
      </c>
      <c r="AS318" s="5">
        <f>SUM($AP$9:AP317)</f>
        <v>9646688422</v>
      </c>
    </row>
    <row r="319" spans="1:45" x14ac:dyDescent="0.15">
      <c r="A319" s="5">
        <v>311</v>
      </c>
      <c r="J319" s="5">
        <f t="shared" si="32"/>
        <v>311</v>
      </c>
      <c r="K319" s="5">
        <f>SUM($AP$9:AP318)</f>
        <v>10133568463</v>
      </c>
      <c r="L319" s="5">
        <f>LOOKUP(K319,AI:AI,AE:AE)</f>
        <v>295</v>
      </c>
      <c r="M319" s="5">
        <f>LOOKUP(L319,AE:AE,AG:AG)</f>
        <v>525611963</v>
      </c>
      <c r="N319" s="5">
        <f>AM319/M319/$K$1</f>
        <v>2.3013933062504006</v>
      </c>
      <c r="O319" s="5">
        <f>SUM($N$9:N319)</f>
        <v>1108.1438566852141</v>
      </c>
      <c r="AE319" s="5">
        <f t="shared" si="33"/>
        <v>311</v>
      </c>
      <c r="AF319" s="5">
        <f t="shared" si="34"/>
        <v>1225131100</v>
      </c>
      <c r="AG319" s="5">
        <f t="shared" si="35"/>
        <v>1209573880</v>
      </c>
      <c r="AH319" s="5">
        <f>AG319*$AF$1</f>
        <v>12095738800</v>
      </c>
      <c r="AI319" s="5">
        <f>SUM($AF$9:AF318)</f>
        <v>22869114197</v>
      </c>
      <c r="AK319" s="5">
        <f t="shared" si="36"/>
        <v>311</v>
      </c>
      <c r="AL319" s="5">
        <f t="shared" si="37"/>
        <v>45</v>
      </c>
      <c r="AM319" s="5">
        <f t="shared" si="38"/>
        <v>1814459780</v>
      </c>
      <c r="AN319" s="5">
        <f>$AL$4*$AL$3^AL319*$AL$2</f>
        <v>1814459779.8590813</v>
      </c>
      <c r="AO319" s="5">
        <f>IF(AL319=AL320,1,LOOKUP(MOD(AL319,$AL$1),$AN$1:$AN$5,$AO$1:$AO$5))</f>
        <v>1</v>
      </c>
      <c r="AP319" s="5">
        <f t="shared" si="39"/>
        <v>486880041</v>
      </c>
      <c r="AQ319" s="5">
        <f>AM319*$AR$3</f>
        <v>241927970.66666666</v>
      </c>
      <c r="AR319" s="5">
        <f>AM319*AL319*$AR$4</f>
        <v>244952070.30000001</v>
      </c>
      <c r="AS319" s="5">
        <f>SUM($AP$9:AP318)</f>
        <v>10133568463</v>
      </c>
    </row>
    <row r="320" spans="1:45" x14ac:dyDescent="0.15">
      <c r="A320" s="5">
        <v>312</v>
      </c>
      <c r="J320" s="5">
        <f t="shared" si="32"/>
        <v>312</v>
      </c>
      <c r="K320" s="5">
        <f>SUM($AP$9:AP319)</f>
        <v>10620448504</v>
      </c>
      <c r="L320" s="5">
        <f>LOOKUP(K320,AI:AI,AE:AE)</f>
        <v>296</v>
      </c>
      <c r="M320" s="5">
        <f>LOOKUP(L320,AE:AE,AG:AG)</f>
        <v>553763384</v>
      </c>
      <c r="N320" s="5">
        <f>AM320/M320/$K$1</f>
        <v>2.1843984060407529</v>
      </c>
      <c r="O320" s="5">
        <f>SUM($N$9:N320)</f>
        <v>1110.328255091255</v>
      </c>
      <c r="AE320" s="5">
        <f t="shared" si="33"/>
        <v>312</v>
      </c>
      <c r="AF320" s="5">
        <f t="shared" si="34"/>
        <v>1290471425</v>
      </c>
      <c r="AG320" s="5">
        <f t="shared" si="35"/>
        <v>1274136344</v>
      </c>
      <c r="AH320" s="5">
        <f>AG320*$AF$1</f>
        <v>12741363440</v>
      </c>
      <c r="AI320" s="5">
        <f>SUM($AF$9:AF319)</f>
        <v>24094245297</v>
      </c>
      <c r="AK320" s="5">
        <f t="shared" si="36"/>
        <v>312</v>
      </c>
      <c r="AL320" s="5">
        <f t="shared" si="37"/>
        <v>45</v>
      </c>
      <c r="AM320" s="5">
        <f t="shared" si="38"/>
        <v>1814459780</v>
      </c>
      <c r="AN320" s="5">
        <f>$AL$4*$AL$3^AL320*$AL$2</f>
        <v>1814459779.8590813</v>
      </c>
      <c r="AO320" s="5">
        <f>IF(AL320=AL321,1,LOOKUP(MOD(AL320,$AL$1),$AN$1:$AN$5,$AO$1:$AO$5))</f>
        <v>1</v>
      </c>
      <c r="AP320" s="5">
        <f t="shared" si="39"/>
        <v>486880041</v>
      </c>
      <c r="AQ320" s="5">
        <f>AM320*$AR$3</f>
        <v>241927970.66666666</v>
      </c>
      <c r="AR320" s="5">
        <f>AM320*AL320*$AR$4</f>
        <v>244952070.30000001</v>
      </c>
      <c r="AS320" s="5">
        <f>SUM($AP$9:AP319)</f>
        <v>10620448504</v>
      </c>
    </row>
    <row r="321" spans="1:45" x14ac:dyDescent="0.15">
      <c r="A321" s="5">
        <v>313</v>
      </c>
      <c r="J321" s="5">
        <f t="shared" si="32"/>
        <v>313</v>
      </c>
      <c r="K321" s="5">
        <f>SUM($AP$9:AP320)</f>
        <v>11107328545</v>
      </c>
      <c r="L321" s="5">
        <f>LOOKUP(K321,AI:AI,AE:AE)</f>
        <v>297</v>
      </c>
      <c r="M321" s="5">
        <f>LOOKUP(L321,AE:AE,AG:AG)</f>
        <v>583415916</v>
      </c>
      <c r="N321" s="5">
        <f>AM321/M321/$K$1</f>
        <v>2.0733747917383409</v>
      </c>
      <c r="O321" s="5">
        <f>SUM($N$9:N321)</f>
        <v>1112.4016298829933</v>
      </c>
      <c r="AE321" s="5">
        <f t="shared" si="33"/>
        <v>313</v>
      </c>
      <c r="AF321" s="5">
        <f t="shared" si="34"/>
        <v>1359282955</v>
      </c>
      <c r="AG321" s="5">
        <f t="shared" si="35"/>
        <v>1342131120</v>
      </c>
      <c r="AH321" s="5">
        <f>AG321*$AF$1</f>
        <v>13421311200</v>
      </c>
      <c r="AI321" s="5">
        <f>SUM($AF$9:AF320)</f>
        <v>25384716722</v>
      </c>
      <c r="AK321" s="5">
        <f t="shared" si="36"/>
        <v>313</v>
      </c>
      <c r="AL321" s="5">
        <f t="shared" si="37"/>
        <v>45</v>
      </c>
      <c r="AM321" s="5">
        <f t="shared" si="38"/>
        <v>1814459780</v>
      </c>
      <c r="AN321" s="5">
        <f>$AL$4*$AL$3^AL321*$AL$2</f>
        <v>1814459779.8590813</v>
      </c>
      <c r="AO321" s="5">
        <f>IF(AL321=AL322,1,LOOKUP(MOD(AL321,$AL$1),$AN$1:$AN$5,$AO$1:$AO$5))</f>
        <v>1</v>
      </c>
      <c r="AP321" s="5">
        <f t="shared" si="39"/>
        <v>486880041</v>
      </c>
      <c r="AQ321" s="5">
        <f>AM321*$AR$3</f>
        <v>241927970.66666666</v>
      </c>
      <c r="AR321" s="5">
        <f>AM321*AL321*$AR$4</f>
        <v>244952070.30000001</v>
      </c>
      <c r="AS321" s="5">
        <f>SUM($AP$9:AP320)</f>
        <v>11107328545</v>
      </c>
    </row>
    <row r="322" spans="1:45" x14ac:dyDescent="0.15">
      <c r="A322" s="5">
        <v>314</v>
      </c>
      <c r="J322" s="5">
        <f t="shared" si="32"/>
        <v>314</v>
      </c>
      <c r="K322" s="5">
        <f>SUM($AP$9:AP321)</f>
        <v>11594208586</v>
      </c>
      <c r="L322" s="5">
        <f>LOOKUP(K322,AI:AI,AE:AE)</f>
        <v>298</v>
      </c>
      <c r="M322" s="5">
        <f>LOOKUP(L322,AE:AE,AG:AG)</f>
        <v>614649294</v>
      </c>
      <c r="N322" s="5">
        <f>AM322/M322/$K$1</f>
        <v>1.9680163389780665</v>
      </c>
      <c r="O322" s="5">
        <f>SUM($N$9:N322)</f>
        <v>1114.3696462219714</v>
      </c>
      <c r="AE322" s="5">
        <f t="shared" si="33"/>
        <v>314</v>
      </c>
      <c r="AF322" s="5">
        <f t="shared" si="34"/>
        <v>1431749460</v>
      </c>
      <c r="AG322" s="5">
        <f t="shared" si="35"/>
        <v>1413740033</v>
      </c>
      <c r="AH322" s="5">
        <f>AG322*$AF$1</f>
        <v>14137400330</v>
      </c>
      <c r="AI322" s="5">
        <f>SUM($AF$9:AF321)</f>
        <v>26743999677</v>
      </c>
      <c r="AK322" s="5">
        <f t="shared" si="36"/>
        <v>314</v>
      </c>
      <c r="AL322" s="5">
        <f t="shared" si="37"/>
        <v>45</v>
      </c>
      <c r="AM322" s="5">
        <f t="shared" si="38"/>
        <v>1814459780</v>
      </c>
      <c r="AN322" s="5">
        <f>$AL$4*$AL$3^AL322*$AL$2</f>
        <v>1814459779.8590813</v>
      </c>
      <c r="AO322" s="5">
        <f>IF(AL322=AL323,1,LOOKUP(MOD(AL322,$AL$1),$AN$1:$AN$5,$AO$1:$AO$5))</f>
        <v>1</v>
      </c>
      <c r="AP322" s="5">
        <f t="shared" si="39"/>
        <v>486880041</v>
      </c>
      <c r="AQ322" s="5">
        <f>AM322*$AR$3</f>
        <v>241927970.66666666</v>
      </c>
      <c r="AR322" s="5">
        <f>AM322*AL322*$AR$4</f>
        <v>244952070.30000001</v>
      </c>
      <c r="AS322" s="5">
        <f>SUM($AP$9:AP321)</f>
        <v>11594208586</v>
      </c>
    </row>
    <row r="323" spans="1:45" x14ac:dyDescent="0.15">
      <c r="A323" s="5">
        <v>315</v>
      </c>
      <c r="J323" s="5">
        <f t="shared" si="32"/>
        <v>315</v>
      </c>
      <c r="K323" s="5">
        <f>SUM($AP$9:AP322)</f>
        <v>12081088627</v>
      </c>
      <c r="L323" s="5">
        <f>LOOKUP(K323,AI:AI,AE:AE)</f>
        <v>298</v>
      </c>
      <c r="M323" s="5">
        <f>LOOKUP(L323,AE:AE,AG:AG)</f>
        <v>614649294</v>
      </c>
      <c r="N323" s="5">
        <f>AM323/M323/$K$1</f>
        <v>11.80809803278377</v>
      </c>
      <c r="O323" s="5">
        <f>SUM($N$9:N323)</f>
        <v>1126.1777442547552</v>
      </c>
      <c r="AE323" s="5">
        <f t="shared" si="33"/>
        <v>315</v>
      </c>
      <c r="AF323" s="5">
        <f t="shared" si="34"/>
        <v>1508064407</v>
      </c>
      <c r="AG323" s="5">
        <f t="shared" si="35"/>
        <v>1489154509</v>
      </c>
      <c r="AH323" s="5">
        <f>AG323*$AF$1</f>
        <v>14891545090</v>
      </c>
      <c r="AI323" s="5">
        <f>SUM($AF$9:AF322)</f>
        <v>28175749137</v>
      </c>
      <c r="AK323" s="5">
        <f t="shared" si="36"/>
        <v>315</v>
      </c>
      <c r="AL323" s="5">
        <f t="shared" si="37"/>
        <v>45</v>
      </c>
      <c r="AM323" s="5">
        <f t="shared" si="38"/>
        <v>10886758679</v>
      </c>
      <c r="AN323" s="5">
        <f>$AL$4*$AL$3^AL323*$AL$2</f>
        <v>1814459779.8590813</v>
      </c>
      <c r="AO323" s="5">
        <f>IF(AL323=AL324,1,LOOKUP(MOD(AL323,$AL$1),$AN$1:$AN$5,$AO$1:$AO$5))</f>
        <v>6</v>
      </c>
      <c r="AP323" s="5">
        <f t="shared" si="39"/>
        <v>2921280246</v>
      </c>
      <c r="AQ323" s="5">
        <f>AM323*$AR$3</f>
        <v>1451567823.8666666</v>
      </c>
      <c r="AR323" s="5">
        <f>AM323*AL323*$AR$4</f>
        <v>1469712421.665</v>
      </c>
      <c r="AS323" s="5">
        <f>SUM($AP$9:AP322)</f>
        <v>12081088627</v>
      </c>
    </row>
    <row r="324" spans="1:45" x14ac:dyDescent="0.15">
      <c r="A324" s="5">
        <v>316</v>
      </c>
      <c r="J324" s="5">
        <f t="shared" si="32"/>
        <v>316</v>
      </c>
      <c r="K324" s="5">
        <f>SUM($AP$9:AP323)</f>
        <v>15002368873</v>
      </c>
      <c r="L324" s="5">
        <f>LOOKUP(K324,AI:AI,AE:AE)</f>
        <v>302</v>
      </c>
      <c r="M324" s="5">
        <f>LOOKUP(L324,AE:AE,AG:AG)</f>
        <v>757138381</v>
      </c>
      <c r="N324" s="5">
        <f>AM324/M324/$K$1</f>
        <v>2.5083057694486808</v>
      </c>
      <c r="O324" s="5">
        <f>SUM($N$9:N324)</f>
        <v>1128.686050024204</v>
      </c>
      <c r="AE324" s="5">
        <f t="shared" si="33"/>
        <v>316</v>
      </c>
      <c r="AF324" s="5">
        <f t="shared" si="34"/>
        <v>1588431476</v>
      </c>
      <c r="AG324" s="5">
        <f t="shared" si="35"/>
        <v>1568576083</v>
      </c>
      <c r="AH324" s="5">
        <f>AG324*$AF$1</f>
        <v>15685760830</v>
      </c>
      <c r="AI324" s="5">
        <f>SUM($AF$9:AF323)</f>
        <v>29683813544</v>
      </c>
      <c r="AK324" s="5">
        <f t="shared" si="36"/>
        <v>316</v>
      </c>
      <c r="AL324" s="5">
        <f t="shared" si="37"/>
        <v>46</v>
      </c>
      <c r="AM324" s="5">
        <f t="shared" si="38"/>
        <v>2848701854</v>
      </c>
      <c r="AN324" s="5">
        <f>$AL$4*$AL$3^AL324*$AL$2</f>
        <v>2848701854.378758</v>
      </c>
      <c r="AO324" s="5">
        <f>IF(AL324=AL325,1,LOOKUP(MOD(AL324,$AL$1),$AN$1:$AN$5,$AO$1:$AO$5))</f>
        <v>1</v>
      </c>
      <c r="AP324" s="5">
        <f t="shared" si="39"/>
        <v>772947770</v>
      </c>
      <c r="AQ324" s="5">
        <f>AM324*$AR$3</f>
        <v>379826913.86666667</v>
      </c>
      <c r="AR324" s="5">
        <f>AM324*AL324*$AR$4</f>
        <v>393120855.852</v>
      </c>
      <c r="AS324" s="5">
        <f>SUM($AP$9:AP323)</f>
        <v>15002368873</v>
      </c>
    </row>
    <row r="325" spans="1:45" x14ac:dyDescent="0.15">
      <c r="A325" s="5">
        <v>317</v>
      </c>
      <c r="J325" s="5">
        <f t="shared" si="32"/>
        <v>317</v>
      </c>
      <c r="K325" s="5">
        <f>SUM($AP$9:AP324)</f>
        <v>15775316643</v>
      </c>
      <c r="L325" s="5">
        <f>LOOKUP(K325,AI:AI,AE:AE)</f>
        <v>303</v>
      </c>
      <c r="M325" s="5">
        <f>LOOKUP(L325,AE:AE,AG:AG)</f>
        <v>797627735</v>
      </c>
      <c r="N325" s="5">
        <f>AM325/M325/$K$1</f>
        <v>2.380978601920523</v>
      </c>
      <c r="O325" s="5">
        <f>SUM($N$9:N325)</f>
        <v>1131.0670286261245</v>
      </c>
      <c r="AE325" s="5">
        <f t="shared" si="33"/>
        <v>317</v>
      </c>
      <c r="AF325" s="5">
        <f t="shared" si="34"/>
        <v>1673065091</v>
      </c>
      <c r="AG325" s="5">
        <f t="shared" si="35"/>
        <v>1652216928</v>
      </c>
      <c r="AH325" s="5">
        <f>AG325*$AF$1</f>
        <v>16522169280</v>
      </c>
      <c r="AI325" s="5">
        <f>SUM($AF$9:AF324)</f>
        <v>31272245020</v>
      </c>
      <c r="AK325" s="5">
        <f t="shared" si="36"/>
        <v>317</v>
      </c>
      <c r="AL325" s="5">
        <f t="shared" si="37"/>
        <v>46</v>
      </c>
      <c r="AM325" s="5">
        <f t="shared" si="38"/>
        <v>2848701854</v>
      </c>
      <c r="AN325" s="5">
        <f>$AL$4*$AL$3^AL325*$AL$2</f>
        <v>2848701854.378758</v>
      </c>
      <c r="AO325" s="5">
        <f>IF(AL325=AL326,1,LOOKUP(MOD(AL325,$AL$1),$AN$1:$AN$5,$AO$1:$AO$5))</f>
        <v>1</v>
      </c>
      <c r="AP325" s="5">
        <f t="shared" si="39"/>
        <v>772947770</v>
      </c>
      <c r="AQ325" s="5">
        <f>AM325*$AR$3</f>
        <v>379826913.86666667</v>
      </c>
      <c r="AR325" s="5">
        <f>AM325*AL325*$AR$4</f>
        <v>393120855.852</v>
      </c>
      <c r="AS325" s="5">
        <f>SUM($AP$9:AP324)</f>
        <v>15775316643</v>
      </c>
    </row>
    <row r="326" spans="1:45" x14ac:dyDescent="0.15">
      <c r="A326" s="5">
        <v>318</v>
      </c>
      <c r="J326" s="5">
        <f t="shared" si="32"/>
        <v>318</v>
      </c>
      <c r="K326" s="5">
        <f>SUM($AP$9:AP325)</f>
        <v>16548264413</v>
      </c>
      <c r="L326" s="5">
        <f>LOOKUP(K326,AI:AI,AE:AE)</f>
        <v>304</v>
      </c>
      <c r="M326" s="5">
        <f>LOOKUP(L326,AE:AE,AG:AG)</f>
        <v>840273178</v>
      </c>
      <c r="N326" s="5">
        <f>AM326/M326/$K$1</f>
        <v>2.2601394630417837</v>
      </c>
      <c r="O326" s="5">
        <f>SUM($N$9:N326)</f>
        <v>1133.3271680891662</v>
      </c>
      <c r="AE326" s="5">
        <f t="shared" si="33"/>
        <v>318</v>
      </c>
      <c r="AF326" s="5">
        <f t="shared" si="34"/>
        <v>1762190988</v>
      </c>
      <c r="AG326" s="5">
        <f t="shared" si="35"/>
        <v>1740300417</v>
      </c>
      <c r="AH326" s="5">
        <f>AG326*$AF$1</f>
        <v>17403004170</v>
      </c>
      <c r="AI326" s="5">
        <f>SUM($AF$9:AF325)</f>
        <v>32945310111</v>
      </c>
      <c r="AK326" s="5">
        <f t="shared" si="36"/>
        <v>318</v>
      </c>
      <c r="AL326" s="5">
        <f t="shared" si="37"/>
        <v>46</v>
      </c>
      <c r="AM326" s="5">
        <f t="shared" si="38"/>
        <v>2848701854</v>
      </c>
      <c r="AN326" s="5">
        <f>$AL$4*$AL$3^AL326*$AL$2</f>
        <v>2848701854.378758</v>
      </c>
      <c r="AO326" s="5">
        <f>IF(AL326=AL327,1,LOOKUP(MOD(AL326,$AL$1),$AN$1:$AN$5,$AO$1:$AO$5))</f>
        <v>1</v>
      </c>
      <c r="AP326" s="5">
        <f t="shared" si="39"/>
        <v>772947770</v>
      </c>
      <c r="AQ326" s="5">
        <f>AM326*$AR$3</f>
        <v>379826913.86666667</v>
      </c>
      <c r="AR326" s="5">
        <f>AM326*AL326*$AR$4</f>
        <v>393120855.852</v>
      </c>
      <c r="AS326" s="5">
        <f>SUM($AP$9:AP325)</f>
        <v>16548264413</v>
      </c>
    </row>
    <row r="327" spans="1:45" x14ac:dyDescent="0.15">
      <c r="A327" s="5">
        <v>319</v>
      </c>
      <c r="J327" s="5">
        <f t="shared" si="32"/>
        <v>319</v>
      </c>
      <c r="K327" s="5">
        <f>SUM($AP$9:AP326)</f>
        <v>17321212183</v>
      </c>
      <c r="L327" s="5">
        <f>LOOKUP(K327,AI:AI,AE:AE)</f>
        <v>305</v>
      </c>
      <c r="M327" s="5">
        <f>LOOKUP(L327,AE:AE,AG:AG)</f>
        <v>885189096</v>
      </c>
      <c r="N327" s="5">
        <f>AM327/M327/$K$1</f>
        <v>2.1454563526766868</v>
      </c>
      <c r="O327" s="5">
        <f>SUM($N$9:N327)</f>
        <v>1135.472624441843</v>
      </c>
      <c r="AE327" s="5">
        <f t="shared" si="33"/>
        <v>319</v>
      </c>
      <c r="AF327" s="5">
        <f t="shared" si="34"/>
        <v>1856046813</v>
      </c>
      <c r="AG327" s="5">
        <f t="shared" si="35"/>
        <v>1833061713</v>
      </c>
      <c r="AH327" s="5">
        <f>AG327*$AF$1</f>
        <v>18330617130</v>
      </c>
      <c r="AI327" s="5">
        <f>SUM($AF$9:AF326)</f>
        <v>34707501099</v>
      </c>
      <c r="AK327" s="5">
        <f t="shared" si="36"/>
        <v>319</v>
      </c>
      <c r="AL327" s="5">
        <f t="shared" si="37"/>
        <v>46</v>
      </c>
      <c r="AM327" s="5">
        <f t="shared" si="38"/>
        <v>2848701854</v>
      </c>
      <c r="AN327" s="5">
        <f>$AL$4*$AL$3^AL327*$AL$2</f>
        <v>2848701854.378758</v>
      </c>
      <c r="AO327" s="5">
        <f>IF(AL327=AL328,1,LOOKUP(MOD(AL327,$AL$1),$AN$1:$AN$5,$AO$1:$AO$5))</f>
        <v>1</v>
      </c>
      <c r="AP327" s="5">
        <f t="shared" si="39"/>
        <v>772947770</v>
      </c>
      <c r="AQ327" s="5">
        <f>AM327*$AR$3</f>
        <v>379826913.86666667</v>
      </c>
      <c r="AR327" s="5">
        <f>AM327*AL327*$AR$4</f>
        <v>393120855.852</v>
      </c>
      <c r="AS327" s="5">
        <f>SUM($AP$9:AP326)</f>
        <v>17321212183</v>
      </c>
    </row>
    <row r="328" spans="1:45" x14ac:dyDescent="0.15">
      <c r="A328" s="5">
        <v>320</v>
      </c>
      <c r="J328" s="5">
        <f t="shared" si="32"/>
        <v>320</v>
      </c>
      <c r="K328" s="5">
        <f>SUM($AP$9:AP327)</f>
        <v>18094159953</v>
      </c>
      <c r="L328" s="5">
        <f>LOOKUP(K328,AI:AI,AE:AE)</f>
        <v>306</v>
      </c>
      <c r="M328" s="5">
        <f>LOOKUP(L328,AE:AE,AG:AG)</f>
        <v>932495923</v>
      </c>
      <c r="N328" s="5">
        <f>AM328/M328/$K$1</f>
        <v>2.0366143406005359</v>
      </c>
      <c r="O328" s="5">
        <f>SUM($N$9:N328)</f>
        <v>1137.5092387824436</v>
      </c>
      <c r="AE328" s="5">
        <f t="shared" si="33"/>
        <v>320</v>
      </c>
      <c r="AF328" s="5">
        <f t="shared" si="34"/>
        <v>1954882742</v>
      </c>
      <c r="AG328" s="5">
        <f t="shared" si="35"/>
        <v>1930748387</v>
      </c>
      <c r="AH328" s="5">
        <f>AG328*$AF$1</f>
        <v>19307483870</v>
      </c>
      <c r="AI328" s="5">
        <f>SUM($AF$9:AF327)</f>
        <v>36563547912</v>
      </c>
      <c r="AK328" s="5">
        <f t="shared" si="36"/>
        <v>320</v>
      </c>
      <c r="AL328" s="5">
        <f t="shared" si="37"/>
        <v>46</v>
      </c>
      <c r="AM328" s="5">
        <f t="shared" si="38"/>
        <v>2848701854</v>
      </c>
      <c r="AN328" s="5">
        <f>$AL$4*$AL$3^AL328*$AL$2</f>
        <v>2848701854.378758</v>
      </c>
      <c r="AO328" s="5">
        <f>IF(AL328=AL329,1,LOOKUP(MOD(AL328,$AL$1),$AN$1:$AN$5,$AO$1:$AO$5))</f>
        <v>1</v>
      </c>
      <c r="AP328" s="5">
        <f t="shared" si="39"/>
        <v>772947770</v>
      </c>
      <c r="AQ328" s="5">
        <f>AM328*$AR$3</f>
        <v>379826913.86666667</v>
      </c>
      <c r="AR328" s="5">
        <f>AM328*AL328*$AR$4</f>
        <v>393120855.852</v>
      </c>
      <c r="AS328" s="5">
        <f>SUM($AP$9:AP327)</f>
        <v>18094159953</v>
      </c>
    </row>
    <row r="329" spans="1:45" x14ac:dyDescent="0.15">
      <c r="A329" s="5">
        <v>321</v>
      </c>
      <c r="J329" s="5">
        <f t="shared" si="32"/>
        <v>321</v>
      </c>
      <c r="K329" s="5">
        <f>SUM($AP$9:AP328)</f>
        <v>18867107723</v>
      </c>
      <c r="L329" s="5">
        <f>LOOKUP(K329,AI:AI,AE:AE)</f>
        <v>307</v>
      </c>
      <c r="M329" s="5">
        <f>LOOKUP(L329,AE:AE,AG:AG)</f>
        <v>982320460</v>
      </c>
      <c r="N329" s="5">
        <f>AM329/M329/$K$1</f>
        <v>1.9333146836148902</v>
      </c>
      <c r="O329" s="5">
        <f>SUM($N$9:N329)</f>
        <v>1139.4425534660586</v>
      </c>
      <c r="AE329" s="5">
        <f t="shared" si="33"/>
        <v>321</v>
      </c>
      <c r="AF329" s="5">
        <f t="shared" si="34"/>
        <v>2058962147</v>
      </c>
      <c r="AG329" s="5">
        <f t="shared" si="35"/>
        <v>2033621075</v>
      </c>
      <c r="AH329" s="5">
        <f>AG329*$AF$1</f>
        <v>20336210750</v>
      </c>
      <c r="AI329" s="5">
        <f>SUM($AF$9:AF328)</f>
        <v>38518430654</v>
      </c>
      <c r="AK329" s="5">
        <f t="shared" si="36"/>
        <v>321</v>
      </c>
      <c r="AL329" s="5">
        <f t="shared" si="37"/>
        <v>46</v>
      </c>
      <c r="AM329" s="5">
        <f t="shared" si="38"/>
        <v>2848701854</v>
      </c>
      <c r="AN329" s="5">
        <f>$AL$4*$AL$3^AL329*$AL$2</f>
        <v>2848701854.378758</v>
      </c>
      <c r="AO329" s="5">
        <f>IF(AL329=AL330,1,LOOKUP(MOD(AL329,$AL$1),$AN$1:$AN$5,$AO$1:$AO$5))</f>
        <v>1</v>
      </c>
      <c r="AP329" s="5">
        <f t="shared" si="39"/>
        <v>772947770</v>
      </c>
      <c r="AQ329" s="5">
        <f>AM329*$AR$3</f>
        <v>379826913.86666667</v>
      </c>
      <c r="AR329" s="5">
        <f>AM329*AL329*$AR$4</f>
        <v>393120855.852</v>
      </c>
      <c r="AS329" s="5">
        <f>SUM($AP$9:AP328)</f>
        <v>18867107723</v>
      </c>
    </row>
    <row r="330" spans="1:45" x14ac:dyDescent="0.15">
      <c r="A330" s="5">
        <v>322</v>
      </c>
      <c r="J330" s="5">
        <f t="shared" ref="J330:J393" si="40">A330</f>
        <v>322</v>
      </c>
      <c r="K330" s="5">
        <f>SUM($AP$9:AP329)</f>
        <v>19640055493</v>
      </c>
      <c r="L330" s="5">
        <f>LOOKUP(K330,AI:AI,AE:AE)</f>
        <v>308</v>
      </c>
      <c r="M330" s="5">
        <f>LOOKUP(L330,AE:AE,AG:AG)</f>
        <v>1034796211</v>
      </c>
      <c r="N330" s="5">
        <f>AM330/M330/$K$1</f>
        <v>12.846917920666153</v>
      </c>
      <c r="O330" s="5">
        <f>SUM($N$9:N330)</f>
        <v>1152.2894713867247</v>
      </c>
      <c r="AE330" s="5">
        <f t="shared" ref="AE330:AE393" si="41">A330</f>
        <v>322</v>
      </c>
      <c r="AF330" s="5">
        <f t="shared" ref="AF330:AF393" si="42">ROUND(1.05^AE330*(AE330+4),0)</f>
        <v>2168562286</v>
      </c>
      <c r="AG330" s="5">
        <f t="shared" ref="AG330:AG393" si="43">ROUND(1.05^AE330*AE330,0)</f>
        <v>2141954160</v>
      </c>
      <c r="AH330" s="5">
        <f>AG330*$AF$1</f>
        <v>21419541600</v>
      </c>
      <c r="AI330" s="5">
        <f>SUM($AF$9:AF329)</f>
        <v>40577392801</v>
      </c>
      <c r="AK330" s="5">
        <f t="shared" ref="AK330:AK393" si="44">A330</f>
        <v>322</v>
      </c>
      <c r="AL330" s="5">
        <f t="shared" ref="AL330:AL393" si="45">ROUNDUP(AK330/$AL$1,0)</f>
        <v>46</v>
      </c>
      <c r="AM330" s="5">
        <f t="shared" ref="AM330:AM393" si="46">ROUND(AN330*AO330,0)</f>
        <v>19940912981</v>
      </c>
      <c r="AN330" s="5">
        <f>$AL$4*$AL$3^AL330*$AL$2</f>
        <v>2848701854.378758</v>
      </c>
      <c r="AO330" s="5">
        <f>IF(AL330=AL331,1,LOOKUP(MOD(AL330,$AL$1),$AN$1:$AN$5,$AO$1:$AO$5))</f>
        <v>7</v>
      </c>
      <c r="AP330" s="5">
        <f t="shared" ref="AP330:AP393" si="47">ROUND(AQ330+AR330,0)</f>
        <v>5410634389</v>
      </c>
      <c r="AQ330" s="5">
        <f>AM330*$AR$3</f>
        <v>2658788397.4666667</v>
      </c>
      <c r="AR330" s="5">
        <f>AM330*AL330*$AR$4</f>
        <v>2751845991.3780003</v>
      </c>
      <c r="AS330" s="5">
        <f>SUM($AP$9:AP329)</f>
        <v>19640055493</v>
      </c>
    </row>
    <row r="331" spans="1:45" x14ac:dyDescent="0.15">
      <c r="A331" s="5">
        <v>323</v>
      </c>
      <c r="J331" s="5">
        <f t="shared" si="40"/>
        <v>323</v>
      </c>
      <c r="K331" s="5">
        <f>SUM($AP$9:AP330)</f>
        <v>25050689882</v>
      </c>
      <c r="L331" s="5">
        <f>LOOKUP(K331,AI:AI,AE:AE)</f>
        <v>312</v>
      </c>
      <c r="M331" s="5">
        <f>LOOKUP(L331,AE:AE,AG:AG)</f>
        <v>1274136344</v>
      </c>
      <c r="N331" s="5">
        <f>AM331/M331/$K$1</f>
        <v>2.3401273247096075</v>
      </c>
      <c r="O331" s="5">
        <f>SUM($N$9:N331)</f>
        <v>1154.6295987114343</v>
      </c>
      <c r="AE331" s="5">
        <f t="shared" si="41"/>
        <v>323</v>
      </c>
      <c r="AF331" s="5">
        <f t="shared" si="42"/>
        <v>2283975033</v>
      </c>
      <c r="AG331" s="5">
        <f t="shared" si="43"/>
        <v>2256036501</v>
      </c>
      <c r="AH331" s="5">
        <f>AG331*$AF$1</f>
        <v>22560365010</v>
      </c>
      <c r="AI331" s="5">
        <f>SUM($AF$9:AF330)</f>
        <v>42745955087</v>
      </c>
      <c r="AK331" s="5">
        <f t="shared" si="44"/>
        <v>323</v>
      </c>
      <c r="AL331" s="5">
        <f t="shared" si="45"/>
        <v>47</v>
      </c>
      <c r="AM331" s="5">
        <f t="shared" si="46"/>
        <v>4472461911</v>
      </c>
      <c r="AN331" s="5">
        <f>$AL$4*$AL$3^AL331*$AL$2</f>
        <v>4472461911.37465</v>
      </c>
      <c r="AO331" s="5">
        <f>IF(AL331=AL332,1,LOOKUP(MOD(AL331,$AL$1),$AN$1:$AN$5,$AO$1:$AO$5))</f>
        <v>1</v>
      </c>
      <c r="AP331" s="5">
        <f t="shared" si="47"/>
        <v>1226945384</v>
      </c>
      <c r="AQ331" s="5">
        <f>AM331*$AR$3</f>
        <v>596328254.79999995</v>
      </c>
      <c r="AR331" s="5">
        <f>AM331*AL331*$AR$4</f>
        <v>630617129.45099998</v>
      </c>
      <c r="AS331" s="5">
        <f>SUM($AP$9:AP330)</f>
        <v>25050689882</v>
      </c>
    </row>
    <row r="332" spans="1:45" x14ac:dyDescent="0.15">
      <c r="A332" s="5">
        <v>324</v>
      </c>
      <c r="J332" s="5">
        <f t="shared" si="40"/>
        <v>324</v>
      </c>
      <c r="K332" s="5">
        <f>SUM($AP$9:AP331)</f>
        <v>26277635266</v>
      </c>
      <c r="L332" s="5">
        <f>LOOKUP(K332,AI:AI,AE:AE)</f>
        <v>313</v>
      </c>
      <c r="M332" s="5">
        <f>LOOKUP(L332,AE:AE,AG:AG)</f>
        <v>1342131120</v>
      </c>
      <c r="N332" s="5">
        <f>AM332/M332/$K$1</f>
        <v>2.2215722663520387</v>
      </c>
      <c r="O332" s="5">
        <f>SUM($N$9:N332)</f>
        <v>1156.8511709777863</v>
      </c>
      <c r="AE332" s="5">
        <f t="shared" si="41"/>
        <v>324</v>
      </c>
      <c r="AF332" s="5">
        <f t="shared" si="42"/>
        <v>2405507650</v>
      </c>
      <c r="AG332" s="5">
        <f t="shared" si="43"/>
        <v>2376172191</v>
      </c>
      <c r="AH332" s="5">
        <f>AG332*$AF$1</f>
        <v>23761721910</v>
      </c>
      <c r="AI332" s="5">
        <f>SUM($AF$9:AF331)</f>
        <v>45029930120</v>
      </c>
      <c r="AK332" s="5">
        <f t="shared" si="44"/>
        <v>324</v>
      </c>
      <c r="AL332" s="5">
        <f t="shared" si="45"/>
        <v>47</v>
      </c>
      <c r="AM332" s="5">
        <f t="shared" si="46"/>
        <v>4472461911</v>
      </c>
      <c r="AN332" s="5">
        <f>$AL$4*$AL$3^AL332*$AL$2</f>
        <v>4472461911.37465</v>
      </c>
      <c r="AO332" s="5">
        <f>IF(AL332=AL333,1,LOOKUP(MOD(AL332,$AL$1),$AN$1:$AN$5,$AO$1:$AO$5))</f>
        <v>1</v>
      </c>
      <c r="AP332" s="5">
        <f t="shared" si="47"/>
        <v>1226945384</v>
      </c>
      <c r="AQ332" s="5">
        <f>AM332*$AR$3</f>
        <v>596328254.79999995</v>
      </c>
      <c r="AR332" s="5">
        <f>AM332*AL332*$AR$4</f>
        <v>630617129.45099998</v>
      </c>
      <c r="AS332" s="5">
        <f>SUM($AP$9:AP331)</f>
        <v>26277635266</v>
      </c>
    </row>
    <row r="333" spans="1:45" x14ac:dyDescent="0.15">
      <c r="A333" s="5">
        <v>325</v>
      </c>
      <c r="J333" s="5">
        <f t="shared" si="40"/>
        <v>325</v>
      </c>
      <c r="K333" s="5">
        <f>SUM($AP$9:AP332)</f>
        <v>27504580650</v>
      </c>
      <c r="L333" s="5">
        <f>LOOKUP(K333,AI:AI,AE:AE)</f>
        <v>314</v>
      </c>
      <c r="M333" s="5">
        <f>LOOKUP(L333,AE:AE,AG:AG)</f>
        <v>1413740033</v>
      </c>
      <c r="N333" s="5">
        <f>AM333/M333/$K$1</f>
        <v>2.1090449477283779</v>
      </c>
      <c r="O333" s="5">
        <f>SUM($N$9:N333)</f>
        <v>1158.9602159255146</v>
      </c>
      <c r="AE333" s="5">
        <f t="shared" si="41"/>
        <v>325</v>
      </c>
      <c r="AF333" s="5">
        <f t="shared" si="42"/>
        <v>2533483590</v>
      </c>
      <c r="AG333" s="5">
        <f t="shared" si="43"/>
        <v>2502681358</v>
      </c>
      <c r="AH333" s="5">
        <f>AG333*$AF$1</f>
        <v>25026813580</v>
      </c>
      <c r="AI333" s="5">
        <f>SUM($AF$9:AF332)</f>
        <v>47435437770</v>
      </c>
      <c r="AK333" s="5">
        <f t="shared" si="44"/>
        <v>325</v>
      </c>
      <c r="AL333" s="5">
        <f t="shared" si="45"/>
        <v>47</v>
      </c>
      <c r="AM333" s="5">
        <f t="shared" si="46"/>
        <v>4472461911</v>
      </c>
      <c r="AN333" s="5">
        <f>$AL$4*$AL$3^AL333*$AL$2</f>
        <v>4472461911.37465</v>
      </c>
      <c r="AO333" s="5">
        <f>IF(AL333=AL334,1,LOOKUP(MOD(AL333,$AL$1),$AN$1:$AN$5,$AO$1:$AO$5))</f>
        <v>1</v>
      </c>
      <c r="AP333" s="5">
        <f t="shared" si="47"/>
        <v>1226945384</v>
      </c>
      <c r="AQ333" s="5">
        <f>AM333*$AR$3</f>
        <v>596328254.79999995</v>
      </c>
      <c r="AR333" s="5">
        <f>AM333*AL333*$AR$4</f>
        <v>630617129.45099998</v>
      </c>
      <c r="AS333" s="5">
        <f>SUM($AP$9:AP332)</f>
        <v>27504580650</v>
      </c>
    </row>
    <row r="334" spans="1:45" x14ac:dyDescent="0.15">
      <c r="A334" s="5">
        <v>326</v>
      </c>
      <c r="J334" s="5">
        <f t="shared" si="40"/>
        <v>326</v>
      </c>
      <c r="K334" s="5">
        <f>SUM($AP$9:AP333)</f>
        <v>28731526034</v>
      </c>
      <c r="L334" s="5">
        <f>LOOKUP(K334,AI:AI,AE:AE)</f>
        <v>315</v>
      </c>
      <c r="M334" s="5">
        <f>LOOKUP(L334,AE:AE,AG:AG)</f>
        <v>1489154509</v>
      </c>
      <c r="N334" s="5">
        <f>AM334/M334/$K$1</f>
        <v>2.0022376831818733</v>
      </c>
      <c r="O334" s="5">
        <f>SUM($N$9:N334)</f>
        <v>1160.9624536086965</v>
      </c>
      <c r="AE334" s="5">
        <f t="shared" si="41"/>
        <v>326</v>
      </c>
      <c r="AF334" s="5">
        <f t="shared" si="42"/>
        <v>2668243356</v>
      </c>
      <c r="AG334" s="5">
        <f t="shared" si="43"/>
        <v>2635901012</v>
      </c>
      <c r="AH334" s="5">
        <f>AG334*$AF$1</f>
        <v>26359010120</v>
      </c>
      <c r="AI334" s="5">
        <f>SUM($AF$9:AF333)</f>
        <v>49968921360</v>
      </c>
      <c r="AK334" s="5">
        <f t="shared" si="44"/>
        <v>326</v>
      </c>
      <c r="AL334" s="5">
        <f t="shared" si="45"/>
        <v>47</v>
      </c>
      <c r="AM334" s="5">
        <f t="shared" si="46"/>
        <v>4472461911</v>
      </c>
      <c r="AN334" s="5">
        <f>$AL$4*$AL$3^AL334*$AL$2</f>
        <v>4472461911.37465</v>
      </c>
      <c r="AO334" s="5">
        <f>IF(AL334=AL335,1,LOOKUP(MOD(AL334,$AL$1),$AN$1:$AN$5,$AO$1:$AO$5))</f>
        <v>1</v>
      </c>
      <c r="AP334" s="5">
        <f t="shared" si="47"/>
        <v>1226945384</v>
      </c>
      <c r="AQ334" s="5">
        <f>AM334*$AR$3</f>
        <v>596328254.79999995</v>
      </c>
      <c r="AR334" s="5">
        <f>AM334*AL334*$AR$4</f>
        <v>630617129.45099998</v>
      </c>
      <c r="AS334" s="5">
        <f>SUM($AP$9:AP333)</f>
        <v>28731526034</v>
      </c>
    </row>
    <row r="335" spans="1:45" x14ac:dyDescent="0.15">
      <c r="A335" s="5">
        <v>327</v>
      </c>
      <c r="J335" s="5">
        <f t="shared" si="40"/>
        <v>327</v>
      </c>
      <c r="K335" s="5">
        <f>SUM($AP$9:AP334)</f>
        <v>29958471418</v>
      </c>
      <c r="L335" s="5">
        <f>LOOKUP(K335,AI:AI,AE:AE)</f>
        <v>316</v>
      </c>
      <c r="M335" s="5">
        <f>LOOKUP(L335,AE:AE,AG:AG)</f>
        <v>1568576083</v>
      </c>
      <c r="N335" s="5">
        <f>AM335/M335/$K$1</f>
        <v>1.9008585597565817</v>
      </c>
      <c r="O335" s="5">
        <f>SUM($N$9:N335)</f>
        <v>1162.8633121684531</v>
      </c>
      <c r="AE335" s="5">
        <f t="shared" si="41"/>
        <v>327</v>
      </c>
      <c r="AF335" s="5">
        <f t="shared" si="42"/>
        <v>2810145389</v>
      </c>
      <c r="AG335" s="5">
        <f t="shared" si="43"/>
        <v>2776185928</v>
      </c>
      <c r="AH335" s="5">
        <f>AG335*$AF$1</f>
        <v>27761859280</v>
      </c>
      <c r="AI335" s="5">
        <f>SUM($AF$9:AF334)</f>
        <v>52637164716</v>
      </c>
      <c r="AK335" s="5">
        <f t="shared" si="44"/>
        <v>327</v>
      </c>
      <c r="AL335" s="5">
        <f t="shared" si="45"/>
        <v>47</v>
      </c>
      <c r="AM335" s="5">
        <f t="shared" si="46"/>
        <v>4472461911</v>
      </c>
      <c r="AN335" s="5">
        <f>$AL$4*$AL$3^AL335*$AL$2</f>
        <v>4472461911.37465</v>
      </c>
      <c r="AO335" s="5">
        <f>IF(AL335=AL336,1,LOOKUP(MOD(AL335,$AL$1),$AN$1:$AN$5,$AO$1:$AO$5))</f>
        <v>1</v>
      </c>
      <c r="AP335" s="5">
        <f t="shared" si="47"/>
        <v>1226945384</v>
      </c>
      <c r="AQ335" s="5">
        <f>AM335*$AR$3</f>
        <v>596328254.79999995</v>
      </c>
      <c r="AR335" s="5">
        <f>AM335*AL335*$AR$4</f>
        <v>630617129.45099998</v>
      </c>
      <c r="AS335" s="5">
        <f>SUM($AP$9:AP334)</f>
        <v>29958471418</v>
      </c>
    </row>
    <row r="336" spans="1:45" x14ac:dyDescent="0.15">
      <c r="A336" s="5">
        <v>328</v>
      </c>
      <c r="J336" s="5">
        <f t="shared" si="40"/>
        <v>328</v>
      </c>
      <c r="K336" s="5">
        <f>SUM($AP$9:AP335)</f>
        <v>31185416802</v>
      </c>
      <c r="L336" s="5">
        <f>LOOKUP(K336,AI:AI,AE:AE)</f>
        <v>316</v>
      </c>
      <c r="M336" s="5">
        <f>LOOKUP(L336,AE:AE,AG:AG)</f>
        <v>1568576083</v>
      </c>
      <c r="N336" s="5">
        <f>AM336/M336/$K$1</f>
        <v>1.9008585597565817</v>
      </c>
      <c r="O336" s="5">
        <f>SUM($N$9:N336)</f>
        <v>1164.7641707282098</v>
      </c>
      <c r="AE336" s="5">
        <f t="shared" si="41"/>
        <v>328</v>
      </c>
      <c r="AF336" s="5">
        <f t="shared" si="42"/>
        <v>2959567017</v>
      </c>
      <c r="AG336" s="5">
        <f t="shared" si="43"/>
        <v>2923909583</v>
      </c>
      <c r="AH336" s="5">
        <f>AG336*$AF$1</f>
        <v>29239095830</v>
      </c>
      <c r="AI336" s="5">
        <f>SUM($AF$9:AF335)</f>
        <v>55447310105</v>
      </c>
      <c r="AK336" s="5">
        <f t="shared" si="44"/>
        <v>328</v>
      </c>
      <c r="AL336" s="5">
        <f t="shared" si="45"/>
        <v>47</v>
      </c>
      <c r="AM336" s="5">
        <f t="shared" si="46"/>
        <v>4472461911</v>
      </c>
      <c r="AN336" s="5">
        <f>$AL$4*$AL$3^AL336*$AL$2</f>
        <v>4472461911.37465</v>
      </c>
      <c r="AO336" s="5">
        <f>IF(AL336=AL337,1,LOOKUP(MOD(AL336,$AL$1),$AN$1:$AN$5,$AO$1:$AO$5))</f>
        <v>1</v>
      </c>
      <c r="AP336" s="5">
        <f t="shared" si="47"/>
        <v>1226945384</v>
      </c>
      <c r="AQ336" s="5">
        <f>AM336*$AR$3</f>
        <v>596328254.79999995</v>
      </c>
      <c r="AR336" s="5">
        <f>AM336*AL336*$AR$4</f>
        <v>630617129.45099998</v>
      </c>
      <c r="AS336" s="5">
        <f>SUM($AP$9:AP335)</f>
        <v>31185416802</v>
      </c>
    </row>
    <row r="337" spans="1:45" x14ac:dyDescent="0.15">
      <c r="A337" s="5">
        <v>329</v>
      </c>
      <c r="J337" s="5">
        <f t="shared" si="40"/>
        <v>329</v>
      </c>
      <c r="K337" s="5">
        <f>SUM($AP$9:AP336)</f>
        <v>32412362186</v>
      </c>
      <c r="L337" s="5">
        <f>LOOKUP(K337,AI:AI,AE:AE)</f>
        <v>317</v>
      </c>
      <c r="M337" s="5">
        <f>LOOKUP(L337,AE:AE,AG:AG)</f>
        <v>1652216928</v>
      </c>
      <c r="N337" s="5">
        <f>AM337/M337/$K$1</f>
        <v>12.632414404121151</v>
      </c>
      <c r="O337" s="5">
        <f>SUM($N$9:N337)</f>
        <v>1177.396585132331</v>
      </c>
      <c r="AE337" s="5">
        <f t="shared" si="41"/>
        <v>329</v>
      </c>
      <c r="AF337" s="5">
        <f t="shared" si="42"/>
        <v>3116905444</v>
      </c>
      <c r="AG337" s="5">
        <f t="shared" si="43"/>
        <v>3079465138</v>
      </c>
      <c r="AH337" s="5">
        <f>AG337*$AF$1</f>
        <v>30794651380</v>
      </c>
      <c r="AI337" s="5">
        <f>SUM($AF$9:AF336)</f>
        <v>58406877122</v>
      </c>
      <c r="AK337" s="5">
        <f t="shared" si="44"/>
        <v>329</v>
      </c>
      <c r="AL337" s="5">
        <f t="shared" si="45"/>
        <v>47</v>
      </c>
      <c r="AM337" s="5">
        <f t="shared" si="46"/>
        <v>31307233380</v>
      </c>
      <c r="AN337" s="5">
        <f>$AL$4*$AL$3^AL337*$AL$2</f>
        <v>4472461911.37465</v>
      </c>
      <c r="AO337" s="5">
        <f>IF(AL337=AL338,1,LOOKUP(MOD(AL337,$AL$1),$AN$1:$AN$5,$AO$1:$AO$5))</f>
        <v>7</v>
      </c>
      <c r="AP337" s="5">
        <f t="shared" si="47"/>
        <v>8588617691</v>
      </c>
      <c r="AQ337" s="5">
        <f>AM337*$AR$3</f>
        <v>4174297784</v>
      </c>
      <c r="AR337" s="5">
        <f>AM337*AL337*$AR$4</f>
        <v>4414319906.5799999</v>
      </c>
      <c r="AS337" s="5">
        <f>SUM($AP$9:AP336)</f>
        <v>32412362186</v>
      </c>
    </row>
    <row r="338" spans="1:45" x14ac:dyDescent="0.15">
      <c r="A338" s="5">
        <v>330</v>
      </c>
      <c r="J338" s="5">
        <f t="shared" si="40"/>
        <v>330</v>
      </c>
      <c r="K338" s="5">
        <f>SUM($AP$9:AP337)</f>
        <v>41000979877</v>
      </c>
      <c r="L338" s="5">
        <f>LOOKUP(K338,AI:AI,AE:AE)</f>
        <v>322</v>
      </c>
      <c r="M338" s="5">
        <f>LOOKUP(L338,AE:AE,AG:AG)</f>
        <v>2141954160</v>
      </c>
      <c r="N338" s="5">
        <f>AM338/M338/$K$1</f>
        <v>2.185470113266414</v>
      </c>
      <c r="O338" s="5">
        <f>SUM($N$9:N338)</f>
        <v>1179.5820552455973</v>
      </c>
      <c r="AE338" s="5">
        <f t="shared" si="41"/>
        <v>330</v>
      </c>
      <c r="AF338" s="5">
        <f t="shared" si="42"/>
        <v>3282578797</v>
      </c>
      <c r="AG338" s="5">
        <f t="shared" si="43"/>
        <v>3243266476</v>
      </c>
      <c r="AH338" s="5">
        <f>AG338*$AF$1</f>
        <v>32432664760</v>
      </c>
      <c r="AI338" s="5">
        <f>SUM($AF$9:AF337)</f>
        <v>61523782566</v>
      </c>
      <c r="AK338" s="5">
        <f t="shared" si="44"/>
        <v>330</v>
      </c>
      <c r="AL338" s="5">
        <f t="shared" si="45"/>
        <v>48</v>
      </c>
      <c r="AM338" s="5">
        <f t="shared" si="46"/>
        <v>7021765201</v>
      </c>
      <c r="AN338" s="5">
        <f>$AL$4*$AL$3^AL338*$AL$2</f>
        <v>7021765200.8581991</v>
      </c>
      <c r="AO338" s="5">
        <f>IF(AL338=AL339,1,LOOKUP(MOD(AL338,$AL$1),$AN$1:$AN$5,$AO$1:$AO$5))</f>
        <v>1</v>
      </c>
      <c r="AP338" s="5">
        <f t="shared" si="47"/>
        <v>1947369549</v>
      </c>
      <c r="AQ338" s="5">
        <f>AM338*$AR$3</f>
        <v>936235360.13333333</v>
      </c>
      <c r="AR338" s="5">
        <f>AM338*AL338*$AR$4</f>
        <v>1011134188.944</v>
      </c>
      <c r="AS338" s="5">
        <f>SUM($AP$9:AP337)</f>
        <v>41000979877</v>
      </c>
    </row>
    <row r="339" spans="1:45" x14ac:dyDescent="0.15">
      <c r="A339" s="5">
        <v>331</v>
      </c>
      <c r="J339" s="5">
        <f t="shared" si="40"/>
        <v>331</v>
      </c>
      <c r="K339" s="5">
        <f>SUM($AP$9:AP338)</f>
        <v>42948349426</v>
      </c>
      <c r="L339" s="5">
        <f>LOOKUP(K339,AI:AI,AE:AE)</f>
        <v>323</v>
      </c>
      <c r="M339" s="5">
        <f>LOOKUP(L339,AE:AE,AG:AG)</f>
        <v>2256036501</v>
      </c>
      <c r="N339" s="5">
        <f>AM339/M339/$K$1</f>
        <v>2.0749561448104719</v>
      </c>
      <c r="O339" s="5">
        <f>SUM($N$9:N339)</f>
        <v>1181.6570113904079</v>
      </c>
      <c r="AE339" s="5">
        <f t="shared" si="41"/>
        <v>331</v>
      </c>
      <c r="AF339" s="5">
        <f t="shared" si="42"/>
        <v>3457027221</v>
      </c>
      <c r="AG339" s="5">
        <f t="shared" si="43"/>
        <v>3415749284</v>
      </c>
      <c r="AH339" s="5">
        <f>AG339*$AF$1</f>
        <v>34157492840</v>
      </c>
      <c r="AI339" s="5">
        <f>SUM($AF$9:AF338)</f>
        <v>64806361363</v>
      </c>
      <c r="AK339" s="5">
        <f t="shared" si="44"/>
        <v>331</v>
      </c>
      <c r="AL339" s="5">
        <f t="shared" si="45"/>
        <v>48</v>
      </c>
      <c r="AM339" s="5">
        <f t="shared" si="46"/>
        <v>7021765201</v>
      </c>
      <c r="AN339" s="5">
        <f>$AL$4*$AL$3^AL339*$AL$2</f>
        <v>7021765200.8581991</v>
      </c>
      <c r="AO339" s="5">
        <f>IF(AL339=AL340,1,LOOKUP(MOD(AL339,$AL$1),$AN$1:$AN$5,$AO$1:$AO$5))</f>
        <v>1</v>
      </c>
      <c r="AP339" s="5">
        <f t="shared" si="47"/>
        <v>1947369549</v>
      </c>
      <c r="AQ339" s="5">
        <f>AM339*$AR$3</f>
        <v>936235360.13333333</v>
      </c>
      <c r="AR339" s="5">
        <f>AM339*AL339*$AR$4</f>
        <v>1011134188.944</v>
      </c>
      <c r="AS339" s="5">
        <f>SUM($AP$9:AP338)</f>
        <v>42948349426</v>
      </c>
    </row>
    <row r="340" spans="1:45" x14ac:dyDescent="0.15">
      <c r="A340" s="5">
        <v>332</v>
      </c>
      <c r="J340" s="5">
        <f t="shared" si="40"/>
        <v>332</v>
      </c>
      <c r="K340" s="5">
        <f>SUM($AP$9:AP339)</f>
        <v>44895718975</v>
      </c>
      <c r="L340" s="5">
        <f>LOOKUP(K340,AI:AI,AE:AE)</f>
        <v>323</v>
      </c>
      <c r="M340" s="5">
        <f>LOOKUP(L340,AE:AE,AG:AG)</f>
        <v>2256036501</v>
      </c>
      <c r="N340" s="5">
        <f>AM340/M340/$K$1</f>
        <v>2.0749561448104719</v>
      </c>
      <c r="O340" s="5">
        <f>SUM($N$9:N340)</f>
        <v>1183.7319675352185</v>
      </c>
      <c r="AE340" s="5">
        <f t="shared" si="41"/>
        <v>332</v>
      </c>
      <c r="AF340" s="5">
        <f t="shared" si="42"/>
        <v>3640714040</v>
      </c>
      <c r="AG340" s="5">
        <f t="shared" si="43"/>
        <v>3597372206</v>
      </c>
      <c r="AH340" s="5">
        <f>AG340*$AF$1</f>
        <v>35973722060</v>
      </c>
      <c r="AI340" s="5">
        <f>SUM($AF$9:AF339)</f>
        <v>68263388584</v>
      </c>
      <c r="AK340" s="5">
        <f t="shared" si="44"/>
        <v>332</v>
      </c>
      <c r="AL340" s="5">
        <f t="shared" si="45"/>
        <v>48</v>
      </c>
      <c r="AM340" s="5">
        <f t="shared" si="46"/>
        <v>7021765201</v>
      </c>
      <c r="AN340" s="5">
        <f>$AL$4*$AL$3^AL340*$AL$2</f>
        <v>7021765200.8581991</v>
      </c>
      <c r="AO340" s="5">
        <f>IF(AL340=AL341,1,LOOKUP(MOD(AL340,$AL$1),$AN$1:$AN$5,$AO$1:$AO$5))</f>
        <v>1</v>
      </c>
      <c r="AP340" s="5">
        <f t="shared" si="47"/>
        <v>1947369549</v>
      </c>
      <c r="AQ340" s="5">
        <f>AM340*$AR$3</f>
        <v>936235360.13333333</v>
      </c>
      <c r="AR340" s="5">
        <f>AM340*AL340*$AR$4</f>
        <v>1011134188.944</v>
      </c>
      <c r="AS340" s="5">
        <f>SUM($AP$9:AP339)</f>
        <v>44895718975</v>
      </c>
    </row>
    <row r="341" spans="1:45" x14ac:dyDescent="0.15">
      <c r="A341" s="5">
        <v>333</v>
      </c>
      <c r="J341" s="5">
        <f t="shared" si="40"/>
        <v>333</v>
      </c>
      <c r="K341" s="5">
        <f>SUM($AP$9:AP340)</f>
        <v>46843088524</v>
      </c>
      <c r="L341" s="5">
        <f>LOOKUP(K341,AI:AI,AE:AE)</f>
        <v>324</v>
      </c>
      <c r="M341" s="5">
        <f>LOOKUP(L341,AE:AE,AG:AG)</f>
        <v>2376172191</v>
      </c>
      <c r="N341" s="5">
        <f>AM341/M341/$K$1</f>
        <v>1.9700494847962249</v>
      </c>
      <c r="O341" s="5">
        <f>SUM($N$9:N341)</f>
        <v>1185.7020170200146</v>
      </c>
      <c r="AE341" s="5">
        <f t="shared" si="41"/>
        <v>333</v>
      </c>
      <c r="AF341" s="5">
        <f t="shared" si="42"/>
        <v>3834126973</v>
      </c>
      <c r="AG341" s="5">
        <f t="shared" si="43"/>
        <v>3788618048</v>
      </c>
      <c r="AH341" s="5">
        <f>AG341*$AF$1</f>
        <v>37886180480</v>
      </c>
      <c r="AI341" s="5">
        <f>SUM($AF$9:AF340)</f>
        <v>71904102624</v>
      </c>
      <c r="AK341" s="5">
        <f t="shared" si="44"/>
        <v>333</v>
      </c>
      <c r="AL341" s="5">
        <f t="shared" si="45"/>
        <v>48</v>
      </c>
      <c r="AM341" s="5">
        <f t="shared" si="46"/>
        <v>7021765201</v>
      </c>
      <c r="AN341" s="5">
        <f>$AL$4*$AL$3^AL341*$AL$2</f>
        <v>7021765200.8581991</v>
      </c>
      <c r="AO341" s="5">
        <f>IF(AL341=AL342,1,LOOKUP(MOD(AL341,$AL$1),$AN$1:$AN$5,$AO$1:$AO$5))</f>
        <v>1</v>
      </c>
      <c r="AP341" s="5">
        <f t="shared" si="47"/>
        <v>1947369549</v>
      </c>
      <c r="AQ341" s="5">
        <f>AM341*$AR$3</f>
        <v>936235360.13333333</v>
      </c>
      <c r="AR341" s="5">
        <f>AM341*AL341*$AR$4</f>
        <v>1011134188.944</v>
      </c>
      <c r="AS341" s="5">
        <f>SUM($AP$9:AP340)</f>
        <v>46843088524</v>
      </c>
    </row>
    <row r="342" spans="1:45" x14ac:dyDescent="0.15">
      <c r="A342" s="5">
        <v>334</v>
      </c>
      <c r="J342" s="5">
        <f t="shared" si="40"/>
        <v>334</v>
      </c>
      <c r="K342" s="5">
        <f>SUM($AP$9:AP341)</f>
        <v>48790458073</v>
      </c>
      <c r="L342" s="5">
        <f>LOOKUP(K342,AI:AI,AE:AE)</f>
        <v>325</v>
      </c>
      <c r="M342" s="5">
        <f>LOOKUP(L342,AE:AE,AG:AG)</f>
        <v>2502681358</v>
      </c>
      <c r="N342" s="5">
        <f>AM342/M342/$K$1</f>
        <v>1.8704645662153314</v>
      </c>
      <c r="O342" s="5">
        <f>SUM($N$9:N342)</f>
        <v>1187.57248158623</v>
      </c>
      <c r="AE342" s="5">
        <f t="shared" si="41"/>
        <v>334</v>
      </c>
      <c r="AF342" s="5">
        <f t="shared" si="42"/>
        <v>4037779415</v>
      </c>
      <c r="AG342" s="5">
        <f t="shared" si="43"/>
        <v>3989995043</v>
      </c>
      <c r="AH342" s="5">
        <f>AG342*$AF$1</f>
        <v>39899950430</v>
      </c>
      <c r="AI342" s="5">
        <f>SUM($AF$9:AF341)</f>
        <v>75738229597</v>
      </c>
      <c r="AK342" s="5">
        <f t="shared" si="44"/>
        <v>334</v>
      </c>
      <c r="AL342" s="5">
        <f t="shared" si="45"/>
        <v>48</v>
      </c>
      <c r="AM342" s="5">
        <f t="shared" si="46"/>
        <v>7021765201</v>
      </c>
      <c r="AN342" s="5">
        <f>$AL$4*$AL$3^AL342*$AL$2</f>
        <v>7021765200.8581991</v>
      </c>
      <c r="AO342" s="5">
        <f>IF(AL342=AL343,1,LOOKUP(MOD(AL342,$AL$1),$AN$1:$AN$5,$AO$1:$AO$5))</f>
        <v>1</v>
      </c>
      <c r="AP342" s="5">
        <f t="shared" si="47"/>
        <v>1947369549</v>
      </c>
      <c r="AQ342" s="5">
        <f>AM342*$AR$3</f>
        <v>936235360.13333333</v>
      </c>
      <c r="AR342" s="5">
        <f>AM342*AL342*$AR$4</f>
        <v>1011134188.944</v>
      </c>
      <c r="AS342" s="5">
        <f>SUM($AP$9:AP341)</f>
        <v>48790458073</v>
      </c>
    </row>
    <row r="343" spans="1:45" x14ac:dyDescent="0.15">
      <c r="A343" s="5">
        <v>335</v>
      </c>
      <c r="J343" s="5">
        <f t="shared" si="40"/>
        <v>335</v>
      </c>
      <c r="K343" s="5">
        <f>SUM($AP$9:AP342)</f>
        <v>50737827622</v>
      </c>
      <c r="L343" s="5">
        <f>LOOKUP(K343,AI:AI,AE:AE)</f>
        <v>326</v>
      </c>
      <c r="M343" s="5">
        <f>LOOKUP(L343,AE:AE,AG:AG)</f>
        <v>2635901012</v>
      </c>
      <c r="N343" s="5">
        <f>AM343/M343/$K$1</f>
        <v>1.7759304235460671</v>
      </c>
      <c r="O343" s="5">
        <f>SUM($N$9:N343)</f>
        <v>1189.348412009776</v>
      </c>
      <c r="AE343" s="5">
        <f t="shared" si="41"/>
        <v>335</v>
      </c>
      <c r="AF343" s="5">
        <f t="shared" si="42"/>
        <v>4252211783</v>
      </c>
      <c r="AG343" s="5">
        <f t="shared" si="43"/>
        <v>4202038193</v>
      </c>
      <c r="AH343" s="5">
        <f>AG343*$AF$1</f>
        <v>42020381930</v>
      </c>
      <c r="AI343" s="5">
        <f>SUM($AF$9:AF342)</f>
        <v>79776009012</v>
      </c>
      <c r="AK343" s="5">
        <f t="shared" si="44"/>
        <v>335</v>
      </c>
      <c r="AL343" s="5">
        <f t="shared" si="45"/>
        <v>48</v>
      </c>
      <c r="AM343" s="5">
        <f t="shared" si="46"/>
        <v>7021765201</v>
      </c>
      <c r="AN343" s="5">
        <f>$AL$4*$AL$3^AL343*$AL$2</f>
        <v>7021765200.8581991</v>
      </c>
      <c r="AO343" s="5">
        <f>IF(AL343=AL344,1,LOOKUP(MOD(AL343,$AL$1),$AN$1:$AN$5,$AO$1:$AO$5))</f>
        <v>1</v>
      </c>
      <c r="AP343" s="5">
        <f t="shared" si="47"/>
        <v>1947369549</v>
      </c>
      <c r="AQ343" s="5">
        <f>AM343*$AR$3</f>
        <v>936235360.13333333</v>
      </c>
      <c r="AR343" s="5">
        <f>AM343*AL343*$AR$4</f>
        <v>1011134188.944</v>
      </c>
      <c r="AS343" s="5">
        <f>SUM($AP$9:AP342)</f>
        <v>50737827622</v>
      </c>
    </row>
    <row r="344" spans="1:45" x14ac:dyDescent="0.15">
      <c r="A344" s="5">
        <v>336</v>
      </c>
      <c r="J344" s="5">
        <f t="shared" si="40"/>
        <v>336</v>
      </c>
      <c r="K344" s="5">
        <f>SUM($AP$9:AP343)</f>
        <v>52685197171</v>
      </c>
      <c r="L344" s="5">
        <f>LOOKUP(K344,AI:AI,AE:AE)</f>
        <v>327</v>
      </c>
      <c r="M344" s="5">
        <f>LOOKUP(L344,AE:AE,AG:AG)</f>
        <v>2776185928</v>
      </c>
      <c r="N344" s="5">
        <f>AM344/M344/$K$1</f>
        <v>11.803329623389692</v>
      </c>
      <c r="O344" s="5">
        <f>SUM($N$9:N344)</f>
        <v>1201.1517416331658</v>
      </c>
      <c r="AE344" s="5">
        <f t="shared" si="41"/>
        <v>336</v>
      </c>
      <c r="AF344" s="5">
        <f t="shared" si="42"/>
        <v>4477992940</v>
      </c>
      <c r="AG344" s="5">
        <f t="shared" si="43"/>
        <v>4425310670</v>
      </c>
      <c r="AH344" s="5">
        <f>AG344*$AF$1</f>
        <v>44253106700</v>
      </c>
      <c r="AI344" s="5">
        <f>SUM($AF$9:AF343)</f>
        <v>84028220795</v>
      </c>
      <c r="AK344" s="5">
        <f t="shared" si="44"/>
        <v>336</v>
      </c>
      <c r="AL344" s="5">
        <f t="shared" si="45"/>
        <v>48</v>
      </c>
      <c r="AM344" s="5">
        <f t="shared" si="46"/>
        <v>49152356406</v>
      </c>
      <c r="AN344" s="5">
        <f>$AL$4*$AL$3^AL344*$AL$2</f>
        <v>7021765200.8581991</v>
      </c>
      <c r="AO344" s="5">
        <f>IF(AL344=AL345,1,LOOKUP(MOD(AL344,$AL$1),$AN$1:$AN$5,$AO$1:$AO$5))</f>
        <v>7</v>
      </c>
      <c r="AP344" s="5">
        <f t="shared" si="47"/>
        <v>13631586843</v>
      </c>
      <c r="AQ344" s="5">
        <f>AM344*$AR$3</f>
        <v>6553647520.8000002</v>
      </c>
      <c r="AR344" s="5">
        <f>AM344*AL344*$AR$4</f>
        <v>7077939322.4639997</v>
      </c>
      <c r="AS344" s="5">
        <f>SUM($AP$9:AP343)</f>
        <v>52685197171</v>
      </c>
    </row>
    <row r="345" spans="1:45" x14ac:dyDescent="0.15">
      <c r="A345" s="5">
        <v>337</v>
      </c>
      <c r="J345" s="5">
        <f t="shared" si="40"/>
        <v>337</v>
      </c>
      <c r="K345" s="5">
        <f>SUM($AP$9:AP344)</f>
        <v>66316784014</v>
      </c>
      <c r="L345" s="5">
        <f>LOOKUP(K345,AI:AI,AE:AE)</f>
        <v>331</v>
      </c>
      <c r="M345" s="5">
        <f>LOOKUP(L345,AE:AE,AG:AG)</f>
        <v>3415749284</v>
      </c>
      <c r="N345" s="5">
        <f>AM345/M345/$K$1</f>
        <v>2.1516355462893122</v>
      </c>
      <c r="O345" s="5">
        <f>SUM($N$9:N345)</f>
        <v>1203.3033771794551</v>
      </c>
      <c r="AE345" s="5">
        <f t="shared" si="41"/>
        <v>337</v>
      </c>
      <c r="AF345" s="5">
        <f t="shared" si="42"/>
        <v>4715721683</v>
      </c>
      <c r="AG345" s="5">
        <f t="shared" si="43"/>
        <v>4660405300</v>
      </c>
      <c r="AH345" s="5">
        <f>AG345*$AF$1</f>
        <v>46604053000</v>
      </c>
      <c r="AI345" s="5">
        <f>SUM($AF$9:AF344)</f>
        <v>88506213735</v>
      </c>
      <c r="AK345" s="5">
        <f t="shared" si="44"/>
        <v>337</v>
      </c>
      <c r="AL345" s="5">
        <f t="shared" si="45"/>
        <v>49</v>
      </c>
      <c r="AM345" s="5">
        <f t="shared" si="46"/>
        <v>11024171365</v>
      </c>
      <c r="AN345" s="5">
        <f>$AL$4*$AL$3^AL345*$AL$2</f>
        <v>11024171365.347372</v>
      </c>
      <c r="AO345" s="5">
        <f>IF(AL345=AL346,1,LOOKUP(MOD(AL345,$AL$1),$AN$1:$AN$5,$AO$1:$AO$5))</f>
        <v>1</v>
      </c>
      <c r="AP345" s="5">
        <f t="shared" si="47"/>
        <v>3090442706</v>
      </c>
      <c r="AQ345" s="5">
        <f>AM345*$AR$3</f>
        <v>1469889515.3333333</v>
      </c>
      <c r="AR345" s="5">
        <f>AM345*AL345*$AR$4</f>
        <v>1620553190.655</v>
      </c>
      <c r="AS345" s="5">
        <f>SUM($AP$9:AP344)</f>
        <v>66316784014</v>
      </c>
    </row>
    <row r="346" spans="1:45" x14ac:dyDescent="0.15">
      <c r="A346" s="5">
        <v>338</v>
      </c>
      <c r="J346" s="5">
        <f t="shared" si="40"/>
        <v>338</v>
      </c>
      <c r="K346" s="5">
        <f>SUM($AP$9:AP345)</f>
        <v>69407226720</v>
      </c>
      <c r="L346" s="5">
        <f>LOOKUP(K346,AI:AI,AE:AE)</f>
        <v>332</v>
      </c>
      <c r="M346" s="5">
        <f>LOOKUP(L346,AE:AE,AG:AG)</f>
        <v>3597372206</v>
      </c>
      <c r="N346" s="5">
        <f>AM346/M346/$K$1</f>
        <v>2.0430044921147275</v>
      </c>
      <c r="O346" s="5">
        <f>SUM($N$9:N346)</f>
        <v>1205.3463816715698</v>
      </c>
      <c r="AE346" s="5">
        <f t="shared" si="41"/>
        <v>338</v>
      </c>
      <c r="AF346" s="5">
        <f t="shared" si="42"/>
        <v>4966028318</v>
      </c>
      <c r="AG346" s="5">
        <f t="shared" si="43"/>
        <v>4907946115</v>
      </c>
      <c r="AH346" s="5">
        <f>AG346*$AF$1</f>
        <v>49079461150</v>
      </c>
      <c r="AI346" s="5">
        <f>SUM($AF$9:AF345)</f>
        <v>93221935418</v>
      </c>
      <c r="AK346" s="5">
        <f t="shared" si="44"/>
        <v>338</v>
      </c>
      <c r="AL346" s="5">
        <f t="shared" si="45"/>
        <v>49</v>
      </c>
      <c r="AM346" s="5">
        <f t="shared" si="46"/>
        <v>11024171365</v>
      </c>
      <c r="AN346" s="5">
        <f>$AL$4*$AL$3^AL346*$AL$2</f>
        <v>11024171365.347372</v>
      </c>
      <c r="AO346" s="5">
        <f>IF(AL346=AL347,1,LOOKUP(MOD(AL346,$AL$1),$AN$1:$AN$5,$AO$1:$AO$5))</f>
        <v>1</v>
      </c>
      <c r="AP346" s="5">
        <f t="shared" si="47"/>
        <v>3090442706</v>
      </c>
      <c r="AQ346" s="5">
        <f>AM346*$AR$3</f>
        <v>1469889515.3333333</v>
      </c>
      <c r="AR346" s="5">
        <f>AM346*AL346*$AR$4</f>
        <v>1620553190.655</v>
      </c>
      <c r="AS346" s="5">
        <f>SUM($AP$9:AP345)</f>
        <v>69407226720</v>
      </c>
    </row>
    <row r="347" spans="1:45" x14ac:dyDescent="0.15">
      <c r="A347" s="5">
        <v>339</v>
      </c>
      <c r="J347" s="5">
        <f t="shared" si="40"/>
        <v>339</v>
      </c>
      <c r="K347" s="5">
        <f>SUM($AP$9:AP346)</f>
        <v>72497669426</v>
      </c>
      <c r="L347" s="5">
        <f>LOOKUP(K347,AI:AI,AE:AE)</f>
        <v>333</v>
      </c>
      <c r="M347" s="5">
        <f>LOOKUP(L347,AE:AE,AG:AG)</f>
        <v>3788618048</v>
      </c>
      <c r="N347" s="5">
        <f>AM347/M347/$K$1</f>
        <v>1.939875565061624</v>
      </c>
      <c r="O347" s="5">
        <f>SUM($N$9:N347)</f>
        <v>1207.2862572366314</v>
      </c>
      <c r="AE347" s="5">
        <f t="shared" si="41"/>
        <v>339</v>
      </c>
      <c r="AF347" s="5">
        <f t="shared" si="42"/>
        <v>5229576312</v>
      </c>
      <c r="AG347" s="5">
        <f t="shared" si="43"/>
        <v>5168589999</v>
      </c>
      <c r="AH347" s="5">
        <f>AG347*$AF$1</f>
        <v>51685899990</v>
      </c>
      <c r="AI347" s="5">
        <f>SUM($AF$9:AF346)</f>
        <v>98187963736</v>
      </c>
      <c r="AK347" s="5">
        <f t="shared" si="44"/>
        <v>339</v>
      </c>
      <c r="AL347" s="5">
        <f t="shared" si="45"/>
        <v>49</v>
      </c>
      <c r="AM347" s="5">
        <f t="shared" si="46"/>
        <v>11024171365</v>
      </c>
      <c r="AN347" s="5">
        <f>$AL$4*$AL$3^AL347*$AL$2</f>
        <v>11024171365.347372</v>
      </c>
      <c r="AO347" s="5">
        <f>IF(AL347=AL348,1,LOOKUP(MOD(AL347,$AL$1),$AN$1:$AN$5,$AO$1:$AO$5))</f>
        <v>1</v>
      </c>
      <c r="AP347" s="5">
        <f t="shared" si="47"/>
        <v>3090442706</v>
      </c>
      <c r="AQ347" s="5">
        <f>AM347*$AR$3</f>
        <v>1469889515.3333333</v>
      </c>
      <c r="AR347" s="5">
        <f>AM347*AL347*$AR$4</f>
        <v>1620553190.655</v>
      </c>
      <c r="AS347" s="5">
        <f>SUM($AP$9:AP346)</f>
        <v>72497669426</v>
      </c>
    </row>
    <row r="348" spans="1:45" x14ac:dyDescent="0.15">
      <c r="A348" s="5">
        <v>340</v>
      </c>
      <c r="J348" s="5">
        <f t="shared" si="40"/>
        <v>340</v>
      </c>
      <c r="K348" s="5">
        <f>SUM($AP$9:AP347)</f>
        <v>75588112132</v>
      </c>
      <c r="L348" s="5">
        <f>LOOKUP(K348,AI:AI,AE:AE)</f>
        <v>333</v>
      </c>
      <c r="M348" s="5">
        <f>LOOKUP(L348,AE:AE,AG:AG)</f>
        <v>3788618048</v>
      </c>
      <c r="N348" s="5">
        <f>AM348/M348/$K$1</f>
        <v>1.939875565061624</v>
      </c>
      <c r="O348" s="5">
        <f>SUM($N$9:N348)</f>
        <v>1209.226132801693</v>
      </c>
      <c r="AE348" s="5">
        <f t="shared" si="41"/>
        <v>340</v>
      </c>
      <c r="AF348" s="5">
        <f t="shared" si="42"/>
        <v>5507064034</v>
      </c>
      <c r="AG348" s="5">
        <f t="shared" si="43"/>
        <v>5443028406</v>
      </c>
      <c r="AH348" s="5">
        <f>AG348*$AF$1</f>
        <v>54430284060</v>
      </c>
      <c r="AI348" s="5">
        <f>SUM($AF$9:AF347)</f>
        <v>103417540048</v>
      </c>
      <c r="AK348" s="5">
        <f t="shared" si="44"/>
        <v>340</v>
      </c>
      <c r="AL348" s="5">
        <f t="shared" si="45"/>
        <v>49</v>
      </c>
      <c r="AM348" s="5">
        <f t="shared" si="46"/>
        <v>11024171365</v>
      </c>
      <c r="AN348" s="5">
        <f>$AL$4*$AL$3^AL348*$AL$2</f>
        <v>11024171365.347372</v>
      </c>
      <c r="AO348" s="5">
        <f>IF(AL348=AL349,1,LOOKUP(MOD(AL348,$AL$1),$AN$1:$AN$5,$AO$1:$AO$5))</f>
        <v>1</v>
      </c>
      <c r="AP348" s="5">
        <f t="shared" si="47"/>
        <v>3090442706</v>
      </c>
      <c r="AQ348" s="5">
        <f>AM348*$AR$3</f>
        <v>1469889515.3333333</v>
      </c>
      <c r="AR348" s="5">
        <f>AM348*AL348*$AR$4</f>
        <v>1620553190.655</v>
      </c>
      <c r="AS348" s="5">
        <f>SUM($AP$9:AP347)</f>
        <v>75588112132</v>
      </c>
    </row>
    <row r="349" spans="1:45" x14ac:dyDescent="0.15">
      <c r="A349" s="5">
        <v>341</v>
      </c>
      <c r="J349" s="5">
        <f t="shared" si="40"/>
        <v>341</v>
      </c>
      <c r="K349" s="5">
        <f>SUM($AP$9:AP348)</f>
        <v>78678554838</v>
      </c>
      <c r="L349" s="5">
        <f>LOOKUP(K349,AI:AI,AE:AE)</f>
        <v>334</v>
      </c>
      <c r="M349" s="5">
        <f>LOOKUP(L349,AE:AE,AG:AG)</f>
        <v>3989995043</v>
      </c>
      <c r="N349" s="5">
        <f>AM349/M349/$K$1</f>
        <v>1.8419690995758129</v>
      </c>
      <c r="O349" s="5">
        <f>SUM($N$9:N349)</f>
        <v>1211.0681019012688</v>
      </c>
      <c r="AE349" s="5">
        <f t="shared" si="41"/>
        <v>341</v>
      </c>
      <c r="AF349" s="5">
        <f t="shared" si="42"/>
        <v>5799226589</v>
      </c>
      <c r="AG349" s="5">
        <f t="shared" si="43"/>
        <v>5731989179</v>
      </c>
      <c r="AH349" s="5">
        <f>AG349*$AF$1</f>
        <v>57319891790</v>
      </c>
      <c r="AI349" s="5">
        <f>SUM($AF$9:AF348)</f>
        <v>108924604082</v>
      </c>
      <c r="AK349" s="5">
        <f t="shared" si="44"/>
        <v>341</v>
      </c>
      <c r="AL349" s="5">
        <f t="shared" si="45"/>
        <v>49</v>
      </c>
      <c r="AM349" s="5">
        <f t="shared" si="46"/>
        <v>11024171365</v>
      </c>
      <c r="AN349" s="5">
        <f>$AL$4*$AL$3^AL349*$AL$2</f>
        <v>11024171365.347372</v>
      </c>
      <c r="AO349" s="5">
        <f>IF(AL349=AL350,1,LOOKUP(MOD(AL349,$AL$1),$AN$1:$AN$5,$AO$1:$AO$5))</f>
        <v>1</v>
      </c>
      <c r="AP349" s="5">
        <f t="shared" si="47"/>
        <v>3090442706</v>
      </c>
      <c r="AQ349" s="5">
        <f>AM349*$AR$3</f>
        <v>1469889515.3333333</v>
      </c>
      <c r="AR349" s="5">
        <f>AM349*AL349*$AR$4</f>
        <v>1620553190.655</v>
      </c>
      <c r="AS349" s="5">
        <f>SUM($AP$9:AP348)</f>
        <v>78678554838</v>
      </c>
    </row>
    <row r="350" spans="1:45" x14ac:dyDescent="0.15">
      <c r="A350" s="5">
        <v>342</v>
      </c>
      <c r="J350" s="5">
        <f t="shared" si="40"/>
        <v>342</v>
      </c>
      <c r="K350" s="5">
        <f>SUM($AP$9:AP349)</f>
        <v>81768997544</v>
      </c>
      <c r="L350" s="5">
        <f>LOOKUP(K350,AI:AI,AE:AE)</f>
        <v>335</v>
      </c>
      <c r="M350" s="5">
        <f>LOOKUP(L350,AE:AE,AG:AG)</f>
        <v>4202038193</v>
      </c>
      <c r="N350" s="5">
        <f>AM350/M350/$K$1</f>
        <v>1.7490196992758904</v>
      </c>
      <c r="O350" s="5">
        <f>SUM($N$9:N350)</f>
        <v>1212.8171216005446</v>
      </c>
      <c r="AE350" s="5">
        <f t="shared" si="41"/>
        <v>342</v>
      </c>
      <c r="AF350" s="5">
        <f t="shared" si="42"/>
        <v>6106837738</v>
      </c>
      <c r="AG350" s="5">
        <f t="shared" si="43"/>
        <v>6036238458</v>
      </c>
      <c r="AH350" s="5">
        <f>AG350*$AF$1</f>
        <v>60362384580</v>
      </c>
      <c r="AI350" s="5">
        <f>SUM($AF$9:AF349)</f>
        <v>114723830671</v>
      </c>
      <c r="AK350" s="5">
        <f t="shared" si="44"/>
        <v>342</v>
      </c>
      <c r="AL350" s="5">
        <f t="shared" si="45"/>
        <v>49</v>
      </c>
      <c r="AM350" s="5">
        <f t="shared" si="46"/>
        <v>11024171365</v>
      </c>
      <c r="AN350" s="5">
        <f>$AL$4*$AL$3^AL350*$AL$2</f>
        <v>11024171365.347372</v>
      </c>
      <c r="AO350" s="5">
        <f>IF(AL350=AL351,1,LOOKUP(MOD(AL350,$AL$1),$AN$1:$AN$5,$AO$1:$AO$5))</f>
        <v>1</v>
      </c>
      <c r="AP350" s="5">
        <f t="shared" si="47"/>
        <v>3090442706</v>
      </c>
      <c r="AQ350" s="5">
        <f>AM350*$AR$3</f>
        <v>1469889515.3333333</v>
      </c>
      <c r="AR350" s="5">
        <f>AM350*AL350*$AR$4</f>
        <v>1620553190.655</v>
      </c>
      <c r="AS350" s="5">
        <f>SUM($AP$9:AP349)</f>
        <v>81768997544</v>
      </c>
    </row>
    <row r="351" spans="1:45" x14ac:dyDescent="0.15">
      <c r="A351" s="5">
        <v>343</v>
      </c>
      <c r="J351" s="5">
        <f t="shared" si="40"/>
        <v>343</v>
      </c>
      <c r="K351" s="5">
        <f>SUM($AP$9:AP350)</f>
        <v>84859440250</v>
      </c>
      <c r="L351" s="5">
        <f>LOOKUP(K351,AI:AI,AE:AE)</f>
        <v>336</v>
      </c>
      <c r="M351" s="5">
        <f>LOOKUP(L351,AE:AE,AG:AG)</f>
        <v>4425310670</v>
      </c>
      <c r="N351" s="5">
        <f>AM351/M351/$K$1</f>
        <v>16.60775508189726</v>
      </c>
      <c r="O351" s="5">
        <f>SUM($N$9:N351)</f>
        <v>1229.4248766824419</v>
      </c>
      <c r="AE351" s="5">
        <f t="shared" si="41"/>
        <v>343</v>
      </c>
      <c r="AF351" s="5">
        <f t="shared" si="42"/>
        <v>6430711936</v>
      </c>
      <c r="AG351" s="5">
        <f t="shared" si="43"/>
        <v>6356582692</v>
      </c>
      <c r="AH351" s="5">
        <f>AG351*$AF$1</f>
        <v>63565826920</v>
      </c>
      <c r="AI351" s="5">
        <f>SUM($AF$9:AF350)</f>
        <v>120830668409</v>
      </c>
      <c r="AK351" s="5">
        <f t="shared" si="44"/>
        <v>343</v>
      </c>
      <c r="AL351" s="5">
        <f t="shared" si="45"/>
        <v>49</v>
      </c>
      <c r="AM351" s="5">
        <f t="shared" si="46"/>
        <v>110241713653</v>
      </c>
      <c r="AN351" s="5">
        <f>$AL$4*$AL$3^AL351*$AL$2</f>
        <v>11024171365.347372</v>
      </c>
      <c r="AO351" s="5">
        <f>IF(AL351=AL352,1,LOOKUP(MOD(AL351,$AL$1),$AN$1:$AN$5,$AO$1:$AO$5))</f>
        <v>10</v>
      </c>
      <c r="AP351" s="5">
        <f t="shared" si="47"/>
        <v>30904427061</v>
      </c>
      <c r="AQ351" s="5">
        <f>AM351*$AR$3</f>
        <v>14698895153.733334</v>
      </c>
      <c r="AR351" s="5">
        <f>AM351*AL351*$AR$4</f>
        <v>16205531906.991001</v>
      </c>
      <c r="AS351" s="5">
        <f>SUM($AP$9:AP350)</f>
        <v>84859440250</v>
      </c>
    </row>
    <row r="352" spans="1:45" x14ac:dyDescent="0.15">
      <c r="A352" s="5">
        <v>344</v>
      </c>
      <c r="J352" s="5">
        <f t="shared" si="40"/>
        <v>344</v>
      </c>
      <c r="K352" s="5">
        <f>SUM($AP$9:AP351)</f>
        <v>115763867311</v>
      </c>
      <c r="L352" s="5">
        <f>LOOKUP(K352,AI:AI,AE:AE)</f>
        <v>342</v>
      </c>
      <c r="M352" s="5">
        <f>LOOKUP(L352,AE:AE,AG:AG)</f>
        <v>6036238458</v>
      </c>
      <c r="N352" s="5">
        <f>AM352/M352/$K$1</f>
        <v>1.9115601174946162</v>
      </c>
      <c r="O352" s="5">
        <f>SUM($N$9:N352)</f>
        <v>1231.3364367999366</v>
      </c>
      <c r="AE352" s="5">
        <f t="shared" si="41"/>
        <v>344</v>
      </c>
      <c r="AF352" s="5">
        <f t="shared" si="42"/>
        <v>6771706459</v>
      </c>
      <c r="AG352" s="5">
        <f t="shared" si="43"/>
        <v>6693870753</v>
      </c>
      <c r="AH352" s="5">
        <f>AG352*$AF$1</f>
        <v>66938707530</v>
      </c>
      <c r="AI352" s="5">
        <f>SUM($AF$9:AF351)</f>
        <v>127261380345</v>
      </c>
      <c r="AK352" s="5">
        <f t="shared" si="44"/>
        <v>344</v>
      </c>
      <c r="AL352" s="5">
        <f t="shared" si="45"/>
        <v>50</v>
      </c>
      <c r="AM352" s="5">
        <f t="shared" si="46"/>
        <v>17307949044</v>
      </c>
      <c r="AN352" s="5">
        <f>$AL$4*$AL$3^AL352*$AL$2</f>
        <v>17307949043.595379</v>
      </c>
      <c r="AO352" s="5">
        <f>IF(AL352=AL353,1,LOOKUP(MOD(AL352,$AL$1),$AN$1:$AN$5,$AO$1:$AO$5))</f>
        <v>1</v>
      </c>
      <c r="AP352" s="5">
        <f t="shared" si="47"/>
        <v>4903918896</v>
      </c>
      <c r="AQ352" s="5">
        <f>AM352*$AR$3</f>
        <v>2307726539.1999998</v>
      </c>
      <c r="AR352" s="5">
        <f>AM352*AL352*$AR$4</f>
        <v>2596192356.5999999</v>
      </c>
      <c r="AS352" s="5">
        <f>SUM($AP$9:AP351)</f>
        <v>115763867311</v>
      </c>
    </row>
    <row r="353" spans="1:45" x14ac:dyDescent="0.15">
      <c r="A353" s="5">
        <v>345</v>
      </c>
      <c r="J353" s="5">
        <f t="shared" si="40"/>
        <v>345</v>
      </c>
      <c r="K353" s="5">
        <f>SUM($AP$9:AP352)</f>
        <v>120667786207</v>
      </c>
      <c r="L353" s="5">
        <f>LOOKUP(K353,AI:AI,AE:AE)</f>
        <v>342</v>
      </c>
      <c r="M353" s="5">
        <f>LOOKUP(L353,AE:AE,AG:AG)</f>
        <v>6036238458</v>
      </c>
      <c r="N353" s="5">
        <f>AM353/M353/$K$1</f>
        <v>1.9115601174946162</v>
      </c>
      <c r="O353" s="5">
        <f>SUM($N$9:N353)</f>
        <v>1233.2479969174312</v>
      </c>
      <c r="AE353" s="5">
        <f t="shared" si="41"/>
        <v>345</v>
      </c>
      <c r="AF353" s="5">
        <f t="shared" si="42"/>
        <v>7130723655</v>
      </c>
      <c r="AG353" s="5">
        <f t="shared" si="43"/>
        <v>7048996164</v>
      </c>
      <c r="AH353" s="5">
        <f>AG353*$AF$1</f>
        <v>70489961640</v>
      </c>
      <c r="AI353" s="5">
        <f>SUM($AF$9:AF352)</f>
        <v>134033086804</v>
      </c>
      <c r="AK353" s="5">
        <f t="shared" si="44"/>
        <v>345</v>
      </c>
      <c r="AL353" s="5">
        <f t="shared" si="45"/>
        <v>50</v>
      </c>
      <c r="AM353" s="5">
        <f t="shared" si="46"/>
        <v>17307949044</v>
      </c>
      <c r="AN353" s="5">
        <f>$AL$4*$AL$3^AL353*$AL$2</f>
        <v>17307949043.595379</v>
      </c>
      <c r="AO353" s="5">
        <f>IF(AL353=AL354,1,LOOKUP(MOD(AL353,$AL$1),$AN$1:$AN$5,$AO$1:$AO$5))</f>
        <v>1</v>
      </c>
      <c r="AP353" s="5">
        <f t="shared" si="47"/>
        <v>4903918896</v>
      </c>
      <c r="AQ353" s="5">
        <f>AM353*$AR$3</f>
        <v>2307726539.1999998</v>
      </c>
      <c r="AR353" s="5">
        <f>AM353*AL353*$AR$4</f>
        <v>2596192356.5999999</v>
      </c>
      <c r="AS353" s="5">
        <f>SUM($AP$9:AP352)</f>
        <v>120667786207</v>
      </c>
    </row>
    <row r="354" spans="1:45" x14ac:dyDescent="0.15">
      <c r="A354" s="5">
        <v>346</v>
      </c>
      <c r="J354" s="5">
        <f t="shared" si="40"/>
        <v>346</v>
      </c>
      <c r="K354" s="5">
        <f>SUM($AP$9:AP353)</f>
        <v>125571705103</v>
      </c>
      <c r="L354" s="5">
        <f>LOOKUP(K354,AI:AI,AE:AE)</f>
        <v>343</v>
      </c>
      <c r="M354" s="5">
        <f>LOOKUP(L354,AE:AE,AG:AG)</f>
        <v>6356582692</v>
      </c>
      <c r="N354" s="5">
        <f>AM354/M354/$K$1</f>
        <v>1.8152257675372974</v>
      </c>
      <c r="O354" s="5">
        <f>SUM($N$9:N354)</f>
        <v>1235.0632226849684</v>
      </c>
      <c r="AE354" s="5">
        <f t="shared" si="41"/>
        <v>346</v>
      </c>
      <c r="AF354" s="5">
        <f t="shared" si="42"/>
        <v>7508713305</v>
      </c>
      <c r="AG354" s="5">
        <f t="shared" si="43"/>
        <v>7422899438</v>
      </c>
      <c r="AH354" s="5">
        <f>AG354*$AF$1</f>
        <v>74228994380</v>
      </c>
      <c r="AI354" s="5">
        <f>SUM($AF$9:AF353)</f>
        <v>141163810459</v>
      </c>
      <c r="AK354" s="5">
        <f t="shared" si="44"/>
        <v>346</v>
      </c>
      <c r="AL354" s="5">
        <f t="shared" si="45"/>
        <v>50</v>
      </c>
      <c r="AM354" s="5">
        <f t="shared" si="46"/>
        <v>17307949044</v>
      </c>
      <c r="AN354" s="5">
        <f>$AL$4*$AL$3^AL354*$AL$2</f>
        <v>17307949043.595379</v>
      </c>
      <c r="AO354" s="5">
        <f>IF(AL354=AL355,1,LOOKUP(MOD(AL354,$AL$1),$AN$1:$AN$5,$AO$1:$AO$5))</f>
        <v>1</v>
      </c>
      <c r="AP354" s="5">
        <f t="shared" si="47"/>
        <v>4903918896</v>
      </c>
      <c r="AQ354" s="5">
        <f>AM354*$AR$3</f>
        <v>2307726539.1999998</v>
      </c>
      <c r="AR354" s="5">
        <f>AM354*AL354*$AR$4</f>
        <v>2596192356.5999999</v>
      </c>
      <c r="AS354" s="5">
        <f>SUM($AP$9:AP353)</f>
        <v>125571705103</v>
      </c>
    </row>
    <row r="355" spans="1:45" x14ac:dyDescent="0.15">
      <c r="A355" s="5">
        <v>347</v>
      </c>
      <c r="J355" s="5">
        <f t="shared" si="40"/>
        <v>347</v>
      </c>
      <c r="K355" s="5">
        <f>SUM($AP$9:AP354)</f>
        <v>130475623999</v>
      </c>
      <c r="L355" s="5">
        <f>LOOKUP(K355,AI:AI,AE:AE)</f>
        <v>344</v>
      </c>
      <c r="M355" s="5">
        <f>LOOKUP(L355,AE:AE,AG:AG)</f>
        <v>6693870753</v>
      </c>
      <c r="N355" s="5">
        <f>AM355/M355/$K$1</f>
        <v>1.7237609033351469</v>
      </c>
      <c r="O355" s="5">
        <f>SUM($N$9:N355)</f>
        <v>1236.7869835883037</v>
      </c>
      <c r="AE355" s="5">
        <f t="shared" si="41"/>
        <v>347</v>
      </c>
      <c r="AF355" s="5">
        <f t="shared" si="42"/>
        <v>7906675110</v>
      </c>
      <c r="AG355" s="5">
        <f t="shared" si="43"/>
        <v>7816570550</v>
      </c>
      <c r="AH355" s="5">
        <f>AG355*$AF$1</f>
        <v>78165705500</v>
      </c>
      <c r="AI355" s="5">
        <f>SUM($AF$9:AF354)</f>
        <v>148672523764</v>
      </c>
      <c r="AK355" s="5">
        <f t="shared" si="44"/>
        <v>347</v>
      </c>
      <c r="AL355" s="5">
        <f t="shared" si="45"/>
        <v>50</v>
      </c>
      <c r="AM355" s="5">
        <f t="shared" si="46"/>
        <v>17307949044</v>
      </c>
      <c r="AN355" s="5">
        <f>$AL$4*$AL$3^AL355*$AL$2</f>
        <v>17307949043.595379</v>
      </c>
      <c r="AO355" s="5">
        <f>IF(AL355=AL356,1,LOOKUP(MOD(AL355,$AL$1),$AN$1:$AN$5,$AO$1:$AO$5))</f>
        <v>1</v>
      </c>
      <c r="AP355" s="5">
        <f t="shared" si="47"/>
        <v>4903918896</v>
      </c>
      <c r="AQ355" s="5">
        <f>AM355*$AR$3</f>
        <v>2307726539.1999998</v>
      </c>
      <c r="AR355" s="5">
        <f>AM355*AL355*$AR$4</f>
        <v>2596192356.5999999</v>
      </c>
      <c r="AS355" s="5">
        <f>SUM($AP$9:AP354)</f>
        <v>130475623999</v>
      </c>
    </row>
    <row r="356" spans="1:45" x14ac:dyDescent="0.15">
      <c r="A356" s="5">
        <v>348</v>
      </c>
      <c r="J356" s="5">
        <f t="shared" si="40"/>
        <v>348</v>
      </c>
      <c r="K356" s="5">
        <f>SUM($AP$9:AP355)</f>
        <v>135379542895</v>
      </c>
      <c r="L356" s="5">
        <f>LOOKUP(K356,AI:AI,AE:AE)</f>
        <v>345</v>
      </c>
      <c r="M356" s="5">
        <f>LOOKUP(L356,AE:AE,AG:AG)</f>
        <v>7048996164</v>
      </c>
      <c r="N356" s="5">
        <f>AM356/M356/$K$1</f>
        <v>1.6369185664944845</v>
      </c>
      <c r="O356" s="5">
        <f>SUM($N$9:N356)</f>
        <v>1238.423902154798</v>
      </c>
      <c r="AE356" s="5">
        <f t="shared" si="41"/>
        <v>348</v>
      </c>
      <c r="AF356" s="5">
        <f t="shared" si="42"/>
        <v>8325661312</v>
      </c>
      <c r="AG356" s="5">
        <f t="shared" si="43"/>
        <v>8231051525</v>
      </c>
      <c r="AH356" s="5">
        <f>AG356*$AF$1</f>
        <v>82310515250</v>
      </c>
      <c r="AI356" s="5">
        <f>SUM($AF$9:AF355)</f>
        <v>156579198874</v>
      </c>
      <c r="AK356" s="5">
        <f t="shared" si="44"/>
        <v>348</v>
      </c>
      <c r="AL356" s="5">
        <f t="shared" si="45"/>
        <v>50</v>
      </c>
      <c r="AM356" s="5">
        <f t="shared" si="46"/>
        <v>17307949044</v>
      </c>
      <c r="AN356" s="5">
        <f>$AL$4*$AL$3^AL356*$AL$2</f>
        <v>17307949043.595379</v>
      </c>
      <c r="AO356" s="5">
        <f>IF(AL356=AL357,1,LOOKUP(MOD(AL356,$AL$1),$AN$1:$AN$5,$AO$1:$AO$5))</f>
        <v>1</v>
      </c>
      <c r="AP356" s="5">
        <f t="shared" si="47"/>
        <v>4903918896</v>
      </c>
      <c r="AQ356" s="5">
        <f>AM356*$AR$3</f>
        <v>2307726539.1999998</v>
      </c>
      <c r="AR356" s="5">
        <f>AM356*AL356*$AR$4</f>
        <v>2596192356.5999999</v>
      </c>
      <c r="AS356" s="5">
        <f>SUM($AP$9:AP355)</f>
        <v>135379542895</v>
      </c>
    </row>
    <row r="357" spans="1:45" x14ac:dyDescent="0.15">
      <c r="A357" s="5">
        <v>349</v>
      </c>
      <c r="J357" s="5">
        <f t="shared" si="40"/>
        <v>349</v>
      </c>
      <c r="K357" s="5">
        <f>SUM($AP$9:AP356)</f>
        <v>140283461791</v>
      </c>
      <c r="L357" s="5">
        <f>LOOKUP(K357,AI:AI,AE:AE)</f>
        <v>345</v>
      </c>
      <c r="M357" s="5">
        <f>LOOKUP(L357,AE:AE,AG:AG)</f>
        <v>7048996164</v>
      </c>
      <c r="N357" s="5">
        <f>AM357/M357/$K$1</f>
        <v>1.6369185664944845</v>
      </c>
      <c r="O357" s="5">
        <f>SUM($N$9:N357)</f>
        <v>1240.0608207212924</v>
      </c>
      <c r="AE357" s="5">
        <f t="shared" si="41"/>
        <v>349</v>
      </c>
      <c r="AF357" s="5">
        <f t="shared" si="42"/>
        <v>8766779447</v>
      </c>
      <c r="AG357" s="5">
        <f t="shared" si="43"/>
        <v>8667439170</v>
      </c>
      <c r="AH357" s="5">
        <f>AG357*$AF$1</f>
        <v>86674391700</v>
      </c>
      <c r="AI357" s="5">
        <f>SUM($AF$9:AF356)</f>
        <v>164904860186</v>
      </c>
      <c r="AK357" s="5">
        <f t="shared" si="44"/>
        <v>349</v>
      </c>
      <c r="AL357" s="5">
        <f t="shared" si="45"/>
        <v>50</v>
      </c>
      <c r="AM357" s="5">
        <f t="shared" si="46"/>
        <v>17307949044</v>
      </c>
      <c r="AN357" s="5">
        <f>$AL$4*$AL$3^AL357*$AL$2</f>
        <v>17307949043.595379</v>
      </c>
      <c r="AO357" s="5">
        <f>IF(AL357=AL358,1,LOOKUP(MOD(AL357,$AL$1),$AN$1:$AN$5,$AO$1:$AO$5))</f>
        <v>1</v>
      </c>
      <c r="AP357" s="5">
        <f t="shared" si="47"/>
        <v>4903918896</v>
      </c>
      <c r="AQ357" s="5">
        <f>AM357*$AR$3</f>
        <v>2307726539.1999998</v>
      </c>
      <c r="AR357" s="5">
        <f>AM357*AL357*$AR$4</f>
        <v>2596192356.5999999</v>
      </c>
      <c r="AS357" s="5">
        <f>SUM($AP$9:AP356)</f>
        <v>140283461791</v>
      </c>
    </row>
    <row r="358" spans="1:45" x14ac:dyDescent="0.15">
      <c r="A358" s="5">
        <v>350</v>
      </c>
      <c r="J358" s="5">
        <f t="shared" si="40"/>
        <v>350</v>
      </c>
      <c r="K358" s="5">
        <f>SUM($AP$9:AP357)</f>
        <v>145187380687</v>
      </c>
      <c r="L358" s="5">
        <f>LOOKUP(K358,AI:AI,AE:AE)</f>
        <v>346</v>
      </c>
      <c r="M358" s="5">
        <f>LOOKUP(L358,AE:AE,AG:AG)</f>
        <v>7422899438</v>
      </c>
      <c r="N358" s="5">
        <f>AM358/M358/$K$1</f>
        <v>3.1089287392462897</v>
      </c>
      <c r="O358" s="5">
        <f>SUM($N$9:N358)</f>
        <v>1243.1697494605387</v>
      </c>
      <c r="AE358" s="5">
        <f t="shared" si="41"/>
        <v>350</v>
      </c>
      <c r="AF358" s="5">
        <f t="shared" si="42"/>
        <v>9231195242</v>
      </c>
      <c r="AG358" s="5">
        <f t="shared" si="43"/>
        <v>9126887951</v>
      </c>
      <c r="AH358" s="5">
        <f>AG358*$AF$1</f>
        <v>91268879510</v>
      </c>
      <c r="AI358" s="5">
        <f>SUM($AF$9:AF357)</f>
        <v>173671639633</v>
      </c>
      <c r="AK358" s="5">
        <f t="shared" si="44"/>
        <v>350</v>
      </c>
      <c r="AL358" s="5">
        <f t="shared" si="45"/>
        <v>50</v>
      </c>
      <c r="AM358" s="5">
        <f t="shared" si="46"/>
        <v>34615898087</v>
      </c>
      <c r="AN358" s="5">
        <f>$AL$4*$AL$3^AL358*$AL$2</f>
        <v>17307949043.595379</v>
      </c>
      <c r="AO358" s="5">
        <f>IF(AL358=AL359,1,LOOKUP(MOD(AL358,$AL$1),$AN$1:$AN$5,$AO$1:$AO$5))</f>
        <v>2</v>
      </c>
      <c r="AP358" s="5">
        <f t="shared" si="47"/>
        <v>9807837791</v>
      </c>
      <c r="AQ358" s="5">
        <f>AM358*$AR$3</f>
        <v>4615453078.2666664</v>
      </c>
      <c r="AR358" s="5">
        <f>AM358*AL358*$AR$4</f>
        <v>5192384713.0500002</v>
      </c>
      <c r="AS358" s="5">
        <f>SUM($AP$9:AP357)</f>
        <v>145187380687</v>
      </c>
    </row>
    <row r="359" spans="1:45" x14ac:dyDescent="0.15">
      <c r="A359" s="5">
        <v>351</v>
      </c>
      <c r="J359" s="5">
        <f t="shared" si="40"/>
        <v>351</v>
      </c>
      <c r="K359" s="5">
        <f>SUM($AP$9:AP358)</f>
        <v>154995218478</v>
      </c>
      <c r="L359" s="5">
        <f>LOOKUP(K359,AI:AI,AE:AE)</f>
        <v>347</v>
      </c>
      <c r="M359" s="5">
        <f>LOOKUP(L359,AE:AE,AG:AG)</f>
        <v>7816570550</v>
      </c>
      <c r="N359" s="5">
        <f>AM359/M359/$K$1</f>
        <v>2.3175960884789815</v>
      </c>
      <c r="O359" s="5">
        <f>SUM($N$9:N359)</f>
        <v>1245.4873455490176</v>
      </c>
      <c r="AE359" s="5">
        <f t="shared" si="41"/>
        <v>351</v>
      </c>
      <c r="AF359" s="5">
        <f t="shared" si="42"/>
        <v>9720135668</v>
      </c>
      <c r="AG359" s="5">
        <f t="shared" si="43"/>
        <v>9610613013</v>
      </c>
      <c r="AH359" s="5">
        <f>AG359*$AF$1</f>
        <v>96106130130</v>
      </c>
      <c r="AI359" s="5">
        <f>SUM($AF$9:AF358)</f>
        <v>182902834875</v>
      </c>
      <c r="AK359" s="5">
        <f t="shared" si="44"/>
        <v>351</v>
      </c>
      <c r="AL359" s="5">
        <f t="shared" si="45"/>
        <v>51</v>
      </c>
      <c r="AM359" s="5">
        <f t="shared" si="46"/>
        <v>27173479998</v>
      </c>
      <c r="AN359" s="5">
        <f>$AL$4*$AL$3^AL359*$AL$2</f>
        <v>27173479998.444744</v>
      </c>
      <c r="AO359" s="5">
        <f>IF(AL359=AL360,1,LOOKUP(MOD(AL359,$AL$1),$AN$1:$AN$5,$AO$1:$AO$5))</f>
        <v>1</v>
      </c>
      <c r="AP359" s="5">
        <f t="shared" si="47"/>
        <v>7780673106</v>
      </c>
      <c r="AQ359" s="5">
        <f>AM359*$AR$3</f>
        <v>3623130666.4000001</v>
      </c>
      <c r="AR359" s="5">
        <f>AM359*AL359*$AR$4</f>
        <v>4157542439.6940002</v>
      </c>
      <c r="AS359" s="5">
        <f>SUM($AP$9:AP358)</f>
        <v>154995218478</v>
      </c>
    </row>
    <row r="360" spans="1:45" x14ac:dyDescent="0.15">
      <c r="A360" s="5">
        <v>352</v>
      </c>
      <c r="J360" s="5">
        <f t="shared" si="40"/>
        <v>352</v>
      </c>
      <c r="K360" s="5">
        <f>SUM($AP$9:AP359)</f>
        <v>162775891584</v>
      </c>
      <c r="L360" s="5">
        <f>LOOKUP(K360,AI:AI,AE:AE)</f>
        <v>348</v>
      </c>
      <c r="M360" s="5">
        <f>LOOKUP(L360,AE:AE,AG:AG)</f>
        <v>8231051525</v>
      </c>
      <c r="N360" s="5">
        <f>AM360/M360/$K$1</f>
        <v>2.2008917423220722</v>
      </c>
      <c r="O360" s="5">
        <f>SUM($N$9:N360)</f>
        <v>1247.6882372913396</v>
      </c>
      <c r="AE360" s="5">
        <f t="shared" si="41"/>
        <v>352</v>
      </c>
      <c r="AF360" s="5">
        <f t="shared" si="42"/>
        <v>10234892149</v>
      </c>
      <c r="AG360" s="5">
        <f t="shared" si="43"/>
        <v>10119893360</v>
      </c>
      <c r="AH360" s="5">
        <f>AG360*$AF$1</f>
        <v>101198933600</v>
      </c>
      <c r="AI360" s="5">
        <f>SUM($AF$9:AF359)</f>
        <v>192622970543</v>
      </c>
      <c r="AK360" s="5">
        <f t="shared" si="44"/>
        <v>352</v>
      </c>
      <c r="AL360" s="5">
        <f t="shared" si="45"/>
        <v>51</v>
      </c>
      <c r="AM360" s="5">
        <f t="shared" si="46"/>
        <v>27173479998</v>
      </c>
      <c r="AN360" s="5">
        <f>$AL$4*$AL$3^AL360*$AL$2</f>
        <v>27173479998.444744</v>
      </c>
      <c r="AO360" s="5">
        <f>IF(AL360=AL361,1,LOOKUP(MOD(AL360,$AL$1),$AN$1:$AN$5,$AO$1:$AO$5))</f>
        <v>1</v>
      </c>
      <c r="AP360" s="5">
        <f t="shared" si="47"/>
        <v>7780673106</v>
      </c>
      <c r="AQ360" s="5">
        <f>AM360*$AR$3</f>
        <v>3623130666.4000001</v>
      </c>
      <c r="AR360" s="5">
        <f>AM360*AL360*$AR$4</f>
        <v>4157542439.6940002</v>
      </c>
      <c r="AS360" s="5">
        <f>SUM($AP$9:AP359)</f>
        <v>162775891584</v>
      </c>
    </row>
    <row r="361" spans="1:45" x14ac:dyDescent="0.15">
      <c r="A361" s="5">
        <v>353</v>
      </c>
      <c r="J361" s="5">
        <f t="shared" si="40"/>
        <v>353</v>
      </c>
      <c r="K361" s="5">
        <f>SUM($AP$9:AP360)</f>
        <v>170556564690</v>
      </c>
      <c r="L361" s="5">
        <f>LOOKUP(K361,AI:AI,AE:AE)</f>
        <v>349</v>
      </c>
      <c r="M361" s="5">
        <f>LOOKUP(L361,AE:AE,AG:AG)</f>
        <v>8667439170</v>
      </c>
      <c r="N361" s="5">
        <f>AM361/M361/$K$1</f>
        <v>2.0900813927489037</v>
      </c>
      <c r="O361" s="5">
        <f>SUM($N$9:N361)</f>
        <v>1249.7783186840886</v>
      </c>
      <c r="AE361" s="5">
        <f t="shared" si="41"/>
        <v>353</v>
      </c>
      <c r="AF361" s="5">
        <f t="shared" si="42"/>
        <v>10776823938</v>
      </c>
      <c r="AG361" s="5">
        <f t="shared" si="43"/>
        <v>10656075210</v>
      </c>
      <c r="AH361" s="5">
        <f>AG361*$AF$1</f>
        <v>106560752100</v>
      </c>
      <c r="AI361" s="5">
        <f>SUM($AF$9:AF360)</f>
        <v>202857862692</v>
      </c>
      <c r="AK361" s="5">
        <f t="shared" si="44"/>
        <v>353</v>
      </c>
      <c r="AL361" s="5">
        <f t="shared" si="45"/>
        <v>51</v>
      </c>
      <c r="AM361" s="5">
        <f t="shared" si="46"/>
        <v>27173479998</v>
      </c>
      <c r="AN361" s="5">
        <f>$AL$4*$AL$3^AL361*$AL$2</f>
        <v>27173479998.444744</v>
      </c>
      <c r="AO361" s="5">
        <f>IF(AL361=AL362,1,LOOKUP(MOD(AL361,$AL$1),$AN$1:$AN$5,$AO$1:$AO$5))</f>
        <v>1</v>
      </c>
      <c r="AP361" s="5">
        <f t="shared" si="47"/>
        <v>7780673106</v>
      </c>
      <c r="AQ361" s="5">
        <f>AM361*$AR$3</f>
        <v>3623130666.4000001</v>
      </c>
      <c r="AR361" s="5">
        <f>AM361*AL361*$AR$4</f>
        <v>4157542439.6940002</v>
      </c>
      <c r="AS361" s="5">
        <f>SUM($AP$9:AP360)</f>
        <v>170556564690</v>
      </c>
    </row>
    <row r="362" spans="1:45" x14ac:dyDescent="0.15">
      <c r="A362" s="5">
        <v>354</v>
      </c>
      <c r="J362" s="5">
        <f t="shared" si="40"/>
        <v>354</v>
      </c>
      <c r="K362" s="5">
        <f>SUM($AP$9:AP361)</f>
        <v>178337237796</v>
      </c>
      <c r="L362" s="5">
        <f>LOOKUP(K362,AI:AI,AE:AE)</f>
        <v>350</v>
      </c>
      <c r="M362" s="5">
        <f>LOOKUP(L362,AE:AE,AG:AG)</f>
        <v>9126887951</v>
      </c>
      <c r="N362" s="5">
        <f>AM362/M362/$K$1</f>
        <v>1.9848664111204668</v>
      </c>
      <c r="O362" s="5">
        <f>SUM($N$9:N362)</f>
        <v>1251.7631850952091</v>
      </c>
      <c r="AE362" s="5">
        <f t="shared" si="41"/>
        <v>354</v>
      </c>
      <c r="AF362" s="5">
        <f t="shared" si="42"/>
        <v>11347361676</v>
      </c>
      <c r="AG362" s="5">
        <f t="shared" si="43"/>
        <v>11220575512</v>
      </c>
      <c r="AH362" s="5">
        <f>AG362*$AF$1</f>
        <v>112205755120</v>
      </c>
      <c r="AI362" s="5">
        <f>SUM($AF$9:AF361)</f>
        <v>213634686630</v>
      </c>
      <c r="AK362" s="5">
        <f t="shared" si="44"/>
        <v>354</v>
      </c>
      <c r="AL362" s="5">
        <f t="shared" si="45"/>
        <v>51</v>
      </c>
      <c r="AM362" s="5">
        <f t="shared" si="46"/>
        <v>27173479998</v>
      </c>
      <c r="AN362" s="5">
        <f>$AL$4*$AL$3^AL362*$AL$2</f>
        <v>27173479998.444744</v>
      </c>
      <c r="AO362" s="5">
        <f>IF(AL362=AL363,1,LOOKUP(MOD(AL362,$AL$1),$AN$1:$AN$5,$AO$1:$AO$5))</f>
        <v>1</v>
      </c>
      <c r="AP362" s="5">
        <f t="shared" si="47"/>
        <v>7780673106</v>
      </c>
      <c r="AQ362" s="5">
        <f>AM362*$AR$3</f>
        <v>3623130666.4000001</v>
      </c>
      <c r="AR362" s="5">
        <f>AM362*AL362*$AR$4</f>
        <v>4157542439.6940002</v>
      </c>
      <c r="AS362" s="5">
        <f>SUM($AP$9:AP361)</f>
        <v>178337237796</v>
      </c>
    </row>
    <row r="363" spans="1:45" x14ac:dyDescent="0.15">
      <c r="A363" s="5">
        <v>355</v>
      </c>
      <c r="J363" s="5">
        <f t="shared" si="40"/>
        <v>355</v>
      </c>
      <c r="K363" s="5">
        <f>SUM($AP$9:AP362)</f>
        <v>186117910902</v>
      </c>
      <c r="L363" s="5">
        <f>LOOKUP(K363,AI:AI,AE:AE)</f>
        <v>351</v>
      </c>
      <c r="M363" s="5">
        <f>LOOKUP(L363,AE:AE,AG:AG)</f>
        <v>9610613013</v>
      </c>
      <c r="N363" s="5">
        <f>AM363/M363/$K$1</f>
        <v>1.8849633532736647</v>
      </c>
      <c r="O363" s="5">
        <f>SUM($N$9:N363)</f>
        <v>1253.6481484484827</v>
      </c>
      <c r="AE363" s="5">
        <f t="shared" si="41"/>
        <v>355</v>
      </c>
      <c r="AF363" s="5">
        <f t="shared" si="42"/>
        <v>11948011128</v>
      </c>
      <c r="AG363" s="5">
        <f t="shared" si="43"/>
        <v>11814885655</v>
      </c>
      <c r="AH363" s="5">
        <f>AG363*$AF$1</f>
        <v>118148856550</v>
      </c>
      <c r="AI363" s="5">
        <f>SUM($AF$9:AF362)</f>
        <v>224982048306</v>
      </c>
      <c r="AK363" s="5">
        <f t="shared" si="44"/>
        <v>355</v>
      </c>
      <c r="AL363" s="5">
        <f t="shared" si="45"/>
        <v>51</v>
      </c>
      <c r="AM363" s="5">
        <f t="shared" si="46"/>
        <v>27173479998</v>
      </c>
      <c r="AN363" s="5">
        <f>$AL$4*$AL$3^AL363*$AL$2</f>
        <v>27173479998.444744</v>
      </c>
      <c r="AO363" s="5">
        <f>IF(AL363=AL364,1,LOOKUP(MOD(AL363,$AL$1),$AN$1:$AN$5,$AO$1:$AO$5))</f>
        <v>1</v>
      </c>
      <c r="AP363" s="5">
        <f t="shared" si="47"/>
        <v>7780673106</v>
      </c>
      <c r="AQ363" s="5">
        <f>AM363*$AR$3</f>
        <v>3623130666.4000001</v>
      </c>
      <c r="AR363" s="5">
        <f>AM363*AL363*$AR$4</f>
        <v>4157542439.6940002</v>
      </c>
      <c r="AS363" s="5">
        <f>SUM($AP$9:AP362)</f>
        <v>186117910902</v>
      </c>
    </row>
    <row r="364" spans="1:45" x14ac:dyDescent="0.15">
      <c r="A364" s="5">
        <v>356</v>
      </c>
      <c r="J364" s="5">
        <f t="shared" si="40"/>
        <v>356</v>
      </c>
      <c r="K364" s="5">
        <f>SUM($AP$9:AP363)</f>
        <v>193898584008</v>
      </c>
      <c r="L364" s="5">
        <f>LOOKUP(K364,AI:AI,AE:AE)</f>
        <v>352</v>
      </c>
      <c r="M364" s="5">
        <f>LOOKUP(L364,AE:AE,AG:AG)</f>
        <v>10119893360</v>
      </c>
      <c r="N364" s="5">
        <f>AM364/M364/$K$1</f>
        <v>1.7901031846446254</v>
      </c>
      <c r="O364" s="5">
        <f>SUM($N$9:N364)</f>
        <v>1255.4382516331273</v>
      </c>
      <c r="AE364" s="5">
        <f t="shared" si="41"/>
        <v>356</v>
      </c>
      <c r="AF364" s="5">
        <f t="shared" si="42"/>
        <v>12580357120</v>
      </c>
      <c r="AG364" s="5">
        <f t="shared" si="43"/>
        <v>12440575375</v>
      </c>
      <c r="AH364" s="5">
        <f>AG364*$AF$1</f>
        <v>124405753750</v>
      </c>
      <c r="AI364" s="5">
        <f>SUM($AF$9:AF363)</f>
        <v>236930059434</v>
      </c>
      <c r="AK364" s="5">
        <f t="shared" si="44"/>
        <v>356</v>
      </c>
      <c r="AL364" s="5">
        <f t="shared" si="45"/>
        <v>51</v>
      </c>
      <c r="AM364" s="5">
        <f t="shared" si="46"/>
        <v>27173479998</v>
      </c>
      <c r="AN364" s="5">
        <f>$AL$4*$AL$3^AL364*$AL$2</f>
        <v>27173479998.444744</v>
      </c>
      <c r="AO364" s="5">
        <f>IF(AL364=AL365,1,LOOKUP(MOD(AL364,$AL$1),$AN$1:$AN$5,$AO$1:$AO$5))</f>
        <v>1</v>
      </c>
      <c r="AP364" s="5">
        <f t="shared" si="47"/>
        <v>7780673106</v>
      </c>
      <c r="AQ364" s="5">
        <f>AM364*$AR$3</f>
        <v>3623130666.4000001</v>
      </c>
      <c r="AR364" s="5">
        <f>AM364*AL364*$AR$4</f>
        <v>4157542439.6940002</v>
      </c>
      <c r="AS364" s="5">
        <f>SUM($AP$9:AP363)</f>
        <v>193898584008</v>
      </c>
    </row>
    <row r="365" spans="1:45" x14ac:dyDescent="0.15">
      <c r="A365" s="5">
        <v>357</v>
      </c>
      <c r="J365" s="5">
        <f t="shared" si="40"/>
        <v>357</v>
      </c>
      <c r="K365" s="5">
        <f>SUM($AP$9:AP364)</f>
        <v>201679257114</v>
      </c>
      <c r="L365" s="5">
        <f>LOOKUP(K365,AI:AI,AE:AE)</f>
        <v>352</v>
      </c>
      <c r="M365" s="5">
        <f>LOOKUP(L365,AE:AE,AG:AG)</f>
        <v>10119893360</v>
      </c>
      <c r="N365" s="5">
        <f>AM365/M365/$K$1</f>
        <v>7.1604127387102556</v>
      </c>
      <c r="O365" s="5">
        <f>SUM($N$9:N365)</f>
        <v>1262.5986643718375</v>
      </c>
      <c r="AE365" s="5">
        <f t="shared" si="41"/>
        <v>357</v>
      </c>
      <c r="AF365" s="5">
        <f t="shared" si="42"/>
        <v>13246067685</v>
      </c>
      <c r="AG365" s="5">
        <f t="shared" si="43"/>
        <v>13099296852</v>
      </c>
      <c r="AH365" s="5">
        <f>AG365*$AF$1</f>
        <v>130992968520</v>
      </c>
      <c r="AI365" s="5">
        <f>SUM($AF$9:AF364)</f>
        <v>249510416554</v>
      </c>
      <c r="AK365" s="5">
        <f t="shared" si="44"/>
        <v>357</v>
      </c>
      <c r="AL365" s="5">
        <f t="shared" si="45"/>
        <v>51</v>
      </c>
      <c r="AM365" s="5">
        <f t="shared" si="46"/>
        <v>108693919994</v>
      </c>
      <c r="AN365" s="5">
        <f>$AL$4*$AL$3^AL365*$AL$2</f>
        <v>27173479998.444744</v>
      </c>
      <c r="AO365" s="5">
        <f>IF(AL365=AL366,1,LOOKUP(MOD(AL365,$AL$1),$AN$1:$AN$5,$AO$1:$AO$5))</f>
        <v>4</v>
      </c>
      <c r="AP365" s="5">
        <f t="shared" si="47"/>
        <v>31122692425</v>
      </c>
      <c r="AQ365" s="5">
        <f>AM365*$AR$3</f>
        <v>14492522665.866667</v>
      </c>
      <c r="AR365" s="5">
        <f>AM365*AL365*$AR$4</f>
        <v>16630169759.082001</v>
      </c>
      <c r="AS365" s="5">
        <f>SUM($AP$9:AP364)</f>
        <v>201679257114</v>
      </c>
    </row>
    <row r="366" spans="1:45" x14ac:dyDescent="0.15">
      <c r="A366" s="5">
        <v>358</v>
      </c>
      <c r="J366" s="5">
        <f t="shared" si="40"/>
        <v>358</v>
      </c>
      <c r="K366" s="5">
        <f>SUM($AP$9:AP365)</f>
        <v>232801949539</v>
      </c>
      <c r="L366" s="5">
        <f>LOOKUP(K366,AI:AI,AE:AE)</f>
        <v>355</v>
      </c>
      <c r="M366" s="5">
        <f>LOOKUP(L366,AE:AE,AG:AG)</f>
        <v>11814885655</v>
      </c>
      <c r="N366" s="5">
        <f>AM366/M366/$K$1</f>
        <v>2.4072662709150867</v>
      </c>
      <c r="O366" s="5">
        <f>SUM($N$9:N366)</f>
        <v>1265.0059306427524</v>
      </c>
      <c r="AE366" s="5">
        <f t="shared" si="41"/>
        <v>358</v>
      </c>
      <c r="AF366" s="5">
        <f t="shared" si="42"/>
        <v>13946898413</v>
      </c>
      <c r="AG366" s="5">
        <f t="shared" si="43"/>
        <v>13792789038</v>
      </c>
      <c r="AH366" s="5">
        <f>AG366*$AF$1</f>
        <v>137927890380</v>
      </c>
      <c r="AI366" s="5">
        <f>SUM($AF$9:AF365)</f>
        <v>262756484239</v>
      </c>
      <c r="AK366" s="5">
        <f t="shared" si="44"/>
        <v>358</v>
      </c>
      <c r="AL366" s="5">
        <f t="shared" si="45"/>
        <v>52</v>
      </c>
      <c r="AM366" s="5">
        <f t="shared" si="46"/>
        <v>42662363598</v>
      </c>
      <c r="AN366" s="5">
        <f>$AL$4*$AL$3^AL366*$AL$2</f>
        <v>42662363597.55825</v>
      </c>
      <c r="AO366" s="5">
        <f>IF(AL366=AL367,1,LOOKUP(MOD(AL366,$AL$1),$AN$1:$AN$5,$AO$1:$AO$5))</f>
        <v>1</v>
      </c>
      <c r="AP366" s="5">
        <f t="shared" si="47"/>
        <v>12343643868</v>
      </c>
      <c r="AQ366" s="5">
        <f>AM366*$AR$3</f>
        <v>5688315146.3999996</v>
      </c>
      <c r="AR366" s="5">
        <f>AM366*AL366*$AR$4</f>
        <v>6655328721.2880001</v>
      </c>
      <c r="AS366" s="5">
        <f>SUM($AP$9:AP365)</f>
        <v>232801949539</v>
      </c>
    </row>
    <row r="367" spans="1:45" x14ac:dyDescent="0.15">
      <c r="A367" s="5">
        <v>359</v>
      </c>
      <c r="J367" s="5">
        <f t="shared" si="40"/>
        <v>359</v>
      </c>
      <c r="K367" s="5">
        <f>SUM($AP$9:AP366)</f>
        <v>245145593407</v>
      </c>
      <c r="L367" s="5">
        <f>LOOKUP(K367,AI:AI,AE:AE)</f>
        <v>356</v>
      </c>
      <c r="M367" s="5">
        <f>LOOKUP(L367,AE:AE,AG:AG)</f>
        <v>12440575375</v>
      </c>
      <c r="N367" s="5">
        <f>AM367/M367/$K$1</f>
        <v>2.2861945589072081</v>
      </c>
      <c r="O367" s="5">
        <f>SUM($N$9:N367)</f>
        <v>1267.2921252016597</v>
      </c>
      <c r="AE367" s="5">
        <f t="shared" si="41"/>
        <v>359</v>
      </c>
      <c r="AF367" s="5">
        <f t="shared" si="42"/>
        <v>14684697044</v>
      </c>
      <c r="AG367" s="5">
        <f t="shared" si="43"/>
        <v>14522882201</v>
      </c>
      <c r="AH367" s="5">
        <f>AG367*$AF$1</f>
        <v>145228822010</v>
      </c>
      <c r="AI367" s="5">
        <f>SUM($AF$9:AF366)</f>
        <v>276703382652</v>
      </c>
      <c r="AK367" s="5">
        <f t="shared" si="44"/>
        <v>359</v>
      </c>
      <c r="AL367" s="5">
        <f t="shared" si="45"/>
        <v>52</v>
      </c>
      <c r="AM367" s="5">
        <f t="shared" si="46"/>
        <v>42662363598</v>
      </c>
      <c r="AN367" s="5">
        <f>$AL$4*$AL$3^AL367*$AL$2</f>
        <v>42662363597.55825</v>
      </c>
      <c r="AO367" s="5">
        <f>IF(AL367=AL368,1,LOOKUP(MOD(AL367,$AL$1),$AN$1:$AN$5,$AO$1:$AO$5))</f>
        <v>1</v>
      </c>
      <c r="AP367" s="5">
        <f t="shared" si="47"/>
        <v>12343643868</v>
      </c>
      <c r="AQ367" s="5">
        <f>AM367*$AR$3</f>
        <v>5688315146.3999996</v>
      </c>
      <c r="AR367" s="5">
        <f>AM367*AL367*$AR$4</f>
        <v>6655328721.2880001</v>
      </c>
      <c r="AS367" s="5">
        <f>SUM($AP$9:AP366)</f>
        <v>245145593407</v>
      </c>
    </row>
    <row r="368" spans="1:45" x14ac:dyDescent="0.15">
      <c r="A368" s="5">
        <v>360</v>
      </c>
      <c r="J368" s="5">
        <f t="shared" si="40"/>
        <v>360</v>
      </c>
      <c r="K368" s="5">
        <f>SUM($AP$9:AP367)</f>
        <v>257489237275</v>
      </c>
      <c r="L368" s="5">
        <f>LOOKUP(K368,AI:AI,AE:AE)</f>
        <v>357</v>
      </c>
      <c r="M368" s="5">
        <f>LOOKUP(L368,AE:AE,AG:AG)</f>
        <v>13099296852</v>
      </c>
      <c r="N368" s="5">
        <f>AM368/M368/$K$1</f>
        <v>2.1712291929362255</v>
      </c>
      <c r="O368" s="5">
        <f>SUM($N$9:N368)</f>
        <v>1269.4633543945959</v>
      </c>
      <c r="AE368" s="5">
        <f t="shared" si="41"/>
        <v>360</v>
      </c>
      <c r="AF368" s="5">
        <f t="shared" si="42"/>
        <v>15461408293</v>
      </c>
      <c r="AG368" s="5">
        <f t="shared" si="43"/>
        <v>15291502707</v>
      </c>
      <c r="AH368" s="5">
        <f>AG368*$AF$1</f>
        <v>152915027070</v>
      </c>
      <c r="AI368" s="5">
        <f>SUM($AF$9:AF367)</f>
        <v>291388079696</v>
      </c>
      <c r="AK368" s="5">
        <f t="shared" si="44"/>
        <v>360</v>
      </c>
      <c r="AL368" s="5">
        <f t="shared" si="45"/>
        <v>52</v>
      </c>
      <c r="AM368" s="5">
        <f t="shared" si="46"/>
        <v>42662363598</v>
      </c>
      <c r="AN368" s="5">
        <f>$AL$4*$AL$3^AL368*$AL$2</f>
        <v>42662363597.55825</v>
      </c>
      <c r="AO368" s="5">
        <f>IF(AL368=AL369,1,LOOKUP(MOD(AL368,$AL$1),$AN$1:$AN$5,$AO$1:$AO$5))</f>
        <v>1</v>
      </c>
      <c r="AP368" s="5">
        <f t="shared" si="47"/>
        <v>12343643868</v>
      </c>
      <c r="AQ368" s="5">
        <f>AM368*$AR$3</f>
        <v>5688315146.3999996</v>
      </c>
      <c r="AR368" s="5">
        <f>AM368*AL368*$AR$4</f>
        <v>6655328721.2880001</v>
      </c>
      <c r="AS368" s="5">
        <f>SUM($AP$9:AP367)</f>
        <v>257489237275</v>
      </c>
    </row>
    <row r="369" spans="1:45" x14ac:dyDescent="0.15">
      <c r="A369" s="5">
        <v>361</v>
      </c>
      <c r="J369" s="5">
        <f t="shared" si="40"/>
        <v>361</v>
      </c>
      <c r="K369" s="5">
        <f>SUM($AP$9:AP368)</f>
        <v>269832881143</v>
      </c>
      <c r="L369" s="5">
        <f>LOOKUP(K369,AI:AI,AE:AE)</f>
        <v>358</v>
      </c>
      <c r="M369" s="5">
        <f>LOOKUP(L369,AE:AE,AG:AG)</f>
        <v>13792789038</v>
      </c>
      <c r="N369" s="5">
        <f>AM369/M369/$K$1</f>
        <v>2.062061244730248</v>
      </c>
      <c r="O369" s="5">
        <f>SUM($N$9:N369)</f>
        <v>1271.5254156393262</v>
      </c>
      <c r="AE369" s="5">
        <f t="shared" si="41"/>
        <v>361</v>
      </c>
      <c r="AF369" s="5">
        <f t="shared" si="42"/>
        <v>16279078924</v>
      </c>
      <c r="AG369" s="5">
        <f t="shared" si="43"/>
        <v>16100678059</v>
      </c>
      <c r="AH369" s="5">
        <f>AG369*$AF$1</f>
        <v>161006780590</v>
      </c>
      <c r="AI369" s="5">
        <f>SUM($AF$9:AF368)</f>
        <v>306849487989</v>
      </c>
      <c r="AK369" s="5">
        <f t="shared" si="44"/>
        <v>361</v>
      </c>
      <c r="AL369" s="5">
        <f t="shared" si="45"/>
        <v>52</v>
      </c>
      <c r="AM369" s="5">
        <f t="shared" si="46"/>
        <v>42662363598</v>
      </c>
      <c r="AN369" s="5">
        <f>$AL$4*$AL$3^AL369*$AL$2</f>
        <v>42662363597.55825</v>
      </c>
      <c r="AO369" s="5">
        <f>IF(AL369=AL370,1,LOOKUP(MOD(AL369,$AL$1),$AN$1:$AN$5,$AO$1:$AO$5))</f>
        <v>1</v>
      </c>
      <c r="AP369" s="5">
        <f t="shared" si="47"/>
        <v>12343643868</v>
      </c>
      <c r="AQ369" s="5">
        <f>AM369*$AR$3</f>
        <v>5688315146.3999996</v>
      </c>
      <c r="AR369" s="5">
        <f>AM369*AL369*$AR$4</f>
        <v>6655328721.2880001</v>
      </c>
      <c r="AS369" s="5">
        <f>SUM($AP$9:AP368)</f>
        <v>269832881143</v>
      </c>
    </row>
    <row r="370" spans="1:45" x14ac:dyDescent="0.15">
      <c r="A370" s="5">
        <v>362</v>
      </c>
      <c r="J370" s="5">
        <f t="shared" si="40"/>
        <v>362</v>
      </c>
      <c r="K370" s="5">
        <f>SUM($AP$9:AP369)</f>
        <v>282176525011</v>
      </c>
      <c r="L370" s="5">
        <f>LOOKUP(K370,AI:AI,AE:AE)</f>
        <v>359</v>
      </c>
      <c r="M370" s="5">
        <f>LOOKUP(L370,AE:AE,AG:AG)</f>
        <v>14522882201</v>
      </c>
      <c r="N370" s="5">
        <f>AM370/M370/$K$1</f>
        <v>1.9583974681032394</v>
      </c>
      <c r="O370" s="5">
        <f>SUM($N$9:N370)</f>
        <v>1273.4838131074293</v>
      </c>
      <c r="AE370" s="5">
        <f t="shared" si="41"/>
        <v>362</v>
      </c>
      <c r="AF370" s="5">
        <f t="shared" si="42"/>
        <v>17139863097</v>
      </c>
      <c r="AG370" s="5">
        <f t="shared" si="43"/>
        <v>16952542189</v>
      </c>
      <c r="AH370" s="5">
        <f>AG370*$AF$1</f>
        <v>169525421890</v>
      </c>
      <c r="AI370" s="5">
        <f>SUM($AF$9:AF369)</f>
        <v>323128566913</v>
      </c>
      <c r="AK370" s="5">
        <f t="shared" si="44"/>
        <v>362</v>
      </c>
      <c r="AL370" s="5">
        <f t="shared" si="45"/>
        <v>52</v>
      </c>
      <c r="AM370" s="5">
        <f t="shared" si="46"/>
        <v>42662363598</v>
      </c>
      <c r="AN370" s="5">
        <f>$AL$4*$AL$3^AL370*$AL$2</f>
        <v>42662363597.55825</v>
      </c>
      <c r="AO370" s="5">
        <f>IF(AL370=AL371,1,LOOKUP(MOD(AL370,$AL$1),$AN$1:$AN$5,$AO$1:$AO$5))</f>
        <v>1</v>
      </c>
      <c r="AP370" s="5">
        <f t="shared" si="47"/>
        <v>12343643868</v>
      </c>
      <c r="AQ370" s="5">
        <f>AM370*$AR$3</f>
        <v>5688315146.3999996</v>
      </c>
      <c r="AR370" s="5">
        <f>AM370*AL370*$AR$4</f>
        <v>6655328721.2880001</v>
      </c>
      <c r="AS370" s="5">
        <f>SUM($AP$9:AP369)</f>
        <v>282176525011</v>
      </c>
    </row>
    <row r="371" spans="1:45" x14ac:dyDescent="0.15">
      <c r="A371" s="5">
        <v>363</v>
      </c>
      <c r="J371" s="5">
        <f t="shared" si="40"/>
        <v>363</v>
      </c>
      <c r="K371" s="5">
        <f>SUM($AP$9:AP370)</f>
        <v>294520168879</v>
      </c>
      <c r="L371" s="5">
        <f>LOOKUP(K371,AI:AI,AE:AE)</f>
        <v>360</v>
      </c>
      <c r="M371" s="5">
        <f>LOOKUP(L371,AE:AE,AG:AG)</f>
        <v>15291502707</v>
      </c>
      <c r="N371" s="5">
        <f>AM371/M371/$K$1</f>
        <v>1.8599595001857001</v>
      </c>
      <c r="O371" s="5">
        <f>SUM($N$9:N371)</f>
        <v>1275.3437726076149</v>
      </c>
      <c r="AE371" s="5">
        <f t="shared" si="41"/>
        <v>363</v>
      </c>
      <c r="AF371" s="5">
        <f t="shared" si="42"/>
        <v>18046027990</v>
      </c>
      <c r="AG371" s="5">
        <f t="shared" si="43"/>
        <v>17849341037</v>
      </c>
      <c r="AH371" s="5">
        <f>AG371*$AF$1</f>
        <v>178493410370</v>
      </c>
      <c r="AI371" s="5">
        <f>SUM($AF$9:AF370)</f>
        <v>340268430010</v>
      </c>
      <c r="AK371" s="5">
        <f t="shared" si="44"/>
        <v>363</v>
      </c>
      <c r="AL371" s="5">
        <f t="shared" si="45"/>
        <v>52</v>
      </c>
      <c r="AM371" s="5">
        <f t="shared" si="46"/>
        <v>42662363598</v>
      </c>
      <c r="AN371" s="5">
        <f>$AL$4*$AL$3^AL371*$AL$2</f>
        <v>42662363597.55825</v>
      </c>
      <c r="AO371" s="5">
        <f>IF(AL371=AL372,1,LOOKUP(MOD(AL371,$AL$1),$AN$1:$AN$5,$AO$1:$AO$5))</f>
        <v>1</v>
      </c>
      <c r="AP371" s="5">
        <f t="shared" si="47"/>
        <v>12343643868</v>
      </c>
      <c r="AQ371" s="5">
        <f>AM371*$AR$3</f>
        <v>5688315146.3999996</v>
      </c>
      <c r="AR371" s="5">
        <f>AM371*AL371*$AR$4</f>
        <v>6655328721.2880001</v>
      </c>
      <c r="AS371" s="5">
        <f>SUM($AP$9:AP370)</f>
        <v>294520168879</v>
      </c>
    </row>
    <row r="372" spans="1:45" x14ac:dyDescent="0.15">
      <c r="A372" s="5">
        <v>364</v>
      </c>
      <c r="J372" s="5">
        <f t="shared" si="40"/>
        <v>364</v>
      </c>
      <c r="K372" s="5">
        <f>SUM($AP$9:AP371)</f>
        <v>306863812747</v>
      </c>
      <c r="L372" s="5">
        <f>LOOKUP(K372,AI:AI,AE:AE)</f>
        <v>361</v>
      </c>
      <c r="M372" s="5">
        <f>LOOKUP(L372,AE:AE,AG:AG)</f>
        <v>16100678059</v>
      </c>
      <c r="N372" s="5">
        <f>AM372/M372/$K$1</f>
        <v>10.598898615615131</v>
      </c>
      <c r="O372" s="5">
        <f>SUM($N$9:N372)</f>
        <v>1285.94267122323</v>
      </c>
      <c r="AE372" s="5">
        <f t="shared" si="41"/>
        <v>364</v>
      </c>
      <c r="AF372" s="5">
        <f t="shared" si="42"/>
        <v>18999959715</v>
      </c>
      <c r="AG372" s="5">
        <f t="shared" si="43"/>
        <v>18793438414</v>
      </c>
      <c r="AH372" s="5">
        <f>AG372*$AF$1</f>
        <v>187934384140</v>
      </c>
      <c r="AI372" s="5">
        <f>SUM($AF$9:AF371)</f>
        <v>358314458000</v>
      </c>
      <c r="AK372" s="5">
        <f t="shared" si="44"/>
        <v>364</v>
      </c>
      <c r="AL372" s="5">
        <f t="shared" si="45"/>
        <v>52</v>
      </c>
      <c r="AM372" s="5">
        <f t="shared" si="46"/>
        <v>255974181585</v>
      </c>
      <c r="AN372" s="5">
        <f>$AL$4*$AL$3^AL372*$AL$2</f>
        <v>42662363597.55825</v>
      </c>
      <c r="AO372" s="5">
        <f>IF(AL372=AL373,1,LOOKUP(MOD(AL372,$AL$1),$AN$1:$AN$5,$AO$1:$AO$5))</f>
        <v>6</v>
      </c>
      <c r="AP372" s="5">
        <f t="shared" si="47"/>
        <v>74061863205</v>
      </c>
      <c r="AQ372" s="5">
        <f>AM372*$AR$3</f>
        <v>34129890878</v>
      </c>
      <c r="AR372" s="5">
        <f>AM372*AL372*$AR$4</f>
        <v>39931972327.260002</v>
      </c>
      <c r="AS372" s="5">
        <f>SUM($AP$9:AP371)</f>
        <v>306863812747</v>
      </c>
    </row>
    <row r="373" spans="1:45" x14ac:dyDescent="0.15">
      <c r="A373" s="5">
        <v>365</v>
      </c>
      <c r="J373" s="5">
        <f t="shared" si="40"/>
        <v>365</v>
      </c>
      <c r="K373" s="5">
        <f>SUM($AP$9:AP372)</f>
        <v>380925675952</v>
      </c>
      <c r="L373" s="5">
        <f>LOOKUP(K373,AI:AI,AE:AE)</f>
        <v>365</v>
      </c>
      <c r="M373" s="5">
        <f>LOOKUP(L373,AE:AE,AG:AG)</f>
        <v>19787322176</v>
      </c>
      <c r="N373" s="5">
        <f>AM373/M373/$K$1</f>
        <v>2.2566607801446992</v>
      </c>
      <c r="O373" s="5">
        <f>SUM($N$9:N373)</f>
        <v>1288.1993320033748</v>
      </c>
      <c r="AE373" s="5">
        <f t="shared" si="41"/>
        <v>365</v>
      </c>
      <c r="AF373" s="5">
        <f t="shared" si="42"/>
        <v>20004169542</v>
      </c>
      <c r="AG373" s="5">
        <f t="shared" si="43"/>
        <v>19787322176</v>
      </c>
      <c r="AH373" s="5">
        <f>AG373*$AF$1</f>
        <v>197873221760</v>
      </c>
      <c r="AI373" s="5">
        <f>SUM($AF$9:AF372)</f>
        <v>377314417715</v>
      </c>
      <c r="AK373" s="5">
        <f t="shared" si="44"/>
        <v>365</v>
      </c>
      <c r="AL373" s="5">
        <f t="shared" si="45"/>
        <v>53</v>
      </c>
      <c r="AM373" s="5">
        <f t="shared" si="46"/>
        <v>66979910848</v>
      </c>
      <c r="AN373" s="5">
        <f>$AL$4*$AL$3^AL373*$AL$2</f>
        <v>66979910848.166443</v>
      </c>
      <c r="AO373" s="5">
        <f>IF(AL373=AL374,1,LOOKUP(MOD(AL373,$AL$1),$AN$1:$AN$5,$AO$1:$AO$5))</f>
        <v>1</v>
      </c>
      <c r="AP373" s="5">
        <f t="shared" si="47"/>
        <v>19580460605</v>
      </c>
      <c r="AQ373" s="5">
        <f>AM373*$AR$3</f>
        <v>8930654779.7333336</v>
      </c>
      <c r="AR373" s="5">
        <f>AM373*AL373*$AR$4</f>
        <v>10649805824.832001</v>
      </c>
      <c r="AS373" s="5">
        <f>SUM($AP$9:AP372)</f>
        <v>380925675952</v>
      </c>
    </row>
    <row r="374" spans="1:45" x14ac:dyDescent="0.15">
      <c r="A374" s="5">
        <v>366</v>
      </c>
      <c r="J374" s="5">
        <f t="shared" si="40"/>
        <v>366</v>
      </c>
      <c r="K374" s="5">
        <f>SUM($AP$9:AP373)</f>
        <v>400506136557</v>
      </c>
      <c r="L374" s="5">
        <f>LOOKUP(K374,AI:AI,AE:AE)</f>
        <v>366</v>
      </c>
      <c r="M374" s="5">
        <f>LOOKUP(L374,AE:AE,AG:AG)</f>
        <v>20833610718</v>
      </c>
      <c r="N374" s="5">
        <f>AM374/M374/$K$1</f>
        <v>2.1433286098643838</v>
      </c>
      <c r="O374" s="5">
        <f>SUM($N$9:N374)</f>
        <v>1290.3426606132391</v>
      </c>
      <c r="AE374" s="5">
        <f t="shared" si="41"/>
        <v>366</v>
      </c>
      <c r="AF374" s="5">
        <f t="shared" si="42"/>
        <v>21061300453</v>
      </c>
      <c r="AG374" s="5">
        <f t="shared" si="43"/>
        <v>20833610718</v>
      </c>
      <c r="AH374" s="5">
        <f>AG374*$AF$1</f>
        <v>208336107180</v>
      </c>
      <c r="AI374" s="5">
        <f>SUM($AF$9:AF373)</f>
        <v>397318587257</v>
      </c>
      <c r="AK374" s="5">
        <f t="shared" si="44"/>
        <v>366</v>
      </c>
      <c r="AL374" s="5">
        <f t="shared" si="45"/>
        <v>53</v>
      </c>
      <c r="AM374" s="5">
        <f t="shared" si="46"/>
        <v>66979910848</v>
      </c>
      <c r="AN374" s="5">
        <f>$AL$4*$AL$3^AL374*$AL$2</f>
        <v>66979910848.166443</v>
      </c>
      <c r="AO374" s="5">
        <f>IF(AL374=AL375,1,LOOKUP(MOD(AL374,$AL$1),$AN$1:$AN$5,$AO$1:$AO$5))</f>
        <v>1</v>
      </c>
      <c r="AP374" s="5">
        <f t="shared" si="47"/>
        <v>19580460605</v>
      </c>
      <c r="AQ374" s="5">
        <f>AM374*$AR$3</f>
        <v>8930654779.7333336</v>
      </c>
      <c r="AR374" s="5">
        <f>AM374*AL374*$AR$4</f>
        <v>10649805824.832001</v>
      </c>
      <c r="AS374" s="5">
        <f>SUM($AP$9:AP373)</f>
        <v>400506136557</v>
      </c>
    </row>
    <row r="375" spans="1:45" x14ac:dyDescent="0.15">
      <c r="A375" s="5">
        <v>367</v>
      </c>
      <c r="J375" s="5">
        <f t="shared" si="40"/>
        <v>367</v>
      </c>
      <c r="K375" s="5">
        <f>SUM($AP$9:AP374)</f>
        <v>420086597162</v>
      </c>
      <c r="L375" s="5">
        <f>LOOKUP(K375,AI:AI,AE:AE)</f>
        <v>367</v>
      </c>
      <c r="M375" s="5">
        <f>LOOKUP(L375,AE:AE,AG:AG)</f>
        <v>21935059810</v>
      </c>
      <c r="N375" s="5">
        <f>AM375/M375/$K$1</f>
        <v>2.0357033117506993</v>
      </c>
      <c r="O375" s="5">
        <f>SUM($N$9:N375)</f>
        <v>1292.3783639249898</v>
      </c>
      <c r="AE375" s="5">
        <f t="shared" si="41"/>
        <v>367</v>
      </c>
      <c r="AF375" s="5">
        <f t="shared" si="42"/>
        <v>22174134031</v>
      </c>
      <c r="AG375" s="5">
        <f t="shared" si="43"/>
        <v>21935059810</v>
      </c>
      <c r="AH375" s="5">
        <f>AG375*$AF$1</f>
        <v>219350598100</v>
      </c>
      <c r="AI375" s="5">
        <f>SUM($AF$9:AF374)</f>
        <v>418379887710</v>
      </c>
      <c r="AK375" s="5">
        <f t="shared" si="44"/>
        <v>367</v>
      </c>
      <c r="AL375" s="5">
        <f t="shared" si="45"/>
        <v>53</v>
      </c>
      <c r="AM375" s="5">
        <f t="shared" si="46"/>
        <v>66979910848</v>
      </c>
      <c r="AN375" s="5">
        <f>$AL$4*$AL$3^AL375*$AL$2</f>
        <v>66979910848.166443</v>
      </c>
      <c r="AO375" s="5">
        <f>IF(AL375=AL376,1,LOOKUP(MOD(AL375,$AL$1),$AN$1:$AN$5,$AO$1:$AO$5))</f>
        <v>1</v>
      </c>
      <c r="AP375" s="5">
        <f t="shared" si="47"/>
        <v>19580460605</v>
      </c>
      <c r="AQ375" s="5">
        <f>AM375*$AR$3</f>
        <v>8930654779.7333336</v>
      </c>
      <c r="AR375" s="5">
        <f>AM375*AL375*$AR$4</f>
        <v>10649805824.832001</v>
      </c>
      <c r="AS375" s="5">
        <f>SUM($AP$9:AP374)</f>
        <v>420086597162</v>
      </c>
    </row>
    <row r="376" spans="1:45" x14ac:dyDescent="0.15">
      <c r="A376" s="5">
        <v>368</v>
      </c>
      <c r="J376" s="5">
        <f t="shared" si="40"/>
        <v>368</v>
      </c>
      <c r="K376" s="5">
        <f>SUM($AP$9:AP375)</f>
        <v>439667057767</v>
      </c>
      <c r="L376" s="5">
        <f>LOOKUP(K376,AI:AI,AE:AE)</f>
        <v>367</v>
      </c>
      <c r="M376" s="5">
        <f>LOOKUP(L376,AE:AE,AG:AG)</f>
        <v>21935059810</v>
      </c>
      <c r="N376" s="5">
        <f>AM376/M376/$K$1</f>
        <v>2.0357033117506993</v>
      </c>
      <c r="O376" s="5">
        <f>SUM($N$9:N376)</f>
        <v>1294.4140672367405</v>
      </c>
      <c r="AE376" s="5">
        <f t="shared" si="41"/>
        <v>368</v>
      </c>
      <c r="AF376" s="5">
        <f t="shared" si="42"/>
        <v>23345597716</v>
      </c>
      <c r="AG376" s="5">
        <f t="shared" si="43"/>
        <v>23094569783</v>
      </c>
      <c r="AH376" s="5">
        <f>AG376*$AF$1</f>
        <v>230945697830</v>
      </c>
      <c r="AI376" s="5">
        <f>SUM($AF$9:AF375)</f>
        <v>440554021741</v>
      </c>
      <c r="AK376" s="5">
        <f t="shared" si="44"/>
        <v>368</v>
      </c>
      <c r="AL376" s="5">
        <f t="shared" si="45"/>
        <v>53</v>
      </c>
      <c r="AM376" s="5">
        <f t="shared" si="46"/>
        <v>66979910848</v>
      </c>
      <c r="AN376" s="5">
        <f>$AL$4*$AL$3^AL376*$AL$2</f>
        <v>66979910848.166443</v>
      </c>
      <c r="AO376" s="5">
        <f>IF(AL376=AL377,1,LOOKUP(MOD(AL376,$AL$1),$AN$1:$AN$5,$AO$1:$AO$5))</f>
        <v>1</v>
      </c>
      <c r="AP376" s="5">
        <f t="shared" si="47"/>
        <v>19580460605</v>
      </c>
      <c r="AQ376" s="5">
        <f>AM376*$AR$3</f>
        <v>8930654779.7333336</v>
      </c>
      <c r="AR376" s="5">
        <f>AM376*AL376*$AR$4</f>
        <v>10649805824.832001</v>
      </c>
      <c r="AS376" s="5">
        <f>SUM($AP$9:AP375)</f>
        <v>439667057767</v>
      </c>
    </row>
    <row r="377" spans="1:45" x14ac:dyDescent="0.15">
      <c r="A377" s="5">
        <v>369</v>
      </c>
      <c r="J377" s="5">
        <f t="shared" si="40"/>
        <v>369</v>
      </c>
      <c r="K377" s="5">
        <f>SUM($AP$9:AP376)</f>
        <v>459247518372</v>
      </c>
      <c r="L377" s="5">
        <f>LOOKUP(K377,AI:AI,AE:AE)</f>
        <v>368</v>
      </c>
      <c r="M377" s="5">
        <f>LOOKUP(L377,AE:AE,AG:AG)</f>
        <v>23094569783</v>
      </c>
      <c r="N377" s="5">
        <f>AM377/M377/$K$1</f>
        <v>1.933496675549077</v>
      </c>
      <c r="O377" s="5">
        <f>SUM($N$9:N377)</f>
        <v>1296.3475639122896</v>
      </c>
      <c r="AE377" s="5">
        <f t="shared" si="41"/>
        <v>369</v>
      </c>
      <c r="AF377" s="5">
        <f t="shared" si="42"/>
        <v>24578772434</v>
      </c>
      <c r="AG377" s="5">
        <f t="shared" si="43"/>
        <v>24315193105</v>
      </c>
      <c r="AH377" s="5">
        <f>AG377*$AF$1</f>
        <v>243151931050</v>
      </c>
      <c r="AI377" s="5">
        <f>SUM($AF$9:AF376)</f>
        <v>463899619457</v>
      </c>
      <c r="AK377" s="5">
        <f t="shared" si="44"/>
        <v>369</v>
      </c>
      <c r="AL377" s="5">
        <f t="shared" si="45"/>
        <v>53</v>
      </c>
      <c r="AM377" s="5">
        <f t="shared" si="46"/>
        <v>66979910848</v>
      </c>
      <c r="AN377" s="5">
        <f>$AL$4*$AL$3^AL377*$AL$2</f>
        <v>66979910848.166443</v>
      </c>
      <c r="AO377" s="5">
        <f>IF(AL377=AL378,1,LOOKUP(MOD(AL377,$AL$1),$AN$1:$AN$5,$AO$1:$AO$5))</f>
        <v>1</v>
      </c>
      <c r="AP377" s="5">
        <f t="shared" si="47"/>
        <v>19580460605</v>
      </c>
      <c r="AQ377" s="5">
        <f>AM377*$AR$3</f>
        <v>8930654779.7333336</v>
      </c>
      <c r="AR377" s="5">
        <f>AM377*AL377*$AR$4</f>
        <v>10649805824.832001</v>
      </c>
      <c r="AS377" s="5">
        <f>SUM($AP$9:AP376)</f>
        <v>459247518372</v>
      </c>
    </row>
    <row r="378" spans="1:45" x14ac:dyDescent="0.15">
      <c r="A378" s="5">
        <v>370</v>
      </c>
      <c r="J378" s="5">
        <f t="shared" si="40"/>
        <v>370</v>
      </c>
      <c r="K378" s="5">
        <f>SUM($AP$9:AP377)</f>
        <v>478827978977</v>
      </c>
      <c r="L378" s="5">
        <f>LOOKUP(K378,AI:AI,AE:AE)</f>
        <v>369</v>
      </c>
      <c r="M378" s="5">
        <f>LOOKUP(L378,AE:AE,AG:AG)</f>
        <v>24315193105</v>
      </c>
      <c r="N378" s="5">
        <f>AM378/M378/$K$1</f>
        <v>1.8364350924889219</v>
      </c>
      <c r="O378" s="5">
        <f>SUM($N$9:N378)</f>
        <v>1298.1839990047786</v>
      </c>
      <c r="AE378" s="5">
        <f t="shared" si="41"/>
        <v>370</v>
      </c>
      <c r="AF378" s="5">
        <f t="shared" si="42"/>
        <v>25876900629</v>
      </c>
      <c r="AG378" s="5">
        <f t="shared" si="43"/>
        <v>25600142334</v>
      </c>
      <c r="AH378" s="5">
        <f>AG378*$AF$1</f>
        <v>256001423340</v>
      </c>
      <c r="AI378" s="5">
        <f>SUM($AF$9:AF377)</f>
        <v>488478391891</v>
      </c>
      <c r="AK378" s="5">
        <f t="shared" si="44"/>
        <v>370</v>
      </c>
      <c r="AL378" s="5">
        <f t="shared" si="45"/>
        <v>53</v>
      </c>
      <c r="AM378" s="5">
        <f t="shared" si="46"/>
        <v>66979910848</v>
      </c>
      <c r="AN378" s="5">
        <f>$AL$4*$AL$3^AL378*$AL$2</f>
        <v>66979910848.166443</v>
      </c>
      <c r="AO378" s="5">
        <f>IF(AL378=AL379,1,LOOKUP(MOD(AL378,$AL$1),$AN$1:$AN$5,$AO$1:$AO$5))</f>
        <v>1</v>
      </c>
      <c r="AP378" s="5">
        <f t="shared" si="47"/>
        <v>19580460605</v>
      </c>
      <c r="AQ378" s="5">
        <f>AM378*$AR$3</f>
        <v>8930654779.7333336</v>
      </c>
      <c r="AR378" s="5">
        <f>AM378*AL378*$AR$4</f>
        <v>10649805824.832001</v>
      </c>
      <c r="AS378" s="5">
        <f>SUM($AP$9:AP377)</f>
        <v>478827978977</v>
      </c>
    </row>
    <row r="379" spans="1:45" x14ac:dyDescent="0.15">
      <c r="A379" s="5">
        <v>371</v>
      </c>
      <c r="J379" s="5">
        <f t="shared" si="40"/>
        <v>371</v>
      </c>
      <c r="K379" s="5">
        <f>SUM($AP$9:AP378)</f>
        <v>498408439582</v>
      </c>
      <c r="L379" s="5">
        <f>LOOKUP(K379,AI:AI,AE:AE)</f>
        <v>370</v>
      </c>
      <c r="M379" s="5">
        <f>LOOKUP(L379,AE:AE,AG:AG)</f>
        <v>25600142334</v>
      </c>
      <c r="N379" s="5">
        <f>AM379/M379/$K$1</f>
        <v>12.209811696093569</v>
      </c>
      <c r="O379" s="5">
        <f>SUM($N$9:N379)</f>
        <v>1310.3938107008721</v>
      </c>
      <c r="AE379" s="5">
        <f t="shared" si="41"/>
        <v>371</v>
      </c>
      <c r="AF379" s="5">
        <f t="shared" si="42"/>
        <v>27243394713</v>
      </c>
      <c r="AG379" s="5">
        <f t="shared" si="43"/>
        <v>26952798503</v>
      </c>
      <c r="AH379" s="5">
        <f>AG379*$AF$1</f>
        <v>269527985030</v>
      </c>
      <c r="AI379" s="5">
        <f>SUM($AF$9:AF378)</f>
        <v>514355292520</v>
      </c>
      <c r="AK379" s="5">
        <f t="shared" si="44"/>
        <v>371</v>
      </c>
      <c r="AL379" s="5">
        <f t="shared" si="45"/>
        <v>53</v>
      </c>
      <c r="AM379" s="5">
        <f t="shared" si="46"/>
        <v>468859375937</v>
      </c>
      <c r="AN379" s="5">
        <f>$AL$4*$AL$3^AL379*$AL$2</f>
        <v>66979910848.166443</v>
      </c>
      <c r="AO379" s="5">
        <f>IF(AL379=AL380,1,LOOKUP(MOD(AL379,$AL$1),$AN$1:$AN$5,$AO$1:$AO$5))</f>
        <v>7</v>
      </c>
      <c r="AP379" s="5">
        <f t="shared" si="47"/>
        <v>137063224232</v>
      </c>
      <c r="AQ379" s="5">
        <f>AM379*$AR$3</f>
        <v>62514583458.266663</v>
      </c>
      <c r="AR379" s="5">
        <f>AM379*AL379*$AR$4</f>
        <v>74548640773.983002</v>
      </c>
      <c r="AS379" s="5">
        <f>SUM($AP$9:AP378)</f>
        <v>498408439582</v>
      </c>
    </row>
    <row r="380" spans="1:45" x14ac:dyDescent="0.15">
      <c r="A380" s="5">
        <v>372</v>
      </c>
      <c r="J380" s="5">
        <f t="shared" si="40"/>
        <v>372</v>
      </c>
      <c r="K380" s="5">
        <f>SUM($AP$9:AP379)</f>
        <v>635471663814</v>
      </c>
      <c r="L380" s="5">
        <f>LOOKUP(K380,AI:AI,AE:AE)</f>
        <v>375</v>
      </c>
      <c r="M380" s="5">
        <f>LOOKUP(L380,AE:AE,AG:AG)</f>
        <v>33114516545</v>
      </c>
      <c r="N380" s="5">
        <f>AM380/M380/$K$1</f>
        <v>2.1170666926713344</v>
      </c>
      <c r="O380" s="5">
        <f>SUM($N$9:N380)</f>
        <v>1312.5108773935435</v>
      </c>
      <c r="AE380" s="5">
        <f t="shared" si="41"/>
        <v>372</v>
      </c>
      <c r="AF380" s="5">
        <f t="shared" si="42"/>
        <v>28681845954</v>
      </c>
      <c r="AG380" s="5">
        <f t="shared" si="43"/>
        <v>28376719933</v>
      </c>
      <c r="AH380" s="5">
        <f>AG380*$AF$1</f>
        <v>283767199330</v>
      </c>
      <c r="AI380" s="5">
        <f>SUM($AF$9:AF379)</f>
        <v>541598687233</v>
      </c>
      <c r="AK380" s="5">
        <f t="shared" si="44"/>
        <v>372</v>
      </c>
      <c r="AL380" s="5">
        <f t="shared" si="45"/>
        <v>54</v>
      </c>
      <c r="AM380" s="5">
        <f t="shared" si="46"/>
        <v>105158460032</v>
      </c>
      <c r="AN380" s="5">
        <f>$AL$4*$AL$3^AL380*$AL$2</f>
        <v>105158460031.62132</v>
      </c>
      <c r="AO380" s="5">
        <f>IF(AL380=AL381,1,LOOKUP(MOD(AL380,$AL$1),$AN$1:$AN$5,$AO$1:$AO$5))</f>
        <v>1</v>
      </c>
      <c r="AP380" s="5">
        <f t="shared" si="47"/>
        <v>31056798529</v>
      </c>
      <c r="AQ380" s="5">
        <f>AM380*$AR$3</f>
        <v>14021128004.266666</v>
      </c>
      <c r="AR380" s="5">
        <f>AM380*AL380*$AR$4</f>
        <v>17035670525.184</v>
      </c>
      <c r="AS380" s="5">
        <f>SUM($AP$9:AP379)</f>
        <v>635471663814</v>
      </c>
    </row>
    <row r="381" spans="1:45" x14ac:dyDescent="0.15">
      <c r="A381" s="5">
        <v>373</v>
      </c>
      <c r="J381" s="5">
        <f t="shared" si="40"/>
        <v>373</v>
      </c>
      <c r="K381" s="5">
        <f>SUM($AP$9:AP380)</f>
        <v>666528462343</v>
      </c>
      <c r="L381" s="5">
        <f>LOOKUP(K381,AI:AI,AE:AE)</f>
        <v>376</v>
      </c>
      <c r="M381" s="5">
        <f>LOOKUP(L381,AE:AE,AG:AG)</f>
        <v>34862963019</v>
      </c>
      <c r="N381" s="5">
        <f>AM381/M381/$K$1</f>
        <v>2.0108916153548506</v>
      </c>
      <c r="O381" s="5">
        <f>SUM($N$9:N381)</f>
        <v>1314.5217690088984</v>
      </c>
      <c r="AE381" s="5">
        <f t="shared" si="41"/>
        <v>373</v>
      </c>
      <c r="AF381" s="5">
        <f t="shared" si="42"/>
        <v>30196033832</v>
      </c>
      <c r="AG381" s="5">
        <f t="shared" si="43"/>
        <v>29875651510</v>
      </c>
      <c r="AH381" s="5">
        <f>AG381*$AF$1</f>
        <v>298756515100</v>
      </c>
      <c r="AI381" s="5">
        <f>SUM($AF$9:AF380)</f>
        <v>570280533187</v>
      </c>
      <c r="AK381" s="5">
        <f t="shared" si="44"/>
        <v>373</v>
      </c>
      <c r="AL381" s="5">
        <f t="shared" si="45"/>
        <v>54</v>
      </c>
      <c r="AM381" s="5">
        <f t="shared" si="46"/>
        <v>105158460032</v>
      </c>
      <c r="AN381" s="5">
        <f>$AL$4*$AL$3^AL381*$AL$2</f>
        <v>105158460031.62132</v>
      </c>
      <c r="AO381" s="5">
        <f>IF(AL381=AL382,1,LOOKUP(MOD(AL381,$AL$1),$AN$1:$AN$5,$AO$1:$AO$5))</f>
        <v>1</v>
      </c>
      <c r="AP381" s="5">
        <f t="shared" si="47"/>
        <v>31056798529</v>
      </c>
      <c r="AQ381" s="5">
        <f>AM381*$AR$3</f>
        <v>14021128004.266666</v>
      </c>
      <c r="AR381" s="5">
        <f>AM381*AL381*$AR$4</f>
        <v>17035670525.184</v>
      </c>
      <c r="AS381" s="5">
        <f>SUM($AP$9:AP380)</f>
        <v>666528462343</v>
      </c>
    </row>
    <row r="382" spans="1:45" x14ac:dyDescent="0.15">
      <c r="A382" s="5">
        <v>374</v>
      </c>
      <c r="J382" s="5">
        <f t="shared" si="40"/>
        <v>374</v>
      </c>
      <c r="K382" s="5">
        <f>SUM($AP$9:AP381)</f>
        <v>697585260872</v>
      </c>
      <c r="L382" s="5">
        <f>LOOKUP(K382,AI:AI,AE:AE)</f>
        <v>376</v>
      </c>
      <c r="M382" s="5">
        <f>LOOKUP(L382,AE:AE,AG:AG)</f>
        <v>34862963019</v>
      </c>
      <c r="N382" s="5">
        <f>AM382/M382/$K$1</f>
        <v>2.0108916153548506</v>
      </c>
      <c r="O382" s="5">
        <f>SUM($N$9:N382)</f>
        <v>1316.5326606242534</v>
      </c>
      <c r="AE382" s="5">
        <f t="shared" si="41"/>
        <v>374</v>
      </c>
      <c r="AF382" s="5">
        <f t="shared" si="42"/>
        <v>31789935883</v>
      </c>
      <c r="AG382" s="5">
        <f t="shared" si="43"/>
        <v>31453534445</v>
      </c>
      <c r="AH382" s="5">
        <f>AG382*$AF$1</f>
        <v>314535344450</v>
      </c>
      <c r="AI382" s="5">
        <f>SUM($AF$9:AF381)</f>
        <v>600476567019</v>
      </c>
      <c r="AK382" s="5">
        <f t="shared" si="44"/>
        <v>374</v>
      </c>
      <c r="AL382" s="5">
        <f t="shared" si="45"/>
        <v>54</v>
      </c>
      <c r="AM382" s="5">
        <f t="shared" si="46"/>
        <v>105158460032</v>
      </c>
      <c r="AN382" s="5">
        <f>$AL$4*$AL$3^AL382*$AL$2</f>
        <v>105158460031.62132</v>
      </c>
      <c r="AO382" s="5">
        <f>IF(AL382=AL383,1,LOOKUP(MOD(AL382,$AL$1),$AN$1:$AN$5,$AO$1:$AO$5))</f>
        <v>1</v>
      </c>
      <c r="AP382" s="5">
        <f t="shared" si="47"/>
        <v>31056798529</v>
      </c>
      <c r="AQ382" s="5">
        <f>AM382*$AR$3</f>
        <v>14021128004.266666</v>
      </c>
      <c r="AR382" s="5">
        <f>AM382*AL382*$AR$4</f>
        <v>17035670525.184</v>
      </c>
      <c r="AS382" s="5">
        <f>SUM($AP$9:AP381)</f>
        <v>697585260872</v>
      </c>
    </row>
    <row r="383" spans="1:45" x14ac:dyDescent="0.15">
      <c r="A383" s="5">
        <v>375</v>
      </c>
      <c r="J383" s="5">
        <f t="shared" si="40"/>
        <v>375</v>
      </c>
      <c r="K383" s="5">
        <f>SUM($AP$9:AP382)</f>
        <v>728642059401</v>
      </c>
      <c r="L383" s="5">
        <f>LOOKUP(K383,AI:AI,AE:AE)</f>
        <v>377</v>
      </c>
      <c r="M383" s="5">
        <f>LOOKUP(L383,AE:AE,AG:AG)</f>
        <v>36703467848</v>
      </c>
      <c r="N383" s="5">
        <f>AM383/M383/$K$1</f>
        <v>1.9100549384505487</v>
      </c>
      <c r="O383" s="5">
        <f>SUM($N$9:N383)</f>
        <v>1318.4427155627038</v>
      </c>
      <c r="AE383" s="5">
        <f t="shared" si="41"/>
        <v>375</v>
      </c>
      <c r="AF383" s="5">
        <f t="shared" si="42"/>
        <v>33467738055</v>
      </c>
      <c r="AG383" s="5">
        <f t="shared" si="43"/>
        <v>33114516545</v>
      </c>
      <c r="AH383" s="5">
        <f>AG383*$AF$1</f>
        <v>331145165450</v>
      </c>
      <c r="AI383" s="5">
        <f>SUM($AF$9:AF382)</f>
        <v>632266502902</v>
      </c>
      <c r="AK383" s="5">
        <f t="shared" si="44"/>
        <v>375</v>
      </c>
      <c r="AL383" s="5">
        <f t="shared" si="45"/>
        <v>54</v>
      </c>
      <c r="AM383" s="5">
        <f t="shared" si="46"/>
        <v>105158460032</v>
      </c>
      <c r="AN383" s="5">
        <f>$AL$4*$AL$3^AL383*$AL$2</f>
        <v>105158460031.62132</v>
      </c>
      <c r="AO383" s="5">
        <f>IF(AL383=AL384,1,LOOKUP(MOD(AL383,$AL$1),$AN$1:$AN$5,$AO$1:$AO$5))</f>
        <v>1</v>
      </c>
      <c r="AP383" s="5">
        <f t="shared" si="47"/>
        <v>31056798529</v>
      </c>
      <c r="AQ383" s="5">
        <f>AM383*$AR$3</f>
        <v>14021128004.266666</v>
      </c>
      <c r="AR383" s="5">
        <f>AM383*AL383*$AR$4</f>
        <v>17035670525.184</v>
      </c>
      <c r="AS383" s="5">
        <f>SUM($AP$9:AP382)</f>
        <v>728642059401</v>
      </c>
    </row>
    <row r="384" spans="1:45" x14ac:dyDescent="0.15">
      <c r="A384" s="5">
        <v>376</v>
      </c>
      <c r="J384" s="5">
        <f t="shared" si="40"/>
        <v>376</v>
      </c>
      <c r="K384" s="5">
        <f>SUM($AP$9:AP383)</f>
        <v>759698857930</v>
      </c>
      <c r="L384" s="5">
        <f>LOOKUP(K384,AI:AI,AE:AE)</f>
        <v>378</v>
      </c>
      <c r="M384" s="5">
        <f>LOOKUP(L384,AE:AE,AG:AG)</f>
        <v>38640865753</v>
      </c>
      <c r="N384" s="5">
        <f>AM384/M384/$K$1</f>
        <v>1.8142875076728959</v>
      </c>
      <c r="O384" s="5">
        <f>SUM($N$9:N384)</f>
        <v>1320.2570030703766</v>
      </c>
      <c r="AE384" s="5">
        <f t="shared" si="41"/>
        <v>376</v>
      </c>
      <c r="AF384" s="5">
        <f t="shared" si="42"/>
        <v>35233845604</v>
      </c>
      <c r="AG384" s="5">
        <f t="shared" si="43"/>
        <v>34862963019</v>
      </c>
      <c r="AH384" s="5">
        <f>AG384*$AF$1</f>
        <v>348629630190</v>
      </c>
      <c r="AI384" s="5">
        <f>SUM($AF$9:AF383)</f>
        <v>665734240957</v>
      </c>
      <c r="AK384" s="5">
        <f t="shared" si="44"/>
        <v>376</v>
      </c>
      <c r="AL384" s="5">
        <f t="shared" si="45"/>
        <v>54</v>
      </c>
      <c r="AM384" s="5">
        <f t="shared" si="46"/>
        <v>105158460032</v>
      </c>
      <c r="AN384" s="5">
        <f>$AL$4*$AL$3^AL384*$AL$2</f>
        <v>105158460031.62132</v>
      </c>
      <c r="AO384" s="5">
        <f>IF(AL384=AL385,1,LOOKUP(MOD(AL384,$AL$1),$AN$1:$AN$5,$AO$1:$AO$5))</f>
        <v>1</v>
      </c>
      <c r="AP384" s="5">
        <f t="shared" si="47"/>
        <v>31056798529</v>
      </c>
      <c r="AQ384" s="5">
        <f>AM384*$AR$3</f>
        <v>14021128004.266666</v>
      </c>
      <c r="AR384" s="5">
        <f>AM384*AL384*$AR$4</f>
        <v>17035670525.184</v>
      </c>
      <c r="AS384" s="5">
        <f>SUM($AP$9:AP383)</f>
        <v>759698857930</v>
      </c>
    </row>
    <row r="385" spans="1:45" x14ac:dyDescent="0.15">
      <c r="A385" s="5">
        <v>377</v>
      </c>
      <c r="J385" s="5">
        <f t="shared" si="40"/>
        <v>377</v>
      </c>
      <c r="K385" s="5">
        <f>SUM($AP$9:AP384)</f>
        <v>790755656459</v>
      </c>
      <c r="L385" s="5">
        <f>LOOKUP(K385,AI:AI,AE:AE)</f>
        <v>379</v>
      </c>
      <c r="M385" s="5">
        <f>LOOKUP(L385,AE:AE,AG:AG)</f>
        <v>40680244779</v>
      </c>
      <c r="N385" s="5">
        <f>AM385/M385/$K$1</f>
        <v>1.7233337803690736</v>
      </c>
      <c r="O385" s="5">
        <f>SUM($N$9:N385)</f>
        <v>1321.9803368507457</v>
      </c>
      <c r="AE385" s="5">
        <f t="shared" si="41"/>
        <v>377</v>
      </c>
      <c r="AF385" s="5">
        <f t="shared" si="42"/>
        <v>37092894563</v>
      </c>
      <c r="AG385" s="5">
        <f t="shared" si="43"/>
        <v>36703467848</v>
      </c>
      <c r="AH385" s="5">
        <f>AG385*$AF$1</f>
        <v>367034678480</v>
      </c>
      <c r="AI385" s="5">
        <f>SUM($AF$9:AF384)</f>
        <v>700968086561</v>
      </c>
      <c r="AK385" s="5">
        <f t="shared" si="44"/>
        <v>377</v>
      </c>
      <c r="AL385" s="5">
        <f t="shared" si="45"/>
        <v>54</v>
      </c>
      <c r="AM385" s="5">
        <f t="shared" si="46"/>
        <v>105158460032</v>
      </c>
      <c r="AN385" s="5">
        <f>$AL$4*$AL$3^AL385*$AL$2</f>
        <v>105158460031.62132</v>
      </c>
      <c r="AO385" s="5">
        <f>IF(AL385=AL386,1,LOOKUP(MOD(AL385,$AL$1),$AN$1:$AN$5,$AO$1:$AO$5))</f>
        <v>1</v>
      </c>
      <c r="AP385" s="5">
        <f t="shared" si="47"/>
        <v>31056798529</v>
      </c>
      <c r="AQ385" s="5">
        <f>AM385*$AR$3</f>
        <v>14021128004.266666</v>
      </c>
      <c r="AR385" s="5">
        <f>AM385*AL385*$AR$4</f>
        <v>17035670525.184</v>
      </c>
      <c r="AS385" s="5">
        <f>SUM($AP$9:AP384)</f>
        <v>790755656459</v>
      </c>
    </row>
    <row r="386" spans="1:45" x14ac:dyDescent="0.15">
      <c r="A386" s="5">
        <v>378</v>
      </c>
      <c r="J386" s="5">
        <f t="shared" si="40"/>
        <v>378</v>
      </c>
      <c r="K386" s="5">
        <f>SUM($AP$9:AP385)</f>
        <v>821812454988</v>
      </c>
      <c r="L386" s="5">
        <f>LOOKUP(K386,AI:AI,AE:AE)</f>
        <v>380</v>
      </c>
      <c r="M386" s="5">
        <f>LOOKUP(L386,AE:AE,AG:AG)</f>
        <v>42826959543</v>
      </c>
      <c r="N386" s="5">
        <f>AM386/M386/$K$1</f>
        <v>11.458657943126013</v>
      </c>
      <c r="O386" s="5">
        <f>SUM($N$9:N386)</f>
        <v>1333.4389947938716</v>
      </c>
      <c r="AE386" s="5">
        <f t="shared" si="41"/>
        <v>378</v>
      </c>
      <c r="AF386" s="5">
        <f t="shared" si="42"/>
        <v>39049763804</v>
      </c>
      <c r="AG386" s="5">
        <f t="shared" si="43"/>
        <v>38640865753</v>
      </c>
      <c r="AH386" s="5">
        <f>AG386*$AF$1</f>
        <v>386408657530</v>
      </c>
      <c r="AI386" s="5">
        <f>SUM($AF$9:AF385)</f>
        <v>738060981124</v>
      </c>
      <c r="AK386" s="5">
        <f t="shared" si="44"/>
        <v>378</v>
      </c>
      <c r="AL386" s="5">
        <f t="shared" si="45"/>
        <v>54</v>
      </c>
      <c r="AM386" s="5">
        <f t="shared" si="46"/>
        <v>736109220221</v>
      </c>
      <c r="AN386" s="5">
        <f>$AL$4*$AL$3^AL386*$AL$2</f>
        <v>105158460031.62132</v>
      </c>
      <c r="AO386" s="5">
        <f>IF(AL386=AL387,1,LOOKUP(MOD(AL386,$AL$1),$AN$1:$AN$5,$AO$1:$AO$5))</f>
        <v>7</v>
      </c>
      <c r="AP386" s="5">
        <f t="shared" si="47"/>
        <v>217397589705</v>
      </c>
      <c r="AQ386" s="5">
        <f>AM386*$AR$3</f>
        <v>98147896029.46666</v>
      </c>
      <c r="AR386" s="5">
        <f>AM386*AL386*$AR$4</f>
        <v>119249693675.802</v>
      </c>
      <c r="AS386" s="5">
        <f>SUM($AP$9:AP385)</f>
        <v>821812454988</v>
      </c>
    </row>
    <row r="387" spans="1:45" x14ac:dyDescent="0.15">
      <c r="A387" s="5">
        <v>379</v>
      </c>
      <c r="J387" s="5">
        <f t="shared" si="40"/>
        <v>379</v>
      </c>
      <c r="K387" s="5">
        <f>SUM($AP$9:AP386)</f>
        <v>1039210044693</v>
      </c>
      <c r="L387" s="5">
        <f>LOOKUP(K387,AI:AI,AE:AE)</f>
        <v>384</v>
      </c>
      <c r="M387" s="5">
        <f>LOOKUP(L387,AE:AE,AG:AG)</f>
        <v>52604399488</v>
      </c>
      <c r="N387" s="5">
        <f>AM387/M387/$K$1</f>
        <v>2.09233174229926</v>
      </c>
      <c r="O387" s="5">
        <f>SUM($N$9:N387)</f>
        <v>1335.5313265361708</v>
      </c>
      <c r="AE387" s="5">
        <f t="shared" si="41"/>
        <v>379</v>
      </c>
      <c r="AF387" s="5">
        <f t="shared" si="42"/>
        <v>41109587732</v>
      </c>
      <c r="AG387" s="5">
        <f t="shared" si="43"/>
        <v>40680244779</v>
      </c>
      <c r="AH387" s="5">
        <f>AG387*$AF$1</f>
        <v>406802447790</v>
      </c>
      <c r="AI387" s="5">
        <f>SUM($AF$9:AF386)</f>
        <v>777110744928</v>
      </c>
      <c r="AK387" s="5">
        <f t="shared" si="44"/>
        <v>379</v>
      </c>
      <c r="AL387" s="5">
        <f t="shared" si="45"/>
        <v>55</v>
      </c>
      <c r="AM387" s="5">
        <f t="shared" si="46"/>
        <v>165098782250</v>
      </c>
      <c r="AN387" s="5">
        <f>$AL$4*$AL$3^AL387*$AL$2</f>
        <v>165098782249.64545</v>
      </c>
      <c r="AO387" s="5">
        <f>IF(AL387=AL388,1,LOOKUP(MOD(AL387,$AL$1),$AN$1:$AN$5,$AO$1:$AO$5))</f>
        <v>1</v>
      </c>
      <c r="AP387" s="5">
        <f t="shared" si="47"/>
        <v>49254470038</v>
      </c>
      <c r="AQ387" s="5">
        <f>AM387*$AR$3</f>
        <v>22013170966.666668</v>
      </c>
      <c r="AR387" s="5">
        <f>AM387*AL387*$AR$4</f>
        <v>27241299071.25</v>
      </c>
      <c r="AS387" s="5">
        <f>SUM($AP$9:AP386)</f>
        <v>1039210044693</v>
      </c>
    </row>
    <row r="388" spans="1:45" x14ac:dyDescent="0.15">
      <c r="A388" s="5">
        <v>380</v>
      </c>
      <c r="J388" s="5">
        <f t="shared" si="40"/>
        <v>380</v>
      </c>
      <c r="K388" s="5">
        <f>SUM($AP$9:AP387)</f>
        <v>1088464514731</v>
      </c>
      <c r="L388" s="5">
        <f>LOOKUP(K388,AI:AI,AE:AE)</f>
        <v>385</v>
      </c>
      <c r="M388" s="5">
        <f>LOOKUP(L388,AE:AE,AG:AG)</f>
        <v>55378459617</v>
      </c>
      <c r="N388" s="5">
        <f>AM388/M388/$K$1</f>
        <v>1.9875210613396239</v>
      </c>
      <c r="O388" s="5">
        <f>SUM($N$9:N388)</f>
        <v>1337.5188475975103</v>
      </c>
      <c r="AE388" s="5">
        <f t="shared" si="41"/>
        <v>380</v>
      </c>
      <c r="AF388" s="5">
        <f t="shared" si="42"/>
        <v>43277769644</v>
      </c>
      <c r="AG388" s="5">
        <f t="shared" si="43"/>
        <v>42826959543</v>
      </c>
      <c r="AH388" s="5">
        <f>AG388*$AF$1</f>
        <v>428269595430</v>
      </c>
      <c r="AI388" s="5">
        <f>SUM($AF$9:AF387)</f>
        <v>818220332660</v>
      </c>
      <c r="AK388" s="5">
        <f t="shared" si="44"/>
        <v>380</v>
      </c>
      <c r="AL388" s="5">
        <f t="shared" si="45"/>
        <v>55</v>
      </c>
      <c r="AM388" s="5">
        <f t="shared" si="46"/>
        <v>165098782250</v>
      </c>
      <c r="AN388" s="5">
        <f>$AL$4*$AL$3^AL388*$AL$2</f>
        <v>165098782249.64545</v>
      </c>
      <c r="AO388" s="5">
        <f>IF(AL388=AL389,1,LOOKUP(MOD(AL388,$AL$1),$AN$1:$AN$5,$AO$1:$AO$5))</f>
        <v>1</v>
      </c>
      <c r="AP388" s="5">
        <f t="shared" si="47"/>
        <v>49254470038</v>
      </c>
      <c r="AQ388" s="5">
        <f>AM388*$AR$3</f>
        <v>22013170966.666668</v>
      </c>
      <c r="AR388" s="5">
        <f>AM388*AL388*$AR$4</f>
        <v>27241299071.25</v>
      </c>
      <c r="AS388" s="5">
        <f>SUM($AP$9:AP387)</f>
        <v>1088464514731</v>
      </c>
    </row>
    <row r="389" spans="1:45" x14ac:dyDescent="0.15">
      <c r="A389" s="5">
        <v>381</v>
      </c>
      <c r="J389" s="5">
        <f t="shared" si="40"/>
        <v>381</v>
      </c>
      <c r="K389" s="5">
        <f>SUM($AP$9:AP388)</f>
        <v>1137718984769</v>
      </c>
      <c r="L389" s="5">
        <f>LOOKUP(K389,AI:AI,AE:AE)</f>
        <v>386</v>
      </c>
      <c r="M389" s="5">
        <f>LOOKUP(L389,AE:AE,AG:AG)</f>
        <v>58298414761</v>
      </c>
      <c r="N389" s="5">
        <f>AM389/M389/$K$1</f>
        <v>1.8879733743114453</v>
      </c>
      <c r="O389" s="5">
        <f>SUM($N$9:N389)</f>
        <v>1339.4068209718218</v>
      </c>
      <c r="AE389" s="5">
        <f t="shared" si="41"/>
        <v>381</v>
      </c>
      <c r="AF389" s="5">
        <f t="shared" si="42"/>
        <v>45559995777</v>
      </c>
      <c r="AG389" s="5">
        <f t="shared" si="43"/>
        <v>45086645172</v>
      </c>
      <c r="AH389" s="5">
        <f>AG389*$AF$1</f>
        <v>450866451720</v>
      </c>
      <c r="AI389" s="5">
        <f>SUM($AF$9:AF388)</f>
        <v>861498102304</v>
      </c>
      <c r="AK389" s="5">
        <f t="shared" si="44"/>
        <v>381</v>
      </c>
      <c r="AL389" s="5">
        <f t="shared" si="45"/>
        <v>55</v>
      </c>
      <c r="AM389" s="5">
        <f t="shared" si="46"/>
        <v>165098782250</v>
      </c>
      <c r="AN389" s="5">
        <f>$AL$4*$AL$3^AL389*$AL$2</f>
        <v>165098782249.64545</v>
      </c>
      <c r="AO389" s="5">
        <f>IF(AL389=AL390,1,LOOKUP(MOD(AL389,$AL$1),$AN$1:$AN$5,$AO$1:$AO$5))</f>
        <v>1</v>
      </c>
      <c r="AP389" s="5">
        <f t="shared" si="47"/>
        <v>49254470038</v>
      </c>
      <c r="AQ389" s="5">
        <f>AM389*$AR$3</f>
        <v>22013170966.666668</v>
      </c>
      <c r="AR389" s="5">
        <f>AM389*AL389*$AR$4</f>
        <v>27241299071.25</v>
      </c>
      <c r="AS389" s="5">
        <f>SUM($AP$9:AP388)</f>
        <v>1137718984769</v>
      </c>
    </row>
    <row r="390" spans="1:45" x14ac:dyDescent="0.15">
      <c r="A390" s="5">
        <v>382</v>
      </c>
      <c r="J390" s="5">
        <f t="shared" si="40"/>
        <v>382</v>
      </c>
      <c r="K390" s="5">
        <f>SUM($AP$9:AP389)</f>
        <v>1186973454807</v>
      </c>
      <c r="L390" s="5">
        <f>LOOKUP(K390,AI:AI,AE:AE)</f>
        <v>387</v>
      </c>
      <c r="M390" s="5">
        <f>LOOKUP(L390,AE:AE,AG:AG)</f>
        <v>61371919270</v>
      </c>
      <c r="N390" s="5">
        <f>AM390/M390/$K$1</f>
        <v>1.7934237048886956</v>
      </c>
      <c r="O390" s="5">
        <f>SUM($N$9:N390)</f>
        <v>1341.2002446767106</v>
      </c>
      <c r="AE390" s="5">
        <f t="shared" si="41"/>
        <v>382</v>
      </c>
      <c r="AF390" s="5">
        <f t="shared" si="42"/>
        <v>47962250100</v>
      </c>
      <c r="AG390" s="5">
        <f t="shared" si="43"/>
        <v>47465231964</v>
      </c>
      <c r="AH390" s="5">
        <f>AG390*$AF$1</f>
        <v>474652319640</v>
      </c>
      <c r="AI390" s="5">
        <f>SUM($AF$9:AF389)</f>
        <v>907058098081</v>
      </c>
      <c r="AK390" s="5">
        <f t="shared" si="44"/>
        <v>382</v>
      </c>
      <c r="AL390" s="5">
        <f t="shared" si="45"/>
        <v>55</v>
      </c>
      <c r="AM390" s="5">
        <f t="shared" si="46"/>
        <v>165098782250</v>
      </c>
      <c r="AN390" s="5">
        <f>$AL$4*$AL$3^AL390*$AL$2</f>
        <v>165098782249.64545</v>
      </c>
      <c r="AO390" s="5">
        <f>IF(AL390=AL391,1,LOOKUP(MOD(AL390,$AL$1),$AN$1:$AN$5,$AO$1:$AO$5))</f>
        <v>1</v>
      </c>
      <c r="AP390" s="5">
        <f t="shared" si="47"/>
        <v>49254470038</v>
      </c>
      <c r="AQ390" s="5">
        <f>AM390*$AR$3</f>
        <v>22013170966.666668</v>
      </c>
      <c r="AR390" s="5">
        <f>AM390*AL390*$AR$4</f>
        <v>27241299071.25</v>
      </c>
      <c r="AS390" s="5">
        <f>SUM($AP$9:AP389)</f>
        <v>1186973454807</v>
      </c>
    </row>
    <row r="391" spans="1:45" x14ac:dyDescent="0.15">
      <c r="A391" s="5">
        <v>383</v>
      </c>
      <c r="J391" s="5">
        <f t="shared" si="40"/>
        <v>383</v>
      </c>
      <c r="K391" s="5">
        <f>SUM($AP$9:AP390)</f>
        <v>1236227924845</v>
      </c>
      <c r="L391" s="5">
        <f>LOOKUP(K391,AI:AI,AE:AE)</f>
        <v>388</v>
      </c>
      <c r="M391" s="5">
        <f>LOOKUP(L391,AE:AE,AG:AG)</f>
        <v>64607028192</v>
      </c>
      <c r="N391" s="5">
        <f>AM391/M391/$K$1</f>
        <v>1.7036204560630495</v>
      </c>
      <c r="O391" s="5">
        <f>SUM($N$9:N391)</f>
        <v>1342.9038651327737</v>
      </c>
      <c r="AE391" s="5">
        <f t="shared" si="41"/>
        <v>383</v>
      </c>
      <c r="AF391" s="5">
        <f t="shared" si="42"/>
        <v>50490829866</v>
      </c>
      <c r="AG391" s="5">
        <f t="shared" si="43"/>
        <v>49968960823</v>
      </c>
      <c r="AH391" s="5">
        <f>AG391*$AF$1</f>
        <v>499689608230</v>
      </c>
      <c r="AI391" s="5">
        <f>SUM($AF$9:AF390)</f>
        <v>955020348181</v>
      </c>
      <c r="AK391" s="5">
        <f t="shared" si="44"/>
        <v>383</v>
      </c>
      <c r="AL391" s="5">
        <f t="shared" si="45"/>
        <v>55</v>
      </c>
      <c r="AM391" s="5">
        <f t="shared" si="46"/>
        <v>165098782250</v>
      </c>
      <c r="AN391" s="5">
        <f>$AL$4*$AL$3^AL391*$AL$2</f>
        <v>165098782249.64545</v>
      </c>
      <c r="AO391" s="5">
        <f>IF(AL391=AL392,1,LOOKUP(MOD(AL391,$AL$1),$AN$1:$AN$5,$AO$1:$AO$5))</f>
        <v>1</v>
      </c>
      <c r="AP391" s="5">
        <f t="shared" si="47"/>
        <v>49254470038</v>
      </c>
      <c r="AQ391" s="5">
        <f>AM391*$AR$3</f>
        <v>22013170966.666668</v>
      </c>
      <c r="AR391" s="5">
        <f>AM391*AL391*$AR$4</f>
        <v>27241299071.25</v>
      </c>
      <c r="AS391" s="5">
        <f>SUM($AP$9:AP390)</f>
        <v>1236227924845</v>
      </c>
    </row>
    <row r="392" spans="1:45" x14ac:dyDescent="0.15">
      <c r="A392" s="5">
        <v>384</v>
      </c>
      <c r="J392" s="5">
        <f t="shared" si="40"/>
        <v>384</v>
      </c>
      <c r="K392" s="5">
        <f>SUM($AP$9:AP391)</f>
        <v>1285482394883</v>
      </c>
      <c r="L392" s="5">
        <f>LOOKUP(K392,AI:AI,AE:AE)</f>
        <v>388</v>
      </c>
      <c r="M392" s="5">
        <f>LOOKUP(L392,AE:AE,AG:AG)</f>
        <v>64607028192</v>
      </c>
      <c r="N392" s="5">
        <f>AM392/M392/$K$1</f>
        <v>1.7036204560630495</v>
      </c>
      <c r="O392" s="5">
        <f>SUM($N$9:N392)</f>
        <v>1344.6074855888369</v>
      </c>
      <c r="AE392" s="5">
        <f t="shared" si="41"/>
        <v>384</v>
      </c>
      <c r="AF392" s="5">
        <f t="shared" si="42"/>
        <v>53152361983</v>
      </c>
      <c r="AG392" s="5">
        <f t="shared" si="43"/>
        <v>52604399488</v>
      </c>
      <c r="AH392" s="5">
        <f>AG392*$AF$1</f>
        <v>526043994880</v>
      </c>
      <c r="AI392" s="5">
        <f>SUM($AF$9:AF391)</f>
        <v>1005511178047</v>
      </c>
      <c r="AK392" s="5">
        <f t="shared" si="44"/>
        <v>384</v>
      </c>
      <c r="AL392" s="5">
        <f t="shared" si="45"/>
        <v>55</v>
      </c>
      <c r="AM392" s="5">
        <f t="shared" si="46"/>
        <v>165098782250</v>
      </c>
      <c r="AN392" s="5">
        <f>$AL$4*$AL$3^AL392*$AL$2</f>
        <v>165098782249.64545</v>
      </c>
      <c r="AO392" s="5">
        <f>IF(AL392=AL393,1,LOOKUP(MOD(AL392,$AL$1),$AN$1:$AN$5,$AO$1:$AO$5))</f>
        <v>1</v>
      </c>
      <c r="AP392" s="5">
        <f t="shared" si="47"/>
        <v>49254470038</v>
      </c>
      <c r="AQ392" s="5">
        <f>AM392*$AR$3</f>
        <v>22013170966.666668</v>
      </c>
      <c r="AR392" s="5">
        <f>AM392*AL392*$AR$4</f>
        <v>27241299071.25</v>
      </c>
      <c r="AS392" s="5">
        <f>SUM($AP$9:AP391)</f>
        <v>1285482394883</v>
      </c>
    </row>
    <row r="393" spans="1:45" x14ac:dyDescent="0.15">
      <c r="A393" s="5">
        <v>385</v>
      </c>
      <c r="J393" s="5">
        <f t="shared" si="40"/>
        <v>385</v>
      </c>
      <c r="K393" s="5">
        <f>SUM($AP$9:AP392)</f>
        <v>1334736864921</v>
      </c>
      <c r="L393" s="5">
        <f>LOOKUP(K393,AI:AI,AE:AE)</f>
        <v>389</v>
      </c>
      <c r="M393" s="5">
        <f>LOOKUP(L393,AE:AE,AG:AG)</f>
        <v>68012218209</v>
      </c>
      <c r="N393" s="5">
        <f>AM393/M393/$K$1</f>
        <v>11.32827312681364</v>
      </c>
      <c r="O393" s="5">
        <f>SUM($N$9:N393)</f>
        <v>1355.9357587156505</v>
      </c>
      <c r="AE393" s="5">
        <f t="shared" si="41"/>
        <v>385</v>
      </c>
      <c r="AF393" s="5">
        <f t="shared" si="42"/>
        <v>55953820237</v>
      </c>
      <c r="AG393" s="5">
        <f t="shared" si="43"/>
        <v>55378459617</v>
      </c>
      <c r="AH393" s="5">
        <f>AG393*$AF$1</f>
        <v>553784596170</v>
      </c>
      <c r="AI393" s="5">
        <f>SUM($AF$9:AF392)</f>
        <v>1058663540030</v>
      </c>
      <c r="AK393" s="5">
        <f t="shared" si="44"/>
        <v>385</v>
      </c>
      <c r="AL393" s="5">
        <f t="shared" si="45"/>
        <v>55</v>
      </c>
      <c r="AM393" s="5">
        <f t="shared" si="46"/>
        <v>1155691475748</v>
      </c>
      <c r="AN393" s="5">
        <f>$AL$4*$AL$3^AL393*$AL$2</f>
        <v>165098782249.64545</v>
      </c>
      <c r="AO393" s="5">
        <f>IF(AL393=AL394,1,LOOKUP(MOD(AL393,$AL$1),$AN$1:$AN$5,$AO$1:$AO$5))</f>
        <v>7</v>
      </c>
      <c r="AP393" s="5">
        <f t="shared" si="47"/>
        <v>344781290265</v>
      </c>
      <c r="AQ393" s="5">
        <f>AM393*$AR$3</f>
        <v>154092196766.39999</v>
      </c>
      <c r="AR393" s="5">
        <f>AM393*AL393*$AR$4</f>
        <v>190689093498.42001</v>
      </c>
      <c r="AS393" s="5">
        <f>SUM($AP$9:AP392)</f>
        <v>1334736864921</v>
      </c>
    </row>
    <row r="394" spans="1:45" x14ac:dyDescent="0.15">
      <c r="A394" s="5">
        <v>386</v>
      </c>
      <c r="J394" s="5">
        <f t="shared" ref="J394:J457" si="48">A394</f>
        <v>386</v>
      </c>
      <c r="K394" s="5">
        <f>SUM($AP$9:AP393)</f>
        <v>1679518155186</v>
      </c>
      <c r="L394" s="5">
        <f>LOOKUP(K394,AI:AI,AE:AE)</f>
        <v>393</v>
      </c>
      <c r="M394" s="5">
        <f>LOOKUP(L394,AE:AE,AG:AG)</f>
        <v>83519345989</v>
      </c>
      <c r="N394" s="5">
        <f>AM394/M394/$K$1</f>
        <v>2.0690223329904813</v>
      </c>
      <c r="O394" s="5">
        <f>SUM($N$9:N394)</f>
        <v>1358.004781048641</v>
      </c>
      <c r="AE394" s="5">
        <f t="shared" ref="AE394:AE457" si="49">A394</f>
        <v>386</v>
      </c>
      <c r="AF394" s="5">
        <f t="shared" ref="AF394:AF457" si="50">ROUND(1.05^AE394*(AE394+4),0)</f>
        <v>58902543411</v>
      </c>
      <c r="AG394" s="5">
        <f t="shared" ref="AG394:AG457" si="51">ROUND(1.05^AE394*AE394,0)</f>
        <v>58298414761</v>
      </c>
      <c r="AH394" s="5">
        <f>AG394*$AF$1</f>
        <v>582984147610</v>
      </c>
      <c r="AI394" s="5">
        <f>SUM($AF$9:AF393)</f>
        <v>1114617360267</v>
      </c>
      <c r="AK394" s="5">
        <f t="shared" ref="AK394:AK457" si="52">A394</f>
        <v>386</v>
      </c>
      <c r="AL394" s="5">
        <f t="shared" ref="AL394:AL457" si="53">ROUNDUP(AK394/$AL$1,0)</f>
        <v>56</v>
      </c>
      <c r="AM394" s="5">
        <f t="shared" ref="AM394:AM457" si="54">ROUND(AN394*AO394,0)</f>
        <v>259205088132</v>
      </c>
      <c r="AN394" s="5">
        <f>$AL$4*$AL$3^AL394*$AL$2</f>
        <v>259205088131.94336</v>
      </c>
      <c r="AO394" s="5">
        <f>IF(AL394=AL395,1,LOOKUP(MOD(AL394,$AL$1),$AN$1:$AN$5,$AO$1:$AO$5))</f>
        <v>1</v>
      </c>
      <c r="AP394" s="5">
        <f t="shared" ref="AP394:AP457" si="55">ROUND(AQ394+AR394,0)</f>
        <v>78107133224</v>
      </c>
      <c r="AQ394" s="5">
        <f>AM394*$AR$3</f>
        <v>34560678417.599998</v>
      </c>
      <c r="AR394" s="5">
        <f>AM394*AL394*$AR$4</f>
        <v>43546454806.176003</v>
      </c>
      <c r="AS394" s="5">
        <f>SUM($AP$9:AP393)</f>
        <v>1679518155186</v>
      </c>
    </row>
    <row r="395" spans="1:45" x14ac:dyDescent="0.15">
      <c r="A395" s="5">
        <v>387</v>
      </c>
      <c r="J395" s="5">
        <f t="shared" si="48"/>
        <v>387</v>
      </c>
      <c r="K395" s="5">
        <f>SUM($AP$9:AP394)</f>
        <v>1757625288410</v>
      </c>
      <c r="L395" s="5">
        <f>LOOKUP(K395,AI:AI,AE:AE)</f>
        <v>394</v>
      </c>
      <c r="M395" s="5">
        <f>LOOKUP(L395,AE:AE,AG:AG)</f>
        <v>87918456579</v>
      </c>
      <c r="N395" s="5">
        <f>AM395/M395/$K$1</f>
        <v>1.9654961974079448</v>
      </c>
      <c r="O395" s="5">
        <f>SUM($N$9:N395)</f>
        <v>1359.9702772460489</v>
      </c>
      <c r="AE395" s="5">
        <f t="shared" si="49"/>
        <v>387</v>
      </c>
      <c r="AF395" s="5">
        <f t="shared" si="50"/>
        <v>62006254352</v>
      </c>
      <c r="AG395" s="5">
        <f t="shared" si="51"/>
        <v>61371919270</v>
      </c>
      <c r="AH395" s="5">
        <f>AG395*$AF$1</f>
        <v>613719192700</v>
      </c>
      <c r="AI395" s="5">
        <f>SUM($AF$9:AF394)</f>
        <v>1173519903678</v>
      </c>
      <c r="AK395" s="5">
        <f t="shared" si="52"/>
        <v>387</v>
      </c>
      <c r="AL395" s="5">
        <f t="shared" si="53"/>
        <v>56</v>
      </c>
      <c r="AM395" s="5">
        <f t="shared" si="54"/>
        <v>259205088132</v>
      </c>
      <c r="AN395" s="5">
        <f>$AL$4*$AL$3^AL395*$AL$2</f>
        <v>259205088131.94336</v>
      </c>
      <c r="AO395" s="5">
        <f>IF(AL395=AL396,1,LOOKUP(MOD(AL395,$AL$1),$AN$1:$AN$5,$AO$1:$AO$5))</f>
        <v>1</v>
      </c>
      <c r="AP395" s="5">
        <f t="shared" si="55"/>
        <v>78107133224</v>
      </c>
      <c r="AQ395" s="5">
        <f>AM395*$AR$3</f>
        <v>34560678417.599998</v>
      </c>
      <c r="AR395" s="5">
        <f>AM395*AL395*$AR$4</f>
        <v>43546454806.176003</v>
      </c>
      <c r="AS395" s="5">
        <f>SUM($AP$9:AP394)</f>
        <v>1757625288410</v>
      </c>
    </row>
    <row r="396" spans="1:45" x14ac:dyDescent="0.15">
      <c r="A396" s="5">
        <v>388</v>
      </c>
      <c r="J396" s="5">
        <f t="shared" si="48"/>
        <v>388</v>
      </c>
      <c r="K396" s="5">
        <f>SUM($AP$9:AP395)</f>
        <v>1835732421634</v>
      </c>
      <c r="L396" s="5">
        <f>LOOKUP(K396,AI:AI,AE:AE)</f>
        <v>395</v>
      </c>
      <c r="M396" s="5">
        <f>LOOKUP(L396,AE:AE,AG:AG)</f>
        <v>92548679863</v>
      </c>
      <c r="N396" s="5">
        <f>AM396/M396/$K$1</f>
        <v>1.8671621501657423</v>
      </c>
      <c r="O396" s="5">
        <f>SUM($N$9:N396)</f>
        <v>1361.8374393962147</v>
      </c>
      <c r="AE396" s="5">
        <f t="shared" si="49"/>
        <v>388</v>
      </c>
      <c r="AF396" s="5">
        <f t="shared" si="50"/>
        <v>65273080029</v>
      </c>
      <c r="AG396" s="5">
        <f t="shared" si="51"/>
        <v>64607028192</v>
      </c>
      <c r="AH396" s="5">
        <f>AG396*$AF$1</f>
        <v>646070281920</v>
      </c>
      <c r="AI396" s="5">
        <f>SUM($AF$9:AF395)</f>
        <v>1235526158030</v>
      </c>
      <c r="AK396" s="5">
        <f t="shared" si="52"/>
        <v>388</v>
      </c>
      <c r="AL396" s="5">
        <f t="shared" si="53"/>
        <v>56</v>
      </c>
      <c r="AM396" s="5">
        <f t="shared" si="54"/>
        <v>259205088132</v>
      </c>
      <c r="AN396" s="5">
        <f>$AL$4*$AL$3^AL396*$AL$2</f>
        <v>259205088131.94336</v>
      </c>
      <c r="AO396" s="5">
        <f>IF(AL396=AL397,1,LOOKUP(MOD(AL396,$AL$1),$AN$1:$AN$5,$AO$1:$AO$5))</f>
        <v>1</v>
      </c>
      <c r="AP396" s="5">
        <f t="shared" si="55"/>
        <v>78107133224</v>
      </c>
      <c r="AQ396" s="5">
        <f>AM396*$AR$3</f>
        <v>34560678417.599998</v>
      </c>
      <c r="AR396" s="5">
        <f>AM396*AL396*$AR$4</f>
        <v>43546454806.176003</v>
      </c>
      <c r="AS396" s="5">
        <f>SUM($AP$9:AP395)</f>
        <v>1835732421634</v>
      </c>
    </row>
    <row r="397" spans="1:45" x14ac:dyDescent="0.15">
      <c r="A397" s="5">
        <v>389</v>
      </c>
      <c r="J397" s="5">
        <f t="shared" si="48"/>
        <v>389</v>
      </c>
      <c r="K397" s="5">
        <f>SUM($AP$9:AP396)</f>
        <v>1913839554858</v>
      </c>
      <c r="L397" s="5">
        <f>LOOKUP(K397,AI:AI,AE:AE)</f>
        <v>396</v>
      </c>
      <c r="M397" s="5">
        <f>LOOKUP(L397,AE:AE,AG:AG)</f>
        <v>97422129335</v>
      </c>
      <c r="N397" s="5">
        <f>AM397/M397/$K$1</f>
        <v>1.7737591373494894</v>
      </c>
      <c r="O397" s="5">
        <f>SUM($N$9:N397)</f>
        <v>1363.6111985335642</v>
      </c>
      <c r="AE397" s="5">
        <f t="shared" si="49"/>
        <v>389</v>
      </c>
      <c r="AF397" s="5">
        <f t="shared" si="50"/>
        <v>68711572638</v>
      </c>
      <c r="AG397" s="5">
        <f t="shared" si="51"/>
        <v>68012218209</v>
      </c>
      <c r="AH397" s="5">
        <f>AG397*$AF$1</f>
        <v>680122182090</v>
      </c>
      <c r="AI397" s="5">
        <f>SUM($AF$9:AF396)</f>
        <v>1300799238059</v>
      </c>
      <c r="AK397" s="5">
        <f t="shared" si="52"/>
        <v>389</v>
      </c>
      <c r="AL397" s="5">
        <f t="shared" si="53"/>
        <v>56</v>
      </c>
      <c r="AM397" s="5">
        <f t="shared" si="54"/>
        <v>259205088132</v>
      </c>
      <c r="AN397" s="5">
        <f>$AL$4*$AL$3^AL397*$AL$2</f>
        <v>259205088131.94336</v>
      </c>
      <c r="AO397" s="5">
        <f>IF(AL397=AL398,1,LOOKUP(MOD(AL397,$AL$1),$AN$1:$AN$5,$AO$1:$AO$5))</f>
        <v>1</v>
      </c>
      <c r="AP397" s="5">
        <f t="shared" si="55"/>
        <v>78107133224</v>
      </c>
      <c r="AQ397" s="5">
        <f>AM397*$AR$3</f>
        <v>34560678417.599998</v>
      </c>
      <c r="AR397" s="5">
        <f>AM397*AL397*$AR$4</f>
        <v>43546454806.176003</v>
      </c>
      <c r="AS397" s="5">
        <f>SUM($AP$9:AP396)</f>
        <v>1913839554858</v>
      </c>
    </row>
    <row r="398" spans="1:45" x14ac:dyDescent="0.15">
      <c r="A398" s="5">
        <v>390</v>
      </c>
      <c r="J398" s="5">
        <f t="shared" si="48"/>
        <v>390</v>
      </c>
      <c r="K398" s="5">
        <f>SUM($AP$9:AP397)</f>
        <v>1991946688082</v>
      </c>
      <c r="L398" s="5">
        <f>LOOKUP(K398,AI:AI,AE:AE)</f>
        <v>397</v>
      </c>
      <c r="M398" s="5">
        <f>LOOKUP(L398,AE:AE,AG:AG)</f>
        <v>102551552053</v>
      </c>
      <c r="N398" s="5">
        <f>AM398/M398/$K$1</f>
        <v>1.6850392668722645</v>
      </c>
      <c r="O398" s="5">
        <f>SUM($N$9:N398)</f>
        <v>1365.2962378004365</v>
      </c>
      <c r="AE398" s="5">
        <f t="shared" si="49"/>
        <v>390</v>
      </c>
      <c r="AF398" s="5">
        <f t="shared" si="50"/>
        <v>72330731807</v>
      </c>
      <c r="AG398" s="5">
        <f t="shared" si="51"/>
        <v>71596409657</v>
      </c>
      <c r="AH398" s="5">
        <f>AG398*$AF$1</f>
        <v>715964096570</v>
      </c>
      <c r="AI398" s="5">
        <f>SUM($AF$9:AF397)</f>
        <v>1369510810697</v>
      </c>
      <c r="AK398" s="5">
        <f t="shared" si="52"/>
        <v>390</v>
      </c>
      <c r="AL398" s="5">
        <f t="shared" si="53"/>
        <v>56</v>
      </c>
      <c r="AM398" s="5">
        <f t="shared" si="54"/>
        <v>259205088132</v>
      </c>
      <c r="AN398" s="5">
        <f>$AL$4*$AL$3^AL398*$AL$2</f>
        <v>259205088131.94336</v>
      </c>
      <c r="AO398" s="5">
        <f>IF(AL398=AL399,1,LOOKUP(MOD(AL398,$AL$1),$AN$1:$AN$5,$AO$1:$AO$5))</f>
        <v>1</v>
      </c>
      <c r="AP398" s="5">
        <f t="shared" si="55"/>
        <v>78107133224</v>
      </c>
      <c r="AQ398" s="5">
        <f>AM398*$AR$3</f>
        <v>34560678417.599998</v>
      </c>
      <c r="AR398" s="5">
        <f>AM398*AL398*$AR$4</f>
        <v>43546454806.176003</v>
      </c>
      <c r="AS398" s="5">
        <f>SUM($AP$9:AP397)</f>
        <v>1991946688082</v>
      </c>
    </row>
    <row r="399" spans="1:45" x14ac:dyDescent="0.15">
      <c r="A399" s="5">
        <v>391</v>
      </c>
      <c r="J399" s="5">
        <f t="shared" si="48"/>
        <v>391</v>
      </c>
      <c r="K399" s="5">
        <f>SUM($AP$9:AP398)</f>
        <v>2070053821306</v>
      </c>
      <c r="L399" s="5">
        <f>LOOKUP(K399,AI:AI,AE:AE)</f>
        <v>398</v>
      </c>
      <c r="M399" s="5">
        <f>LOOKUP(L399,AE:AE,AG:AG)</f>
        <v>107950361721</v>
      </c>
      <c r="N399" s="5">
        <f>AM399/M399/$K$1</f>
        <v>1.6007671427226342</v>
      </c>
      <c r="O399" s="5">
        <f>SUM($N$9:N399)</f>
        <v>1366.8970049431591</v>
      </c>
      <c r="AE399" s="5">
        <f t="shared" si="49"/>
        <v>391</v>
      </c>
      <c r="AF399" s="5">
        <f t="shared" si="50"/>
        <v>76140027962</v>
      </c>
      <c r="AG399" s="5">
        <f t="shared" si="51"/>
        <v>75368989704</v>
      </c>
      <c r="AH399" s="5">
        <f>AG399*$AF$1</f>
        <v>753689897040</v>
      </c>
      <c r="AI399" s="5">
        <f>SUM($AF$9:AF398)</f>
        <v>1441841542504</v>
      </c>
      <c r="AK399" s="5">
        <f t="shared" si="52"/>
        <v>391</v>
      </c>
      <c r="AL399" s="5">
        <f t="shared" si="53"/>
        <v>56</v>
      </c>
      <c r="AM399" s="5">
        <f t="shared" si="54"/>
        <v>259205088132</v>
      </c>
      <c r="AN399" s="5">
        <f>$AL$4*$AL$3^AL399*$AL$2</f>
        <v>259205088131.94336</v>
      </c>
      <c r="AO399" s="5">
        <f>IF(AL399=AL400,1,LOOKUP(MOD(AL399,$AL$1),$AN$1:$AN$5,$AO$1:$AO$5))</f>
        <v>1</v>
      </c>
      <c r="AP399" s="5">
        <f t="shared" si="55"/>
        <v>78107133224</v>
      </c>
      <c r="AQ399" s="5">
        <f>AM399*$AR$3</f>
        <v>34560678417.599998</v>
      </c>
      <c r="AR399" s="5">
        <f>AM399*AL399*$AR$4</f>
        <v>43546454806.176003</v>
      </c>
      <c r="AS399" s="5">
        <f>SUM($AP$9:AP398)</f>
        <v>2070053821306</v>
      </c>
    </row>
    <row r="400" spans="1:45" x14ac:dyDescent="0.15">
      <c r="A400" s="5">
        <v>392</v>
      </c>
      <c r="J400" s="5">
        <f t="shared" si="48"/>
        <v>392</v>
      </c>
      <c r="K400" s="5">
        <f>SUM($AP$9:AP399)</f>
        <v>2148160954530</v>
      </c>
      <c r="L400" s="5">
        <f>LOOKUP(K400,AI:AI,AE:AE)</f>
        <v>398</v>
      </c>
      <c r="M400" s="5">
        <f>LOOKUP(L400,AE:AE,AG:AG)</f>
        <v>107950361721</v>
      </c>
      <c r="N400" s="5">
        <f>AM400/M400/$K$1</f>
        <v>16.007671427220167</v>
      </c>
      <c r="O400" s="5">
        <f>SUM($N$9:N400)</f>
        <v>1382.9046763703793</v>
      </c>
      <c r="AE400" s="5">
        <f t="shared" si="49"/>
        <v>392</v>
      </c>
      <c r="AF400" s="5">
        <f t="shared" si="50"/>
        <v>80149426903</v>
      </c>
      <c r="AG400" s="5">
        <f t="shared" si="51"/>
        <v>79339836732</v>
      </c>
      <c r="AH400" s="5">
        <f>AG400*$AF$1</f>
        <v>793398367320</v>
      </c>
      <c r="AI400" s="5">
        <f>SUM($AF$9:AF399)</f>
        <v>1517981570466</v>
      </c>
      <c r="AK400" s="5">
        <f t="shared" si="52"/>
        <v>392</v>
      </c>
      <c r="AL400" s="5">
        <f t="shared" si="53"/>
        <v>56</v>
      </c>
      <c r="AM400" s="5">
        <f t="shared" si="54"/>
        <v>2592050881319</v>
      </c>
      <c r="AN400" s="5">
        <f>$AL$4*$AL$3^AL400*$AL$2</f>
        <v>259205088131.94336</v>
      </c>
      <c r="AO400" s="5">
        <f>IF(AL400=AL401,1,LOOKUP(MOD(AL400,$AL$1),$AN$1:$AN$5,$AO$1:$AO$5))</f>
        <v>10</v>
      </c>
      <c r="AP400" s="5">
        <f t="shared" si="55"/>
        <v>781071332237</v>
      </c>
      <c r="AQ400" s="5">
        <f>AM400*$AR$3</f>
        <v>345606784175.86664</v>
      </c>
      <c r="AR400" s="5">
        <f>AM400*AL400*$AR$4</f>
        <v>435464548061.59198</v>
      </c>
      <c r="AS400" s="5">
        <f>SUM($AP$9:AP399)</f>
        <v>2148160954530</v>
      </c>
    </row>
    <row r="401" spans="1:45" x14ac:dyDescent="0.15">
      <c r="A401" s="5">
        <v>393</v>
      </c>
      <c r="J401" s="5">
        <f t="shared" si="48"/>
        <v>393</v>
      </c>
      <c r="K401" s="5">
        <f>SUM($AP$9:AP400)</f>
        <v>2929232286767</v>
      </c>
      <c r="L401" s="5">
        <f>LOOKUP(K401,AI:AI,AE:AE)</f>
        <v>404</v>
      </c>
      <c r="M401" s="5">
        <f>LOOKUP(L401,AE:AE,AG:AG)</f>
        <v>146844670590</v>
      </c>
      <c r="N401" s="5">
        <f>AM401/M401/$K$1</f>
        <v>1.8475394747930023</v>
      </c>
      <c r="O401" s="5">
        <f>SUM($N$9:N401)</f>
        <v>1384.7522158451723</v>
      </c>
      <c r="AE401" s="5">
        <f t="shared" si="49"/>
        <v>393</v>
      </c>
      <c r="AF401" s="5">
        <f t="shared" si="50"/>
        <v>84369415668</v>
      </c>
      <c r="AG401" s="5">
        <f t="shared" si="51"/>
        <v>83519345989</v>
      </c>
      <c r="AH401" s="5">
        <f>AG401*$AF$1</f>
        <v>835193459890</v>
      </c>
      <c r="AI401" s="5">
        <f>SUM($AF$9:AF400)</f>
        <v>1598130997369</v>
      </c>
      <c r="AK401" s="5">
        <f t="shared" si="52"/>
        <v>393</v>
      </c>
      <c r="AL401" s="5">
        <f t="shared" si="53"/>
        <v>57</v>
      </c>
      <c r="AM401" s="5">
        <f t="shared" si="54"/>
        <v>406951988367</v>
      </c>
      <c r="AN401" s="5">
        <f>$AL$4*$AL$3^AL401*$AL$2</f>
        <v>406951988367.15118</v>
      </c>
      <c r="AO401" s="5">
        <f>IF(AL401=AL402,1,LOOKUP(MOD(AL401,$AL$1),$AN$1:$AN$5,$AO$1:$AO$5))</f>
        <v>1</v>
      </c>
      <c r="AP401" s="5">
        <f t="shared" si="55"/>
        <v>123849055126</v>
      </c>
      <c r="AQ401" s="5">
        <f>AM401*$AR$3</f>
        <v>54260265115.599998</v>
      </c>
      <c r="AR401" s="5">
        <f>AM401*AL401*$AR$4</f>
        <v>69588790010.757004</v>
      </c>
      <c r="AS401" s="5">
        <f>SUM($AP$9:AP400)</f>
        <v>2929232286767</v>
      </c>
    </row>
    <row r="402" spans="1:45" x14ac:dyDescent="0.15">
      <c r="A402" s="5">
        <v>394</v>
      </c>
      <c r="J402" s="5">
        <f t="shared" si="48"/>
        <v>394</v>
      </c>
      <c r="K402" s="5">
        <f>SUM($AP$9:AP401)</f>
        <v>3053081341893</v>
      </c>
      <c r="L402" s="5">
        <f>LOOKUP(K402,AI:AI,AE:AE)</f>
        <v>405</v>
      </c>
      <c r="M402" s="5">
        <f>LOOKUP(L402,AE:AE,AG:AG)</f>
        <v>154568554872</v>
      </c>
      <c r="N402" s="5">
        <f>AM402/M402/$K$1</f>
        <v>1.755216808507188</v>
      </c>
      <c r="O402" s="5">
        <f>SUM($N$9:N402)</f>
        <v>1386.5074326536794</v>
      </c>
      <c r="AE402" s="5">
        <f t="shared" si="49"/>
        <v>394</v>
      </c>
      <c r="AF402" s="5">
        <f t="shared" si="50"/>
        <v>88811029742</v>
      </c>
      <c r="AG402" s="5">
        <f t="shared" si="51"/>
        <v>87918456579</v>
      </c>
      <c r="AH402" s="5">
        <f>AG402*$AF$1</f>
        <v>879184565790</v>
      </c>
      <c r="AI402" s="5">
        <f>SUM($AF$9:AF401)</f>
        <v>1682500413037</v>
      </c>
      <c r="AK402" s="5">
        <f t="shared" si="52"/>
        <v>394</v>
      </c>
      <c r="AL402" s="5">
        <f t="shared" si="53"/>
        <v>57</v>
      </c>
      <c r="AM402" s="5">
        <f t="shared" si="54"/>
        <v>406951988367</v>
      </c>
      <c r="AN402" s="5">
        <f>$AL$4*$AL$3^AL402*$AL$2</f>
        <v>406951988367.15118</v>
      </c>
      <c r="AO402" s="5">
        <f>IF(AL402=AL403,1,LOOKUP(MOD(AL402,$AL$1),$AN$1:$AN$5,$AO$1:$AO$5))</f>
        <v>1</v>
      </c>
      <c r="AP402" s="5">
        <f t="shared" si="55"/>
        <v>123849055126</v>
      </c>
      <c r="AQ402" s="5">
        <f>AM402*$AR$3</f>
        <v>54260265115.599998</v>
      </c>
      <c r="AR402" s="5">
        <f>AM402*AL402*$AR$4</f>
        <v>69588790010.757004</v>
      </c>
      <c r="AS402" s="5">
        <f>SUM($AP$9:AP401)</f>
        <v>3053081341893</v>
      </c>
    </row>
    <row r="403" spans="1:45" x14ac:dyDescent="0.15">
      <c r="A403" s="5">
        <v>395</v>
      </c>
      <c r="J403" s="5">
        <f t="shared" si="48"/>
        <v>395</v>
      </c>
      <c r="K403" s="5">
        <f>SUM($AP$9:AP402)</f>
        <v>3176930397019</v>
      </c>
      <c r="L403" s="5">
        <f>LOOKUP(K403,AI:AI,AE:AE)</f>
        <v>406</v>
      </c>
      <c r="M403" s="5">
        <f>LOOKUP(L403,AE:AE,AG:AG)</f>
        <v>162697715906</v>
      </c>
      <c r="N403" s="5">
        <f>AM403/M403/$K$1</f>
        <v>1.6675177279977715</v>
      </c>
      <c r="O403" s="5">
        <f>SUM($N$9:N403)</f>
        <v>1388.1749503816773</v>
      </c>
      <c r="AE403" s="5">
        <f t="shared" si="49"/>
        <v>395</v>
      </c>
      <c r="AF403" s="5">
        <f t="shared" si="50"/>
        <v>93485881685</v>
      </c>
      <c r="AG403" s="5">
        <f t="shared" si="51"/>
        <v>92548679863</v>
      </c>
      <c r="AH403" s="5">
        <f>AG403*$AF$1</f>
        <v>925486798630</v>
      </c>
      <c r="AI403" s="5">
        <f>SUM($AF$9:AF402)</f>
        <v>1771311442779</v>
      </c>
      <c r="AK403" s="5">
        <f t="shared" si="52"/>
        <v>395</v>
      </c>
      <c r="AL403" s="5">
        <f t="shared" si="53"/>
        <v>57</v>
      </c>
      <c r="AM403" s="5">
        <f t="shared" si="54"/>
        <v>406951988367</v>
      </c>
      <c r="AN403" s="5">
        <f>$AL$4*$AL$3^AL403*$AL$2</f>
        <v>406951988367.15118</v>
      </c>
      <c r="AO403" s="5">
        <f>IF(AL403=AL404,1,LOOKUP(MOD(AL403,$AL$1),$AN$1:$AN$5,$AO$1:$AO$5))</f>
        <v>1</v>
      </c>
      <c r="AP403" s="5">
        <f t="shared" si="55"/>
        <v>123849055126</v>
      </c>
      <c r="AQ403" s="5">
        <f>AM403*$AR$3</f>
        <v>54260265115.599998</v>
      </c>
      <c r="AR403" s="5">
        <f>AM403*AL403*$AR$4</f>
        <v>69588790010.757004</v>
      </c>
      <c r="AS403" s="5">
        <f>SUM($AP$9:AP402)</f>
        <v>3176930397019</v>
      </c>
    </row>
    <row r="404" spans="1:45" x14ac:dyDescent="0.15">
      <c r="A404" s="5">
        <v>396</v>
      </c>
      <c r="J404" s="5">
        <f t="shared" si="48"/>
        <v>396</v>
      </c>
      <c r="K404" s="5">
        <f>SUM($AP$9:AP403)</f>
        <v>3300779452145</v>
      </c>
      <c r="L404" s="5">
        <f>LOOKUP(K404,AI:AI,AE:AE)</f>
        <v>407</v>
      </c>
      <c r="M404" s="5">
        <f>LOOKUP(L404,AE:AE,AG:AG)</f>
        <v>171253371657</v>
      </c>
      <c r="N404" s="5">
        <f>AM404/M404/$K$1</f>
        <v>1.5842101265099997</v>
      </c>
      <c r="O404" s="5">
        <f>SUM($N$9:N404)</f>
        <v>1389.7591605081873</v>
      </c>
      <c r="AE404" s="5">
        <f t="shared" si="49"/>
        <v>396</v>
      </c>
      <c r="AF404" s="5">
        <f t="shared" si="50"/>
        <v>98406191247</v>
      </c>
      <c r="AG404" s="5">
        <f t="shared" si="51"/>
        <v>97422129335</v>
      </c>
      <c r="AH404" s="5">
        <f>AG404*$AF$1</f>
        <v>974221293350</v>
      </c>
      <c r="AI404" s="5">
        <f>SUM($AF$9:AF403)</f>
        <v>1864797324464</v>
      </c>
      <c r="AK404" s="5">
        <f t="shared" si="52"/>
        <v>396</v>
      </c>
      <c r="AL404" s="5">
        <f t="shared" si="53"/>
        <v>57</v>
      </c>
      <c r="AM404" s="5">
        <f t="shared" si="54"/>
        <v>406951988367</v>
      </c>
      <c r="AN404" s="5">
        <f>$AL$4*$AL$3^AL404*$AL$2</f>
        <v>406951988367.15118</v>
      </c>
      <c r="AO404" s="5">
        <f>IF(AL404=AL405,1,LOOKUP(MOD(AL404,$AL$1),$AN$1:$AN$5,$AO$1:$AO$5))</f>
        <v>1</v>
      </c>
      <c r="AP404" s="5">
        <f t="shared" si="55"/>
        <v>123849055126</v>
      </c>
      <c r="AQ404" s="5">
        <f>AM404*$AR$3</f>
        <v>54260265115.599998</v>
      </c>
      <c r="AR404" s="5">
        <f>AM404*AL404*$AR$4</f>
        <v>69588790010.757004</v>
      </c>
      <c r="AS404" s="5">
        <f>SUM($AP$9:AP403)</f>
        <v>3300779452145</v>
      </c>
    </row>
    <row r="405" spans="1:45" x14ac:dyDescent="0.15">
      <c r="A405" s="5">
        <v>397</v>
      </c>
      <c r="J405" s="5">
        <f t="shared" si="48"/>
        <v>397</v>
      </c>
      <c r="K405" s="5">
        <f>SUM($AP$9:AP404)</f>
        <v>3424628507271</v>
      </c>
      <c r="L405" s="5">
        <f>LOOKUP(K405,AI:AI,AE:AE)</f>
        <v>407</v>
      </c>
      <c r="M405" s="5">
        <f>LOOKUP(L405,AE:AE,AG:AG)</f>
        <v>171253371657</v>
      </c>
      <c r="N405" s="5">
        <f>AM405/M405/$K$1</f>
        <v>1.5842101265099997</v>
      </c>
      <c r="O405" s="5">
        <f>SUM($N$9:N405)</f>
        <v>1391.3433706346973</v>
      </c>
      <c r="AE405" s="5">
        <f t="shared" si="49"/>
        <v>397</v>
      </c>
      <c r="AF405" s="5">
        <f t="shared" si="50"/>
        <v>103584817061</v>
      </c>
      <c r="AG405" s="5">
        <f t="shared" si="51"/>
        <v>102551552053</v>
      </c>
      <c r="AH405" s="5">
        <f>AG405*$AF$1</f>
        <v>1025515520530</v>
      </c>
      <c r="AI405" s="5">
        <f>SUM($AF$9:AF404)</f>
        <v>1963203515711</v>
      </c>
      <c r="AK405" s="5">
        <f t="shared" si="52"/>
        <v>397</v>
      </c>
      <c r="AL405" s="5">
        <f t="shared" si="53"/>
        <v>57</v>
      </c>
      <c r="AM405" s="5">
        <f t="shared" si="54"/>
        <v>406951988367</v>
      </c>
      <c r="AN405" s="5">
        <f>$AL$4*$AL$3^AL405*$AL$2</f>
        <v>406951988367.15118</v>
      </c>
      <c r="AO405" s="5">
        <f>IF(AL405=AL406,1,LOOKUP(MOD(AL405,$AL$1),$AN$1:$AN$5,$AO$1:$AO$5))</f>
        <v>1</v>
      </c>
      <c r="AP405" s="5">
        <f t="shared" si="55"/>
        <v>123849055126</v>
      </c>
      <c r="AQ405" s="5">
        <f>AM405*$AR$3</f>
        <v>54260265115.599998</v>
      </c>
      <c r="AR405" s="5">
        <f>AM405*AL405*$AR$4</f>
        <v>69588790010.757004</v>
      </c>
      <c r="AS405" s="5">
        <f>SUM($AP$9:AP404)</f>
        <v>3424628507271</v>
      </c>
    </row>
    <row r="406" spans="1:45" x14ac:dyDescent="0.15">
      <c r="A406" s="5">
        <v>398</v>
      </c>
      <c r="J406" s="5">
        <f t="shared" si="48"/>
        <v>398</v>
      </c>
      <c r="K406" s="5">
        <f>SUM($AP$9:AP405)</f>
        <v>3548477562397</v>
      </c>
      <c r="L406" s="5">
        <f>LOOKUP(K406,AI:AI,AE:AE)</f>
        <v>408</v>
      </c>
      <c r="M406" s="5">
        <f>LOOKUP(L406,AE:AE,AG:AG)</f>
        <v>180257848692</v>
      </c>
      <c r="N406" s="5">
        <f>AM406/M406/$K$1</f>
        <v>1.5050735795785661</v>
      </c>
      <c r="O406" s="5">
        <f>SUM($N$9:N406)</f>
        <v>1392.8484442142758</v>
      </c>
      <c r="AE406" s="5">
        <f t="shared" si="49"/>
        <v>398</v>
      </c>
      <c r="AF406" s="5">
        <f t="shared" si="50"/>
        <v>109035289979</v>
      </c>
      <c r="AG406" s="5">
        <f t="shared" si="51"/>
        <v>107950361721</v>
      </c>
      <c r="AH406" s="5">
        <f>AG406*$AF$1</f>
        <v>1079503617210</v>
      </c>
      <c r="AI406" s="5">
        <f>SUM($AF$9:AF405)</f>
        <v>2066788332772</v>
      </c>
      <c r="AK406" s="5">
        <f t="shared" si="52"/>
        <v>398</v>
      </c>
      <c r="AL406" s="5">
        <f t="shared" si="53"/>
        <v>57</v>
      </c>
      <c r="AM406" s="5">
        <f t="shared" si="54"/>
        <v>406951988367</v>
      </c>
      <c r="AN406" s="5">
        <f>$AL$4*$AL$3^AL406*$AL$2</f>
        <v>406951988367.15118</v>
      </c>
      <c r="AO406" s="5">
        <f>IF(AL406=AL407,1,LOOKUP(MOD(AL406,$AL$1),$AN$1:$AN$5,$AO$1:$AO$5))</f>
        <v>1</v>
      </c>
      <c r="AP406" s="5">
        <f t="shared" si="55"/>
        <v>123849055126</v>
      </c>
      <c r="AQ406" s="5">
        <f>AM406*$AR$3</f>
        <v>54260265115.599998</v>
      </c>
      <c r="AR406" s="5">
        <f>AM406*AL406*$AR$4</f>
        <v>69588790010.757004</v>
      </c>
      <c r="AS406" s="5">
        <f>SUM($AP$9:AP405)</f>
        <v>3548477562397</v>
      </c>
    </row>
    <row r="407" spans="1:45" x14ac:dyDescent="0.15">
      <c r="A407" s="5">
        <v>399</v>
      </c>
      <c r="J407" s="5">
        <f t="shared" si="48"/>
        <v>399</v>
      </c>
      <c r="K407" s="5">
        <f>SUM($AP$9:AP406)</f>
        <v>3672326617523</v>
      </c>
      <c r="L407" s="5">
        <f>LOOKUP(K407,AI:AI,AE:AE)</f>
        <v>409</v>
      </c>
      <c r="M407" s="5">
        <f>LOOKUP(L407,AE:AE,AG:AG)</f>
        <v>189734640002</v>
      </c>
      <c r="N407" s="5">
        <f>AM407/M407/$K$1</f>
        <v>2.8597975106194653</v>
      </c>
      <c r="O407" s="5">
        <f>SUM($N$9:N407)</f>
        <v>1395.7082417248953</v>
      </c>
      <c r="AE407" s="5">
        <f t="shared" si="49"/>
        <v>399</v>
      </c>
      <c r="AF407" s="5">
        <f t="shared" si="50"/>
        <v>114771848146</v>
      </c>
      <c r="AG407" s="5">
        <f t="shared" si="51"/>
        <v>113632673475</v>
      </c>
      <c r="AH407" s="5">
        <f>AG407*$AF$1</f>
        <v>1136326734750</v>
      </c>
      <c r="AI407" s="5">
        <f>SUM($AF$9:AF406)</f>
        <v>2175823622751</v>
      </c>
      <c r="AK407" s="5">
        <f t="shared" si="52"/>
        <v>399</v>
      </c>
      <c r="AL407" s="5">
        <f t="shared" si="53"/>
        <v>57</v>
      </c>
      <c r="AM407" s="5">
        <f t="shared" si="54"/>
        <v>813903976734</v>
      </c>
      <c r="AN407" s="5">
        <f>$AL$4*$AL$3^AL407*$AL$2</f>
        <v>406951988367.15118</v>
      </c>
      <c r="AO407" s="5">
        <f>IF(AL407=AL408,1,LOOKUP(MOD(AL407,$AL$1),$AN$1:$AN$5,$AO$1:$AO$5))</f>
        <v>2</v>
      </c>
      <c r="AP407" s="5">
        <f t="shared" si="55"/>
        <v>247698110253</v>
      </c>
      <c r="AQ407" s="5">
        <f>AM407*$AR$3</f>
        <v>108520530231.2</v>
      </c>
      <c r="AR407" s="5">
        <f>AM407*AL407*$AR$4</f>
        <v>139177580021.51401</v>
      </c>
      <c r="AS407" s="5">
        <f>SUM($AP$9:AP406)</f>
        <v>3672326617523</v>
      </c>
    </row>
    <row r="408" spans="1:45" x14ac:dyDescent="0.15">
      <c r="A408" s="5">
        <v>400</v>
      </c>
      <c r="J408" s="5">
        <f t="shared" si="48"/>
        <v>400</v>
      </c>
      <c r="K408" s="5">
        <f>SUM($AP$9:AP407)</f>
        <v>3920024727776</v>
      </c>
      <c r="L408" s="5">
        <f>LOOKUP(K408,AI:AI,AE:AE)</f>
        <v>410</v>
      </c>
      <c r="M408" s="5">
        <f>LOOKUP(L408,AE:AE,AG:AG)</f>
        <v>199708465821</v>
      </c>
      <c r="N408" s="5">
        <f>AM408/M408/$K$1</f>
        <v>2.1328243617829847</v>
      </c>
      <c r="O408" s="5">
        <f>SUM($N$9:N408)</f>
        <v>1397.8410660866782</v>
      </c>
      <c r="AE408" s="5">
        <f t="shared" si="49"/>
        <v>400</v>
      </c>
      <c r="AF408" s="5">
        <f t="shared" si="50"/>
        <v>120809473905</v>
      </c>
      <c r="AG408" s="5">
        <f t="shared" si="51"/>
        <v>119613340500</v>
      </c>
      <c r="AH408" s="5">
        <f>AG408*$AF$1</f>
        <v>1196133405000</v>
      </c>
      <c r="AI408" s="5">
        <f>SUM($AF$9:AF407)</f>
        <v>2290595470897</v>
      </c>
      <c r="AK408" s="5">
        <f t="shared" si="52"/>
        <v>400</v>
      </c>
      <c r="AL408" s="5">
        <f t="shared" si="53"/>
        <v>58</v>
      </c>
      <c r="AM408" s="5">
        <f t="shared" si="54"/>
        <v>638914621736</v>
      </c>
      <c r="AN408" s="5">
        <f>$AL$4*$AL$3^AL408*$AL$2</f>
        <v>638914621736.42725</v>
      </c>
      <c r="AO408" s="5">
        <f>IF(AL408=AL409,1,LOOKUP(MOD(AL408,$AL$1),$AN$1:$AN$5,$AO$1:$AO$5))</f>
        <v>1</v>
      </c>
      <c r="AP408" s="5">
        <f t="shared" si="55"/>
        <v>196359760414</v>
      </c>
      <c r="AQ408" s="5">
        <f>AM408*$AR$3</f>
        <v>85188616231.46666</v>
      </c>
      <c r="AR408" s="5">
        <f>AM408*AL408*$AR$4</f>
        <v>111171144182.064</v>
      </c>
      <c r="AS408" s="5">
        <f>SUM($AP$9:AP407)</f>
        <v>3920024727776</v>
      </c>
    </row>
    <row r="409" spans="1:45" x14ac:dyDescent="0.15">
      <c r="A409" s="5">
        <v>401</v>
      </c>
      <c r="J409" s="5">
        <f t="shared" si="48"/>
        <v>401</v>
      </c>
      <c r="K409" s="5">
        <f>SUM($AP$9:AP408)</f>
        <v>4116384488190</v>
      </c>
      <c r="L409" s="5">
        <f>LOOKUP(K409,AI:AI,AE:AE)</f>
        <v>411</v>
      </c>
      <c r="M409" s="5">
        <f>LOOKUP(L409,AE:AE,AG:AG)</f>
        <v>210205337622</v>
      </c>
      <c r="N409" s="5">
        <f>AM409/M409/$K$1</f>
        <v>2.0263190553385564</v>
      </c>
      <c r="O409" s="5">
        <f>SUM($N$9:N409)</f>
        <v>1399.8673851420167</v>
      </c>
      <c r="AE409" s="5">
        <f t="shared" si="49"/>
        <v>401</v>
      </c>
      <c r="AF409" s="5">
        <f t="shared" si="50"/>
        <v>127163932619</v>
      </c>
      <c r="AG409" s="5">
        <f t="shared" si="51"/>
        <v>125907992543</v>
      </c>
      <c r="AH409" s="5">
        <f>AG409*$AF$1</f>
        <v>1259079925430</v>
      </c>
      <c r="AI409" s="5">
        <f>SUM($AF$9:AF408)</f>
        <v>2411404944802</v>
      </c>
      <c r="AK409" s="5">
        <f t="shared" si="52"/>
        <v>401</v>
      </c>
      <c r="AL409" s="5">
        <f t="shared" si="53"/>
        <v>58</v>
      </c>
      <c r="AM409" s="5">
        <f t="shared" si="54"/>
        <v>638914621736</v>
      </c>
      <c r="AN409" s="5">
        <f>$AL$4*$AL$3^AL409*$AL$2</f>
        <v>638914621736.42725</v>
      </c>
      <c r="AO409" s="5">
        <f>IF(AL409=AL410,1,LOOKUP(MOD(AL409,$AL$1),$AN$1:$AN$5,$AO$1:$AO$5))</f>
        <v>1</v>
      </c>
      <c r="AP409" s="5">
        <f t="shared" si="55"/>
        <v>196359760414</v>
      </c>
      <c r="AQ409" s="5">
        <f>AM409*$AR$3</f>
        <v>85188616231.46666</v>
      </c>
      <c r="AR409" s="5">
        <f>AM409*AL409*$AR$4</f>
        <v>111171144182.064</v>
      </c>
      <c r="AS409" s="5">
        <f>SUM($AP$9:AP408)</f>
        <v>4116384488190</v>
      </c>
    </row>
    <row r="410" spans="1:45" x14ac:dyDescent="0.15">
      <c r="A410" s="5">
        <v>402</v>
      </c>
      <c r="J410" s="5">
        <f t="shared" si="48"/>
        <v>402</v>
      </c>
      <c r="K410" s="5">
        <f>SUM($AP$9:AP409)</f>
        <v>4312744248604</v>
      </c>
      <c r="L410" s="5">
        <f>LOOKUP(K410,AI:AI,AE:AE)</f>
        <v>412</v>
      </c>
      <c r="M410" s="5">
        <f>LOOKUP(L410,AE:AE,AG:AG)</f>
        <v>221252625439</v>
      </c>
      <c r="N410" s="5">
        <f>AM410/M410/$K$1</f>
        <v>1.9251436240008237</v>
      </c>
      <c r="O410" s="5">
        <f>SUM($N$9:N410)</f>
        <v>1401.7925287660175</v>
      </c>
      <c r="AE410" s="5">
        <f t="shared" si="49"/>
        <v>402</v>
      </c>
      <c r="AF410" s="5">
        <f t="shared" si="50"/>
        <v>133851813519</v>
      </c>
      <c r="AG410" s="5">
        <f t="shared" si="51"/>
        <v>132533076440</v>
      </c>
      <c r="AH410" s="5">
        <f>AG410*$AF$1</f>
        <v>1325330764400</v>
      </c>
      <c r="AI410" s="5">
        <f>SUM($AF$9:AF409)</f>
        <v>2538568877421</v>
      </c>
      <c r="AK410" s="5">
        <f t="shared" si="52"/>
        <v>402</v>
      </c>
      <c r="AL410" s="5">
        <f t="shared" si="53"/>
        <v>58</v>
      </c>
      <c r="AM410" s="5">
        <f t="shared" si="54"/>
        <v>638914621736</v>
      </c>
      <c r="AN410" s="5">
        <f>$AL$4*$AL$3^AL410*$AL$2</f>
        <v>638914621736.42725</v>
      </c>
      <c r="AO410" s="5">
        <f>IF(AL410=AL411,1,LOOKUP(MOD(AL410,$AL$1),$AN$1:$AN$5,$AO$1:$AO$5))</f>
        <v>1</v>
      </c>
      <c r="AP410" s="5">
        <f t="shared" si="55"/>
        <v>196359760414</v>
      </c>
      <c r="AQ410" s="5">
        <f>AM410*$AR$3</f>
        <v>85188616231.46666</v>
      </c>
      <c r="AR410" s="5">
        <f>AM410*AL410*$AR$4</f>
        <v>111171144182.064</v>
      </c>
      <c r="AS410" s="5">
        <f>SUM($AP$9:AP409)</f>
        <v>4312744248604</v>
      </c>
    </row>
    <row r="411" spans="1:45" x14ac:dyDescent="0.15">
      <c r="A411" s="5">
        <v>403</v>
      </c>
      <c r="J411" s="5">
        <f t="shared" si="48"/>
        <v>403</v>
      </c>
      <c r="K411" s="5">
        <f>SUM($AP$9:AP410)</f>
        <v>4509104009018</v>
      </c>
      <c r="L411" s="5">
        <f>LOOKUP(K411,AI:AI,AE:AE)</f>
        <v>413</v>
      </c>
      <c r="M411" s="5">
        <f>LOOKUP(L411,AE:AE,AG:AG)</f>
        <v>232879128693</v>
      </c>
      <c r="N411" s="5">
        <f>AM411/M411/$K$1</f>
        <v>1.82903072313898</v>
      </c>
      <c r="O411" s="5">
        <f>SUM($N$9:N411)</f>
        <v>1403.6215594891564</v>
      </c>
      <c r="AE411" s="5">
        <f t="shared" si="49"/>
        <v>403</v>
      </c>
      <c r="AF411" s="5">
        <f t="shared" si="50"/>
        <v>140890572678</v>
      </c>
      <c r="AG411" s="5">
        <f t="shared" si="51"/>
        <v>139505898745</v>
      </c>
      <c r="AH411" s="5">
        <f>AG411*$AF$1</f>
        <v>1395058987450</v>
      </c>
      <c r="AI411" s="5">
        <f>SUM($AF$9:AF410)</f>
        <v>2672420690940</v>
      </c>
      <c r="AK411" s="5">
        <f t="shared" si="52"/>
        <v>403</v>
      </c>
      <c r="AL411" s="5">
        <f t="shared" si="53"/>
        <v>58</v>
      </c>
      <c r="AM411" s="5">
        <f t="shared" si="54"/>
        <v>638914621736</v>
      </c>
      <c r="AN411" s="5">
        <f>$AL$4*$AL$3^AL411*$AL$2</f>
        <v>638914621736.42725</v>
      </c>
      <c r="AO411" s="5">
        <f>IF(AL411=AL412,1,LOOKUP(MOD(AL411,$AL$1),$AN$1:$AN$5,$AO$1:$AO$5))</f>
        <v>1</v>
      </c>
      <c r="AP411" s="5">
        <f t="shared" si="55"/>
        <v>196359760414</v>
      </c>
      <c r="AQ411" s="5">
        <f>AM411*$AR$3</f>
        <v>85188616231.46666</v>
      </c>
      <c r="AR411" s="5">
        <f>AM411*AL411*$AR$4</f>
        <v>111171144182.064</v>
      </c>
      <c r="AS411" s="5">
        <f>SUM($AP$9:AP410)</f>
        <v>4509104009018</v>
      </c>
    </row>
    <row r="412" spans="1:45" x14ac:dyDescent="0.15">
      <c r="A412" s="5">
        <v>404</v>
      </c>
      <c r="J412" s="5">
        <f t="shared" si="48"/>
        <v>404</v>
      </c>
      <c r="K412" s="5">
        <f>SUM($AP$9:AP411)</f>
        <v>4705463769432</v>
      </c>
      <c r="L412" s="5">
        <f>LOOKUP(K412,AI:AI,AE:AE)</f>
        <v>414</v>
      </c>
      <c r="M412" s="5">
        <f>LOOKUP(L412,AE:AE,AG:AG)</f>
        <v>245115150709</v>
      </c>
      <c r="N412" s="5">
        <f>AM412/M412/$K$1</f>
        <v>1.7377264519361013</v>
      </c>
      <c r="O412" s="5">
        <f>SUM($N$9:N412)</f>
        <v>1405.3592859410926</v>
      </c>
      <c r="AE412" s="5">
        <f t="shared" si="49"/>
        <v>404</v>
      </c>
      <c r="AF412" s="5">
        <f t="shared" si="50"/>
        <v>148298578220</v>
      </c>
      <c r="AG412" s="5">
        <f t="shared" si="51"/>
        <v>146844670590</v>
      </c>
      <c r="AH412" s="5">
        <f>AG412*$AF$1</f>
        <v>1468446705900</v>
      </c>
      <c r="AI412" s="5">
        <f>SUM($AF$9:AF411)</f>
        <v>2813311263618</v>
      </c>
      <c r="AK412" s="5">
        <f t="shared" si="52"/>
        <v>404</v>
      </c>
      <c r="AL412" s="5">
        <f t="shared" si="53"/>
        <v>58</v>
      </c>
      <c r="AM412" s="5">
        <f t="shared" si="54"/>
        <v>638914621736</v>
      </c>
      <c r="AN412" s="5">
        <f>$AL$4*$AL$3^AL412*$AL$2</f>
        <v>638914621736.42725</v>
      </c>
      <c r="AO412" s="5">
        <f>IF(AL412=AL413,1,LOOKUP(MOD(AL412,$AL$1),$AN$1:$AN$5,$AO$1:$AO$5))</f>
        <v>1</v>
      </c>
      <c r="AP412" s="5">
        <f t="shared" si="55"/>
        <v>196359760414</v>
      </c>
      <c r="AQ412" s="5">
        <f>AM412*$AR$3</f>
        <v>85188616231.46666</v>
      </c>
      <c r="AR412" s="5">
        <f>AM412*AL412*$AR$4</f>
        <v>111171144182.064</v>
      </c>
      <c r="AS412" s="5">
        <f>SUM($AP$9:AP411)</f>
        <v>4705463769432</v>
      </c>
    </row>
    <row r="413" spans="1:45" x14ac:dyDescent="0.15">
      <c r="A413" s="5">
        <v>405</v>
      </c>
      <c r="J413" s="5">
        <f t="shared" si="48"/>
        <v>405</v>
      </c>
      <c r="K413" s="5">
        <f>SUM($AP$9:AP412)</f>
        <v>4901823529846</v>
      </c>
      <c r="L413" s="5">
        <f>LOOKUP(K413,AI:AI,AE:AE)</f>
        <v>414</v>
      </c>
      <c r="M413" s="5">
        <f>LOOKUP(L413,AE:AE,AG:AG)</f>
        <v>245115150709</v>
      </c>
      <c r="N413" s="5">
        <f>AM413/M413/$K$1</f>
        <v>1.7377264519361013</v>
      </c>
      <c r="O413" s="5">
        <f>SUM($N$9:N413)</f>
        <v>1407.0970123930288</v>
      </c>
      <c r="AE413" s="5">
        <f t="shared" si="49"/>
        <v>405</v>
      </c>
      <c r="AF413" s="5">
        <f t="shared" si="50"/>
        <v>156095157884</v>
      </c>
      <c r="AG413" s="5">
        <f t="shared" si="51"/>
        <v>154568554872</v>
      </c>
      <c r="AH413" s="5">
        <f>AG413*$AF$1</f>
        <v>1545685548720</v>
      </c>
      <c r="AI413" s="5">
        <f>SUM($AF$9:AF412)</f>
        <v>2961609841838</v>
      </c>
      <c r="AK413" s="5">
        <f t="shared" si="52"/>
        <v>405</v>
      </c>
      <c r="AL413" s="5">
        <f t="shared" si="53"/>
        <v>58</v>
      </c>
      <c r="AM413" s="5">
        <f t="shared" si="54"/>
        <v>638914621736</v>
      </c>
      <c r="AN413" s="5">
        <f>$AL$4*$AL$3^AL413*$AL$2</f>
        <v>638914621736.42725</v>
      </c>
      <c r="AO413" s="5">
        <f>IF(AL413=AL414,1,LOOKUP(MOD(AL413,$AL$1),$AN$1:$AN$5,$AO$1:$AO$5))</f>
        <v>1</v>
      </c>
      <c r="AP413" s="5">
        <f t="shared" si="55"/>
        <v>196359760414</v>
      </c>
      <c r="AQ413" s="5">
        <f>AM413*$AR$3</f>
        <v>85188616231.46666</v>
      </c>
      <c r="AR413" s="5">
        <f>AM413*AL413*$AR$4</f>
        <v>111171144182.064</v>
      </c>
      <c r="AS413" s="5">
        <f>SUM($AP$9:AP412)</f>
        <v>4901823529846</v>
      </c>
    </row>
    <row r="414" spans="1:45" x14ac:dyDescent="0.15">
      <c r="A414" s="5">
        <v>406</v>
      </c>
      <c r="J414" s="5">
        <f t="shared" si="48"/>
        <v>406</v>
      </c>
      <c r="K414" s="5">
        <f>SUM($AP$9:AP413)</f>
        <v>5098183290260</v>
      </c>
      <c r="L414" s="5">
        <f>LOOKUP(K414,AI:AI,AE:AE)</f>
        <v>415</v>
      </c>
      <c r="M414" s="5">
        <f>LOOKUP(L414,AE:AE,AG:AG)</f>
        <v>257992577105</v>
      </c>
      <c r="N414" s="5">
        <f>AM414/M414/$K$1</f>
        <v>6.6039587020259534</v>
      </c>
      <c r="O414" s="5">
        <f>SUM($N$9:N414)</f>
        <v>1413.7009710950547</v>
      </c>
      <c r="AE414" s="5">
        <f t="shared" si="49"/>
        <v>406</v>
      </c>
      <c r="AF414" s="5">
        <f t="shared" si="50"/>
        <v>164300649068</v>
      </c>
      <c r="AG414" s="5">
        <f t="shared" si="51"/>
        <v>162697715906</v>
      </c>
      <c r="AH414" s="5">
        <f>AG414*$AF$1</f>
        <v>1626977159060</v>
      </c>
      <c r="AI414" s="5">
        <f>SUM($AF$9:AF413)</f>
        <v>3117704999722</v>
      </c>
      <c r="AK414" s="5">
        <f t="shared" si="52"/>
        <v>406</v>
      </c>
      <c r="AL414" s="5">
        <f t="shared" si="53"/>
        <v>58</v>
      </c>
      <c r="AM414" s="5">
        <f t="shared" si="54"/>
        <v>2555658486946</v>
      </c>
      <c r="AN414" s="5">
        <f>$AL$4*$AL$3^AL414*$AL$2</f>
        <v>638914621736.42725</v>
      </c>
      <c r="AO414" s="5">
        <f>IF(AL414=AL415,1,LOOKUP(MOD(AL414,$AL$1),$AN$1:$AN$5,$AO$1:$AO$5))</f>
        <v>4</v>
      </c>
      <c r="AP414" s="5">
        <f t="shared" si="55"/>
        <v>785439041655</v>
      </c>
      <c r="AQ414" s="5">
        <f>AM414*$AR$3</f>
        <v>340754464926.1333</v>
      </c>
      <c r="AR414" s="5">
        <f>AM414*AL414*$AR$4</f>
        <v>444684576728.604</v>
      </c>
      <c r="AS414" s="5">
        <f>SUM($AP$9:AP413)</f>
        <v>5098183290260</v>
      </c>
    </row>
    <row r="415" spans="1:45" x14ac:dyDescent="0.15">
      <c r="A415" s="5">
        <v>407</v>
      </c>
      <c r="J415" s="5">
        <f t="shared" si="48"/>
        <v>407</v>
      </c>
      <c r="K415" s="5">
        <f>SUM($AP$9:AP414)</f>
        <v>5883622331915</v>
      </c>
      <c r="L415" s="5">
        <f>LOOKUP(K415,AI:AI,AE:AE)</f>
        <v>418</v>
      </c>
      <c r="M415" s="5">
        <f>LOOKUP(L415,AE:AE,AG:AG)</f>
        <v>300817635316</v>
      </c>
      <c r="N415" s="5">
        <f>AM415/M415/$K$1</f>
        <v>2.2230433289419738</v>
      </c>
      <c r="O415" s="5">
        <f>SUM($N$9:N415)</f>
        <v>1415.9240144239966</v>
      </c>
      <c r="AE415" s="5">
        <f t="shared" si="49"/>
        <v>407</v>
      </c>
      <c r="AF415" s="5">
        <f t="shared" si="50"/>
        <v>172936451476</v>
      </c>
      <c r="AG415" s="5">
        <f t="shared" si="51"/>
        <v>171253371657</v>
      </c>
      <c r="AH415" s="5">
        <f>AG415*$AF$1</f>
        <v>1712533716570</v>
      </c>
      <c r="AI415" s="5">
        <f>SUM($AF$9:AF414)</f>
        <v>3282005648790</v>
      </c>
      <c r="AK415" s="5">
        <f t="shared" si="52"/>
        <v>407</v>
      </c>
      <c r="AL415" s="5">
        <f t="shared" si="53"/>
        <v>59</v>
      </c>
      <c r="AM415" s="5">
        <f t="shared" si="54"/>
        <v>1003095956126</v>
      </c>
      <c r="AN415" s="5">
        <f>$AL$4*$AL$3^AL415*$AL$2</f>
        <v>1003095956126.1908</v>
      </c>
      <c r="AO415" s="5">
        <f>IF(AL415=AL416,1,LOOKUP(MOD(AL415,$AL$1),$AN$1:$AN$5,$AO$1:$AO$5))</f>
        <v>1</v>
      </c>
      <c r="AP415" s="5">
        <f t="shared" si="55"/>
        <v>311294111718</v>
      </c>
      <c r="AQ415" s="5">
        <f>AM415*$AR$3</f>
        <v>133746127483.46666</v>
      </c>
      <c r="AR415" s="5">
        <f>AM415*AL415*$AR$4</f>
        <v>177547984234.302</v>
      </c>
      <c r="AS415" s="5">
        <f>SUM($AP$9:AP414)</f>
        <v>5883622331915</v>
      </c>
    </row>
    <row r="416" spans="1:45" x14ac:dyDescent="0.15">
      <c r="A416" s="5">
        <v>408</v>
      </c>
      <c r="J416" s="5">
        <f t="shared" si="48"/>
        <v>408</v>
      </c>
      <c r="K416" s="5">
        <f>SUM($AP$9:AP415)</f>
        <v>6194916443633</v>
      </c>
      <c r="L416" s="5">
        <f>LOOKUP(K416,AI:AI,AE:AE)</f>
        <v>419</v>
      </c>
      <c r="M416" s="5">
        <f>LOOKUP(L416,AE:AE,AG:AG)</f>
        <v>316614159467</v>
      </c>
      <c r="N416" s="5">
        <f>AM416/M416/$K$1</f>
        <v>2.1121311774024867</v>
      </c>
      <c r="O416" s="5">
        <f>SUM($N$9:N416)</f>
        <v>1418.0361456013991</v>
      </c>
      <c r="AE416" s="5">
        <f t="shared" si="49"/>
        <v>408</v>
      </c>
      <c r="AF416" s="5">
        <f t="shared" si="50"/>
        <v>182025082503</v>
      </c>
      <c r="AG416" s="5">
        <f t="shared" si="51"/>
        <v>180257848692</v>
      </c>
      <c r="AH416" s="5">
        <f>AG416*$AF$1</f>
        <v>1802578486920</v>
      </c>
      <c r="AI416" s="5">
        <f>SUM($AF$9:AF415)</f>
        <v>3454942100266</v>
      </c>
      <c r="AK416" s="5">
        <f t="shared" si="52"/>
        <v>408</v>
      </c>
      <c r="AL416" s="5">
        <f t="shared" si="53"/>
        <v>59</v>
      </c>
      <c r="AM416" s="5">
        <f t="shared" si="54"/>
        <v>1003095956126</v>
      </c>
      <c r="AN416" s="5">
        <f>$AL$4*$AL$3^AL416*$AL$2</f>
        <v>1003095956126.1908</v>
      </c>
      <c r="AO416" s="5">
        <f>IF(AL416=AL417,1,LOOKUP(MOD(AL416,$AL$1),$AN$1:$AN$5,$AO$1:$AO$5))</f>
        <v>1</v>
      </c>
      <c r="AP416" s="5">
        <f t="shared" si="55"/>
        <v>311294111718</v>
      </c>
      <c r="AQ416" s="5">
        <f>AM416*$AR$3</f>
        <v>133746127483.46666</v>
      </c>
      <c r="AR416" s="5">
        <f>AM416*AL416*$AR$4</f>
        <v>177547984234.302</v>
      </c>
      <c r="AS416" s="5">
        <f>SUM($AP$9:AP415)</f>
        <v>6194916443633</v>
      </c>
    </row>
    <row r="417" spans="1:45" x14ac:dyDescent="0.15">
      <c r="A417" s="5">
        <v>409</v>
      </c>
      <c r="J417" s="5">
        <f t="shared" si="48"/>
        <v>409</v>
      </c>
      <c r="K417" s="5">
        <f>SUM($AP$9:AP416)</f>
        <v>6506210555351</v>
      </c>
      <c r="L417" s="5">
        <f>LOOKUP(K417,AI:AI,AE:AE)</f>
        <v>420</v>
      </c>
      <c r="M417" s="5">
        <f>LOOKUP(L417,AE:AE,AG:AG)</f>
        <v>333238291945</v>
      </c>
      <c r="N417" s="5">
        <f>AM417/M417/$K$1</f>
        <v>2.0067640891872816</v>
      </c>
      <c r="O417" s="5">
        <f>SUM($N$9:N417)</f>
        <v>1420.0429096905864</v>
      </c>
      <c r="AE417" s="5">
        <f t="shared" si="49"/>
        <v>409</v>
      </c>
      <c r="AF417" s="5">
        <f t="shared" si="50"/>
        <v>191590235503</v>
      </c>
      <c r="AG417" s="5">
        <f t="shared" si="51"/>
        <v>189734640002</v>
      </c>
      <c r="AH417" s="5">
        <f>AG417*$AF$1</f>
        <v>1897346400020</v>
      </c>
      <c r="AI417" s="5">
        <f>SUM($AF$9:AF416)</f>
        <v>3636967182769</v>
      </c>
      <c r="AK417" s="5">
        <f t="shared" si="52"/>
        <v>409</v>
      </c>
      <c r="AL417" s="5">
        <f t="shared" si="53"/>
        <v>59</v>
      </c>
      <c r="AM417" s="5">
        <f t="shared" si="54"/>
        <v>1003095956126</v>
      </c>
      <c r="AN417" s="5">
        <f>$AL$4*$AL$3^AL417*$AL$2</f>
        <v>1003095956126.1908</v>
      </c>
      <c r="AO417" s="5">
        <f>IF(AL417=AL418,1,LOOKUP(MOD(AL417,$AL$1),$AN$1:$AN$5,$AO$1:$AO$5))</f>
        <v>1</v>
      </c>
      <c r="AP417" s="5">
        <f t="shared" si="55"/>
        <v>311294111718</v>
      </c>
      <c r="AQ417" s="5">
        <f>AM417*$AR$3</f>
        <v>133746127483.46666</v>
      </c>
      <c r="AR417" s="5">
        <f>AM417*AL417*$AR$4</f>
        <v>177547984234.302</v>
      </c>
      <c r="AS417" s="5">
        <f>SUM($AP$9:AP416)</f>
        <v>6506210555351</v>
      </c>
    </row>
    <row r="418" spans="1:45" x14ac:dyDescent="0.15">
      <c r="A418" s="5">
        <v>410</v>
      </c>
      <c r="J418" s="5">
        <f t="shared" si="48"/>
        <v>410</v>
      </c>
      <c r="K418" s="5">
        <f>SUM($AP$9:AP417)</f>
        <v>6817504667069</v>
      </c>
      <c r="L418" s="5">
        <f>LOOKUP(K418,AI:AI,AE:AE)</f>
        <v>421</v>
      </c>
      <c r="M418" s="5">
        <f>LOOKUP(L418,AE:AE,AG:AG)</f>
        <v>350733302272</v>
      </c>
      <c r="N418" s="5">
        <f>AM418/M418/$K$1</f>
        <v>1.9066642177557485</v>
      </c>
      <c r="O418" s="5">
        <f>SUM($N$9:N418)</f>
        <v>1421.9495739083422</v>
      </c>
      <c r="AE418" s="5">
        <f t="shared" si="49"/>
        <v>410</v>
      </c>
      <c r="AF418" s="5">
        <f t="shared" si="50"/>
        <v>201656841098</v>
      </c>
      <c r="AG418" s="5">
        <f t="shared" si="51"/>
        <v>199708465821</v>
      </c>
      <c r="AH418" s="5">
        <f>AG418*$AF$1</f>
        <v>1997084658210</v>
      </c>
      <c r="AI418" s="5">
        <f>SUM($AF$9:AF417)</f>
        <v>3828557418272</v>
      </c>
      <c r="AK418" s="5">
        <f t="shared" si="52"/>
        <v>410</v>
      </c>
      <c r="AL418" s="5">
        <f t="shared" si="53"/>
        <v>59</v>
      </c>
      <c r="AM418" s="5">
        <f t="shared" si="54"/>
        <v>1003095956126</v>
      </c>
      <c r="AN418" s="5">
        <f>$AL$4*$AL$3^AL418*$AL$2</f>
        <v>1003095956126.1908</v>
      </c>
      <c r="AO418" s="5">
        <f>IF(AL418=AL419,1,LOOKUP(MOD(AL418,$AL$1),$AN$1:$AN$5,$AO$1:$AO$5))</f>
        <v>1</v>
      </c>
      <c r="AP418" s="5">
        <f t="shared" si="55"/>
        <v>311294111718</v>
      </c>
      <c r="AQ418" s="5">
        <f>AM418*$AR$3</f>
        <v>133746127483.46666</v>
      </c>
      <c r="AR418" s="5">
        <f>AM418*AL418*$AR$4</f>
        <v>177547984234.302</v>
      </c>
      <c r="AS418" s="5">
        <f>SUM($AP$9:AP417)</f>
        <v>6817504667069</v>
      </c>
    </row>
    <row r="419" spans="1:45" x14ac:dyDescent="0.15">
      <c r="A419" s="5">
        <v>411</v>
      </c>
      <c r="J419" s="5">
        <f t="shared" si="48"/>
        <v>411</v>
      </c>
      <c r="K419" s="5">
        <f>SUM($AP$9:AP418)</f>
        <v>7128798778787</v>
      </c>
      <c r="L419" s="5">
        <f>LOOKUP(K419,AI:AI,AE:AE)</f>
        <v>422</v>
      </c>
      <c r="M419" s="5">
        <f>LOOKUP(L419,AE:AE,AG:AG)</f>
        <v>369144717902</v>
      </c>
      <c r="N419" s="5">
        <f>AM419/M419/$K$1</f>
        <v>1.8115676724781606</v>
      </c>
      <c r="O419" s="5">
        <f>SUM($N$9:N419)</f>
        <v>1423.7611415808203</v>
      </c>
      <c r="AE419" s="5">
        <f t="shared" si="49"/>
        <v>411</v>
      </c>
      <c r="AF419" s="5">
        <f t="shared" si="50"/>
        <v>212251131663</v>
      </c>
      <c r="AG419" s="5">
        <f t="shared" si="51"/>
        <v>210205337622</v>
      </c>
      <c r="AH419" s="5">
        <f>AG419*$AF$1</f>
        <v>2102053376220</v>
      </c>
      <c r="AI419" s="5">
        <f>SUM($AF$9:AF418)</f>
        <v>4030214259370</v>
      </c>
      <c r="AK419" s="5">
        <f t="shared" si="52"/>
        <v>411</v>
      </c>
      <c r="AL419" s="5">
        <f t="shared" si="53"/>
        <v>59</v>
      </c>
      <c r="AM419" s="5">
        <f t="shared" si="54"/>
        <v>1003095956126</v>
      </c>
      <c r="AN419" s="5">
        <f>$AL$4*$AL$3^AL419*$AL$2</f>
        <v>1003095956126.1908</v>
      </c>
      <c r="AO419" s="5">
        <f>IF(AL419=AL420,1,LOOKUP(MOD(AL419,$AL$1),$AN$1:$AN$5,$AO$1:$AO$5))</f>
        <v>1</v>
      </c>
      <c r="AP419" s="5">
        <f t="shared" si="55"/>
        <v>311294111718</v>
      </c>
      <c r="AQ419" s="5">
        <f>AM419*$AR$3</f>
        <v>133746127483.46666</v>
      </c>
      <c r="AR419" s="5">
        <f>AM419*AL419*$AR$4</f>
        <v>177547984234.302</v>
      </c>
      <c r="AS419" s="5">
        <f>SUM($AP$9:AP418)</f>
        <v>7128798778787</v>
      </c>
    </row>
    <row r="420" spans="1:45" x14ac:dyDescent="0.15">
      <c r="A420" s="5">
        <v>412</v>
      </c>
      <c r="J420" s="5">
        <f t="shared" si="48"/>
        <v>412</v>
      </c>
      <c r="K420" s="5">
        <f>SUM($AP$9:AP419)</f>
        <v>7440092890505</v>
      </c>
      <c r="L420" s="5">
        <f>LOOKUP(K420,AI:AI,AE:AE)</f>
        <v>422</v>
      </c>
      <c r="M420" s="5">
        <f>LOOKUP(L420,AE:AE,AG:AG)</f>
        <v>369144717902</v>
      </c>
      <c r="N420" s="5">
        <f>AM420/M420/$K$1</f>
        <v>1.8115676724781606</v>
      </c>
      <c r="O420" s="5">
        <f>SUM($N$9:N420)</f>
        <v>1425.5727092532984</v>
      </c>
      <c r="AE420" s="5">
        <f t="shared" si="49"/>
        <v>412</v>
      </c>
      <c r="AF420" s="5">
        <f t="shared" si="50"/>
        <v>223400709181</v>
      </c>
      <c r="AG420" s="5">
        <f t="shared" si="51"/>
        <v>221252625439</v>
      </c>
      <c r="AH420" s="5">
        <f>AG420*$AF$1</f>
        <v>2212526254390</v>
      </c>
      <c r="AI420" s="5">
        <f>SUM($AF$9:AF419)</f>
        <v>4242465391033</v>
      </c>
      <c r="AK420" s="5">
        <f t="shared" si="52"/>
        <v>412</v>
      </c>
      <c r="AL420" s="5">
        <f t="shared" si="53"/>
        <v>59</v>
      </c>
      <c r="AM420" s="5">
        <f t="shared" si="54"/>
        <v>1003095956126</v>
      </c>
      <c r="AN420" s="5">
        <f>$AL$4*$AL$3^AL420*$AL$2</f>
        <v>1003095956126.1908</v>
      </c>
      <c r="AO420" s="5">
        <f>IF(AL420=AL421,1,LOOKUP(MOD(AL420,$AL$1),$AN$1:$AN$5,$AO$1:$AO$5))</f>
        <v>1</v>
      </c>
      <c r="AP420" s="5">
        <f t="shared" si="55"/>
        <v>311294111718</v>
      </c>
      <c r="AQ420" s="5">
        <f>AM420*$AR$3</f>
        <v>133746127483.46666</v>
      </c>
      <c r="AR420" s="5">
        <f>AM420*AL420*$AR$4</f>
        <v>177547984234.302</v>
      </c>
      <c r="AS420" s="5">
        <f>SUM($AP$9:AP419)</f>
        <v>7440092890505</v>
      </c>
    </row>
    <row r="421" spans="1:45" x14ac:dyDescent="0.15">
      <c r="A421" s="5">
        <v>413</v>
      </c>
      <c r="J421" s="5">
        <f t="shared" si="48"/>
        <v>413</v>
      </c>
      <c r="K421" s="5">
        <f>SUM($AP$9:AP420)</f>
        <v>7751387002223</v>
      </c>
      <c r="L421" s="5">
        <f>LOOKUP(K421,AI:AI,AE:AE)</f>
        <v>423</v>
      </c>
      <c r="M421" s="5">
        <f>LOOKUP(L421,AE:AE,AG:AG)</f>
        <v>388520441839</v>
      </c>
      <c r="N421" s="5">
        <f>AM421/M421/$K$1</f>
        <v>10.327342894784849</v>
      </c>
      <c r="O421" s="5">
        <f>SUM($N$9:N421)</f>
        <v>1435.9000521480832</v>
      </c>
      <c r="AE421" s="5">
        <f t="shared" si="49"/>
        <v>413</v>
      </c>
      <c r="AF421" s="5">
        <f t="shared" si="50"/>
        <v>235134616623</v>
      </c>
      <c r="AG421" s="5">
        <f t="shared" si="51"/>
        <v>232879128693</v>
      </c>
      <c r="AH421" s="5">
        <f>AG421*$AF$1</f>
        <v>2328791286930</v>
      </c>
      <c r="AI421" s="5">
        <f>SUM($AF$9:AF420)</f>
        <v>4465866100214</v>
      </c>
      <c r="AK421" s="5">
        <f t="shared" si="52"/>
        <v>413</v>
      </c>
      <c r="AL421" s="5">
        <f t="shared" si="53"/>
        <v>59</v>
      </c>
      <c r="AM421" s="5">
        <f t="shared" si="54"/>
        <v>6018575736757</v>
      </c>
      <c r="AN421" s="5">
        <f>$AL$4*$AL$3^AL421*$AL$2</f>
        <v>1003095956126.1908</v>
      </c>
      <c r="AO421" s="5">
        <f>IF(AL421=AL422,1,LOOKUP(MOD(AL421,$AL$1),$AN$1:$AN$5,$AO$1:$AO$5))</f>
        <v>6</v>
      </c>
      <c r="AP421" s="5">
        <f t="shared" si="55"/>
        <v>1867764670307</v>
      </c>
      <c r="AQ421" s="5">
        <f>AM421*$AR$3</f>
        <v>802476764900.93335</v>
      </c>
      <c r="AR421" s="5">
        <f>AM421*AL421*$AR$4</f>
        <v>1065287905405.989</v>
      </c>
      <c r="AS421" s="5">
        <f>SUM($AP$9:AP420)</f>
        <v>7751387002223</v>
      </c>
    </row>
    <row r="422" spans="1:45" x14ac:dyDescent="0.15">
      <c r="A422" s="5">
        <v>414</v>
      </c>
      <c r="J422" s="5">
        <f t="shared" si="48"/>
        <v>414</v>
      </c>
      <c r="K422" s="5">
        <f>SUM($AP$9:AP421)</f>
        <v>9619151672530</v>
      </c>
      <c r="L422" s="5">
        <f>LOOKUP(K422,AI:AI,AE:AE)</f>
        <v>427</v>
      </c>
      <c r="M422" s="5">
        <f>LOOKUP(L422,AE:AE,AG:AG)</f>
        <v>476714737131</v>
      </c>
      <c r="N422" s="5">
        <f>AM422/M422/$K$1</f>
        <v>2.202380205537513</v>
      </c>
      <c r="O422" s="5">
        <f>SUM($N$9:N422)</f>
        <v>1438.1024323536208</v>
      </c>
      <c r="AE422" s="5">
        <f t="shared" si="49"/>
        <v>414</v>
      </c>
      <c r="AF422" s="5">
        <f t="shared" si="50"/>
        <v>247483413035</v>
      </c>
      <c r="AG422" s="5">
        <f t="shared" si="51"/>
        <v>245115150709</v>
      </c>
      <c r="AH422" s="5">
        <f>AG422*$AF$1</f>
        <v>2451151507090</v>
      </c>
      <c r="AI422" s="5">
        <f>SUM($AF$9:AF421)</f>
        <v>4701000716837</v>
      </c>
      <c r="AK422" s="5">
        <f t="shared" si="52"/>
        <v>414</v>
      </c>
      <c r="AL422" s="5">
        <f t="shared" si="53"/>
        <v>60</v>
      </c>
      <c r="AM422" s="5">
        <f t="shared" si="54"/>
        <v>1574860651118</v>
      </c>
      <c r="AN422" s="5">
        <f>$AL$4*$AL$3^AL422*$AL$2</f>
        <v>1574860651118.1196</v>
      </c>
      <c r="AO422" s="5">
        <f>IF(AL422=AL423,1,LOOKUP(MOD(AL422,$AL$1),$AN$1:$AN$5,$AO$1:$AO$5))</f>
        <v>1</v>
      </c>
      <c r="AP422" s="5">
        <f t="shared" si="55"/>
        <v>493456337350</v>
      </c>
      <c r="AQ422" s="5">
        <f>AM422*$AR$3</f>
        <v>209981420149.06665</v>
      </c>
      <c r="AR422" s="5">
        <f>AM422*AL422*$AR$4</f>
        <v>283474917201.23999</v>
      </c>
      <c r="AS422" s="5">
        <f>SUM($AP$9:AP421)</f>
        <v>9619151672530</v>
      </c>
    </row>
    <row r="423" spans="1:45" x14ac:dyDescent="0.15">
      <c r="A423" s="5">
        <v>415</v>
      </c>
      <c r="J423" s="5">
        <f t="shared" si="48"/>
        <v>415</v>
      </c>
      <c r="K423" s="5">
        <f>SUM($AP$9:AP422)</f>
        <v>10112608009880</v>
      </c>
      <c r="L423" s="5">
        <f>LOOKUP(K423,AI:AI,AE:AE)</f>
        <v>428</v>
      </c>
      <c r="M423" s="5">
        <f>LOOKUP(L423,AE:AE,AG:AG)</f>
        <v>501722723341</v>
      </c>
      <c r="N423" s="5">
        <f>AM423/M423/$K$1</f>
        <v>2.0926042451375184</v>
      </c>
      <c r="O423" s="5">
        <f>SUM($N$9:N423)</f>
        <v>1440.1950365987582</v>
      </c>
      <c r="AE423" s="5">
        <f t="shared" si="49"/>
        <v>415</v>
      </c>
      <c r="AF423" s="5">
        <f t="shared" si="50"/>
        <v>260479252547</v>
      </c>
      <c r="AG423" s="5">
        <f t="shared" si="51"/>
        <v>257992577105</v>
      </c>
      <c r="AH423" s="5">
        <f>AG423*$AF$1</f>
        <v>2579925771050</v>
      </c>
      <c r="AI423" s="5">
        <f>SUM($AF$9:AF422)</f>
        <v>4948484129872</v>
      </c>
      <c r="AK423" s="5">
        <f t="shared" si="52"/>
        <v>415</v>
      </c>
      <c r="AL423" s="5">
        <f t="shared" si="53"/>
        <v>60</v>
      </c>
      <c r="AM423" s="5">
        <f t="shared" si="54"/>
        <v>1574860651118</v>
      </c>
      <c r="AN423" s="5">
        <f>$AL$4*$AL$3^AL423*$AL$2</f>
        <v>1574860651118.1196</v>
      </c>
      <c r="AO423" s="5">
        <f>IF(AL423=AL424,1,LOOKUP(MOD(AL423,$AL$1),$AN$1:$AN$5,$AO$1:$AO$5))</f>
        <v>1</v>
      </c>
      <c r="AP423" s="5">
        <f t="shared" si="55"/>
        <v>493456337350</v>
      </c>
      <c r="AQ423" s="5">
        <f>AM423*$AR$3</f>
        <v>209981420149.06665</v>
      </c>
      <c r="AR423" s="5">
        <f>AM423*AL423*$AR$4</f>
        <v>283474917201.23999</v>
      </c>
      <c r="AS423" s="5">
        <f>SUM($AP$9:AP422)</f>
        <v>10112608009880</v>
      </c>
    </row>
    <row r="424" spans="1:45" x14ac:dyDescent="0.15">
      <c r="A424" s="5">
        <v>416</v>
      </c>
      <c r="J424" s="5">
        <f t="shared" si="48"/>
        <v>416</v>
      </c>
      <c r="K424" s="5">
        <f>SUM($AP$9:AP423)</f>
        <v>10606064347230</v>
      </c>
      <c r="L424" s="5">
        <f>LOOKUP(K424,AI:AI,AE:AE)</f>
        <v>429</v>
      </c>
      <c r="M424" s="5">
        <f>LOOKUP(L424,AE:AE,AG:AG)</f>
        <v>528039721330</v>
      </c>
      <c r="N424" s="5">
        <f>AM424/M424/$K$1</f>
        <v>1.9883108378681813</v>
      </c>
      <c r="O424" s="5">
        <f>SUM($N$9:N424)</f>
        <v>1442.1833474366263</v>
      </c>
      <c r="AE424" s="5">
        <f t="shared" si="49"/>
        <v>416</v>
      </c>
      <c r="AF424" s="5">
        <f t="shared" si="50"/>
        <v>274155967478</v>
      </c>
      <c r="AG424" s="5">
        <f t="shared" si="51"/>
        <v>271544958264</v>
      </c>
      <c r="AH424" s="5">
        <f>AG424*$AF$1</f>
        <v>2715449582640</v>
      </c>
      <c r="AI424" s="5">
        <f>SUM($AF$9:AF423)</f>
        <v>5208963382419</v>
      </c>
      <c r="AK424" s="5">
        <f t="shared" si="52"/>
        <v>416</v>
      </c>
      <c r="AL424" s="5">
        <f t="shared" si="53"/>
        <v>60</v>
      </c>
      <c r="AM424" s="5">
        <f t="shared" si="54"/>
        <v>1574860651118</v>
      </c>
      <c r="AN424" s="5">
        <f>$AL$4*$AL$3^AL424*$AL$2</f>
        <v>1574860651118.1196</v>
      </c>
      <c r="AO424" s="5">
        <f>IF(AL424=AL425,1,LOOKUP(MOD(AL424,$AL$1),$AN$1:$AN$5,$AO$1:$AO$5))</f>
        <v>1</v>
      </c>
      <c r="AP424" s="5">
        <f t="shared" si="55"/>
        <v>493456337350</v>
      </c>
      <c r="AQ424" s="5">
        <f>AM424*$AR$3</f>
        <v>209981420149.06665</v>
      </c>
      <c r="AR424" s="5">
        <f>AM424*AL424*$AR$4</f>
        <v>283474917201.23999</v>
      </c>
      <c r="AS424" s="5">
        <f>SUM($AP$9:AP423)</f>
        <v>10606064347230</v>
      </c>
    </row>
    <row r="425" spans="1:45" x14ac:dyDescent="0.15">
      <c r="A425" s="5">
        <v>417</v>
      </c>
      <c r="J425" s="5">
        <f t="shared" si="48"/>
        <v>417</v>
      </c>
      <c r="K425" s="5">
        <f>SUM($AP$9:AP424)</f>
        <v>11099520684580</v>
      </c>
      <c r="L425" s="5">
        <f>LOOKUP(K425,AI:AI,AE:AE)</f>
        <v>430</v>
      </c>
      <c r="M425" s="5">
        <f>LOOKUP(L425,AE:AE,AG:AG)</f>
        <v>555734112309</v>
      </c>
      <c r="N425" s="5">
        <f>AM425/M425/$K$1</f>
        <v>1.8892255801665863</v>
      </c>
      <c r="O425" s="5">
        <f>SUM($N$9:N425)</f>
        <v>1444.0725730167928</v>
      </c>
      <c r="AE425" s="5">
        <f t="shared" si="49"/>
        <v>417</v>
      </c>
      <c r="AF425" s="5">
        <f t="shared" si="50"/>
        <v>288549155771</v>
      </c>
      <c r="AG425" s="5">
        <f t="shared" si="51"/>
        <v>285807596096</v>
      </c>
      <c r="AH425" s="5">
        <f>AG425*$AF$1</f>
        <v>2858075960960</v>
      </c>
      <c r="AI425" s="5">
        <f>SUM($AF$9:AF424)</f>
        <v>5483119349897</v>
      </c>
      <c r="AK425" s="5">
        <f t="shared" si="52"/>
        <v>417</v>
      </c>
      <c r="AL425" s="5">
        <f t="shared" si="53"/>
        <v>60</v>
      </c>
      <c r="AM425" s="5">
        <f t="shared" si="54"/>
        <v>1574860651118</v>
      </c>
      <c r="AN425" s="5">
        <f>$AL$4*$AL$3^AL425*$AL$2</f>
        <v>1574860651118.1196</v>
      </c>
      <c r="AO425" s="5">
        <f>IF(AL425=AL426,1,LOOKUP(MOD(AL425,$AL$1),$AN$1:$AN$5,$AO$1:$AO$5))</f>
        <v>1</v>
      </c>
      <c r="AP425" s="5">
        <f t="shared" si="55"/>
        <v>493456337350</v>
      </c>
      <c r="AQ425" s="5">
        <f>AM425*$AR$3</f>
        <v>209981420149.06665</v>
      </c>
      <c r="AR425" s="5">
        <f>AM425*AL425*$AR$4</f>
        <v>283474917201.23999</v>
      </c>
      <c r="AS425" s="5">
        <f>SUM($AP$9:AP424)</f>
        <v>11099520684580</v>
      </c>
    </row>
    <row r="426" spans="1:45" x14ac:dyDescent="0.15">
      <c r="A426" s="5">
        <v>418</v>
      </c>
      <c r="J426" s="5">
        <f t="shared" si="48"/>
        <v>418</v>
      </c>
      <c r="K426" s="5">
        <f>SUM($AP$9:AP425)</f>
        <v>11592977021930</v>
      </c>
      <c r="L426" s="5">
        <f>LOOKUP(K426,AI:AI,AE:AE)</f>
        <v>431</v>
      </c>
      <c r="M426" s="5">
        <f>LOOKUP(L426,AE:AE,AG:AG)</f>
        <v>584877843082</v>
      </c>
      <c r="N426" s="5">
        <f>AM426/M426/$K$1</f>
        <v>1.7950878344320118</v>
      </c>
      <c r="O426" s="5">
        <f>SUM($N$9:N426)</f>
        <v>1445.8676608512249</v>
      </c>
      <c r="AE426" s="5">
        <f t="shared" si="49"/>
        <v>418</v>
      </c>
      <c r="AF426" s="5">
        <f t="shared" si="50"/>
        <v>303696272974</v>
      </c>
      <c r="AG426" s="5">
        <f t="shared" si="51"/>
        <v>300817635316</v>
      </c>
      <c r="AH426" s="5">
        <f>AG426*$AF$1</f>
        <v>3008176353160</v>
      </c>
      <c r="AI426" s="5">
        <f>SUM($AF$9:AF425)</f>
        <v>5771668505668</v>
      </c>
      <c r="AK426" s="5">
        <f t="shared" si="52"/>
        <v>418</v>
      </c>
      <c r="AL426" s="5">
        <f t="shared" si="53"/>
        <v>60</v>
      </c>
      <c r="AM426" s="5">
        <f t="shared" si="54"/>
        <v>1574860651118</v>
      </c>
      <c r="AN426" s="5">
        <f>$AL$4*$AL$3^AL426*$AL$2</f>
        <v>1574860651118.1196</v>
      </c>
      <c r="AO426" s="5">
        <f>IF(AL426=AL427,1,LOOKUP(MOD(AL426,$AL$1),$AN$1:$AN$5,$AO$1:$AO$5))</f>
        <v>1</v>
      </c>
      <c r="AP426" s="5">
        <f t="shared" si="55"/>
        <v>493456337350</v>
      </c>
      <c r="AQ426" s="5">
        <f>AM426*$AR$3</f>
        <v>209981420149.06665</v>
      </c>
      <c r="AR426" s="5">
        <f>AM426*AL426*$AR$4</f>
        <v>283474917201.23999</v>
      </c>
      <c r="AS426" s="5">
        <f>SUM($AP$9:AP425)</f>
        <v>11592977021930</v>
      </c>
    </row>
    <row r="427" spans="1:45" x14ac:dyDescent="0.15">
      <c r="A427" s="5">
        <v>419</v>
      </c>
      <c r="J427" s="5">
        <f t="shared" si="48"/>
        <v>419</v>
      </c>
      <c r="K427" s="5">
        <f>SUM($AP$9:AP426)</f>
        <v>12086433359280</v>
      </c>
      <c r="L427" s="5">
        <f>LOOKUP(K427,AI:AI,AE:AE)</f>
        <v>432</v>
      </c>
      <c r="M427" s="5">
        <f>LOOKUP(L427,AE:AE,AG:AG)</f>
        <v>615546611652</v>
      </c>
      <c r="N427" s="5">
        <f>AM427/M427/$K$1</f>
        <v>1.7056500366846297</v>
      </c>
      <c r="O427" s="5">
        <f>SUM($N$9:N427)</f>
        <v>1447.5733108879094</v>
      </c>
      <c r="AE427" s="5">
        <f t="shared" si="49"/>
        <v>419</v>
      </c>
      <c r="AF427" s="5">
        <f t="shared" si="50"/>
        <v>319636729008</v>
      </c>
      <c r="AG427" s="5">
        <f t="shared" si="51"/>
        <v>316614159467</v>
      </c>
      <c r="AH427" s="5">
        <f>AG427*$AF$1</f>
        <v>3166141594670</v>
      </c>
      <c r="AI427" s="5">
        <f>SUM($AF$9:AF426)</f>
        <v>6075364778642</v>
      </c>
      <c r="AK427" s="5">
        <f t="shared" si="52"/>
        <v>419</v>
      </c>
      <c r="AL427" s="5">
        <f t="shared" si="53"/>
        <v>60</v>
      </c>
      <c r="AM427" s="5">
        <f t="shared" si="54"/>
        <v>1574860651118</v>
      </c>
      <c r="AN427" s="5">
        <f>$AL$4*$AL$3^AL427*$AL$2</f>
        <v>1574860651118.1196</v>
      </c>
      <c r="AO427" s="5">
        <f>IF(AL427=AL428,1,LOOKUP(MOD(AL427,$AL$1),$AN$1:$AN$5,$AO$1:$AO$5))</f>
        <v>1</v>
      </c>
      <c r="AP427" s="5">
        <f t="shared" si="55"/>
        <v>493456337350</v>
      </c>
      <c r="AQ427" s="5">
        <f>AM427*$AR$3</f>
        <v>209981420149.06665</v>
      </c>
      <c r="AR427" s="5">
        <f>AM427*AL427*$AR$4</f>
        <v>283474917201.23999</v>
      </c>
      <c r="AS427" s="5">
        <f>SUM($AP$9:AP426)</f>
        <v>12086433359280</v>
      </c>
    </row>
    <row r="428" spans="1:45" x14ac:dyDescent="0.15">
      <c r="A428" s="5">
        <v>420</v>
      </c>
      <c r="J428" s="5">
        <f t="shared" si="48"/>
        <v>420</v>
      </c>
      <c r="K428" s="5">
        <f>SUM($AP$9:AP427)</f>
        <v>12579889696630</v>
      </c>
      <c r="L428" s="5">
        <f>LOOKUP(K428,AI:AI,AE:AE)</f>
        <v>433</v>
      </c>
      <c r="M428" s="5">
        <f>LOOKUP(L428,AE:AE,AG:AG)</f>
        <v>647820062471</v>
      </c>
      <c r="N428" s="5">
        <f>AM428/M428/$K$1</f>
        <v>11.34473927402796</v>
      </c>
      <c r="O428" s="5">
        <f>SUM($N$9:N428)</f>
        <v>1458.9180501619373</v>
      </c>
      <c r="AE428" s="5">
        <f t="shared" si="49"/>
        <v>420</v>
      </c>
      <c r="AF428" s="5">
        <f t="shared" si="50"/>
        <v>336411989963</v>
      </c>
      <c r="AG428" s="5">
        <f t="shared" si="51"/>
        <v>333238291945</v>
      </c>
      <c r="AH428" s="5">
        <f>AG428*$AF$1</f>
        <v>3332382919450</v>
      </c>
      <c r="AI428" s="5">
        <f>SUM($AF$9:AF427)</f>
        <v>6395001507650</v>
      </c>
      <c r="AK428" s="5">
        <f t="shared" si="52"/>
        <v>420</v>
      </c>
      <c r="AL428" s="5">
        <f t="shared" si="53"/>
        <v>60</v>
      </c>
      <c r="AM428" s="5">
        <f t="shared" si="54"/>
        <v>11024024557827</v>
      </c>
      <c r="AN428" s="5">
        <f>$AL$4*$AL$3^AL428*$AL$2</f>
        <v>1574860651118.1196</v>
      </c>
      <c r="AO428" s="5">
        <f>IF(AL428=AL429,1,LOOKUP(MOD(AL428,$AL$1),$AN$1:$AN$5,$AO$1:$AO$5))</f>
        <v>7</v>
      </c>
      <c r="AP428" s="5">
        <f t="shared" si="55"/>
        <v>3454194361452</v>
      </c>
      <c r="AQ428" s="5">
        <f>AM428*$AR$3</f>
        <v>1469869941043.6001</v>
      </c>
      <c r="AR428" s="5">
        <f>AM428*AL428*$AR$4</f>
        <v>1984324420408.8601</v>
      </c>
      <c r="AS428" s="5">
        <f>SUM($AP$9:AP427)</f>
        <v>12579889696630</v>
      </c>
    </row>
    <row r="429" spans="1:45" x14ac:dyDescent="0.15">
      <c r="A429" s="5">
        <v>421</v>
      </c>
      <c r="J429" s="5">
        <f t="shared" si="48"/>
        <v>421</v>
      </c>
      <c r="K429" s="5">
        <f>SUM($AP$9:AP428)</f>
        <v>16034084058082</v>
      </c>
      <c r="L429" s="5">
        <f>LOOKUP(K429,AI:AI,AE:AE)</f>
        <v>437</v>
      </c>
      <c r="M429" s="5">
        <f>LOOKUP(L429,AE:AE,AG:AG)</f>
        <v>794703508803</v>
      </c>
      <c r="N429" s="5">
        <f>AM429/M429/$K$1</f>
        <v>2.0741749972298318</v>
      </c>
      <c r="O429" s="5">
        <f>SUM($N$9:N429)</f>
        <v>1460.9922251591672</v>
      </c>
      <c r="AE429" s="5">
        <f t="shared" si="49"/>
        <v>421</v>
      </c>
      <c r="AF429" s="5">
        <f t="shared" si="50"/>
        <v>354065685191</v>
      </c>
      <c r="AG429" s="5">
        <f t="shared" si="51"/>
        <v>350733302272</v>
      </c>
      <c r="AH429" s="5">
        <f>AG429*$AF$1</f>
        <v>3507333022720</v>
      </c>
      <c r="AI429" s="5">
        <f>SUM($AF$9:AF428)</f>
        <v>6731413497613</v>
      </c>
      <c r="AK429" s="5">
        <f t="shared" si="52"/>
        <v>421</v>
      </c>
      <c r="AL429" s="5">
        <f t="shared" si="53"/>
        <v>61</v>
      </c>
      <c r="AM429" s="5">
        <f t="shared" si="54"/>
        <v>2472531222255</v>
      </c>
      <c r="AN429" s="5">
        <f>$AL$4*$AL$3^AL429*$AL$2</f>
        <v>2472531222255.4478</v>
      </c>
      <c r="AO429" s="5">
        <f>IF(AL429=AL430,1,LOOKUP(MOD(AL429,$AL$1),$AN$1:$AN$5,$AO$1:$AO$5))</f>
        <v>1</v>
      </c>
      <c r="AP429" s="5">
        <f t="shared" si="55"/>
        <v>782144043307</v>
      </c>
      <c r="AQ429" s="5">
        <f>AM429*$AR$3</f>
        <v>329670829634</v>
      </c>
      <c r="AR429" s="5">
        <f>AM429*AL429*$AR$4</f>
        <v>452473213672.66504</v>
      </c>
      <c r="AS429" s="5">
        <f>SUM($AP$9:AP428)</f>
        <v>16034084058082</v>
      </c>
    </row>
    <row r="430" spans="1:45" x14ac:dyDescent="0.15">
      <c r="A430" s="5">
        <v>422</v>
      </c>
      <c r="J430" s="5">
        <f t="shared" si="48"/>
        <v>422</v>
      </c>
      <c r="K430" s="5">
        <f>SUM($AP$9:AP429)</f>
        <v>16816228101389</v>
      </c>
      <c r="L430" s="5">
        <f>LOOKUP(K430,AI:AI,AE:AE)</f>
        <v>438</v>
      </c>
      <c r="M430" s="5">
        <f>LOOKUP(L430,AE:AE,AG:AG)</f>
        <v>836348154916</v>
      </c>
      <c r="N430" s="5">
        <f>AM430/M430/$K$1</f>
        <v>1.9708947027396206</v>
      </c>
      <c r="O430" s="5">
        <f>SUM($N$9:N430)</f>
        <v>1462.9631198619068</v>
      </c>
      <c r="AE430" s="5">
        <f t="shared" si="49"/>
        <v>422</v>
      </c>
      <c r="AF430" s="5">
        <f t="shared" si="50"/>
        <v>372643719967</v>
      </c>
      <c r="AG430" s="5">
        <f t="shared" si="51"/>
        <v>369144717902</v>
      </c>
      <c r="AH430" s="5">
        <f>AG430*$AF$1</f>
        <v>3691447179020</v>
      </c>
      <c r="AI430" s="5">
        <f>SUM($AF$9:AF429)</f>
        <v>7085479182804</v>
      </c>
      <c r="AK430" s="5">
        <f t="shared" si="52"/>
        <v>422</v>
      </c>
      <c r="AL430" s="5">
        <f t="shared" si="53"/>
        <v>61</v>
      </c>
      <c r="AM430" s="5">
        <f t="shared" si="54"/>
        <v>2472531222255</v>
      </c>
      <c r="AN430" s="5">
        <f>$AL$4*$AL$3^AL430*$AL$2</f>
        <v>2472531222255.4478</v>
      </c>
      <c r="AO430" s="5">
        <f>IF(AL430=AL431,1,LOOKUP(MOD(AL430,$AL$1),$AN$1:$AN$5,$AO$1:$AO$5))</f>
        <v>1</v>
      </c>
      <c r="AP430" s="5">
        <f t="shared" si="55"/>
        <v>782144043307</v>
      </c>
      <c r="AQ430" s="5">
        <f>AM430*$AR$3</f>
        <v>329670829634</v>
      </c>
      <c r="AR430" s="5">
        <f>AM430*AL430*$AR$4</f>
        <v>452473213672.66504</v>
      </c>
      <c r="AS430" s="5">
        <f>SUM($AP$9:AP429)</f>
        <v>16816228101389</v>
      </c>
    </row>
    <row r="431" spans="1:45" x14ac:dyDescent="0.15">
      <c r="A431" s="5">
        <v>423</v>
      </c>
      <c r="J431" s="5">
        <f t="shared" si="48"/>
        <v>423</v>
      </c>
      <c r="K431" s="5">
        <f>SUM($AP$9:AP430)</f>
        <v>17598372144696</v>
      </c>
      <c r="L431" s="5">
        <f>LOOKUP(K431,AI:AI,AE:AE)</f>
        <v>439</v>
      </c>
      <c r="M431" s="5">
        <f>LOOKUP(L431,AE:AE,AG:AG)</f>
        <v>880170506869</v>
      </c>
      <c r="N431" s="5">
        <f>AM431/M431/$K$1</f>
        <v>1.8727668506340132</v>
      </c>
      <c r="O431" s="5">
        <f>SUM($N$9:N431)</f>
        <v>1464.8358867125407</v>
      </c>
      <c r="AE431" s="5">
        <f t="shared" si="49"/>
        <v>423</v>
      </c>
      <c r="AF431" s="5">
        <f t="shared" si="50"/>
        <v>392194394008</v>
      </c>
      <c r="AG431" s="5">
        <f t="shared" si="51"/>
        <v>388520441839</v>
      </c>
      <c r="AH431" s="5">
        <f>AG431*$AF$1</f>
        <v>3885204418390</v>
      </c>
      <c r="AI431" s="5">
        <f>SUM($AF$9:AF430)</f>
        <v>7458122902771</v>
      </c>
      <c r="AK431" s="5">
        <f t="shared" si="52"/>
        <v>423</v>
      </c>
      <c r="AL431" s="5">
        <f t="shared" si="53"/>
        <v>61</v>
      </c>
      <c r="AM431" s="5">
        <f t="shared" si="54"/>
        <v>2472531222255</v>
      </c>
      <c r="AN431" s="5">
        <f>$AL$4*$AL$3^AL431*$AL$2</f>
        <v>2472531222255.4478</v>
      </c>
      <c r="AO431" s="5">
        <f>IF(AL431=AL432,1,LOOKUP(MOD(AL431,$AL$1),$AN$1:$AN$5,$AO$1:$AO$5))</f>
        <v>1</v>
      </c>
      <c r="AP431" s="5">
        <f t="shared" si="55"/>
        <v>782144043307</v>
      </c>
      <c r="AQ431" s="5">
        <f>AM431*$AR$3</f>
        <v>329670829634</v>
      </c>
      <c r="AR431" s="5">
        <f>AM431*AL431*$AR$4</f>
        <v>452473213672.66504</v>
      </c>
      <c r="AS431" s="5">
        <f>SUM($AP$9:AP430)</f>
        <v>17598372144696</v>
      </c>
    </row>
    <row r="432" spans="1:45" x14ac:dyDescent="0.15">
      <c r="A432" s="5">
        <v>424</v>
      </c>
      <c r="J432" s="5">
        <f t="shared" si="48"/>
        <v>424</v>
      </c>
      <c r="K432" s="5">
        <f>SUM($AP$9:AP431)</f>
        <v>18380516188003</v>
      </c>
      <c r="L432" s="5">
        <f>LOOKUP(K432,AI:AI,AE:AE)</f>
        <v>440</v>
      </c>
      <c r="M432" s="5">
        <f>LOOKUP(L432,AE:AE,AG:AG)</f>
        <v>926284223630</v>
      </c>
      <c r="N432" s="5">
        <f>AM432/M432/$K$1</f>
        <v>1.7795338688920903</v>
      </c>
      <c r="O432" s="5">
        <f>SUM($N$9:N432)</f>
        <v>1466.6154205814328</v>
      </c>
      <c r="AE432" s="5">
        <f t="shared" si="49"/>
        <v>424</v>
      </c>
      <c r="AF432" s="5">
        <f t="shared" si="50"/>
        <v>412768526152</v>
      </c>
      <c r="AG432" s="5">
        <f t="shared" si="51"/>
        <v>408910876375</v>
      </c>
      <c r="AH432" s="5">
        <f>AG432*$AF$1</f>
        <v>4089108763750</v>
      </c>
      <c r="AI432" s="5">
        <f>SUM($AF$9:AF431)</f>
        <v>7850317296779</v>
      </c>
      <c r="AK432" s="5">
        <f t="shared" si="52"/>
        <v>424</v>
      </c>
      <c r="AL432" s="5">
        <f t="shared" si="53"/>
        <v>61</v>
      </c>
      <c r="AM432" s="5">
        <f t="shared" si="54"/>
        <v>2472531222255</v>
      </c>
      <c r="AN432" s="5">
        <f>$AL$4*$AL$3^AL432*$AL$2</f>
        <v>2472531222255.4478</v>
      </c>
      <c r="AO432" s="5">
        <f>IF(AL432=AL433,1,LOOKUP(MOD(AL432,$AL$1),$AN$1:$AN$5,$AO$1:$AO$5))</f>
        <v>1</v>
      </c>
      <c r="AP432" s="5">
        <f t="shared" si="55"/>
        <v>782144043307</v>
      </c>
      <c r="AQ432" s="5">
        <f>AM432*$AR$3</f>
        <v>329670829634</v>
      </c>
      <c r="AR432" s="5">
        <f>AM432*AL432*$AR$4</f>
        <v>452473213672.66504</v>
      </c>
      <c r="AS432" s="5">
        <f>SUM($AP$9:AP431)</f>
        <v>18380516188003</v>
      </c>
    </row>
    <row r="433" spans="1:45" x14ac:dyDescent="0.15">
      <c r="A433" s="5">
        <v>425</v>
      </c>
      <c r="J433" s="5">
        <f t="shared" si="48"/>
        <v>425</v>
      </c>
      <c r="K433" s="5">
        <f>SUM($AP$9:AP432)</f>
        <v>19162660231310</v>
      </c>
      <c r="L433" s="5">
        <f>LOOKUP(K433,AI:AI,AE:AE)</f>
        <v>441</v>
      </c>
      <c r="M433" s="5">
        <f>LOOKUP(L433,AE:AE,AG:AG)</f>
        <v>974808885800</v>
      </c>
      <c r="N433" s="5">
        <f>AM433/M433/$K$1</f>
        <v>1.6909510901895803</v>
      </c>
      <c r="O433" s="5">
        <f>SUM($N$9:N433)</f>
        <v>1468.3063716716224</v>
      </c>
      <c r="AE433" s="5">
        <f t="shared" si="49"/>
        <v>425</v>
      </c>
      <c r="AF433" s="5">
        <f t="shared" si="50"/>
        <v>434419585526</v>
      </c>
      <c r="AG433" s="5">
        <f t="shared" si="51"/>
        <v>430369053260</v>
      </c>
      <c r="AH433" s="5">
        <f>AG433*$AF$1</f>
        <v>4303690532600</v>
      </c>
      <c r="AI433" s="5">
        <f>SUM($AF$9:AF432)</f>
        <v>8263085822931</v>
      </c>
      <c r="AK433" s="5">
        <f t="shared" si="52"/>
        <v>425</v>
      </c>
      <c r="AL433" s="5">
        <f t="shared" si="53"/>
        <v>61</v>
      </c>
      <c r="AM433" s="5">
        <f t="shared" si="54"/>
        <v>2472531222255</v>
      </c>
      <c r="AN433" s="5">
        <f>$AL$4*$AL$3^AL433*$AL$2</f>
        <v>2472531222255.4478</v>
      </c>
      <c r="AO433" s="5">
        <f>IF(AL433=AL434,1,LOOKUP(MOD(AL433,$AL$1),$AN$1:$AN$5,$AO$1:$AO$5))</f>
        <v>1</v>
      </c>
      <c r="AP433" s="5">
        <f t="shared" si="55"/>
        <v>782144043307</v>
      </c>
      <c r="AQ433" s="5">
        <f>AM433*$AR$3</f>
        <v>329670829634</v>
      </c>
      <c r="AR433" s="5">
        <f>AM433*AL433*$AR$4</f>
        <v>452473213672.66504</v>
      </c>
      <c r="AS433" s="5">
        <f>SUM($AP$9:AP432)</f>
        <v>19162660231310</v>
      </c>
    </row>
    <row r="434" spans="1:45" x14ac:dyDescent="0.15">
      <c r="A434" s="5">
        <v>426</v>
      </c>
      <c r="J434" s="5">
        <f t="shared" si="48"/>
        <v>426</v>
      </c>
      <c r="K434" s="5">
        <f>SUM($AP$9:AP433)</f>
        <v>19944804274617</v>
      </c>
      <c r="L434" s="5">
        <f>LOOKUP(K434,AI:AI,AE:AE)</f>
        <v>442</v>
      </c>
      <c r="M434" s="5">
        <f>LOOKUP(L434,AE:AE,AG:AG)</f>
        <v>1025870303627</v>
      </c>
      <c r="N434" s="5">
        <f>AM434/M434/$K$1</f>
        <v>1.6067861038010232</v>
      </c>
      <c r="O434" s="5">
        <f>SUM($N$9:N434)</f>
        <v>1469.9131577754233</v>
      </c>
      <c r="AE434" s="5">
        <f t="shared" si="49"/>
        <v>426</v>
      </c>
      <c r="AF434" s="5">
        <f t="shared" si="50"/>
        <v>457203829523</v>
      </c>
      <c r="AG434" s="5">
        <f t="shared" si="51"/>
        <v>452950770643</v>
      </c>
      <c r="AH434" s="5">
        <f>AG434*$AF$1</f>
        <v>4529507706430</v>
      </c>
      <c r="AI434" s="5">
        <f>SUM($AF$9:AF433)</f>
        <v>8697505408457</v>
      </c>
      <c r="AK434" s="5">
        <f t="shared" si="52"/>
        <v>426</v>
      </c>
      <c r="AL434" s="5">
        <f t="shared" si="53"/>
        <v>61</v>
      </c>
      <c r="AM434" s="5">
        <f t="shared" si="54"/>
        <v>2472531222255</v>
      </c>
      <c r="AN434" s="5">
        <f>$AL$4*$AL$3^AL434*$AL$2</f>
        <v>2472531222255.4478</v>
      </c>
      <c r="AO434" s="5">
        <f>IF(AL434=AL435,1,LOOKUP(MOD(AL434,$AL$1),$AN$1:$AN$5,$AO$1:$AO$5))</f>
        <v>1</v>
      </c>
      <c r="AP434" s="5">
        <f t="shared" si="55"/>
        <v>782144043307</v>
      </c>
      <c r="AQ434" s="5">
        <f>AM434*$AR$3</f>
        <v>329670829634</v>
      </c>
      <c r="AR434" s="5">
        <f>AM434*AL434*$AR$4</f>
        <v>452473213672.66504</v>
      </c>
      <c r="AS434" s="5">
        <f>SUM($AP$9:AP433)</f>
        <v>19944804274617</v>
      </c>
    </row>
    <row r="435" spans="1:45" x14ac:dyDescent="0.15">
      <c r="A435" s="5">
        <v>427</v>
      </c>
      <c r="J435" s="5">
        <f t="shared" si="48"/>
        <v>427</v>
      </c>
      <c r="K435" s="5">
        <f>SUM($AP$9:AP434)</f>
        <v>20726948317924</v>
      </c>
      <c r="L435" s="5">
        <f>LOOKUP(K435,AI:AI,AE:AE)</f>
        <v>442</v>
      </c>
      <c r="M435" s="5">
        <f>LOOKUP(L435,AE:AE,AG:AG)</f>
        <v>1025870303627</v>
      </c>
      <c r="N435" s="5">
        <f>AM435/M435/$K$1</f>
        <v>11.247502726609111</v>
      </c>
      <c r="O435" s="5">
        <f>SUM($N$9:N435)</f>
        <v>1481.1606605020324</v>
      </c>
      <c r="AE435" s="5">
        <f t="shared" si="49"/>
        <v>427</v>
      </c>
      <c r="AF435" s="5">
        <f t="shared" si="50"/>
        <v>481180448955</v>
      </c>
      <c r="AG435" s="5">
        <f t="shared" si="51"/>
        <v>476714737131</v>
      </c>
      <c r="AH435" s="5">
        <f>AG435*$AF$1</f>
        <v>4767147371310</v>
      </c>
      <c r="AI435" s="5">
        <f>SUM($AF$9:AF434)</f>
        <v>9154709237980</v>
      </c>
      <c r="AK435" s="5">
        <f t="shared" si="52"/>
        <v>427</v>
      </c>
      <c r="AL435" s="5">
        <f t="shared" si="53"/>
        <v>61</v>
      </c>
      <c r="AM435" s="5">
        <f t="shared" si="54"/>
        <v>17307718555788</v>
      </c>
      <c r="AN435" s="5">
        <f>$AL$4*$AL$3^AL435*$AL$2</f>
        <v>2472531222255.4478</v>
      </c>
      <c r="AO435" s="5">
        <f>IF(AL435=AL436,1,LOOKUP(MOD(AL435,$AL$1),$AN$1:$AN$5,$AO$1:$AO$5))</f>
        <v>7</v>
      </c>
      <c r="AP435" s="5">
        <f t="shared" si="55"/>
        <v>5475008303148</v>
      </c>
      <c r="AQ435" s="5">
        <f>AM435*$AR$3</f>
        <v>2307695807438.3999</v>
      </c>
      <c r="AR435" s="5">
        <f>AM435*AL435*$AR$4</f>
        <v>3167312495709.2041</v>
      </c>
      <c r="AS435" s="5">
        <f>SUM($AP$9:AP434)</f>
        <v>20726948317924</v>
      </c>
    </row>
    <row r="436" spans="1:45" x14ac:dyDescent="0.15">
      <c r="A436" s="5">
        <v>428</v>
      </c>
      <c r="J436" s="5">
        <f t="shared" si="48"/>
        <v>428</v>
      </c>
      <c r="K436" s="5">
        <f>SUM($AP$9:AP435)</f>
        <v>26201956621072</v>
      </c>
      <c r="L436" s="5">
        <f>LOOKUP(K436,AI:AI,AE:AE)</f>
        <v>447</v>
      </c>
      <c r="M436" s="5">
        <f>LOOKUP(L436,AE:AE,AG:AG)</f>
        <v>1324110432701</v>
      </c>
      <c r="N436" s="5">
        <f>AM436/M436/$K$1</f>
        <v>1.9544563268400106</v>
      </c>
      <c r="O436" s="5">
        <f>SUM($N$9:N436)</f>
        <v>1483.1151168288725</v>
      </c>
      <c r="AE436" s="5">
        <f t="shared" si="49"/>
        <v>428</v>
      </c>
      <c r="AF436" s="5">
        <f t="shared" si="50"/>
        <v>506411720756</v>
      </c>
      <c r="AG436" s="5">
        <f t="shared" si="51"/>
        <v>501722723341</v>
      </c>
      <c r="AH436" s="5">
        <f>AG436*$AF$1</f>
        <v>5017227233410</v>
      </c>
      <c r="AI436" s="5">
        <f>SUM($AF$9:AF435)</f>
        <v>9635889686935</v>
      </c>
      <c r="AK436" s="5">
        <f t="shared" si="52"/>
        <v>428</v>
      </c>
      <c r="AL436" s="5">
        <f t="shared" si="53"/>
        <v>62</v>
      </c>
      <c r="AM436" s="5">
        <f t="shared" si="54"/>
        <v>3881874018941</v>
      </c>
      <c r="AN436" s="5">
        <f>$AL$4*$AL$3^AL436*$AL$2</f>
        <v>3881874018941.0537</v>
      </c>
      <c r="AO436" s="5">
        <f>IF(AL436=AL437,1,LOOKUP(MOD(AL436,$AL$1),$AN$1:$AN$5,$AO$1:$AO$5))</f>
        <v>1</v>
      </c>
      <c r="AP436" s="5">
        <f t="shared" si="55"/>
        <v>1239611770048</v>
      </c>
      <c r="AQ436" s="5">
        <f>AM436*$AR$3</f>
        <v>517583202525.46667</v>
      </c>
      <c r="AR436" s="5">
        <f>AM436*AL436*$AR$4</f>
        <v>722028567523.026</v>
      </c>
      <c r="AS436" s="5">
        <f>SUM($AP$9:AP435)</f>
        <v>26201956621072</v>
      </c>
    </row>
    <row r="437" spans="1:45" x14ac:dyDescent="0.15">
      <c r="A437" s="5">
        <v>429</v>
      </c>
      <c r="J437" s="5">
        <f t="shared" si="48"/>
        <v>429</v>
      </c>
      <c r="K437" s="5">
        <f>SUM($AP$9:AP436)</f>
        <v>27441568391120</v>
      </c>
      <c r="L437" s="5">
        <f>LOOKUP(K437,AI:AI,AE:AE)</f>
        <v>448</v>
      </c>
      <c r="M437" s="5">
        <f>LOOKUP(L437,AE:AE,AG:AG)</f>
        <v>1393426280856</v>
      </c>
      <c r="N437" s="5">
        <f>AM437/M437/$K$1</f>
        <v>1.8572320962954298</v>
      </c>
      <c r="O437" s="5">
        <f>SUM($N$9:N437)</f>
        <v>1484.9723489251678</v>
      </c>
      <c r="AE437" s="5">
        <f t="shared" si="49"/>
        <v>429</v>
      </c>
      <c r="AF437" s="5">
        <f t="shared" si="50"/>
        <v>532963168615</v>
      </c>
      <c r="AG437" s="5">
        <f t="shared" si="51"/>
        <v>528039721330</v>
      </c>
      <c r="AH437" s="5">
        <f>AG437*$AF$1</f>
        <v>5280397213300</v>
      </c>
      <c r="AI437" s="5">
        <f>SUM($AF$9:AF436)</f>
        <v>10142301407691</v>
      </c>
      <c r="AK437" s="5">
        <f t="shared" si="52"/>
        <v>429</v>
      </c>
      <c r="AL437" s="5">
        <f t="shared" si="53"/>
        <v>62</v>
      </c>
      <c r="AM437" s="5">
        <f t="shared" si="54"/>
        <v>3881874018941</v>
      </c>
      <c r="AN437" s="5">
        <f>$AL$4*$AL$3^AL437*$AL$2</f>
        <v>3881874018941.0537</v>
      </c>
      <c r="AO437" s="5">
        <f>IF(AL437=AL438,1,LOOKUP(MOD(AL437,$AL$1),$AN$1:$AN$5,$AO$1:$AO$5))</f>
        <v>1</v>
      </c>
      <c r="AP437" s="5">
        <f t="shared" si="55"/>
        <v>1239611770048</v>
      </c>
      <c r="AQ437" s="5">
        <f>AM437*$AR$3</f>
        <v>517583202525.46667</v>
      </c>
      <c r="AR437" s="5">
        <f>AM437*AL437*$AR$4</f>
        <v>722028567523.026</v>
      </c>
      <c r="AS437" s="5">
        <f>SUM($AP$9:AP436)</f>
        <v>27441568391120</v>
      </c>
    </row>
    <row r="438" spans="1:45" x14ac:dyDescent="0.15">
      <c r="A438" s="5">
        <v>430</v>
      </c>
      <c r="J438" s="5">
        <f t="shared" si="48"/>
        <v>430</v>
      </c>
      <c r="K438" s="5">
        <f>SUM($AP$9:AP437)</f>
        <v>28681180161168</v>
      </c>
      <c r="L438" s="5">
        <f>LOOKUP(K438,AI:AI,AE:AE)</f>
        <v>449</v>
      </c>
      <c r="M438" s="5">
        <f>LOOKUP(L438,AE:AE,AG:AG)</f>
        <v>1466363437745</v>
      </c>
      <c r="N438" s="5">
        <f>AM438/M438/$K$1</f>
        <v>1.76485306849104</v>
      </c>
      <c r="O438" s="5">
        <f>SUM($N$9:N438)</f>
        <v>1486.7372019936588</v>
      </c>
      <c r="AE438" s="5">
        <f t="shared" si="49"/>
        <v>430</v>
      </c>
      <c r="AF438" s="5">
        <f t="shared" si="50"/>
        <v>560903731958</v>
      </c>
      <c r="AG438" s="5">
        <f t="shared" si="51"/>
        <v>555734112309</v>
      </c>
      <c r="AH438" s="5">
        <f>AG438*$AF$1</f>
        <v>5557341123090</v>
      </c>
      <c r="AI438" s="5">
        <f>SUM($AF$9:AF437)</f>
        <v>10675264576306</v>
      </c>
      <c r="AK438" s="5">
        <f t="shared" si="52"/>
        <v>430</v>
      </c>
      <c r="AL438" s="5">
        <f t="shared" si="53"/>
        <v>62</v>
      </c>
      <c r="AM438" s="5">
        <f t="shared" si="54"/>
        <v>3881874018941</v>
      </c>
      <c r="AN438" s="5">
        <f>$AL$4*$AL$3^AL438*$AL$2</f>
        <v>3881874018941.0537</v>
      </c>
      <c r="AO438" s="5">
        <f>IF(AL438=AL439,1,LOOKUP(MOD(AL438,$AL$1),$AN$1:$AN$5,$AO$1:$AO$5))</f>
        <v>1</v>
      </c>
      <c r="AP438" s="5">
        <f t="shared" si="55"/>
        <v>1239611770048</v>
      </c>
      <c r="AQ438" s="5">
        <f>AM438*$AR$3</f>
        <v>517583202525.46667</v>
      </c>
      <c r="AR438" s="5">
        <f>AM438*AL438*$AR$4</f>
        <v>722028567523.026</v>
      </c>
      <c r="AS438" s="5">
        <f>SUM($AP$9:AP437)</f>
        <v>28681180161168</v>
      </c>
    </row>
    <row r="439" spans="1:45" x14ac:dyDescent="0.15">
      <c r="A439" s="5">
        <v>431</v>
      </c>
      <c r="J439" s="5">
        <f t="shared" si="48"/>
        <v>431</v>
      </c>
      <c r="K439" s="5">
        <f>SUM($AP$9:AP438)</f>
        <v>29920791931216</v>
      </c>
      <c r="L439" s="5">
        <f>LOOKUP(K439,AI:AI,AE:AE)</f>
        <v>450</v>
      </c>
      <c r="M439" s="5">
        <f>LOOKUP(L439,AE:AE,AG:AG)</f>
        <v>1543110744620</v>
      </c>
      <c r="N439" s="5">
        <f>AM439/M439/$K$1</f>
        <v>1.6770773074129703</v>
      </c>
      <c r="O439" s="5">
        <f>SUM($N$9:N439)</f>
        <v>1488.4142793010717</v>
      </c>
      <c r="AE439" s="5">
        <f t="shared" si="49"/>
        <v>431</v>
      </c>
      <c r="AF439" s="5">
        <f t="shared" si="50"/>
        <v>590305943714</v>
      </c>
      <c r="AG439" s="5">
        <f t="shared" si="51"/>
        <v>584877843082</v>
      </c>
      <c r="AH439" s="5">
        <f>AG439*$AF$1</f>
        <v>5848778430820</v>
      </c>
      <c r="AI439" s="5">
        <f>SUM($AF$9:AF438)</f>
        <v>11236168308264</v>
      </c>
      <c r="AK439" s="5">
        <f t="shared" si="52"/>
        <v>431</v>
      </c>
      <c r="AL439" s="5">
        <f t="shared" si="53"/>
        <v>62</v>
      </c>
      <c r="AM439" s="5">
        <f t="shared" si="54"/>
        <v>3881874018941</v>
      </c>
      <c r="AN439" s="5">
        <f>$AL$4*$AL$3^AL439*$AL$2</f>
        <v>3881874018941.0537</v>
      </c>
      <c r="AO439" s="5">
        <f>IF(AL439=AL440,1,LOOKUP(MOD(AL439,$AL$1),$AN$1:$AN$5,$AO$1:$AO$5))</f>
        <v>1</v>
      </c>
      <c r="AP439" s="5">
        <f t="shared" si="55"/>
        <v>1239611770048</v>
      </c>
      <c r="AQ439" s="5">
        <f>AM439*$AR$3</f>
        <v>517583202525.46667</v>
      </c>
      <c r="AR439" s="5">
        <f>AM439*AL439*$AR$4</f>
        <v>722028567523.026</v>
      </c>
      <c r="AS439" s="5">
        <f>SUM($AP$9:AP438)</f>
        <v>29920791931216</v>
      </c>
    </row>
    <row r="440" spans="1:45" x14ac:dyDescent="0.15">
      <c r="A440" s="5">
        <v>432</v>
      </c>
      <c r="J440" s="5">
        <f t="shared" si="48"/>
        <v>432</v>
      </c>
      <c r="K440" s="5">
        <f>SUM($AP$9:AP439)</f>
        <v>31160403701264</v>
      </c>
      <c r="L440" s="5">
        <f>LOOKUP(K440,AI:AI,AE:AE)</f>
        <v>450</v>
      </c>
      <c r="M440" s="5">
        <f>LOOKUP(L440,AE:AE,AG:AG)</f>
        <v>1543110744620</v>
      </c>
      <c r="N440" s="5">
        <f>AM440/M440/$K$1</f>
        <v>1.6770773074129703</v>
      </c>
      <c r="O440" s="5">
        <f>SUM($N$9:N440)</f>
        <v>1490.0913566084846</v>
      </c>
      <c r="AE440" s="5">
        <f t="shared" si="49"/>
        <v>432</v>
      </c>
      <c r="AF440" s="5">
        <f t="shared" si="50"/>
        <v>621246117315</v>
      </c>
      <c r="AG440" s="5">
        <f t="shared" si="51"/>
        <v>615546611652</v>
      </c>
      <c r="AH440" s="5">
        <f>AG440*$AF$1</f>
        <v>6155466116520</v>
      </c>
      <c r="AI440" s="5">
        <f>SUM($AF$9:AF439)</f>
        <v>11826474251978</v>
      </c>
      <c r="AK440" s="5">
        <f t="shared" si="52"/>
        <v>432</v>
      </c>
      <c r="AL440" s="5">
        <f t="shared" si="53"/>
        <v>62</v>
      </c>
      <c r="AM440" s="5">
        <f t="shared" si="54"/>
        <v>3881874018941</v>
      </c>
      <c r="AN440" s="5">
        <f>$AL$4*$AL$3^AL440*$AL$2</f>
        <v>3881874018941.0537</v>
      </c>
      <c r="AO440" s="5">
        <f>IF(AL440=AL441,1,LOOKUP(MOD(AL440,$AL$1),$AN$1:$AN$5,$AO$1:$AO$5))</f>
        <v>1</v>
      </c>
      <c r="AP440" s="5">
        <f t="shared" si="55"/>
        <v>1239611770048</v>
      </c>
      <c r="AQ440" s="5">
        <f>AM440*$AR$3</f>
        <v>517583202525.46667</v>
      </c>
      <c r="AR440" s="5">
        <f>AM440*AL440*$AR$4</f>
        <v>722028567523.026</v>
      </c>
      <c r="AS440" s="5">
        <f>SUM($AP$9:AP439)</f>
        <v>31160403701264</v>
      </c>
    </row>
    <row r="441" spans="1:45" x14ac:dyDescent="0.15">
      <c r="A441" s="5">
        <v>433</v>
      </c>
      <c r="J441" s="5">
        <f t="shared" si="48"/>
        <v>433</v>
      </c>
      <c r="K441" s="5">
        <f>SUM($AP$9:AP440)</f>
        <v>32400015471312</v>
      </c>
      <c r="L441" s="5">
        <f>LOOKUP(K441,AI:AI,AE:AE)</f>
        <v>451</v>
      </c>
      <c r="M441" s="5">
        <f>LOOKUP(L441,AE:AE,AG:AG)</f>
        <v>1623866873588</v>
      </c>
      <c r="N441" s="5">
        <f>AM441/M441/$K$1</f>
        <v>1.593674983288025</v>
      </c>
      <c r="O441" s="5">
        <f>SUM($N$9:N441)</f>
        <v>1491.6850315917727</v>
      </c>
      <c r="AE441" s="5">
        <f t="shared" si="49"/>
        <v>433</v>
      </c>
      <c r="AF441" s="5">
        <f t="shared" si="50"/>
        <v>653804543418</v>
      </c>
      <c r="AG441" s="5">
        <f t="shared" si="51"/>
        <v>647820062471</v>
      </c>
      <c r="AH441" s="5">
        <f>AG441*$AF$1</f>
        <v>6478200624710</v>
      </c>
      <c r="AI441" s="5">
        <f>SUM($AF$9:AF440)</f>
        <v>12447720369293</v>
      </c>
      <c r="AK441" s="5">
        <f t="shared" si="52"/>
        <v>433</v>
      </c>
      <c r="AL441" s="5">
        <f t="shared" si="53"/>
        <v>62</v>
      </c>
      <c r="AM441" s="5">
        <f t="shared" si="54"/>
        <v>3881874018941</v>
      </c>
      <c r="AN441" s="5">
        <f>$AL$4*$AL$3^AL441*$AL$2</f>
        <v>3881874018941.0537</v>
      </c>
      <c r="AO441" s="5">
        <f>IF(AL441=AL442,1,LOOKUP(MOD(AL441,$AL$1),$AN$1:$AN$5,$AO$1:$AO$5))</f>
        <v>1</v>
      </c>
      <c r="AP441" s="5">
        <f t="shared" si="55"/>
        <v>1239611770048</v>
      </c>
      <c r="AQ441" s="5">
        <f>AM441*$AR$3</f>
        <v>517583202525.46667</v>
      </c>
      <c r="AR441" s="5">
        <f>AM441*AL441*$AR$4</f>
        <v>722028567523.026</v>
      </c>
      <c r="AS441" s="5">
        <f>SUM($AP$9:AP440)</f>
        <v>32400015471312</v>
      </c>
    </row>
    <row r="442" spans="1:45" x14ac:dyDescent="0.15">
      <c r="A442" s="5">
        <v>434</v>
      </c>
      <c r="J442" s="5">
        <f t="shared" si="48"/>
        <v>434</v>
      </c>
      <c r="K442" s="5">
        <f>SUM($AP$9:AP441)</f>
        <v>33639627241360</v>
      </c>
      <c r="L442" s="5">
        <f>LOOKUP(K442,AI:AI,AE:AE)</f>
        <v>452</v>
      </c>
      <c r="M442" s="5">
        <f>LOOKUP(L442,AE:AE,AG:AG)</f>
        <v>1708840838592</v>
      </c>
      <c r="N442" s="5">
        <f>AM442/M442/$K$1</f>
        <v>10.600994357858122</v>
      </c>
      <c r="O442" s="5">
        <f>SUM($N$9:N442)</f>
        <v>1502.2860259496308</v>
      </c>
      <c r="AE442" s="5">
        <f t="shared" si="49"/>
        <v>434</v>
      </c>
      <c r="AF442" s="5">
        <f t="shared" si="50"/>
        <v>688065696837</v>
      </c>
      <c r="AG442" s="5">
        <f t="shared" si="51"/>
        <v>681781991843</v>
      </c>
      <c r="AH442" s="5">
        <f>AG442*$AF$1</f>
        <v>6817819918430</v>
      </c>
      <c r="AI442" s="5">
        <f>SUM($AF$9:AF441)</f>
        <v>13101524912711</v>
      </c>
      <c r="AK442" s="5">
        <f t="shared" si="52"/>
        <v>434</v>
      </c>
      <c r="AL442" s="5">
        <f t="shared" si="53"/>
        <v>62</v>
      </c>
      <c r="AM442" s="5">
        <f t="shared" si="54"/>
        <v>27173118132587</v>
      </c>
      <c r="AN442" s="5">
        <f>$AL$4*$AL$3^AL442*$AL$2</f>
        <v>3881874018941.0537</v>
      </c>
      <c r="AO442" s="5">
        <f>IF(AL442=AL443,1,LOOKUP(MOD(AL442,$AL$1),$AN$1:$AN$5,$AO$1:$AO$5))</f>
        <v>7</v>
      </c>
      <c r="AP442" s="5">
        <f t="shared" si="55"/>
        <v>8677282390339</v>
      </c>
      <c r="AQ442" s="5">
        <f>AM442*$AR$3</f>
        <v>3623082417678.2666</v>
      </c>
      <c r="AR442" s="5">
        <f>AM442*AL442*$AR$4</f>
        <v>5054199972661.1816</v>
      </c>
      <c r="AS442" s="5">
        <f>SUM($AP$9:AP441)</f>
        <v>33639627241360</v>
      </c>
    </row>
    <row r="443" spans="1:45" x14ac:dyDescent="0.15">
      <c r="A443" s="5">
        <v>435</v>
      </c>
      <c r="J443" s="5">
        <f t="shared" si="48"/>
        <v>435</v>
      </c>
      <c r="K443" s="5">
        <f>SUM($AP$9:AP442)</f>
        <v>42316909631699</v>
      </c>
      <c r="L443" s="5">
        <f>LOOKUP(K443,AI:AI,AE:AE)</f>
        <v>456</v>
      </c>
      <c r="M443" s="5">
        <f>LOOKUP(L443,AE:AE,AG:AG)</f>
        <v>2095488194958</v>
      </c>
      <c r="N443" s="5">
        <f>AM443/M443/$K$1</f>
        <v>1.9389410780746976</v>
      </c>
      <c r="O443" s="5">
        <f>SUM($N$9:N443)</f>
        <v>1504.2249670277056</v>
      </c>
      <c r="AE443" s="5">
        <f t="shared" si="49"/>
        <v>435</v>
      </c>
      <c r="AF443" s="5">
        <f t="shared" si="50"/>
        <v>724118454240</v>
      </c>
      <c r="AG443" s="5">
        <f t="shared" si="51"/>
        <v>717520563996</v>
      </c>
      <c r="AH443" s="5">
        <f>AG443*$AF$1</f>
        <v>7175205639960</v>
      </c>
      <c r="AI443" s="5">
        <f>SUM($AF$9:AF442)</f>
        <v>13789590609548</v>
      </c>
      <c r="AK443" s="5">
        <f t="shared" si="52"/>
        <v>435</v>
      </c>
      <c r="AL443" s="5">
        <f t="shared" si="53"/>
        <v>63</v>
      </c>
      <c r="AM443" s="5">
        <f t="shared" si="54"/>
        <v>6094542209737</v>
      </c>
      <c r="AN443" s="5">
        <f>$AL$4*$AL$3^AL443*$AL$2</f>
        <v>6094542209737.4541</v>
      </c>
      <c r="AO443" s="5">
        <f>IF(AL443=AL444,1,LOOKUP(MOD(AL443,$AL$1),$AN$1:$AN$5,$AO$1:$AO$5))</f>
        <v>1</v>
      </c>
      <c r="AP443" s="5">
        <f t="shared" si="55"/>
        <v>1964474105605</v>
      </c>
      <c r="AQ443" s="5">
        <f>AM443*$AR$3</f>
        <v>812605627964.93335</v>
      </c>
      <c r="AR443" s="5">
        <f>AM443*AL443*$AR$4</f>
        <v>1151868477640.293</v>
      </c>
      <c r="AS443" s="5">
        <f>SUM($AP$9:AP442)</f>
        <v>42316909631699</v>
      </c>
    </row>
    <row r="444" spans="1:45" x14ac:dyDescent="0.15">
      <c r="A444" s="5">
        <v>436</v>
      </c>
      <c r="J444" s="5">
        <f t="shared" si="48"/>
        <v>436</v>
      </c>
      <c r="K444" s="5">
        <f>SUM($AP$9:AP443)</f>
        <v>44281383737304</v>
      </c>
      <c r="L444" s="5">
        <f>LOOKUP(K444,AI:AI,AE:AE)</f>
        <v>457</v>
      </c>
      <c r="M444" s="5">
        <f>LOOKUP(L444,AE:AE,AG:AG)</f>
        <v>2205087741997</v>
      </c>
      <c r="N444" s="5">
        <f>AM444/M444/$K$1</f>
        <v>1.8425698272419104</v>
      </c>
      <c r="O444" s="5">
        <f>SUM($N$9:N444)</f>
        <v>1506.0675368549475</v>
      </c>
      <c r="AE444" s="5">
        <f t="shared" si="49"/>
        <v>436</v>
      </c>
      <c r="AF444" s="5">
        <f t="shared" si="50"/>
        <v>762056323141</v>
      </c>
      <c r="AG444" s="5">
        <f t="shared" si="51"/>
        <v>755128538385</v>
      </c>
      <c r="AH444" s="5">
        <f>AG444*$AF$1</f>
        <v>7551285383850</v>
      </c>
      <c r="AI444" s="5">
        <f>SUM($AF$9:AF443)</f>
        <v>14513709063788</v>
      </c>
      <c r="AK444" s="5">
        <f t="shared" si="52"/>
        <v>436</v>
      </c>
      <c r="AL444" s="5">
        <f t="shared" si="53"/>
        <v>63</v>
      </c>
      <c r="AM444" s="5">
        <f t="shared" si="54"/>
        <v>6094542209737</v>
      </c>
      <c r="AN444" s="5">
        <f>$AL$4*$AL$3^AL444*$AL$2</f>
        <v>6094542209737.4541</v>
      </c>
      <c r="AO444" s="5">
        <f>IF(AL444=AL445,1,LOOKUP(MOD(AL444,$AL$1),$AN$1:$AN$5,$AO$1:$AO$5))</f>
        <v>1</v>
      </c>
      <c r="AP444" s="5">
        <f t="shared" si="55"/>
        <v>1964474105605</v>
      </c>
      <c r="AQ444" s="5">
        <f>AM444*$AR$3</f>
        <v>812605627964.93335</v>
      </c>
      <c r="AR444" s="5">
        <f>AM444*AL444*$AR$4</f>
        <v>1151868477640.293</v>
      </c>
      <c r="AS444" s="5">
        <f>SUM($AP$9:AP443)</f>
        <v>44281383737304</v>
      </c>
    </row>
    <row r="445" spans="1:45" x14ac:dyDescent="0.15">
      <c r="A445" s="5">
        <v>437</v>
      </c>
      <c r="J445" s="5">
        <f t="shared" si="48"/>
        <v>437</v>
      </c>
      <c r="K445" s="5">
        <f>SUM($AP$9:AP444)</f>
        <v>46245857842909</v>
      </c>
      <c r="L445" s="5">
        <f>LOOKUP(K445,AI:AI,AE:AE)</f>
        <v>458</v>
      </c>
      <c r="M445" s="5">
        <f>LOOKUP(L445,AE:AE,AG:AG)</f>
        <v>2320408523253</v>
      </c>
      <c r="N445" s="5">
        <f>AM445/M445/$K$1</f>
        <v>1.7509969038247946</v>
      </c>
      <c r="O445" s="5">
        <f>SUM($N$9:N445)</f>
        <v>1507.8185337587724</v>
      </c>
      <c r="AE445" s="5">
        <f t="shared" si="49"/>
        <v>437</v>
      </c>
      <c r="AF445" s="5">
        <f t="shared" si="50"/>
        <v>801977682796</v>
      </c>
      <c r="AG445" s="5">
        <f t="shared" si="51"/>
        <v>794703508803</v>
      </c>
      <c r="AH445" s="5">
        <f>AG445*$AF$1</f>
        <v>7947035088030</v>
      </c>
      <c r="AI445" s="5">
        <f>SUM($AF$9:AF444)</f>
        <v>15275765386929</v>
      </c>
      <c r="AK445" s="5">
        <f t="shared" si="52"/>
        <v>437</v>
      </c>
      <c r="AL445" s="5">
        <f t="shared" si="53"/>
        <v>63</v>
      </c>
      <c r="AM445" s="5">
        <f t="shared" si="54"/>
        <v>6094542209737</v>
      </c>
      <c r="AN445" s="5">
        <f>$AL$4*$AL$3^AL445*$AL$2</f>
        <v>6094542209737.4541</v>
      </c>
      <c r="AO445" s="5">
        <f>IF(AL445=AL446,1,LOOKUP(MOD(AL445,$AL$1),$AN$1:$AN$5,$AO$1:$AO$5))</f>
        <v>1</v>
      </c>
      <c r="AP445" s="5">
        <f t="shared" si="55"/>
        <v>1964474105605</v>
      </c>
      <c r="AQ445" s="5">
        <f>AM445*$AR$3</f>
        <v>812605627964.93335</v>
      </c>
      <c r="AR445" s="5">
        <f>AM445*AL445*$AR$4</f>
        <v>1151868477640.293</v>
      </c>
      <c r="AS445" s="5">
        <f>SUM($AP$9:AP444)</f>
        <v>46245857842909</v>
      </c>
    </row>
    <row r="446" spans="1:45" x14ac:dyDescent="0.15">
      <c r="A446" s="5">
        <v>438</v>
      </c>
      <c r="J446" s="5">
        <f t="shared" si="48"/>
        <v>438</v>
      </c>
      <c r="K446" s="5">
        <f>SUM($AP$9:AP445)</f>
        <v>48210331948514</v>
      </c>
      <c r="L446" s="5">
        <f>LOOKUP(K446,AI:AI,AE:AE)</f>
        <v>459</v>
      </c>
      <c r="M446" s="5">
        <f>LOOKUP(L446,AE:AE,AG:AG)</f>
        <v>2441748663279</v>
      </c>
      <c r="N446" s="5">
        <f>AM446/M446/$K$1</f>
        <v>1.6639829483385347</v>
      </c>
      <c r="O446" s="5">
        <f>SUM($N$9:N446)</f>
        <v>1509.482516707111</v>
      </c>
      <c r="AE446" s="5">
        <f t="shared" si="49"/>
        <v>438</v>
      </c>
      <c r="AF446" s="5">
        <f t="shared" si="50"/>
        <v>843986037610</v>
      </c>
      <c r="AG446" s="5">
        <f t="shared" si="51"/>
        <v>836348154916</v>
      </c>
      <c r="AH446" s="5">
        <f>AG446*$AF$1</f>
        <v>8363481549160</v>
      </c>
      <c r="AI446" s="5">
        <f>SUM($AF$9:AF445)</f>
        <v>16077743069725</v>
      </c>
      <c r="AK446" s="5">
        <f t="shared" si="52"/>
        <v>438</v>
      </c>
      <c r="AL446" s="5">
        <f t="shared" si="53"/>
        <v>63</v>
      </c>
      <c r="AM446" s="5">
        <f t="shared" si="54"/>
        <v>6094542209737</v>
      </c>
      <c r="AN446" s="5">
        <f>$AL$4*$AL$3^AL446*$AL$2</f>
        <v>6094542209737.4541</v>
      </c>
      <c r="AO446" s="5">
        <f>IF(AL446=AL447,1,LOOKUP(MOD(AL446,$AL$1),$AN$1:$AN$5,$AO$1:$AO$5))</f>
        <v>1</v>
      </c>
      <c r="AP446" s="5">
        <f t="shared" si="55"/>
        <v>1964474105605</v>
      </c>
      <c r="AQ446" s="5">
        <f>AM446*$AR$3</f>
        <v>812605627964.93335</v>
      </c>
      <c r="AR446" s="5">
        <f>AM446*AL446*$AR$4</f>
        <v>1151868477640.293</v>
      </c>
      <c r="AS446" s="5">
        <f>SUM($AP$9:AP445)</f>
        <v>48210331948514</v>
      </c>
    </row>
    <row r="447" spans="1:45" x14ac:dyDescent="0.15">
      <c r="A447" s="5">
        <v>439</v>
      </c>
      <c r="J447" s="5">
        <f t="shared" si="48"/>
        <v>439</v>
      </c>
      <c r="K447" s="5">
        <f>SUM($AP$9:AP446)</f>
        <v>50174806054119</v>
      </c>
      <c r="L447" s="5">
        <f>LOOKUP(K447,AI:AI,AE:AE)</f>
        <v>460</v>
      </c>
      <c r="M447" s="5">
        <f>LOOKUP(L447,AE:AE,AG:AG)</f>
        <v>2569421795999</v>
      </c>
      <c r="N447" s="5">
        <f>AM447/M447/$K$1</f>
        <v>1.5813005658126862</v>
      </c>
      <c r="O447" s="5">
        <f>SUM($N$9:N447)</f>
        <v>1511.0638172729236</v>
      </c>
      <c r="AE447" s="5">
        <f t="shared" si="49"/>
        <v>439</v>
      </c>
      <c r="AF447" s="5">
        <f t="shared" si="50"/>
        <v>888190283697</v>
      </c>
      <c r="AG447" s="5">
        <f t="shared" si="51"/>
        <v>880170506869</v>
      </c>
      <c r="AH447" s="5">
        <f>AG447*$AF$1</f>
        <v>8801705068690</v>
      </c>
      <c r="AI447" s="5">
        <f>SUM($AF$9:AF446)</f>
        <v>16921729107335</v>
      </c>
      <c r="AK447" s="5">
        <f t="shared" si="52"/>
        <v>439</v>
      </c>
      <c r="AL447" s="5">
        <f t="shared" si="53"/>
        <v>63</v>
      </c>
      <c r="AM447" s="5">
        <f t="shared" si="54"/>
        <v>6094542209737</v>
      </c>
      <c r="AN447" s="5">
        <f>$AL$4*$AL$3^AL447*$AL$2</f>
        <v>6094542209737.4541</v>
      </c>
      <c r="AO447" s="5">
        <f>IF(AL447=AL448,1,LOOKUP(MOD(AL447,$AL$1),$AN$1:$AN$5,$AO$1:$AO$5))</f>
        <v>1</v>
      </c>
      <c r="AP447" s="5">
        <f t="shared" si="55"/>
        <v>1964474105605</v>
      </c>
      <c r="AQ447" s="5">
        <f>AM447*$AR$3</f>
        <v>812605627964.93335</v>
      </c>
      <c r="AR447" s="5">
        <f>AM447*AL447*$AR$4</f>
        <v>1151868477640.293</v>
      </c>
      <c r="AS447" s="5">
        <f>SUM($AP$9:AP446)</f>
        <v>50174806054119</v>
      </c>
    </row>
    <row r="448" spans="1:45" x14ac:dyDescent="0.15">
      <c r="A448" s="5">
        <v>440</v>
      </c>
      <c r="J448" s="5">
        <f t="shared" si="48"/>
        <v>440</v>
      </c>
      <c r="K448" s="5">
        <f>SUM($AP$9:AP447)</f>
        <v>52139280159724</v>
      </c>
      <c r="L448" s="5">
        <f>LOOKUP(K448,AI:AI,AE:AE)</f>
        <v>461</v>
      </c>
      <c r="M448" s="5">
        <f>LOOKUP(L448,AE:AE,AG:AG)</f>
        <v>2703757870333</v>
      </c>
      <c r="N448" s="5">
        <f>AM448/M448/$K$1</f>
        <v>1.5027337264206488</v>
      </c>
      <c r="O448" s="5">
        <f>SUM($N$9:N448)</f>
        <v>1512.5665509993444</v>
      </c>
      <c r="AE448" s="5">
        <f t="shared" si="49"/>
        <v>440</v>
      </c>
      <c r="AF448" s="5">
        <f t="shared" si="50"/>
        <v>934704989299</v>
      </c>
      <c r="AG448" s="5">
        <f t="shared" si="51"/>
        <v>926284223630</v>
      </c>
      <c r="AH448" s="5">
        <f>AG448*$AF$1</f>
        <v>9262842236300</v>
      </c>
      <c r="AI448" s="5">
        <f>SUM($AF$9:AF447)</f>
        <v>17809919391032</v>
      </c>
      <c r="AK448" s="5">
        <f t="shared" si="52"/>
        <v>440</v>
      </c>
      <c r="AL448" s="5">
        <f t="shared" si="53"/>
        <v>63</v>
      </c>
      <c r="AM448" s="5">
        <f t="shared" si="54"/>
        <v>6094542209737</v>
      </c>
      <c r="AN448" s="5">
        <f>$AL$4*$AL$3^AL448*$AL$2</f>
        <v>6094542209737.4541</v>
      </c>
      <c r="AO448" s="5">
        <f>IF(AL448=AL449,1,LOOKUP(MOD(AL448,$AL$1),$AN$1:$AN$5,$AO$1:$AO$5))</f>
        <v>1</v>
      </c>
      <c r="AP448" s="5">
        <f t="shared" si="55"/>
        <v>1964474105605</v>
      </c>
      <c r="AQ448" s="5">
        <f>AM448*$AR$3</f>
        <v>812605627964.93335</v>
      </c>
      <c r="AR448" s="5">
        <f>AM448*AL448*$AR$4</f>
        <v>1151868477640.293</v>
      </c>
      <c r="AS448" s="5">
        <f>SUM($AP$9:AP447)</f>
        <v>52139280159724</v>
      </c>
    </row>
    <row r="449" spans="1:45" x14ac:dyDescent="0.15">
      <c r="A449" s="5">
        <v>441</v>
      </c>
      <c r="J449" s="5">
        <f t="shared" si="48"/>
        <v>441</v>
      </c>
      <c r="K449" s="5">
        <f>SUM($AP$9:AP448)</f>
        <v>54103754265329</v>
      </c>
      <c r="L449" s="5">
        <f>LOOKUP(K449,AI:AI,AE:AE)</f>
        <v>461</v>
      </c>
      <c r="M449" s="5">
        <f>LOOKUP(L449,AE:AE,AG:AG)</f>
        <v>2703757870333</v>
      </c>
      <c r="N449" s="5">
        <f>AM449/M449/$K$1</f>
        <v>15.027337264207722</v>
      </c>
      <c r="O449" s="5">
        <f>SUM($N$9:N449)</f>
        <v>1527.5938882635521</v>
      </c>
      <c r="AE449" s="5">
        <f t="shared" si="49"/>
        <v>441</v>
      </c>
      <c r="AF449" s="5">
        <f t="shared" si="50"/>
        <v>983650689752</v>
      </c>
      <c r="AG449" s="5">
        <f t="shared" si="51"/>
        <v>974808885800</v>
      </c>
      <c r="AH449" s="5">
        <f>AG449*$AF$1</f>
        <v>9748088858000</v>
      </c>
      <c r="AI449" s="5">
        <f>SUM($AF$9:AF448)</f>
        <v>18744624380331</v>
      </c>
      <c r="AK449" s="5">
        <f t="shared" si="52"/>
        <v>441</v>
      </c>
      <c r="AL449" s="5">
        <f t="shared" si="53"/>
        <v>63</v>
      </c>
      <c r="AM449" s="5">
        <f t="shared" si="54"/>
        <v>60945422097375</v>
      </c>
      <c r="AN449" s="5">
        <f>$AL$4*$AL$3^AL449*$AL$2</f>
        <v>6094542209737.4541</v>
      </c>
      <c r="AO449" s="5">
        <f>IF(AL449=AL450,1,LOOKUP(MOD(AL449,$AL$1),$AN$1:$AN$5,$AO$1:$AO$5))</f>
        <v>10</v>
      </c>
      <c r="AP449" s="5">
        <f t="shared" si="55"/>
        <v>19644741056054</v>
      </c>
      <c r="AQ449" s="5">
        <f>AM449*$AR$3</f>
        <v>8126056279650</v>
      </c>
      <c r="AR449" s="5">
        <f>AM449*AL449*$AR$4</f>
        <v>11518684776403.875</v>
      </c>
      <c r="AS449" s="5">
        <f>SUM($AP$9:AP448)</f>
        <v>54103754265329</v>
      </c>
    </row>
    <row r="450" spans="1:45" x14ac:dyDescent="0.15">
      <c r="A450" s="5">
        <v>442</v>
      </c>
      <c r="J450" s="5">
        <f t="shared" si="48"/>
        <v>442</v>
      </c>
      <c r="K450" s="5">
        <f>SUM($AP$9:AP449)</f>
        <v>73748495321383</v>
      </c>
      <c r="L450" s="5">
        <f>LOOKUP(K450,AI:AI,AE:AE)</f>
        <v>467</v>
      </c>
      <c r="M450" s="5">
        <f>LOOKUP(L450,AE:AE,AG:AG)</f>
        <v>3670451976580</v>
      </c>
      <c r="N450" s="5">
        <f>AM450/M450/$K$1</f>
        <v>1.7379206212824563</v>
      </c>
      <c r="O450" s="5">
        <f>SUM($N$9:N450)</f>
        <v>1529.3318088848346</v>
      </c>
      <c r="AE450" s="5">
        <f t="shared" si="49"/>
        <v>442</v>
      </c>
      <c r="AF450" s="5">
        <f t="shared" si="50"/>
        <v>1035154197778</v>
      </c>
      <c r="AG450" s="5">
        <f t="shared" si="51"/>
        <v>1025870303627</v>
      </c>
      <c r="AH450" s="5">
        <f>AG450*$AF$1</f>
        <v>10258703036270</v>
      </c>
      <c r="AI450" s="5">
        <f>SUM($AF$9:AF449)</f>
        <v>19728275070083</v>
      </c>
      <c r="AK450" s="5">
        <f t="shared" si="52"/>
        <v>442</v>
      </c>
      <c r="AL450" s="5">
        <f t="shared" si="53"/>
        <v>64</v>
      </c>
      <c r="AM450" s="5">
        <f t="shared" si="54"/>
        <v>9568431269288</v>
      </c>
      <c r="AN450" s="5">
        <f>$AL$4*$AL$3^AL450*$AL$2</f>
        <v>9568431269287.7988</v>
      </c>
      <c r="AO450" s="5">
        <f>IF(AL450=AL451,1,LOOKUP(MOD(AL450,$AL$1),$AN$1:$AN$5,$AO$1:$AO$5))</f>
        <v>1</v>
      </c>
      <c r="AP450" s="5">
        <f t="shared" si="55"/>
        <v>3112929639608</v>
      </c>
      <c r="AQ450" s="5">
        <f>AM450*$AR$3</f>
        <v>1275790835905.0667</v>
      </c>
      <c r="AR450" s="5">
        <f>AM450*AL450*$AR$4</f>
        <v>1837138803703.2961</v>
      </c>
      <c r="AS450" s="5">
        <f>SUM($AP$9:AP449)</f>
        <v>73748495321383</v>
      </c>
    </row>
    <row r="451" spans="1:45" x14ac:dyDescent="0.15">
      <c r="A451" s="5">
        <v>443</v>
      </c>
      <c r="J451" s="5">
        <f t="shared" si="48"/>
        <v>443</v>
      </c>
      <c r="K451" s="5">
        <f>SUM($AP$9:AP450)</f>
        <v>76861424960991</v>
      </c>
      <c r="L451" s="5">
        <f>LOOKUP(K451,AI:AI,AE:AE)</f>
        <v>468</v>
      </c>
      <c r="M451" s="5">
        <f>LOOKUP(L451,AE:AE,AG:AG)</f>
        <v>3862227197626</v>
      </c>
      <c r="N451" s="5">
        <f>AM451/M451/$K$1</f>
        <v>1.6516258244585644</v>
      </c>
      <c r="O451" s="5">
        <f>SUM($N$9:N451)</f>
        <v>1530.9834347092931</v>
      </c>
      <c r="AE451" s="5">
        <f t="shared" si="49"/>
        <v>443</v>
      </c>
      <c r="AF451" s="5">
        <f t="shared" si="50"/>
        <v>1089348929881</v>
      </c>
      <c r="AG451" s="5">
        <f t="shared" si="51"/>
        <v>1079600841023</v>
      </c>
      <c r="AH451" s="5">
        <f>AG451*$AF$1</f>
        <v>10796008410230</v>
      </c>
      <c r="AI451" s="5">
        <f>SUM($AF$9:AF450)</f>
        <v>20763429267861</v>
      </c>
      <c r="AK451" s="5">
        <f t="shared" si="52"/>
        <v>443</v>
      </c>
      <c r="AL451" s="5">
        <f t="shared" si="53"/>
        <v>64</v>
      </c>
      <c r="AM451" s="5">
        <f t="shared" si="54"/>
        <v>9568431269288</v>
      </c>
      <c r="AN451" s="5">
        <f>$AL$4*$AL$3^AL451*$AL$2</f>
        <v>9568431269287.7988</v>
      </c>
      <c r="AO451" s="5">
        <f>IF(AL451=AL452,1,LOOKUP(MOD(AL451,$AL$1),$AN$1:$AN$5,$AO$1:$AO$5))</f>
        <v>1</v>
      </c>
      <c r="AP451" s="5">
        <f t="shared" si="55"/>
        <v>3112929639608</v>
      </c>
      <c r="AQ451" s="5">
        <f>AM451*$AR$3</f>
        <v>1275790835905.0667</v>
      </c>
      <c r="AR451" s="5">
        <f>AM451*AL451*$AR$4</f>
        <v>1837138803703.2961</v>
      </c>
      <c r="AS451" s="5">
        <f>SUM($AP$9:AP450)</f>
        <v>76861424960991</v>
      </c>
    </row>
    <row r="452" spans="1:45" x14ac:dyDescent="0.15">
      <c r="A452" s="5">
        <v>444</v>
      </c>
      <c r="J452" s="5">
        <f t="shared" si="48"/>
        <v>444</v>
      </c>
      <c r="K452" s="5">
        <f>SUM($AP$9:AP451)</f>
        <v>79974354600599</v>
      </c>
      <c r="L452" s="5">
        <f>LOOKUP(K452,AI:AI,AE:AE)</f>
        <v>469</v>
      </c>
      <c r="M452" s="5">
        <f>LOOKUP(L452,AE:AE,AG:AG)</f>
        <v>4064003810836</v>
      </c>
      <c r="N452" s="5">
        <f>AM452/M452/$K$1</f>
        <v>1.5696230802040336</v>
      </c>
      <c r="O452" s="5">
        <f>SUM($N$9:N452)</f>
        <v>1532.5530577894972</v>
      </c>
      <c r="AE452" s="5">
        <f t="shared" si="49"/>
        <v>444</v>
      </c>
      <c r="AF452" s="5">
        <f t="shared" si="50"/>
        <v>1146375249700</v>
      </c>
      <c r="AG452" s="5">
        <f t="shared" si="51"/>
        <v>1136139756399</v>
      </c>
      <c r="AH452" s="5">
        <f>AG452*$AF$1</f>
        <v>11361397563990</v>
      </c>
      <c r="AI452" s="5">
        <f>SUM($AF$9:AF451)</f>
        <v>21852778197742</v>
      </c>
      <c r="AK452" s="5">
        <f t="shared" si="52"/>
        <v>444</v>
      </c>
      <c r="AL452" s="5">
        <f t="shared" si="53"/>
        <v>64</v>
      </c>
      <c r="AM452" s="5">
        <f t="shared" si="54"/>
        <v>9568431269288</v>
      </c>
      <c r="AN452" s="5">
        <f>$AL$4*$AL$3^AL452*$AL$2</f>
        <v>9568431269287.7988</v>
      </c>
      <c r="AO452" s="5">
        <f>IF(AL452=AL453,1,LOOKUP(MOD(AL452,$AL$1),$AN$1:$AN$5,$AO$1:$AO$5))</f>
        <v>1</v>
      </c>
      <c r="AP452" s="5">
        <f t="shared" si="55"/>
        <v>3112929639608</v>
      </c>
      <c r="AQ452" s="5">
        <f>AM452*$AR$3</f>
        <v>1275790835905.0667</v>
      </c>
      <c r="AR452" s="5">
        <f>AM452*AL452*$AR$4</f>
        <v>1837138803703.2961</v>
      </c>
      <c r="AS452" s="5">
        <f>SUM($AP$9:AP451)</f>
        <v>79974354600599</v>
      </c>
    </row>
    <row r="453" spans="1:45" x14ac:dyDescent="0.15">
      <c r="A453" s="5">
        <v>445</v>
      </c>
      <c r="J453" s="5">
        <f t="shared" si="48"/>
        <v>445</v>
      </c>
      <c r="K453" s="5">
        <f>SUM($AP$9:AP452)</f>
        <v>83087284240207</v>
      </c>
      <c r="L453" s="5">
        <f>LOOKUP(K453,AI:AI,AE:AE)</f>
        <v>470</v>
      </c>
      <c r="M453" s="5">
        <f>LOOKUP(L453,AE:AE,AG:AG)</f>
        <v>4276302517372</v>
      </c>
      <c r="N453" s="5">
        <f>AM453/M453/$K$1</f>
        <v>1.4916985301230552</v>
      </c>
      <c r="O453" s="5">
        <f>SUM($N$9:N453)</f>
        <v>1534.0447563196203</v>
      </c>
      <c r="AE453" s="5">
        <f t="shared" si="49"/>
        <v>445</v>
      </c>
      <c r="AF453" s="5">
        <f t="shared" si="50"/>
        <v>1206380829177</v>
      </c>
      <c r="AG453" s="5">
        <f t="shared" si="51"/>
        <v>1195633561211</v>
      </c>
      <c r="AH453" s="5">
        <f>AG453*$AF$1</f>
        <v>11956335612110</v>
      </c>
      <c r="AI453" s="5">
        <f>SUM($AF$9:AF452)</f>
        <v>22999153447442</v>
      </c>
      <c r="AK453" s="5">
        <f t="shared" si="52"/>
        <v>445</v>
      </c>
      <c r="AL453" s="5">
        <f t="shared" si="53"/>
        <v>64</v>
      </c>
      <c r="AM453" s="5">
        <f t="shared" si="54"/>
        <v>9568431269288</v>
      </c>
      <c r="AN453" s="5">
        <f>$AL$4*$AL$3^AL453*$AL$2</f>
        <v>9568431269287.7988</v>
      </c>
      <c r="AO453" s="5">
        <f>IF(AL453=AL454,1,LOOKUP(MOD(AL453,$AL$1),$AN$1:$AN$5,$AO$1:$AO$5))</f>
        <v>1</v>
      </c>
      <c r="AP453" s="5">
        <f t="shared" si="55"/>
        <v>3112929639608</v>
      </c>
      <c r="AQ453" s="5">
        <f>AM453*$AR$3</f>
        <v>1275790835905.0667</v>
      </c>
      <c r="AR453" s="5">
        <f>AM453*AL453*$AR$4</f>
        <v>1837138803703.2961</v>
      </c>
      <c r="AS453" s="5">
        <f>SUM($AP$9:AP452)</f>
        <v>83087284240207</v>
      </c>
    </row>
    <row r="454" spans="1:45" x14ac:dyDescent="0.15">
      <c r="A454" s="5">
        <v>446</v>
      </c>
      <c r="J454" s="5">
        <f t="shared" si="48"/>
        <v>446</v>
      </c>
      <c r="K454" s="5">
        <f>SUM($AP$9:AP453)</f>
        <v>86200213879815</v>
      </c>
      <c r="L454" s="5">
        <f>LOOKUP(K454,AI:AI,AE:AE)</f>
        <v>470</v>
      </c>
      <c r="M454" s="5">
        <f>LOOKUP(L454,AE:AE,AG:AG)</f>
        <v>4276302517372</v>
      </c>
      <c r="N454" s="5">
        <f>AM454/M454/$K$1</f>
        <v>1.4916985301230552</v>
      </c>
      <c r="O454" s="5">
        <f>SUM($N$9:N454)</f>
        <v>1535.5364548497434</v>
      </c>
      <c r="AE454" s="5">
        <f t="shared" si="49"/>
        <v>446</v>
      </c>
      <c r="AF454" s="5">
        <f t="shared" si="50"/>
        <v>1269521028477</v>
      </c>
      <c r="AG454" s="5">
        <f t="shared" si="51"/>
        <v>1258236397112</v>
      </c>
      <c r="AH454" s="5">
        <f>AG454*$AF$1</f>
        <v>12582363971120</v>
      </c>
      <c r="AI454" s="5">
        <f>SUM($AF$9:AF453)</f>
        <v>24205534276619</v>
      </c>
      <c r="AK454" s="5">
        <f t="shared" si="52"/>
        <v>446</v>
      </c>
      <c r="AL454" s="5">
        <f t="shared" si="53"/>
        <v>64</v>
      </c>
      <c r="AM454" s="5">
        <f t="shared" si="54"/>
        <v>9568431269288</v>
      </c>
      <c r="AN454" s="5">
        <f>$AL$4*$AL$3^AL454*$AL$2</f>
        <v>9568431269287.7988</v>
      </c>
      <c r="AO454" s="5">
        <f>IF(AL454=AL455,1,LOOKUP(MOD(AL454,$AL$1),$AN$1:$AN$5,$AO$1:$AO$5))</f>
        <v>1</v>
      </c>
      <c r="AP454" s="5">
        <f t="shared" si="55"/>
        <v>3112929639608</v>
      </c>
      <c r="AQ454" s="5">
        <f>AM454*$AR$3</f>
        <v>1275790835905.0667</v>
      </c>
      <c r="AR454" s="5">
        <f>AM454*AL454*$AR$4</f>
        <v>1837138803703.2961</v>
      </c>
      <c r="AS454" s="5">
        <f>SUM($AP$9:AP453)</f>
        <v>86200213879815</v>
      </c>
    </row>
    <row r="455" spans="1:45" x14ac:dyDescent="0.15">
      <c r="A455" s="5">
        <v>447</v>
      </c>
      <c r="J455" s="5">
        <f t="shared" si="48"/>
        <v>447</v>
      </c>
      <c r="K455" s="5">
        <f>SUM($AP$9:AP454)</f>
        <v>89313143519423</v>
      </c>
      <c r="L455" s="5">
        <f>LOOKUP(K455,AI:AI,AE:AE)</f>
        <v>471</v>
      </c>
      <c r="M455" s="5">
        <f>LOOKUP(L455,AE:AE,AG:AG)</f>
        <v>4499671085034</v>
      </c>
      <c r="N455" s="5">
        <f>AM455/M455/$K$1</f>
        <v>1.4176489923323212</v>
      </c>
      <c r="O455" s="5">
        <f>SUM($N$9:N455)</f>
        <v>1536.9541038420757</v>
      </c>
      <c r="AE455" s="5">
        <f t="shared" si="49"/>
        <v>447</v>
      </c>
      <c r="AF455" s="5">
        <f t="shared" si="50"/>
        <v>1335959295634</v>
      </c>
      <c r="AG455" s="5">
        <f t="shared" si="51"/>
        <v>1324110432701</v>
      </c>
      <c r="AH455" s="5">
        <f>AG455*$AF$1</f>
        <v>13241104327010</v>
      </c>
      <c r="AI455" s="5">
        <f>SUM($AF$9:AF454)</f>
        <v>25475055305096</v>
      </c>
      <c r="AK455" s="5">
        <f t="shared" si="52"/>
        <v>447</v>
      </c>
      <c r="AL455" s="5">
        <f t="shared" si="53"/>
        <v>64</v>
      </c>
      <c r="AM455" s="5">
        <f t="shared" si="54"/>
        <v>9568431269288</v>
      </c>
      <c r="AN455" s="5">
        <f>$AL$4*$AL$3^AL455*$AL$2</f>
        <v>9568431269287.7988</v>
      </c>
      <c r="AO455" s="5">
        <f>IF(AL455=AL456,1,LOOKUP(MOD(AL455,$AL$1),$AN$1:$AN$5,$AO$1:$AO$5))</f>
        <v>1</v>
      </c>
      <c r="AP455" s="5">
        <f t="shared" si="55"/>
        <v>3112929639608</v>
      </c>
      <c r="AQ455" s="5">
        <f>AM455*$AR$3</f>
        <v>1275790835905.0667</v>
      </c>
      <c r="AR455" s="5">
        <f>AM455*AL455*$AR$4</f>
        <v>1837138803703.2961</v>
      </c>
      <c r="AS455" s="5">
        <f>SUM($AP$9:AP454)</f>
        <v>89313143519423</v>
      </c>
    </row>
    <row r="456" spans="1:45" x14ac:dyDescent="0.15">
      <c r="A456" s="5">
        <v>448</v>
      </c>
      <c r="J456" s="5">
        <f t="shared" si="48"/>
        <v>448</v>
      </c>
      <c r="K456" s="5">
        <f>SUM($AP$9:AP455)</f>
        <v>92426073159031</v>
      </c>
      <c r="L456" s="5">
        <f>LOOKUP(K456,AI:AI,AE:AE)</f>
        <v>472</v>
      </c>
      <c r="M456" s="5">
        <f>LOOKUP(L456,AE:AE,AG:AG)</f>
        <v>4734685753170</v>
      </c>
      <c r="N456" s="5">
        <f>AM456/M456/$K$1</f>
        <v>2.6945628546749703</v>
      </c>
      <c r="O456" s="5">
        <f>SUM($N$9:N456)</f>
        <v>1539.6486666967508</v>
      </c>
      <c r="AE456" s="5">
        <f t="shared" si="49"/>
        <v>448</v>
      </c>
      <c r="AF456" s="5">
        <f t="shared" si="50"/>
        <v>1405867586935</v>
      </c>
      <c r="AG456" s="5">
        <f t="shared" si="51"/>
        <v>1393426280856</v>
      </c>
      <c r="AH456" s="5">
        <f>AG456*$AF$1</f>
        <v>13934262808560</v>
      </c>
      <c r="AI456" s="5">
        <f>SUM($AF$9:AF455)</f>
        <v>26811014600730</v>
      </c>
      <c r="AK456" s="5">
        <f t="shared" si="52"/>
        <v>448</v>
      </c>
      <c r="AL456" s="5">
        <f t="shared" si="53"/>
        <v>64</v>
      </c>
      <c r="AM456" s="5">
        <f t="shared" si="54"/>
        <v>19136862538576</v>
      </c>
      <c r="AN456" s="5">
        <f>$AL$4*$AL$3^AL456*$AL$2</f>
        <v>9568431269287.7988</v>
      </c>
      <c r="AO456" s="5">
        <f>IF(AL456=AL457,1,LOOKUP(MOD(AL456,$AL$1),$AN$1:$AN$5,$AO$1:$AO$5))</f>
        <v>2</v>
      </c>
      <c r="AP456" s="5">
        <f t="shared" si="55"/>
        <v>6225859279217</v>
      </c>
      <c r="AQ456" s="5">
        <f>AM456*$AR$3</f>
        <v>2551581671810.1333</v>
      </c>
      <c r="AR456" s="5">
        <f>AM456*AL456*$AR$4</f>
        <v>3674277607406.5923</v>
      </c>
      <c r="AS456" s="5">
        <f>SUM($AP$9:AP455)</f>
        <v>92426073159031</v>
      </c>
    </row>
    <row r="457" spans="1:45" x14ac:dyDescent="0.15">
      <c r="A457" s="5">
        <v>449</v>
      </c>
      <c r="J457" s="5">
        <f t="shared" si="48"/>
        <v>449</v>
      </c>
      <c r="K457" s="5">
        <f>SUM($AP$9:AP456)</f>
        <v>98651932438248</v>
      </c>
      <c r="L457" s="5">
        <f>LOOKUP(K457,AI:AI,AE:AE)</f>
        <v>473</v>
      </c>
      <c r="M457" s="5">
        <f>LOOKUP(L457,AE:AE,AG:AG)</f>
        <v>4981952710407</v>
      </c>
      <c r="N457" s="5">
        <f>AM457/M457/$K$1</f>
        <v>2.0102475161865789</v>
      </c>
      <c r="O457" s="5">
        <f>SUM($N$9:N457)</f>
        <v>1541.6589142129374</v>
      </c>
      <c r="AE457" s="5">
        <f t="shared" si="49"/>
        <v>449</v>
      </c>
      <c r="AF457" s="5">
        <f t="shared" si="50"/>
        <v>1479426809128</v>
      </c>
      <c r="AG457" s="5">
        <f t="shared" si="51"/>
        <v>1466363437745</v>
      </c>
      <c r="AH457" s="5">
        <f>AG457*$AF$1</f>
        <v>14663634377450</v>
      </c>
      <c r="AI457" s="5">
        <f>SUM($AF$9:AF456)</f>
        <v>28216882187665</v>
      </c>
      <c r="AK457" s="5">
        <f t="shared" si="52"/>
        <v>449</v>
      </c>
      <c r="AL457" s="5">
        <f t="shared" si="53"/>
        <v>65</v>
      </c>
      <c r="AM457" s="5">
        <f t="shared" si="54"/>
        <v>15022437092782</v>
      </c>
      <c r="AN457" s="5">
        <f>$AL$4*$AL$3^AL457*$AL$2</f>
        <v>15022437092781.848</v>
      </c>
      <c r="AO457" s="5">
        <f>IF(AL457=AL458,1,LOOKUP(MOD(AL457,$AL$1),$AN$1:$AN$5,$AO$1:$AO$5))</f>
        <v>1</v>
      </c>
      <c r="AP457" s="5">
        <f t="shared" si="55"/>
        <v>4932366845463</v>
      </c>
      <c r="AQ457" s="5">
        <f>AM457*$AR$3</f>
        <v>2002991612370.9333</v>
      </c>
      <c r="AR457" s="5">
        <f>AM457*AL457*$AR$4</f>
        <v>2929375233092.4902</v>
      </c>
      <c r="AS457" s="5">
        <f>SUM($AP$9:AP456)</f>
        <v>98651932438248</v>
      </c>
    </row>
    <row r="458" spans="1:45" x14ac:dyDescent="0.15">
      <c r="A458" s="5">
        <v>450</v>
      </c>
      <c r="J458" s="5">
        <f t="shared" ref="J458:J521" si="56">A458</f>
        <v>450</v>
      </c>
      <c r="K458" s="5">
        <f>SUM($AP$9:AP457)</f>
        <v>103584299283711</v>
      </c>
      <c r="L458" s="5">
        <f>LOOKUP(K458,AI:AI,AE:AE)</f>
        <v>474</v>
      </c>
      <c r="M458" s="5">
        <f>LOOKUP(L458,AE:AE,AG:AG)</f>
        <v>5242109648984</v>
      </c>
      <c r="N458" s="5">
        <f>AM458/M458/$K$1</f>
        <v>1.9104823692109754</v>
      </c>
      <c r="O458" s="5">
        <f>SUM($N$9:N458)</f>
        <v>1543.5693965821483</v>
      </c>
      <c r="AE458" s="5">
        <f t="shared" ref="AE458:AE521" si="57">A458</f>
        <v>450</v>
      </c>
      <c r="AF458" s="5">
        <f t="shared" ref="AF458:AF521" si="58">ROUND(1.05^AE458*(AE458+4),0)</f>
        <v>1556827284572</v>
      </c>
      <c r="AG458" s="5">
        <f t="shared" ref="AG458:AG521" si="59">ROUND(1.05^AE458*AE458,0)</f>
        <v>1543110744620</v>
      </c>
      <c r="AH458" s="5">
        <f>AG458*$AF$1</f>
        <v>15431107446200</v>
      </c>
      <c r="AI458" s="5">
        <f>SUM($AF$9:AF457)</f>
        <v>29696308996793</v>
      </c>
      <c r="AK458" s="5">
        <f t="shared" ref="AK458:AK521" si="60">A458</f>
        <v>450</v>
      </c>
      <c r="AL458" s="5">
        <f t="shared" ref="AL458:AL521" si="61">ROUNDUP(AK458/$AL$1,0)</f>
        <v>65</v>
      </c>
      <c r="AM458" s="5">
        <f t="shared" ref="AM458:AM521" si="62">ROUND(AN458*AO458,0)</f>
        <v>15022437092782</v>
      </c>
      <c r="AN458" s="5">
        <f>$AL$4*$AL$3^AL458*$AL$2</f>
        <v>15022437092781.848</v>
      </c>
      <c r="AO458" s="5">
        <f>IF(AL458=AL459,1,LOOKUP(MOD(AL458,$AL$1),$AN$1:$AN$5,$AO$1:$AO$5))</f>
        <v>1</v>
      </c>
      <c r="AP458" s="5">
        <f t="shared" ref="AP458:AP521" si="63">ROUND(AQ458+AR458,0)</f>
        <v>4932366845463</v>
      </c>
      <c r="AQ458" s="5">
        <f>AM458*$AR$3</f>
        <v>2002991612370.9333</v>
      </c>
      <c r="AR458" s="5">
        <f>AM458*AL458*$AR$4</f>
        <v>2929375233092.4902</v>
      </c>
      <c r="AS458" s="5">
        <f>SUM($AP$9:AP457)</f>
        <v>103584299283711</v>
      </c>
    </row>
    <row r="459" spans="1:45" x14ac:dyDescent="0.15">
      <c r="A459" s="5">
        <v>451</v>
      </c>
      <c r="J459" s="5">
        <f t="shared" si="56"/>
        <v>451</v>
      </c>
      <c r="K459" s="5">
        <f>SUM($AP$9:AP458)</f>
        <v>108516666129174</v>
      </c>
      <c r="L459" s="5">
        <f>LOOKUP(K459,AI:AI,AE:AE)</f>
        <v>475</v>
      </c>
      <c r="M459" s="5">
        <f>LOOKUP(L459,AE:AE,AG:AG)</f>
        <v>5515827399643</v>
      </c>
      <c r="N459" s="5">
        <f>AM459/M459/$K$1</f>
        <v>1.8156764772050089</v>
      </c>
      <c r="O459" s="5">
        <f>SUM($N$9:N459)</f>
        <v>1545.3850730593533</v>
      </c>
      <c r="AE459" s="5">
        <f t="shared" si="57"/>
        <v>451</v>
      </c>
      <c r="AF459" s="5">
        <f t="shared" si="58"/>
        <v>1638269240538</v>
      </c>
      <c r="AG459" s="5">
        <f t="shared" si="59"/>
        <v>1623866873588</v>
      </c>
      <c r="AH459" s="5">
        <f>AG459*$AF$1</f>
        <v>16238668735880</v>
      </c>
      <c r="AI459" s="5">
        <f>SUM($AF$9:AF458)</f>
        <v>31253136281365</v>
      </c>
      <c r="AK459" s="5">
        <f t="shared" si="60"/>
        <v>451</v>
      </c>
      <c r="AL459" s="5">
        <f t="shared" si="61"/>
        <v>65</v>
      </c>
      <c r="AM459" s="5">
        <f t="shared" si="62"/>
        <v>15022437092782</v>
      </c>
      <c r="AN459" s="5">
        <f>$AL$4*$AL$3^AL459*$AL$2</f>
        <v>15022437092781.848</v>
      </c>
      <c r="AO459" s="5">
        <f>IF(AL459=AL460,1,LOOKUP(MOD(AL459,$AL$1),$AN$1:$AN$5,$AO$1:$AO$5))</f>
        <v>1</v>
      </c>
      <c r="AP459" s="5">
        <f t="shared" si="63"/>
        <v>4932366845463</v>
      </c>
      <c r="AQ459" s="5">
        <f>AM459*$AR$3</f>
        <v>2002991612370.9333</v>
      </c>
      <c r="AR459" s="5">
        <f>AM459*AL459*$AR$4</f>
        <v>2929375233092.4902</v>
      </c>
      <c r="AS459" s="5">
        <f>SUM($AP$9:AP458)</f>
        <v>108516666129174</v>
      </c>
    </row>
    <row r="460" spans="1:45" x14ac:dyDescent="0.15">
      <c r="A460" s="5">
        <v>452</v>
      </c>
      <c r="J460" s="5">
        <f t="shared" si="56"/>
        <v>452</v>
      </c>
      <c r="K460" s="5">
        <f>SUM($AP$9:AP459)</f>
        <v>113449032974637</v>
      </c>
      <c r="L460" s="5">
        <f>LOOKUP(K460,AI:AI,AE:AE)</f>
        <v>476</v>
      </c>
      <c r="M460" s="5">
        <f>LOOKUP(L460,AE:AE,AG:AG)</f>
        <v>5803811651245</v>
      </c>
      <c r="N460" s="5">
        <f>AM460/M460/$K$1</f>
        <v>1.7255828864994811</v>
      </c>
      <c r="O460" s="5">
        <f>SUM($N$9:N460)</f>
        <v>1547.1106559458528</v>
      </c>
      <c r="AE460" s="5">
        <f t="shared" si="57"/>
        <v>452</v>
      </c>
      <c r="AF460" s="5">
        <f t="shared" si="58"/>
        <v>1723963323889</v>
      </c>
      <c r="AG460" s="5">
        <f t="shared" si="59"/>
        <v>1708840838592</v>
      </c>
      <c r="AH460" s="5">
        <f>AG460*$AF$1</f>
        <v>17088408385920</v>
      </c>
      <c r="AI460" s="5">
        <f>SUM($AF$9:AF459)</f>
        <v>32891405521903</v>
      </c>
      <c r="AK460" s="5">
        <f t="shared" si="60"/>
        <v>452</v>
      </c>
      <c r="AL460" s="5">
        <f t="shared" si="61"/>
        <v>65</v>
      </c>
      <c r="AM460" s="5">
        <f t="shared" si="62"/>
        <v>15022437092782</v>
      </c>
      <c r="AN460" s="5">
        <f>$AL$4*$AL$3^AL460*$AL$2</f>
        <v>15022437092781.848</v>
      </c>
      <c r="AO460" s="5">
        <f>IF(AL460=AL461,1,LOOKUP(MOD(AL460,$AL$1),$AN$1:$AN$5,$AO$1:$AO$5))</f>
        <v>1</v>
      </c>
      <c r="AP460" s="5">
        <f t="shared" si="63"/>
        <v>4932366845463</v>
      </c>
      <c r="AQ460" s="5">
        <f>AM460*$AR$3</f>
        <v>2002991612370.9333</v>
      </c>
      <c r="AR460" s="5">
        <f>AM460*AL460*$AR$4</f>
        <v>2929375233092.4902</v>
      </c>
      <c r="AS460" s="5">
        <f>SUM($AP$9:AP459)</f>
        <v>113449032974637</v>
      </c>
    </row>
    <row r="461" spans="1:45" x14ac:dyDescent="0.15">
      <c r="A461" s="5">
        <v>453</v>
      </c>
      <c r="J461" s="5">
        <f t="shared" si="56"/>
        <v>453</v>
      </c>
      <c r="K461" s="5">
        <f>SUM($AP$9:AP460)</f>
        <v>118381399820100</v>
      </c>
      <c r="L461" s="5">
        <f>LOOKUP(K461,AI:AI,AE:AE)</f>
        <v>477</v>
      </c>
      <c r="M461" s="5">
        <f>LOOKUP(L461,AE:AE,AG:AG)</f>
        <v>6106804759509</v>
      </c>
      <c r="N461" s="5">
        <f>AM461/M461/$K$1</f>
        <v>1.6399669641083943</v>
      </c>
      <c r="O461" s="5">
        <f>SUM($N$9:N461)</f>
        <v>1548.7506229099613</v>
      </c>
      <c r="AE461" s="5">
        <f t="shared" si="57"/>
        <v>453</v>
      </c>
      <c r="AF461" s="5">
        <f t="shared" si="58"/>
        <v>1814131142474</v>
      </c>
      <c r="AG461" s="5">
        <f t="shared" si="59"/>
        <v>1798252532912</v>
      </c>
      <c r="AH461" s="5">
        <f>AG461*$AF$1</f>
        <v>17982525329120</v>
      </c>
      <c r="AI461" s="5">
        <f>SUM($AF$9:AF460)</f>
        <v>34615368845792</v>
      </c>
      <c r="AK461" s="5">
        <f t="shared" si="60"/>
        <v>453</v>
      </c>
      <c r="AL461" s="5">
        <f t="shared" si="61"/>
        <v>65</v>
      </c>
      <c r="AM461" s="5">
        <f t="shared" si="62"/>
        <v>15022437092782</v>
      </c>
      <c r="AN461" s="5">
        <f>$AL$4*$AL$3^AL461*$AL$2</f>
        <v>15022437092781.848</v>
      </c>
      <c r="AO461" s="5">
        <f>IF(AL461=AL462,1,LOOKUP(MOD(AL461,$AL$1),$AN$1:$AN$5,$AO$1:$AO$5))</f>
        <v>1</v>
      </c>
      <c r="AP461" s="5">
        <f t="shared" si="63"/>
        <v>4932366845463</v>
      </c>
      <c r="AQ461" s="5">
        <f>AM461*$AR$3</f>
        <v>2002991612370.9333</v>
      </c>
      <c r="AR461" s="5">
        <f>AM461*AL461*$AR$4</f>
        <v>2929375233092.4902</v>
      </c>
      <c r="AS461" s="5">
        <f>SUM($AP$9:AP460)</f>
        <v>118381399820100</v>
      </c>
    </row>
    <row r="462" spans="1:45" x14ac:dyDescent="0.15">
      <c r="A462" s="5">
        <v>454</v>
      </c>
      <c r="J462" s="5">
        <f t="shared" si="56"/>
        <v>454</v>
      </c>
      <c r="K462" s="5">
        <f>SUM($AP$9:AP461)</f>
        <v>123313766665563</v>
      </c>
      <c r="L462" s="5">
        <f>LOOKUP(K462,AI:AI,AE:AE)</f>
        <v>477</v>
      </c>
      <c r="M462" s="5">
        <f>LOOKUP(L462,AE:AE,AG:AG)</f>
        <v>6106804759509</v>
      </c>
      <c r="N462" s="5">
        <f>AM462/M462/$K$1</f>
        <v>1.6399669641083943</v>
      </c>
      <c r="O462" s="5">
        <f>SUM($N$9:N462)</f>
        <v>1550.3905898740697</v>
      </c>
      <c r="AE462" s="5">
        <f t="shared" si="57"/>
        <v>454</v>
      </c>
      <c r="AF462" s="5">
        <f t="shared" si="58"/>
        <v>1909005834608</v>
      </c>
      <c r="AG462" s="5">
        <f t="shared" si="59"/>
        <v>1892333294568</v>
      </c>
      <c r="AH462" s="5">
        <f>AG462*$AF$1</f>
        <v>18923332945680</v>
      </c>
      <c r="AI462" s="5">
        <f>SUM($AF$9:AF461)</f>
        <v>36429499988266</v>
      </c>
      <c r="AK462" s="5">
        <f t="shared" si="60"/>
        <v>454</v>
      </c>
      <c r="AL462" s="5">
        <f t="shared" si="61"/>
        <v>65</v>
      </c>
      <c r="AM462" s="5">
        <f t="shared" si="62"/>
        <v>15022437092782</v>
      </c>
      <c r="AN462" s="5">
        <f>$AL$4*$AL$3^AL462*$AL$2</f>
        <v>15022437092781.848</v>
      </c>
      <c r="AO462" s="5">
        <f>IF(AL462=AL463,1,LOOKUP(MOD(AL462,$AL$1),$AN$1:$AN$5,$AO$1:$AO$5))</f>
        <v>1</v>
      </c>
      <c r="AP462" s="5">
        <f t="shared" si="63"/>
        <v>4932366845463</v>
      </c>
      <c r="AQ462" s="5">
        <f>AM462*$AR$3</f>
        <v>2002991612370.9333</v>
      </c>
      <c r="AR462" s="5">
        <f>AM462*AL462*$AR$4</f>
        <v>2929375233092.4902</v>
      </c>
      <c r="AS462" s="5">
        <f>SUM($AP$9:AP461)</f>
        <v>123313766665563</v>
      </c>
    </row>
    <row r="463" spans="1:45" x14ac:dyDescent="0.15">
      <c r="A463" s="5">
        <v>455</v>
      </c>
      <c r="J463" s="5">
        <f t="shared" si="56"/>
        <v>455</v>
      </c>
      <c r="K463" s="5">
        <f>SUM($AP$9:AP462)</f>
        <v>128246133511026</v>
      </c>
      <c r="L463" s="5">
        <f>LOOKUP(K463,AI:AI,AE:AE)</f>
        <v>478</v>
      </c>
      <c r="M463" s="5">
        <f>LOOKUP(L463,AE:AE,AG:AG)</f>
        <v>6425587649471</v>
      </c>
      <c r="N463" s="5">
        <f>AM463/M463/$K$1</f>
        <v>6.2344231271541384</v>
      </c>
      <c r="O463" s="5">
        <f>SUM($N$9:N463)</f>
        <v>1556.6250130012238</v>
      </c>
      <c r="AE463" s="5">
        <f t="shared" si="57"/>
        <v>455</v>
      </c>
      <c r="AF463" s="5">
        <f t="shared" si="58"/>
        <v>2008832668099</v>
      </c>
      <c r="AG463" s="5">
        <f t="shared" si="59"/>
        <v>1991326501057</v>
      </c>
      <c r="AH463" s="5">
        <f>AG463*$AF$1</f>
        <v>19913265010570</v>
      </c>
      <c r="AI463" s="5">
        <f>SUM($AF$9:AF462)</f>
        <v>38338505822874</v>
      </c>
      <c r="AK463" s="5">
        <f t="shared" si="60"/>
        <v>455</v>
      </c>
      <c r="AL463" s="5">
        <f t="shared" si="61"/>
        <v>65</v>
      </c>
      <c r="AM463" s="5">
        <f t="shared" si="62"/>
        <v>60089748371127</v>
      </c>
      <c r="AN463" s="5">
        <f>$AL$4*$AL$3^AL463*$AL$2</f>
        <v>15022437092781.848</v>
      </c>
      <c r="AO463" s="5">
        <f>IF(AL463=AL464,1,LOOKUP(MOD(AL463,$AL$1),$AN$1:$AN$5,$AO$1:$AO$5))</f>
        <v>4</v>
      </c>
      <c r="AP463" s="5">
        <f t="shared" si="63"/>
        <v>19729467381853</v>
      </c>
      <c r="AQ463" s="5">
        <f>AM463*$AR$3</f>
        <v>8011966449483.5996</v>
      </c>
      <c r="AR463" s="5">
        <f>AM463*AL463*$AR$4</f>
        <v>11717500932369.766</v>
      </c>
      <c r="AS463" s="5">
        <f>SUM($AP$9:AP462)</f>
        <v>128246133511026</v>
      </c>
    </row>
    <row r="464" spans="1:45" x14ac:dyDescent="0.15">
      <c r="A464" s="5">
        <v>456</v>
      </c>
      <c r="J464" s="5">
        <f t="shared" si="56"/>
        <v>456</v>
      </c>
      <c r="K464" s="5">
        <f>SUM($AP$9:AP463)</f>
        <v>147975600892879</v>
      </c>
      <c r="L464" s="5">
        <f>LOOKUP(K464,AI:AI,AE:AE)</f>
        <v>481</v>
      </c>
      <c r="M464" s="5">
        <f>LOOKUP(L464,AE:AE,AG:AG)</f>
        <v>7485105552735</v>
      </c>
      <c r="N464" s="5">
        <f>AM464/M464/$K$1</f>
        <v>2.1006362630874</v>
      </c>
      <c r="O464" s="5">
        <f>SUM($N$9:N464)</f>
        <v>1558.7256492643112</v>
      </c>
      <c r="AE464" s="5">
        <f t="shared" si="57"/>
        <v>456</v>
      </c>
      <c r="AF464" s="5">
        <f t="shared" si="58"/>
        <v>2113869670353</v>
      </c>
      <c r="AG464" s="5">
        <f t="shared" si="59"/>
        <v>2095488194958</v>
      </c>
      <c r="AH464" s="5">
        <f>AG464*$AF$1</f>
        <v>20954881949580</v>
      </c>
      <c r="AI464" s="5">
        <f>SUM($AF$9:AF463)</f>
        <v>40347338490973</v>
      </c>
      <c r="AK464" s="5">
        <f t="shared" si="60"/>
        <v>456</v>
      </c>
      <c r="AL464" s="5">
        <f t="shared" si="61"/>
        <v>66</v>
      </c>
      <c r="AM464" s="5">
        <f t="shared" si="62"/>
        <v>23585226235668</v>
      </c>
      <c r="AN464" s="5">
        <f>$AL$4*$AL$3^AL464*$AL$2</f>
        <v>23585226235667.496</v>
      </c>
      <c r="AO464" s="5">
        <f>IF(AL464=AL465,1,LOOKUP(MOD(AL464,$AL$1),$AN$1:$AN$5,$AO$1:$AO$5))</f>
        <v>1</v>
      </c>
      <c r="AP464" s="5">
        <f t="shared" si="63"/>
        <v>7814571626085</v>
      </c>
      <c r="AQ464" s="5">
        <f>AM464*$AR$3</f>
        <v>3144696831422.3999</v>
      </c>
      <c r="AR464" s="5">
        <f>AM464*AL464*$AR$4</f>
        <v>4669874794662.2637</v>
      </c>
      <c r="AS464" s="5">
        <f>SUM($AP$9:AP463)</f>
        <v>147975600892879</v>
      </c>
    </row>
    <row r="465" spans="1:45" x14ac:dyDescent="0.15">
      <c r="A465" s="5">
        <v>457</v>
      </c>
      <c r="J465" s="5">
        <f t="shared" si="56"/>
        <v>457</v>
      </c>
      <c r="K465" s="5">
        <f>SUM($AP$9:AP464)</f>
        <v>155790172518964</v>
      </c>
      <c r="L465" s="5">
        <f>LOOKUP(K465,AI:AI,AE:AE)</f>
        <v>482</v>
      </c>
      <c r="M465" s="5">
        <f>LOOKUP(L465,AE:AE,AG:AG)</f>
        <v>7875700457878</v>
      </c>
      <c r="N465" s="5">
        <f>AM465/M465/$K$1</f>
        <v>1.9964553300632357</v>
      </c>
      <c r="O465" s="5">
        <f>SUM($N$9:N465)</f>
        <v>1560.7221045943745</v>
      </c>
      <c r="AE465" s="5">
        <f t="shared" si="57"/>
        <v>457</v>
      </c>
      <c r="AF465" s="5">
        <f t="shared" si="58"/>
        <v>2224388291161</v>
      </c>
      <c r="AG465" s="5">
        <f t="shared" si="59"/>
        <v>2205087741997</v>
      </c>
      <c r="AH465" s="5">
        <f>AG465*$AF$1</f>
        <v>22050877419970</v>
      </c>
      <c r="AI465" s="5">
        <f>SUM($AF$9:AF464)</f>
        <v>42461208161326</v>
      </c>
      <c r="AK465" s="5">
        <f t="shared" si="60"/>
        <v>457</v>
      </c>
      <c r="AL465" s="5">
        <f t="shared" si="61"/>
        <v>66</v>
      </c>
      <c r="AM465" s="5">
        <f t="shared" si="62"/>
        <v>23585226235668</v>
      </c>
      <c r="AN465" s="5">
        <f>$AL$4*$AL$3^AL465*$AL$2</f>
        <v>23585226235667.496</v>
      </c>
      <c r="AO465" s="5">
        <f>IF(AL465=AL466,1,LOOKUP(MOD(AL465,$AL$1),$AN$1:$AN$5,$AO$1:$AO$5))</f>
        <v>1</v>
      </c>
      <c r="AP465" s="5">
        <f t="shared" si="63"/>
        <v>7814571626085</v>
      </c>
      <c r="AQ465" s="5">
        <f>AM465*$AR$3</f>
        <v>3144696831422.3999</v>
      </c>
      <c r="AR465" s="5">
        <f>AM465*AL465*$AR$4</f>
        <v>4669874794662.2637</v>
      </c>
      <c r="AS465" s="5">
        <f>SUM($AP$9:AP464)</f>
        <v>155790172518964</v>
      </c>
    </row>
    <row r="466" spans="1:45" x14ac:dyDescent="0.15">
      <c r="A466" s="5">
        <v>458</v>
      </c>
      <c r="J466" s="5">
        <f t="shared" si="56"/>
        <v>458</v>
      </c>
      <c r="K466" s="5">
        <f>SUM($AP$9:AP465)</f>
        <v>163604744145049</v>
      </c>
      <c r="L466" s="5">
        <f>LOOKUP(K466,AI:AI,AE:AE)</f>
        <v>483</v>
      </c>
      <c r="M466" s="5">
        <f>LOOKUP(L466,AE:AE,AG:AG)</f>
        <v>8286642089653</v>
      </c>
      <c r="N466" s="5">
        <f>AM466/M466/$K$1</f>
        <v>1.8974494115951874</v>
      </c>
      <c r="O466" s="5">
        <f>SUM($N$9:N466)</f>
        <v>1562.6195540059698</v>
      </c>
      <c r="AE466" s="5">
        <f t="shared" si="57"/>
        <v>458</v>
      </c>
      <c r="AF466" s="5">
        <f t="shared" si="58"/>
        <v>2340674099875</v>
      </c>
      <c r="AG466" s="5">
        <f t="shared" si="59"/>
        <v>2320408523253</v>
      </c>
      <c r="AH466" s="5">
        <f>AG466*$AF$1</f>
        <v>23204085232530</v>
      </c>
      <c r="AI466" s="5">
        <f>SUM($AF$9:AF465)</f>
        <v>44685596452487</v>
      </c>
      <c r="AK466" s="5">
        <f t="shared" si="60"/>
        <v>458</v>
      </c>
      <c r="AL466" s="5">
        <f t="shared" si="61"/>
        <v>66</v>
      </c>
      <c r="AM466" s="5">
        <f t="shared" si="62"/>
        <v>23585226235668</v>
      </c>
      <c r="AN466" s="5">
        <f>$AL$4*$AL$3^AL466*$AL$2</f>
        <v>23585226235667.496</v>
      </c>
      <c r="AO466" s="5">
        <f>IF(AL466=AL467,1,LOOKUP(MOD(AL466,$AL$1),$AN$1:$AN$5,$AO$1:$AO$5))</f>
        <v>1</v>
      </c>
      <c r="AP466" s="5">
        <f t="shared" si="63"/>
        <v>7814571626085</v>
      </c>
      <c r="AQ466" s="5">
        <f>AM466*$AR$3</f>
        <v>3144696831422.3999</v>
      </c>
      <c r="AR466" s="5">
        <f>AM466*AL466*$AR$4</f>
        <v>4669874794662.2637</v>
      </c>
      <c r="AS466" s="5">
        <f>SUM($AP$9:AP465)</f>
        <v>163604744145049</v>
      </c>
    </row>
    <row r="467" spans="1:45" x14ac:dyDescent="0.15">
      <c r="A467" s="5">
        <v>459</v>
      </c>
      <c r="J467" s="5">
        <f t="shared" si="56"/>
        <v>459</v>
      </c>
      <c r="K467" s="5">
        <f>SUM($AP$9:AP466)</f>
        <v>171419315771134</v>
      </c>
      <c r="L467" s="5">
        <f>LOOKUP(K467,AI:AI,AE:AE)</f>
        <v>484</v>
      </c>
      <c r="M467" s="5">
        <f>LOOKUP(L467,AE:AE,AG:AG)</f>
        <v>8718988633461</v>
      </c>
      <c r="N467" s="5">
        <f>AM467/M467/$K$1</f>
        <v>1.8033610110202158</v>
      </c>
      <c r="O467" s="5">
        <f>SUM($N$9:N467)</f>
        <v>1564.4229150169899</v>
      </c>
      <c r="AE467" s="5">
        <f t="shared" si="57"/>
        <v>459</v>
      </c>
      <c r="AF467" s="5">
        <f t="shared" si="58"/>
        <v>2463027518732</v>
      </c>
      <c r="AG467" s="5">
        <f t="shared" si="59"/>
        <v>2441748663279</v>
      </c>
      <c r="AH467" s="5">
        <f>AG467*$AF$1</f>
        <v>24417486632790</v>
      </c>
      <c r="AI467" s="5">
        <f>SUM($AF$9:AF466)</f>
        <v>47026270552362</v>
      </c>
      <c r="AK467" s="5">
        <f t="shared" si="60"/>
        <v>459</v>
      </c>
      <c r="AL467" s="5">
        <f t="shared" si="61"/>
        <v>66</v>
      </c>
      <c r="AM467" s="5">
        <f t="shared" si="62"/>
        <v>23585226235668</v>
      </c>
      <c r="AN467" s="5">
        <f>$AL$4*$AL$3^AL467*$AL$2</f>
        <v>23585226235667.496</v>
      </c>
      <c r="AO467" s="5">
        <f>IF(AL467=AL468,1,LOOKUP(MOD(AL467,$AL$1),$AN$1:$AN$5,$AO$1:$AO$5))</f>
        <v>1</v>
      </c>
      <c r="AP467" s="5">
        <f t="shared" si="63"/>
        <v>7814571626085</v>
      </c>
      <c r="AQ467" s="5">
        <f>AM467*$AR$3</f>
        <v>3144696831422.3999</v>
      </c>
      <c r="AR467" s="5">
        <f>AM467*AL467*$AR$4</f>
        <v>4669874794662.2637</v>
      </c>
      <c r="AS467" s="5">
        <f>SUM($AP$9:AP466)</f>
        <v>171419315771134</v>
      </c>
    </row>
    <row r="468" spans="1:45" x14ac:dyDescent="0.15">
      <c r="A468" s="5">
        <v>460</v>
      </c>
      <c r="J468" s="5">
        <f t="shared" si="56"/>
        <v>460</v>
      </c>
      <c r="K468" s="5">
        <f>SUM($AP$9:AP467)</f>
        <v>179233887397219</v>
      </c>
      <c r="L468" s="5">
        <f>LOOKUP(K468,AI:AI,AE:AE)</f>
        <v>485</v>
      </c>
      <c r="M468" s="5">
        <f>LOOKUP(L468,AE:AE,AG:AG)</f>
        <v>9173853226426</v>
      </c>
      <c r="N468" s="5">
        <f>AM468/M468/$K$1</f>
        <v>1.7139454675184116</v>
      </c>
      <c r="O468" s="5">
        <f>SUM($N$9:N468)</f>
        <v>1566.1368604845084</v>
      </c>
      <c r="AE468" s="5">
        <f t="shared" si="57"/>
        <v>460</v>
      </c>
      <c r="AF468" s="5">
        <f t="shared" si="58"/>
        <v>2591764594225</v>
      </c>
      <c r="AG468" s="5">
        <f t="shared" si="59"/>
        <v>2569421795999</v>
      </c>
      <c r="AH468" s="5">
        <f>AG468*$AF$1</f>
        <v>25694217959990</v>
      </c>
      <c r="AI468" s="5">
        <f>SUM($AF$9:AF467)</f>
        <v>49489298071094</v>
      </c>
      <c r="AK468" s="5">
        <f t="shared" si="60"/>
        <v>460</v>
      </c>
      <c r="AL468" s="5">
        <f t="shared" si="61"/>
        <v>66</v>
      </c>
      <c r="AM468" s="5">
        <f t="shared" si="62"/>
        <v>23585226235668</v>
      </c>
      <c r="AN468" s="5">
        <f>$AL$4*$AL$3^AL468*$AL$2</f>
        <v>23585226235667.496</v>
      </c>
      <c r="AO468" s="5">
        <f>IF(AL468=AL469,1,LOOKUP(MOD(AL468,$AL$1),$AN$1:$AN$5,$AO$1:$AO$5))</f>
        <v>1</v>
      </c>
      <c r="AP468" s="5">
        <f t="shared" si="63"/>
        <v>7814571626085</v>
      </c>
      <c r="AQ468" s="5">
        <f>AM468*$AR$3</f>
        <v>3144696831422.3999</v>
      </c>
      <c r="AR468" s="5">
        <f>AM468*AL468*$AR$4</f>
        <v>4669874794662.2637</v>
      </c>
      <c r="AS468" s="5">
        <f>SUM($AP$9:AP467)</f>
        <v>179233887397219</v>
      </c>
    </row>
    <row r="469" spans="1:45" x14ac:dyDescent="0.15">
      <c r="A469" s="5">
        <v>461</v>
      </c>
      <c r="J469" s="5">
        <f t="shared" si="56"/>
        <v>461</v>
      </c>
      <c r="K469" s="5">
        <f>SUM($AP$9:AP468)</f>
        <v>187048459023304</v>
      </c>
      <c r="L469" s="5">
        <f>LOOKUP(K469,AI:AI,AE:AE)</f>
        <v>486</v>
      </c>
      <c r="M469" s="5">
        <f>LOOKUP(L469,AE:AE,AG:AG)</f>
        <v>9652406807103</v>
      </c>
      <c r="N469" s="5">
        <f>AM469/M469/$K$1</f>
        <v>1.6289703150038626</v>
      </c>
      <c r="O469" s="5">
        <f>SUM($N$9:N469)</f>
        <v>1567.7658307995123</v>
      </c>
      <c r="AE469" s="5">
        <f t="shared" si="57"/>
        <v>461</v>
      </c>
      <c r="AF469" s="5">
        <f t="shared" si="58"/>
        <v>2727217808471</v>
      </c>
      <c r="AG469" s="5">
        <f t="shared" si="59"/>
        <v>2703757870333</v>
      </c>
      <c r="AH469" s="5">
        <f>AG469*$AF$1</f>
        <v>27037578703330</v>
      </c>
      <c r="AI469" s="5">
        <f>SUM($AF$9:AF468)</f>
        <v>52081062665319</v>
      </c>
      <c r="AK469" s="5">
        <f t="shared" si="60"/>
        <v>461</v>
      </c>
      <c r="AL469" s="5">
        <f t="shared" si="61"/>
        <v>66</v>
      </c>
      <c r="AM469" s="5">
        <f t="shared" si="62"/>
        <v>23585226235668</v>
      </c>
      <c r="AN469" s="5">
        <f>$AL$4*$AL$3^AL469*$AL$2</f>
        <v>23585226235667.496</v>
      </c>
      <c r="AO469" s="5">
        <f>IF(AL469=AL470,1,LOOKUP(MOD(AL469,$AL$1),$AN$1:$AN$5,$AO$1:$AO$5))</f>
        <v>1</v>
      </c>
      <c r="AP469" s="5">
        <f t="shared" si="63"/>
        <v>7814571626085</v>
      </c>
      <c r="AQ469" s="5">
        <f>AM469*$AR$3</f>
        <v>3144696831422.3999</v>
      </c>
      <c r="AR469" s="5">
        <f>AM469*AL469*$AR$4</f>
        <v>4669874794662.2637</v>
      </c>
      <c r="AS469" s="5">
        <f>SUM($AP$9:AP468)</f>
        <v>187048459023304</v>
      </c>
    </row>
    <row r="470" spans="1:45" x14ac:dyDescent="0.15">
      <c r="A470" s="5">
        <v>462</v>
      </c>
      <c r="J470" s="5">
        <f t="shared" si="56"/>
        <v>462</v>
      </c>
      <c r="K470" s="5">
        <f>SUM($AP$9:AP469)</f>
        <v>194863030649389</v>
      </c>
      <c r="L470" s="5">
        <f>LOOKUP(K470,AI:AI,AE:AE)</f>
        <v>486</v>
      </c>
      <c r="M470" s="5">
        <f>LOOKUP(L470,AE:AE,AG:AG)</f>
        <v>9652406807103</v>
      </c>
      <c r="N470" s="5">
        <f>AM470/M470/$K$1</f>
        <v>9.7738218900229672</v>
      </c>
      <c r="O470" s="5">
        <f>SUM($N$9:N470)</f>
        <v>1577.5396526895352</v>
      </c>
      <c r="AE470" s="5">
        <f t="shared" si="57"/>
        <v>462</v>
      </c>
      <c r="AF470" s="5">
        <f t="shared" si="58"/>
        <v>2869736932655</v>
      </c>
      <c r="AG470" s="5">
        <f t="shared" si="59"/>
        <v>2845103997611</v>
      </c>
      <c r="AH470" s="5">
        <f>AG470*$AF$1</f>
        <v>28451039976110</v>
      </c>
      <c r="AI470" s="5">
        <f>SUM($AF$9:AF469)</f>
        <v>54808280473790</v>
      </c>
      <c r="AK470" s="5">
        <f t="shared" si="60"/>
        <v>462</v>
      </c>
      <c r="AL470" s="5">
        <f t="shared" si="61"/>
        <v>66</v>
      </c>
      <c r="AM470" s="5">
        <f t="shared" si="62"/>
        <v>141511357414005</v>
      </c>
      <c r="AN470" s="5">
        <f>$AL$4*$AL$3^AL470*$AL$2</f>
        <v>23585226235667.496</v>
      </c>
      <c r="AO470" s="5">
        <f>IF(AL470=AL471,1,LOOKUP(MOD(AL470,$AL$1),$AN$1:$AN$5,$AO$1:$AO$5))</f>
        <v>6</v>
      </c>
      <c r="AP470" s="5">
        <f t="shared" si="63"/>
        <v>46887429756507</v>
      </c>
      <c r="AQ470" s="5">
        <f>AM470*$AR$3</f>
        <v>18868180988534</v>
      </c>
      <c r="AR470" s="5">
        <f>AM470*AL470*$AR$4</f>
        <v>28019248767972.992</v>
      </c>
      <c r="AS470" s="5">
        <f>SUM($AP$9:AP469)</f>
        <v>194863030649389</v>
      </c>
    </row>
    <row r="471" spans="1:45" x14ac:dyDescent="0.15">
      <c r="A471" s="5">
        <v>463</v>
      </c>
      <c r="J471" s="5">
        <f t="shared" si="56"/>
        <v>463</v>
      </c>
      <c r="K471" s="5">
        <f>SUM($AP$9:AP470)</f>
        <v>241750460405896</v>
      </c>
      <c r="L471" s="5">
        <f>LOOKUP(K471,AI:AI,AE:AE)</f>
        <v>491</v>
      </c>
      <c r="M471" s="5">
        <f>LOOKUP(L471,AE:AE,AG:AG)</f>
        <v>12445929467599</v>
      </c>
      <c r="N471" s="5">
        <f>AM471/M471/$K$1</f>
        <v>1.9834493029171565</v>
      </c>
      <c r="O471" s="5">
        <f>SUM($N$9:N471)</f>
        <v>1579.5231019924522</v>
      </c>
      <c r="AE471" s="5">
        <f t="shared" si="57"/>
        <v>463</v>
      </c>
      <c r="AF471" s="5">
        <f t="shared" si="58"/>
        <v>3019689924737</v>
      </c>
      <c r="AG471" s="5">
        <f t="shared" si="59"/>
        <v>2993825342941</v>
      </c>
      <c r="AH471" s="5">
        <f>AG471*$AF$1</f>
        <v>29938253429410</v>
      </c>
      <c r="AI471" s="5">
        <f>SUM($AF$9:AF470)</f>
        <v>57678017406445</v>
      </c>
      <c r="AK471" s="5">
        <f t="shared" si="60"/>
        <v>463</v>
      </c>
      <c r="AL471" s="5">
        <f t="shared" si="61"/>
        <v>67</v>
      </c>
      <c r="AM471" s="5">
        <f t="shared" si="62"/>
        <v>37028805189998</v>
      </c>
      <c r="AN471" s="5">
        <f>$AL$4*$AL$3^AL471*$AL$2</f>
        <v>37028805189997.969</v>
      </c>
      <c r="AO471" s="5">
        <f>IF(AL471=AL472,1,LOOKUP(MOD(AL471,$AL$1),$AN$1:$AN$5,$AO$1:$AO$5))</f>
        <v>1</v>
      </c>
      <c r="AP471" s="5">
        <f t="shared" si="63"/>
        <v>12379963868523</v>
      </c>
      <c r="AQ471" s="5">
        <f>AM471*$AR$3</f>
        <v>4937174025333.0664</v>
      </c>
      <c r="AR471" s="5">
        <f>AM471*AL471*$AR$4</f>
        <v>7442789843189.5986</v>
      </c>
      <c r="AS471" s="5">
        <f>SUM($AP$9:AP470)</f>
        <v>241750460405896</v>
      </c>
    </row>
    <row r="472" spans="1:45" x14ac:dyDescent="0.15">
      <c r="A472" s="5">
        <v>464</v>
      </c>
      <c r="J472" s="5">
        <f t="shared" si="56"/>
        <v>464</v>
      </c>
      <c r="K472" s="5">
        <f>SUM($AP$9:AP471)</f>
        <v>254130424274419</v>
      </c>
      <c r="L472" s="5">
        <f>LOOKUP(K472,AI:AI,AE:AE)</f>
        <v>492</v>
      </c>
      <c r="M472" s="5">
        <f>LOOKUP(L472,AE:AE,AG:AG)</f>
        <v>13094841472427</v>
      </c>
      <c r="N472" s="5">
        <f>AM472/M472/$K$1</f>
        <v>1.8851599065666313</v>
      </c>
      <c r="O472" s="5">
        <f>SUM($N$9:N472)</f>
        <v>1581.408261899019</v>
      </c>
      <c r="AE472" s="5">
        <f t="shared" si="57"/>
        <v>464</v>
      </c>
      <c r="AF472" s="5">
        <f t="shared" si="58"/>
        <v>3177463873696</v>
      </c>
      <c r="AG472" s="5">
        <f t="shared" si="59"/>
        <v>3150306062809</v>
      </c>
      <c r="AH472" s="5">
        <f>AG472*$AF$1</f>
        <v>31503060628090</v>
      </c>
      <c r="AI472" s="5">
        <f>SUM($AF$9:AF471)</f>
        <v>60697707331182</v>
      </c>
      <c r="AK472" s="5">
        <f t="shared" si="60"/>
        <v>464</v>
      </c>
      <c r="AL472" s="5">
        <f t="shared" si="61"/>
        <v>67</v>
      </c>
      <c r="AM472" s="5">
        <f t="shared" si="62"/>
        <v>37028805189998</v>
      </c>
      <c r="AN472" s="5">
        <f>$AL$4*$AL$3^AL472*$AL$2</f>
        <v>37028805189997.969</v>
      </c>
      <c r="AO472" s="5">
        <f>IF(AL472=AL473,1,LOOKUP(MOD(AL472,$AL$1),$AN$1:$AN$5,$AO$1:$AO$5))</f>
        <v>1</v>
      </c>
      <c r="AP472" s="5">
        <f t="shared" si="63"/>
        <v>12379963868523</v>
      </c>
      <c r="AQ472" s="5">
        <f>AM472*$AR$3</f>
        <v>4937174025333.0664</v>
      </c>
      <c r="AR472" s="5">
        <f>AM472*AL472*$AR$4</f>
        <v>7442789843189.5986</v>
      </c>
      <c r="AS472" s="5">
        <f>SUM($AP$9:AP471)</f>
        <v>254130424274419</v>
      </c>
    </row>
    <row r="473" spans="1:45" x14ac:dyDescent="0.15">
      <c r="A473" s="5">
        <v>465</v>
      </c>
      <c r="J473" s="5">
        <f t="shared" si="56"/>
        <v>465</v>
      </c>
      <c r="K473" s="5">
        <f>SUM($AP$9:AP472)</f>
        <v>266510388142942</v>
      </c>
      <c r="L473" s="5">
        <f>LOOKUP(K473,AI:AI,AE:AE)</f>
        <v>493</v>
      </c>
      <c r="M473" s="5">
        <f>LOOKUP(L473,AE:AE,AG:AG)</f>
        <v>13777529854068</v>
      </c>
      <c r="N473" s="5">
        <f>AM473/M473/$K$1</f>
        <v>1.7917486217151255</v>
      </c>
      <c r="O473" s="5">
        <f>SUM($N$9:N473)</f>
        <v>1583.2000105207342</v>
      </c>
      <c r="AE473" s="5">
        <f t="shared" si="57"/>
        <v>465</v>
      </c>
      <c r="AF473" s="5">
        <f t="shared" si="58"/>
        <v>3343465992738</v>
      </c>
      <c r="AG473" s="5">
        <f t="shared" si="59"/>
        <v>3314950291307</v>
      </c>
      <c r="AH473" s="5">
        <f>AG473*$AF$1</f>
        <v>33149502913070</v>
      </c>
      <c r="AI473" s="5">
        <f>SUM($AF$9:AF472)</f>
        <v>63875171204878</v>
      </c>
      <c r="AK473" s="5">
        <f t="shared" si="60"/>
        <v>465</v>
      </c>
      <c r="AL473" s="5">
        <f t="shared" si="61"/>
        <v>67</v>
      </c>
      <c r="AM473" s="5">
        <f t="shared" si="62"/>
        <v>37028805189998</v>
      </c>
      <c r="AN473" s="5">
        <f>$AL$4*$AL$3^AL473*$AL$2</f>
        <v>37028805189997.969</v>
      </c>
      <c r="AO473" s="5">
        <f>IF(AL473=AL474,1,LOOKUP(MOD(AL473,$AL$1),$AN$1:$AN$5,$AO$1:$AO$5))</f>
        <v>1</v>
      </c>
      <c r="AP473" s="5">
        <f t="shared" si="63"/>
        <v>12379963868523</v>
      </c>
      <c r="AQ473" s="5">
        <f>AM473*$AR$3</f>
        <v>4937174025333.0664</v>
      </c>
      <c r="AR473" s="5">
        <f>AM473*AL473*$AR$4</f>
        <v>7442789843189.5986</v>
      </c>
      <c r="AS473" s="5">
        <f>SUM($AP$9:AP472)</f>
        <v>266510388142942</v>
      </c>
    </row>
    <row r="474" spans="1:45" x14ac:dyDescent="0.15">
      <c r="A474" s="5">
        <v>466</v>
      </c>
      <c r="J474" s="5">
        <f t="shared" si="56"/>
        <v>466</v>
      </c>
      <c r="K474" s="5">
        <f>SUM($AP$9:AP473)</f>
        <v>278890352011465</v>
      </c>
      <c r="L474" s="5">
        <f>LOOKUP(K474,AI:AI,AE:AE)</f>
        <v>493</v>
      </c>
      <c r="M474" s="5">
        <f>LOOKUP(L474,AE:AE,AG:AG)</f>
        <v>13777529854068</v>
      </c>
      <c r="N474" s="5">
        <f>AM474/M474/$K$1</f>
        <v>1.7917486217151255</v>
      </c>
      <c r="O474" s="5">
        <f>SUM($N$9:N474)</f>
        <v>1584.9917591424494</v>
      </c>
      <c r="AE474" s="5">
        <f t="shared" si="57"/>
        <v>466</v>
      </c>
      <c r="AF474" s="5">
        <f t="shared" si="58"/>
        <v>3518124664001</v>
      </c>
      <c r="AG474" s="5">
        <f t="shared" si="59"/>
        <v>3488183177498</v>
      </c>
      <c r="AH474" s="5">
        <f>AG474*$AF$1</f>
        <v>34881831774980</v>
      </c>
      <c r="AI474" s="5">
        <f>SUM($AF$9:AF473)</f>
        <v>67218637197616</v>
      </c>
      <c r="AK474" s="5">
        <f t="shared" si="60"/>
        <v>466</v>
      </c>
      <c r="AL474" s="5">
        <f t="shared" si="61"/>
        <v>67</v>
      </c>
      <c r="AM474" s="5">
        <f t="shared" si="62"/>
        <v>37028805189998</v>
      </c>
      <c r="AN474" s="5">
        <f>$AL$4*$AL$3^AL474*$AL$2</f>
        <v>37028805189997.969</v>
      </c>
      <c r="AO474" s="5">
        <f>IF(AL474=AL475,1,LOOKUP(MOD(AL474,$AL$1),$AN$1:$AN$5,$AO$1:$AO$5))</f>
        <v>1</v>
      </c>
      <c r="AP474" s="5">
        <f t="shared" si="63"/>
        <v>12379963868523</v>
      </c>
      <c r="AQ474" s="5">
        <f>AM474*$AR$3</f>
        <v>4937174025333.0664</v>
      </c>
      <c r="AR474" s="5">
        <f>AM474*AL474*$AR$4</f>
        <v>7442789843189.5986</v>
      </c>
      <c r="AS474" s="5">
        <f>SUM($AP$9:AP473)</f>
        <v>278890352011465</v>
      </c>
    </row>
    <row r="475" spans="1:45" x14ac:dyDescent="0.15">
      <c r="A475" s="5">
        <v>467</v>
      </c>
      <c r="J475" s="5">
        <f t="shared" si="56"/>
        <v>467</v>
      </c>
      <c r="K475" s="5">
        <f>SUM($AP$9:AP474)</f>
        <v>291270315879988</v>
      </c>
      <c r="L475" s="5">
        <f>LOOKUP(K475,AI:AI,AE:AE)</f>
        <v>494</v>
      </c>
      <c r="M475" s="5">
        <f>LOOKUP(L475,AE:AE,AG:AG)</f>
        <v>14495749970193</v>
      </c>
      <c r="N475" s="5">
        <f>AM475/M475/$K$1</f>
        <v>1.7029729525844368</v>
      </c>
      <c r="O475" s="5">
        <f>SUM($N$9:N475)</f>
        <v>1586.6947320950337</v>
      </c>
      <c r="AE475" s="5">
        <f t="shared" si="57"/>
        <v>467</v>
      </c>
      <c r="AF475" s="5">
        <f t="shared" si="58"/>
        <v>3701890537407</v>
      </c>
      <c r="AG475" s="5">
        <f t="shared" si="59"/>
        <v>3670451976580</v>
      </c>
      <c r="AH475" s="5">
        <f>AG475*$AF$1</f>
        <v>36704519765800</v>
      </c>
      <c r="AI475" s="5">
        <f>SUM($AF$9:AF474)</f>
        <v>70736761861617</v>
      </c>
      <c r="AK475" s="5">
        <f t="shared" si="60"/>
        <v>467</v>
      </c>
      <c r="AL475" s="5">
        <f t="shared" si="61"/>
        <v>67</v>
      </c>
      <c r="AM475" s="5">
        <f t="shared" si="62"/>
        <v>37028805189998</v>
      </c>
      <c r="AN475" s="5">
        <f>$AL$4*$AL$3^AL475*$AL$2</f>
        <v>37028805189997.969</v>
      </c>
      <c r="AO475" s="5">
        <f>IF(AL475=AL476,1,LOOKUP(MOD(AL475,$AL$1),$AN$1:$AN$5,$AO$1:$AO$5))</f>
        <v>1</v>
      </c>
      <c r="AP475" s="5">
        <f t="shared" si="63"/>
        <v>12379963868523</v>
      </c>
      <c r="AQ475" s="5">
        <f>AM475*$AR$3</f>
        <v>4937174025333.0664</v>
      </c>
      <c r="AR475" s="5">
        <f>AM475*AL475*$AR$4</f>
        <v>7442789843189.5986</v>
      </c>
      <c r="AS475" s="5">
        <f>SUM($AP$9:AP474)</f>
        <v>291270315879988</v>
      </c>
    </row>
    <row r="476" spans="1:45" x14ac:dyDescent="0.15">
      <c r="A476" s="5">
        <v>468</v>
      </c>
      <c r="J476" s="5">
        <f t="shared" si="56"/>
        <v>468</v>
      </c>
      <c r="K476" s="5">
        <f>SUM($AP$9:AP475)</f>
        <v>303650279748511</v>
      </c>
      <c r="L476" s="5">
        <f>LOOKUP(K476,AI:AI,AE:AE)</f>
        <v>495</v>
      </c>
      <c r="M476" s="5">
        <f>LOOKUP(L476,AE:AE,AG:AG)</f>
        <v>15251348273295</v>
      </c>
      <c r="N476" s="5">
        <f>AM476/M476/$K$1</f>
        <v>1.6186024792240901</v>
      </c>
      <c r="O476" s="5">
        <f>SUM($N$9:N476)</f>
        <v>1588.3133345742579</v>
      </c>
      <c r="AE476" s="5">
        <f t="shared" si="57"/>
        <v>468</v>
      </c>
      <c r="AF476" s="5">
        <f t="shared" si="58"/>
        <v>3895237686495</v>
      </c>
      <c r="AG476" s="5">
        <f t="shared" si="59"/>
        <v>3862227197626</v>
      </c>
      <c r="AH476" s="5">
        <f>AG476*$AF$1</f>
        <v>38622271976260</v>
      </c>
      <c r="AI476" s="5">
        <f>SUM($AF$9:AF475)</f>
        <v>74438652399024</v>
      </c>
      <c r="AK476" s="5">
        <f t="shared" si="60"/>
        <v>468</v>
      </c>
      <c r="AL476" s="5">
        <f t="shared" si="61"/>
        <v>67</v>
      </c>
      <c r="AM476" s="5">
        <f t="shared" si="62"/>
        <v>37028805189998</v>
      </c>
      <c r="AN476" s="5">
        <f>$AL$4*$AL$3^AL476*$AL$2</f>
        <v>37028805189997.969</v>
      </c>
      <c r="AO476" s="5">
        <f>IF(AL476=AL477,1,LOOKUP(MOD(AL476,$AL$1),$AN$1:$AN$5,$AO$1:$AO$5))</f>
        <v>1</v>
      </c>
      <c r="AP476" s="5">
        <f t="shared" si="63"/>
        <v>12379963868523</v>
      </c>
      <c r="AQ476" s="5">
        <f>AM476*$AR$3</f>
        <v>4937174025333.0664</v>
      </c>
      <c r="AR476" s="5">
        <f>AM476*AL476*$AR$4</f>
        <v>7442789843189.5986</v>
      </c>
      <c r="AS476" s="5">
        <f>SUM($AP$9:AP475)</f>
        <v>303650279748511</v>
      </c>
    </row>
    <row r="477" spans="1:45" x14ac:dyDescent="0.15">
      <c r="A477" s="5">
        <v>469</v>
      </c>
      <c r="J477" s="5">
        <f t="shared" si="56"/>
        <v>469</v>
      </c>
      <c r="K477" s="5">
        <f>SUM($AP$9:AP476)</f>
        <v>316030243617034</v>
      </c>
      <c r="L477" s="5">
        <f>LOOKUP(K477,AI:AI,AE:AE)</f>
        <v>496</v>
      </c>
      <c r="M477" s="5">
        <f>LOOKUP(L477,AE:AE,AG:AG)</f>
        <v>16046267031782</v>
      </c>
      <c r="N477" s="5">
        <f>AM477/M477/$K$1</f>
        <v>10.768927785160203</v>
      </c>
      <c r="O477" s="5">
        <f>SUM($N$9:N477)</f>
        <v>1599.0822623594181</v>
      </c>
      <c r="AE477" s="5">
        <f t="shared" si="57"/>
        <v>469</v>
      </c>
      <c r="AF477" s="5">
        <f t="shared" si="58"/>
        <v>4098664824148</v>
      </c>
      <c r="AG477" s="5">
        <f t="shared" si="59"/>
        <v>4064003810836</v>
      </c>
      <c r="AH477" s="5">
        <f>AG477*$AF$1</f>
        <v>40640038108360</v>
      </c>
      <c r="AI477" s="5">
        <f>SUM($AF$9:AF476)</f>
        <v>78333890085519</v>
      </c>
      <c r="AK477" s="5">
        <f t="shared" si="60"/>
        <v>469</v>
      </c>
      <c r="AL477" s="5">
        <f t="shared" si="61"/>
        <v>67</v>
      </c>
      <c r="AM477" s="5">
        <f t="shared" si="62"/>
        <v>259201636329986</v>
      </c>
      <c r="AN477" s="5">
        <f>$AL$4*$AL$3^AL477*$AL$2</f>
        <v>37028805189997.969</v>
      </c>
      <c r="AO477" s="5">
        <f>IF(AL477=AL478,1,LOOKUP(MOD(AL477,$AL$1),$AN$1:$AN$5,$AO$1:$AO$5))</f>
        <v>7</v>
      </c>
      <c r="AP477" s="5">
        <f t="shared" si="63"/>
        <v>86659747079659</v>
      </c>
      <c r="AQ477" s="5">
        <f>AM477*$AR$3</f>
        <v>34560218177331.465</v>
      </c>
      <c r="AR477" s="5">
        <f>AM477*AL477*$AR$4</f>
        <v>52099528902327.187</v>
      </c>
      <c r="AS477" s="5">
        <f>SUM($AP$9:AP476)</f>
        <v>316030243617034</v>
      </c>
    </row>
    <row r="478" spans="1:45" x14ac:dyDescent="0.15">
      <c r="A478" s="5">
        <v>470</v>
      </c>
      <c r="J478" s="5">
        <f t="shared" si="56"/>
        <v>470</v>
      </c>
      <c r="K478" s="5">
        <f>SUM($AP$9:AP477)</f>
        <v>402689990696693</v>
      </c>
      <c r="L478" s="5">
        <f>LOOKUP(K478,AI:AI,AE:AE)</f>
        <v>501</v>
      </c>
      <c r="M478" s="5">
        <f>LOOKUP(L478,AE:AE,AG:AG)</f>
        <v>20686001884208</v>
      </c>
      <c r="N478" s="5">
        <f>AM478/M478/$K$1</f>
        <v>1.8735769394110031</v>
      </c>
      <c r="O478" s="5">
        <f>SUM($N$9:N478)</f>
        <v>1600.955839298829</v>
      </c>
      <c r="AE478" s="5">
        <f t="shared" si="57"/>
        <v>470</v>
      </c>
      <c r="AF478" s="5">
        <f t="shared" si="58"/>
        <v>4312696581349</v>
      </c>
      <c r="AG478" s="5">
        <f t="shared" si="59"/>
        <v>4276302517372</v>
      </c>
      <c r="AH478" s="5">
        <f>AG478*$AF$1</f>
        <v>42763025173720</v>
      </c>
      <c r="AI478" s="5">
        <f>SUM($AF$9:AF477)</f>
        <v>82432554909667</v>
      </c>
      <c r="AK478" s="5">
        <f t="shared" si="60"/>
        <v>470</v>
      </c>
      <c r="AL478" s="5">
        <f t="shared" si="61"/>
        <v>68</v>
      </c>
      <c r="AM478" s="5">
        <f t="shared" si="62"/>
        <v>58135224148297</v>
      </c>
      <c r="AN478" s="5">
        <f>$AL$4*$AL$3^AL478*$AL$2</f>
        <v>58135224148296.82</v>
      </c>
      <c r="AO478" s="5">
        <f>IF(AL478=AL479,1,LOOKUP(MOD(AL478,$AL$1),$AN$1:$AN$5,$AO$1:$AO$5))</f>
        <v>1</v>
      </c>
      <c r="AP478" s="5">
        <f t="shared" si="63"/>
        <v>19610948946026</v>
      </c>
      <c r="AQ478" s="5">
        <f>AM478*$AR$3</f>
        <v>7751363219772.9336</v>
      </c>
      <c r="AR478" s="5">
        <f>AM478*AL478*$AR$4</f>
        <v>11859585726252.588</v>
      </c>
      <c r="AS478" s="5">
        <f>SUM($AP$9:AP477)</f>
        <v>402689990696693</v>
      </c>
    </row>
    <row r="479" spans="1:45" x14ac:dyDescent="0.15">
      <c r="A479" s="5">
        <v>471</v>
      </c>
      <c r="J479" s="5">
        <f t="shared" si="56"/>
        <v>471</v>
      </c>
      <c r="K479" s="5">
        <f>SUM($AP$9:AP478)</f>
        <v>422300939642719</v>
      </c>
      <c r="L479" s="5">
        <f>LOOKUP(K479,AI:AI,AE:AE)</f>
        <v>502</v>
      </c>
      <c r="M479" s="5">
        <f>LOOKUP(L479,AE:AE,AG:AG)</f>
        <v>21763655874583</v>
      </c>
      <c r="N479" s="5">
        <f>AM479/M479/$K$1</f>
        <v>1.7808044899353226</v>
      </c>
      <c r="O479" s="5">
        <f>SUM($N$9:N479)</f>
        <v>1602.7366437887642</v>
      </c>
      <c r="AE479" s="5">
        <f t="shared" si="57"/>
        <v>471</v>
      </c>
      <c r="AF479" s="5">
        <f t="shared" si="58"/>
        <v>4537884852211</v>
      </c>
      <c r="AG479" s="5">
        <f t="shared" si="59"/>
        <v>4499671085034</v>
      </c>
      <c r="AH479" s="5">
        <f>AG479*$AF$1</f>
        <v>44996710850340</v>
      </c>
      <c r="AI479" s="5">
        <f>SUM($AF$9:AF478)</f>
        <v>86745251491016</v>
      </c>
      <c r="AK479" s="5">
        <f t="shared" si="60"/>
        <v>471</v>
      </c>
      <c r="AL479" s="5">
        <f t="shared" si="61"/>
        <v>68</v>
      </c>
      <c r="AM479" s="5">
        <f t="shared" si="62"/>
        <v>58135224148297</v>
      </c>
      <c r="AN479" s="5">
        <f>$AL$4*$AL$3^AL479*$AL$2</f>
        <v>58135224148296.82</v>
      </c>
      <c r="AO479" s="5">
        <f>IF(AL479=AL480,1,LOOKUP(MOD(AL479,$AL$1),$AN$1:$AN$5,$AO$1:$AO$5))</f>
        <v>1</v>
      </c>
      <c r="AP479" s="5">
        <f t="shared" si="63"/>
        <v>19610948946026</v>
      </c>
      <c r="AQ479" s="5">
        <f>AM479*$AR$3</f>
        <v>7751363219772.9336</v>
      </c>
      <c r="AR479" s="5">
        <f>AM479*AL479*$AR$4</f>
        <v>11859585726252.588</v>
      </c>
      <c r="AS479" s="5">
        <f>SUM($AP$9:AP478)</f>
        <v>422300939642719</v>
      </c>
    </row>
    <row r="480" spans="1:45" x14ac:dyDescent="0.15">
      <c r="A480" s="5">
        <v>472</v>
      </c>
      <c r="J480" s="5">
        <f t="shared" si="56"/>
        <v>472</v>
      </c>
      <c r="K480" s="5">
        <f>SUM($AP$9:AP479)</f>
        <v>441911888588745</v>
      </c>
      <c r="L480" s="5">
        <f>LOOKUP(K480,AI:AI,AE:AE)</f>
        <v>502</v>
      </c>
      <c r="M480" s="5">
        <f>LOOKUP(L480,AE:AE,AG:AG)</f>
        <v>21763655874583</v>
      </c>
      <c r="N480" s="5">
        <f>AM480/M480/$K$1</f>
        <v>1.7808044899353226</v>
      </c>
      <c r="O480" s="5">
        <f>SUM($N$9:N480)</f>
        <v>1604.5174482786995</v>
      </c>
      <c r="AE480" s="5">
        <f t="shared" si="57"/>
        <v>472</v>
      </c>
      <c r="AF480" s="5">
        <f t="shared" si="58"/>
        <v>4774810208705</v>
      </c>
      <c r="AG480" s="5">
        <f t="shared" si="59"/>
        <v>4734685753170</v>
      </c>
      <c r="AH480" s="5">
        <f>AG480*$AF$1</f>
        <v>47346857531700</v>
      </c>
      <c r="AI480" s="5">
        <f>SUM($AF$9:AF479)</f>
        <v>91283136343227</v>
      </c>
      <c r="AK480" s="5">
        <f t="shared" si="60"/>
        <v>472</v>
      </c>
      <c r="AL480" s="5">
        <f t="shared" si="61"/>
        <v>68</v>
      </c>
      <c r="AM480" s="5">
        <f t="shared" si="62"/>
        <v>58135224148297</v>
      </c>
      <c r="AN480" s="5">
        <f>$AL$4*$AL$3^AL480*$AL$2</f>
        <v>58135224148296.82</v>
      </c>
      <c r="AO480" s="5">
        <f>IF(AL480=AL481,1,LOOKUP(MOD(AL480,$AL$1),$AN$1:$AN$5,$AO$1:$AO$5))</f>
        <v>1</v>
      </c>
      <c r="AP480" s="5">
        <f t="shared" si="63"/>
        <v>19610948946026</v>
      </c>
      <c r="AQ480" s="5">
        <f>AM480*$AR$3</f>
        <v>7751363219772.9336</v>
      </c>
      <c r="AR480" s="5">
        <f>AM480*AL480*$AR$4</f>
        <v>11859585726252.588</v>
      </c>
      <c r="AS480" s="5">
        <f>SUM($AP$9:AP479)</f>
        <v>441911888588745</v>
      </c>
    </row>
    <row r="481" spans="1:45" x14ac:dyDescent="0.15">
      <c r="A481" s="5">
        <v>473</v>
      </c>
      <c r="J481" s="5">
        <f t="shared" si="56"/>
        <v>473</v>
      </c>
      <c r="K481" s="5">
        <f>SUM($AP$9:AP480)</f>
        <v>461522837534771</v>
      </c>
      <c r="L481" s="5">
        <f>LOOKUP(K481,AI:AI,AE:AE)</f>
        <v>503</v>
      </c>
      <c r="M481" s="5">
        <f>LOOKUP(L481,AE:AE,AG:AG)</f>
        <v>22897360259285</v>
      </c>
      <c r="N481" s="5">
        <f>AM481/M481/$K$1</f>
        <v>1.692632498243922</v>
      </c>
      <c r="O481" s="5">
        <f>SUM($N$9:N481)</f>
        <v>1606.2100807769434</v>
      </c>
      <c r="AE481" s="5">
        <f t="shared" si="57"/>
        <v>473</v>
      </c>
      <c r="AF481" s="5">
        <f t="shared" si="58"/>
        <v>5024083388719</v>
      </c>
      <c r="AG481" s="5">
        <f t="shared" si="59"/>
        <v>4981952710407</v>
      </c>
      <c r="AH481" s="5">
        <f>AG481*$AF$1</f>
        <v>49819527104070</v>
      </c>
      <c r="AI481" s="5">
        <f>SUM($AF$9:AF480)</f>
        <v>96057946551932</v>
      </c>
      <c r="AK481" s="5">
        <f t="shared" si="60"/>
        <v>473</v>
      </c>
      <c r="AL481" s="5">
        <f t="shared" si="61"/>
        <v>68</v>
      </c>
      <c r="AM481" s="5">
        <f t="shared" si="62"/>
        <v>58135224148297</v>
      </c>
      <c r="AN481" s="5">
        <f>$AL$4*$AL$3^AL481*$AL$2</f>
        <v>58135224148296.82</v>
      </c>
      <c r="AO481" s="5">
        <f>IF(AL481=AL482,1,LOOKUP(MOD(AL481,$AL$1),$AN$1:$AN$5,$AO$1:$AO$5))</f>
        <v>1</v>
      </c>
      <c r="AP481" s="5">
        <f t="shared" si="63"/>
        <v>19610948946026</v>
      </c>
      <c r="AQ481" s="5">
        <f>AM481*$AR$3</f>
        <v>7751363219772.9336</v>
      </c>
      <c r="AR481" s="5">
        <f>AM481*AL481*$AR$4</f>
        <v>11859585726252.588</v>
      </c>
      <c r="AS481" s="5">
        <f>SUM($AP$9:AP480)</f>
        <v>461522837534771</v>
      </c>
    </row>
    <row r="482" spans="1:45" x14ac:dyDescent="0.15">
      <c r="A482" s="5">
        <v>474</v>
      </c>
      <c r="J482" s="5">
        <f t="shared" si="56"/>
        <v>474</v>
      </c>
      <c r="K482" s="5">
        <f>SUM($AP$9:AP481)</f>
        <v>481133786480797</v>
      </c>
      <c r="L482" s="5">
        <f>LOOKUP(K482,AI:AI,AE:AE)</f>
        <v>504</v>
      </c>
      <c r="M482" s="5">
        <f>LOOKUP(L482,AE:AE,AG:AG)</f>
        <v>24090025942771</v>
      </c>
      <c r="N482" s="5">
        <f>AM482/M482/$K$1</f>
        <v>1.6088324765999233</v>
      </c>
      <c r="O482" s="5">
        <f>SUM($N$9:N482)</f>
        <v>1607.8189132535433</v>
      </c>
      <c r="AE482" s="5">
        <f t="shared" si="57"/>
        <v>474</v>
      </c>
      <c r="AF482" s="5">
        <f t="shared" si="58"/>
        <v>5286346861212</v>
      </c>
      <c r="AG482" s="5">
        <f t="shared" si="59"/>
        <v>5242109648984</v>
      </c>
      <c r="AH482" s="5">
        <f>AG482*$AF$1</f>
        <v>52421096489840</v>
      </c>
      <c r="AI482" s="5">
        <f>SUM($AF$9:AF481)</f>
        <v>101082029940651</v>
      </c>
      <c r="AK482" s="5">
        <f t="shared" si="60"/>
        <v>474</v>
      </c>
      <c r="AL482" s="5">
        <f t="shared" si="61"/>
        <v>68</v>
      </c>
      <c r="AM482" s="5">
        <f t="shared" si="62"/>
        <v>58135224148297</v>
      </c>
      <c r="AN482" s="5">
        <f>$AL$4*$AL$3^AL482*$AL$2</f>
        <v>58135224148296.82</v>
      </c>
      <c r="AO482" s="5">
        <f>IF(AL482=AL483,1,LOOKUP(MOD(AL482,$AL$1),$AN$1:$AN$5,$AO$1:$AO$5))</f>
        <v>1</v>
      </c>
      <c r="AP482" s="5">
        <f t="shared" si="63"/>
        <v>19610948946026</v>
      </c>
      <c r="AQ482" s="5">
        <f>AM482*$AR$3</f>
        <v>7751363219772.9336</v>
      </c>
      <c r="AR482" s="5">
        <f>AM482*AL482*$AR$4</f>
        <v>11859585726252.588</v>
      </c>
      <c r="AS482" s="5">
        <f>SUM($AP$9:AP481)</f>
        <v>481133786480797</v>
      </c>
    </row>
    <row r="483" spans="1:45" x14ac:dyDescent="0.15">
      <c r="A483" s="5">
        <v>475</v>
      </c>
      <c r="J483" s="5">
        <f t="shared" si="56"/>
        <v>475</v>
      </c>
      <c r="K483" s="5">
        <f>SUM($AP$9:AP482)</f>
        <v>500744735426823</v>
      </c>
      <c r="L483" s="5">
        <f>LOOKUP(K483,AI:AI,AE:AE)</f>
        <v>505</v>
      </c>
      <c r="M483" s="5">
        <f>LOOKUP(L483,AE:AE,AG:AG)</f>
        <v>25344714793957</v>
      </c>
      <c r="N483" s="5">
        <f>AM483/M483/$K$1</f>
        <v>1.5291873044910156</v>
      </c>
      <c r="O483" s="5">
        <f>SUM($N$9:N483)</f>
        <v>1609.3481005580343</v>
      </c>
      <c r="AE483" s="5">
        <f t="shared" si="57"/>
        <v>475</v>
      </c>
      <c r="AF483" s="5">
        <f t="shared" si="58"/>
        <v>5562276472482</v>
      </c>
      <c r="AG483" s="5">
        <f t="shared" si="59"/>
        <v>5515827399643</v>
      </c>
      <c r="AH483" s="5">
        <f>AG483*$AF$1</f>
        <v>55158273996430</v>
      </c>
      <c r="AI483" s="5">
        <f>SUM($AF$9:AF482)</f>
        <v>106368376801863</v>
      </c>
      <c r="AK483" s="5">
        <f t="shared" si="60"/>
        <v>475</v>
      </c>
      <c r="AL483" s="5">
        <f t="shared" si="61"/>
        <v>68</v>
      </c>
      <c r="AM483" s="5">
        <f t="shared" si="62"/>
        <v>58135224148297</v>
      </c>
      <c r="AN483" s="5">
        <f>$AL$4*$AL$3^AL483*$AL$2</f>
        <v>58135224148296.82</v>
      </c>
      <c r="AO483" s="5">
        <f>IF(AL483=AL484,1,LOOKUP(MOD(AL483,$AL$1),$AN$1:$AN$5,$AO$1:$AO$5))</f>
        <v>1</v>
      </c>
      <c r="AP483" s="5">
        <f t="shared" si="63"/>
        <v>19610948946026</v>
      </c>
      <c r="AQ483" s="5">
        <f>AM483*$AR$3</f>
        <v>7751363219772.9336</v>
      </c>
      <c r="AR483" s="5">
        <f>AM483*AL483*$AR$4</f>
        <v>11859585726252.588</v>
      </c>
      <c r="AS483" s="5">
        <f>SUM($AP$9:AP482)</f>
        <v>500744735426823</v>
      </c>
    </row>
    <row r="484" spans="1:45" x14ac:dyDescent="0.15">
      <c r="A484" s="5">
        <v>476</v>
      </c>
      <c r="J484" s="5">
        <f t="shared" si="56"/>
        <v>476</v>
      </c>
      <c r="K484" s="5">
        <f>SUM($AP$9:AP483)</f>
        <v>520355684372849</v>
      </c>
      <c r="L484" s="5">
        <f>LOOKUP(K484,AI:AI,AE:AE)</f>
        <v>506</v>
      </c>
      <c r="M484" s="5">
        <f>LOOKUP(L484,AE:AE,AG:AG)</f>
        <v>26664647465404</v>
      </c>
      <c r="N484" s="5">
        <f>AM484/M484/$K$1</f>
        <v>10.174434634624243</v>
      </c>
      <c r="O484" s="5">
        <f>SUM($N$9:N484)</f>
        <v>1619.5225351926586</v>
      </c>
      <c r="AE484" s="5">
        <f t="shared" si="57"/>
        <v>476</v>
      </c>
      <c r="AF484" s="5">
        <f t="shared" si="58"/>
        <v>5852583177726</v>
      </c>
      <c r="AG484" s="5">
        <f t="shared" si="59"/>
        <v>5803811651245</v>
      </c>
      <c r="AH484" s="5">
        <f>AG484*$AF$1</f>
        <v>58038116512450</v>
      </c>
      <c r="AI484" s="5">
        <f>SUM($AF$9:AF483)</f>
        <v>111930653274345</v>
      </c>
      <c r="AK484" s="5">
        <f t="shared" si="60"/>
        <v>476</v>
      </c>
      <c r="AL484" s="5">
        <f t="shared" si="61"/>
        <v>68</v>
      </c>
      <c r="AM484" s="5">
        <f t="shared" si="62"/>
        <v>406946569038078</v>
      </c>
      <c r="AN484" s="5">
        <f>$AL$4*$AL$3^AL484*$AL$2</f>
        <v>58135224148296.82</v>
      </c>
      <c r="AO484" s="5">
        <f>IF(AL484=AL485,1,LOOKUP(MOD(AL484,$AL$1),$AN$1:$AN$5,$AO$1:$AO$5))</f>
        <v>7</v>
      </c>
      <c r="AP484" s="5">
        <f t="shared" si="63"/>
        <v>137276642622178</v>
      </c>
      <c r="AQ484" s="5">
        <f>AM484*$AR$3</f>
        <v>54259542538410.398</v>
      </c>
      <c r="AR484" s="5">
        <f>AM484*AL484*$AR$4</f>
        <v>83017100083767.906</v>
      </c>
      <c r="AS484" s="5">
        <f>SUM($AP$9:AP483)</f>
        <v>520355684372849</v>
      </c>
    </row>
    <row r="485" spans="1:45" x14ac:dyDescent="0.15">
      <c r="A485" s="5">
        <v>477</v>
      </c>
      <c r="J485" s="5">
        <f t="shared" si="56"/>
        <v>477</v>
      </c>
      <c r="K485" s="5">
        <f>SUM($AP$9:AP484)</f>
        <v>657632326995027</v>
      </c>
      <c r="L485" s="5">
        <f>LOOKUP(K485,AI:AI,AE:AE)</f>
        <v>510</v>
      </c>
      <c r="M485" s="5">
        <f>LOOKUP(L485,AE:AE,AG:AG)</f>
        <v>32667259447836</v>
      </c>
      <c r="N485" s="5">
        <f>AM485/M485/$K$1</f>
        <v>1.8626662384208095</v>
      </c>
      <c r="O485" s="5">
        <f>SUM($N$9:N485)</f>
        <v>1621.3852014310794</v>
      </c>
      <c r="AE485" s="5">
        <f t="shared" si="57"/>
        <v>477</v>
      </c>
      <c r="AF485" s="5">
        <f t="shared" si="58"/>
        <v>6158014862314</v>
      </c>
      <c r="AG485" s="5">
        <f t="shared" si="59"/>
        <v>6106804759509</v>
      </c>
      <c r="AH485" s="5">
        <f>AG485*$AF$1</f>
        <v>61068047595090</v>
      </c>
      <c r="AI485" s="5">
        <f>SUM($AF$9:AF484)</f>
        <v>117783236452071</v>
      </c>
      <c r="AK485" s="5">
        <f t="shared" si="60"/>
        <v>477</v>
      </c>
      <c r="AL485" s="5">
        <f t="shared" si="61"/>
        <v>69</v>
      </c>
      <c r="AM485" s="5">
        <f t="shared" si="62"/>
        <v>91272301912826</v>
      </c>
      <c r="AN485" s="5">
        <f>$AL$4*$AL$3^AL485*$AL$2</f>
        <v>91272301912826</v>
      </c>
      <c r="AO485" s="5">
        <f>IF(AL485=AL486,1,LOOKUP(MOD(AL485,$AL$1),$AN$1:$AN$5,$AO$1:$AO$5))</f>
        <v>1</v>
      </c>
      <c r="AP485" s="5">
        <f t="shared" si="63"/>
        <v>31063006750998</v>
      </c>
      <c r="AQ485" s="5">
        <f>AM485*$AR$3</f>
        <v>12169640255043.467</v>
      </c>
      <c r="AR485" s="5">
        <f>AM485*AL485*$AR$4</f>
        <v>18893366495954.98</v>
      </c>
      <c r="AS485" s="5">
        <f>SUM($AP$9:AP484)</f>
        <v>657632326995027</v>
      </c>
    </row>
    <row r="486" spans="1:45" x14ac:dyDescent="0.15">
      <c r="A486" s="5">
        <v>478</v>
      </c>
      <c r="J486" s="5">
        <f t="shared" si="56"/>
        <v>478</v>
      </c>
      <c r="K486" s="5">
        <f>SUM($AP$9:AP485)</f>
        <v>688695333746025</v>
      </c>
      <c r="L486" s="5">
        <f>LOOKUP(K486,AI:AI,AE:AE)</f>
        <v>511</v>
      </c>
      <c r="M486" s="5">
        <f>LOOKUP(L486,AE:AE,AG:AG)</f>
        <v>34367878542621</v>
      </c>
      <c r="N486" s="5">
        <f>AM486/M486/$K$1</f>
        <v>1.7704962847723351</v>
      </c>
      <c r="O486" s="5">
        <f>SUM($N$9:N486)</f>
        <v>1623.1556977158518</v>
      </c>
      <c r="AE486" s="5">
        <f t="shared" si="57"/>
        <v>478</v>
      </c>
      <c r="AF486" s="5">
        <f t="shared" si="58"/>
        <v>6479358257416</v>
      </c>
      <c r="AG486" s="5">
        <f t="shared" si="59"/>
        <v>6425587649471</v>
      </c>
      <c r="AH486" s="5">
        <f>AG486*$AF$1</f>
        <v>64255876494710</v>
      </c>
      <c r="AI486" s="5">
        <f>SUM($AF$9:AF485)</f>
        <v>123941251314385</v>
      </c>
      <c r="AK486" s="5">
        <f t="shared" si="60"/>
        <v>478</v>
      </c>
      <c r="AL486" s="5">
        <f t="shared" si="61"/>
        <v>69</v>
      </c>
      <c r="AM486" s="5">
        <f t="shared" si="62"/>
        <v>91272301912826</v>
      </c>
      <c r="AN486" s="5">
        <f>$AL$4*$AL$3^AL486*$AL$2</f>
        <v>91272301912826</v>
      </c>
      <c r="AO486" s="5">
        <f>IF(AL486=AL487,1,LOOKUP(MOD(AL486,$AL$1),$AN$1:$AN$5,$AO$1:$AO$5))</f>
        <v>1</v>
      </c>
      <c r="AP486" s="5">
        <f t="shared" si="63"/>
        <v>31063006750998</v>
      </c>
      <c r="AQ486" s="5">
        <f>AM486*$AR$3</f>
        <v>12169640255043.467</v>
      </c>
      <c r="AR486" s="5">
        <f>AM486*AL486*$AR$4</f>
        <v>18893366495954.98</v>
      </c>
      <c r="AS486" s="5">
        <f>SUM($AP$9:AP485)</f>
        <v>688695333746025</v>
      </c>
    </row>
    <row r="487" spans="1:45" x14ac:dyDescent="0.15">
      <c r="A487" s="5">
        <v>479</v>
      </c>
      <c r="J487" s="5">
        <f t="shared" si="56"/>
        <v>479</v>
      </c>
      <c r="K487" s="5">
        <f>SUM($AP$9:AP486)</f>
        <v>719758340497023</v>
      </c>
      <c r="L487" s="5">
        <f>LOOKUP(K487,AI:AI,AE:AE)</f>
        <v>512</v>
      </c>
      <c r="M487" s="5">
        <f>LOOKUP(L487,AE:AE,AG:AG)</f>
        <v>36156891398264</v>
      </c>
      <c r="N487" s="5">
        <f>AM487/M487/$K$1</f>
        <v>1.6828936040153837</v>
      </c>
      <c r="O487" s="5">
        <f>SUM($N$9:N487)</f>
        <v>1624.8385913198672</v>
      </c>
      <c r="AE487" s="5">
        <f t="shared" si="57"/>
        <v>479</v>
      </c>
      <c r="AF487" s="5">
        <f t="shared" si="58"/>
        <v>6817440954872</v>
      </c>
      <c r="AG487" s="5">
        <f t="shared" si="59"/>
        <v>6760981816530</v>
      </c>
      <c r="AH487" s="5">
        <f>AG487*$AF$1</f>
        <v>67609818165300</v>
      </c>
      <c r="AI487" s="5">
        <f>SUM($AF$9:AF486)</f>
        <v>130420609571801</v>
      </c>
      <c r="AK487" s="5">
        <f t="shared" si="60"/>
        <v>479</v>
      </c>
      <c r="AL487" s="5">
        <f t="shared" si="61"/>
        <v>69</v>
      </c>
      <c r="AM487" s="5">
        <f t="shared" si="62"/>
        <v>91272301912826</v>
      </c>
      <c r="AN487" s="5">
        <f>$AL$4*$AL$3^AL487*$AL$2</f>
        <v>91272301912826</v>
      </c>
      <c r="AO487" s="5">
        <f>IF(AL487=AL488,1,LOOKUP(MOD(AL487,$AL$1),$AN$1:$AN$5,$AO$1:$AO$5))</f>
        <v>1</v>
      </c>
      <c r="AP487" s="5">
        <f t="shared" si="63"/>
        <v>31063006750998</v>
      </c>
      <c r="AQ487" s="5">
        <f>AM487*$AR$3</f>
        <v>12169640255043.467</v>
      </c>
      <c r="AR487" s="5">
        <f>AM487*AL487*$AR$4</f>
        <v>18893366495954.98</v>
      </c>
      <c r="AS487" s="5">
        <f>SUM($AP$9:AP486)</f>
        <v>719758340497023</v>
      </c>
    </row>
    <row r="488" spans="1:45" x14ac:dyDescent="0.15">
      <c r="A488" s="5">
        <v>480</v>
      </c>
      <c r="J488" s="5">
        <f t="shared" si="56"/>
        <v>480</v>
      </c>
      <c r="K488" s="5">
        <f>SUM($AP$9:AP487)</f>
        <v>750821347248021</v>
      </c>
      <c r="L488" s="5">
        <f>LOOKUP(K488,AI:AI,AE:AE)</f>
        <v>513</v>
      </c>
      <c r="M488" s="5">
        <f>LOOKUP(L488,AE:AE,AG:AG)</f>
        <v>38038885843115</v>
      </c>
      <c r="N488" s="5">
        <f>AM488/M488/$K$1</f>
        <v>1.5996315330100763</v>
      </c>
      <c r="O488" s="5">
        <f>SUM($N$9:N488)</f>
        <v>1626.4382228528773</v>
      </c>
      <c r="AE488" s="5">
        <f t="shared" si="57"/>
        <v>480</v>
      </c>
      <c r="AF488" s="5">
        <f t="shared" si="58"/>
        <v>7173133526431</v>
      </c>
      <c r="AG488" s="5">
        <f t="shared" si="59"/>
        <v>7113851431171</v>
      </c>
      <c r="AH488" s="5">
        <f>AG488*$AF$1</f>
        <v>71138514311710</v>
      </c>
      <c r="AI488" s="5">
        <f>SUM($AF$9:AF487)</f>
        <v>137238050526673</v>
      </c>
      <c r="AK488" s="5">
        <f t="shared" si="60"/>
        <v>480</v>
      </c>
      <c r="AL488" s="5">
        <f t="shared" si="61"/>
        <v>69</v>
      </c>
      <c r="AM488" s="5">
        <f t="shared" si="62"/>
        <v>91272301912826</v>
      </c>
      <c r="AN488" s="5">
        <f>$AL$4*$AL$3^AL488*$AL$2</f>
        <v>91272301912826</v>
      </c>
      <c r="AO488" s="5">
        <f>IF(AL488=AL489,1,LOOKUP(MOD(AL488,$AL$1),$AN$1:$AN$5,$AO$1:$AO$5))</f>
        <v>1</v>
      </c>
      <c r="AP488" s="5">
        <f t="shared" si="63"/>
        <v>31063006750998</v>
      </c>
      <c r="AQ488" s="5">
        <f>AM488*$AR$3</f>
        <v>12169640255043.467</v>
      </c>
      <c r="AR488" s="5">
        <f>AM488*AL488*$AR$4</f>
        <v>18893366495954.98</v>
      </c>
      <c r="AS488" s="5">
        <f>SUM($AP$9:AP487)</f>
        <v>750821347248021</v>
      </c>
    </row>
    <row r="489" spans="1:45" x14ac:dyDescent="0.15">
      <c r="A489" s="5">
        <v>481</v>
      </c>
      <c r="J489" s="5">
        <f t="shared" si="56"/>
        <v>481</v>
      </c>
      <c r="K489" s="5">
        <f>SUM($AP$9:AP488)</f>
        <v>781884353999019</v>
      </c>
      <c r="L489" s="5">
        <f>LOOKUP(K489,AI:AI,AE:AE)</f>
        <v>514</v>
      </c>
      <c r="M489" s="5">
        <f>LOOKUP(L489,AE:AE,AG:AG)</f>
        <v>40018687503955</v>
      </c>
      <c r="N489" s="5">
        <f>AM489/M489/$K$1</f>
        <v>1.5204946756238265</v>
      </c>
      <c r="O489" s="5">
        <f>SUM($N$9:N489)</f>
        <v>1627.9587175285012</v>
      </c>
      <c r="AE489" s="5">
        <f t="shared" si="57"/>
        <v>481</v>
      </c>
      <c r="AF489" s="5">
        <f t="shared" si="58"/>
        <v>7547351752758</v>
      </c>
      <c r="AG489" s="5">
        <f t="shared" si="59"/>
        <v>7485105552735</v>
      </c>
      <c r="AH489" s="5">
        <f>AG489*$AF$1</f>
        <v>74851055527350</v>
      </c>
      <c r="AI489" s="5">
        <f>SUM($AF$9:AF488)</f>
        <v>144411184053104</v>
      </c>
      <c r="AK489" s="5">
        <f t="shared" si="60"/>
        <v>481</v>
      </c>
      <c r="AL489" s="5">
        <f t="shared" si="61"/>
        <v>69</v>
      </c>
      <c r="AM489" s="5">
        <f t="shared" si="62"/>
        <v>91272301912826</v>
      </c>
      <c r="AN489" s="5">
        <f>$AL$4*$AL$3^AL489*$AL$2</f>
        <v>91272301912826</v>
      </c>
      <c r="AO489" s="5">
        <f>IF(AL489=AL490,1,LOOKUP(MOD(AL489,$AL$1),$AN$1:$AN$5,$AO$1:$AO$5))</f>
        <v>1</v>
      </c>
      <c r="AP489" s="5">
        <f t="shared" si="63"/>
        <v>31063006750998</v>
      </c>
      <c r="AQ489" s="5">
        <f>AM489*$AR$3</f>
        <v>12169640255043.467</v>
      </c>
      <c r="AR489" s="5">
        <f>AM489*AL489*$AR$4</f>
        <v>18893366495954.98</v>
      </c>
      <c r="AS489" s="5">
        <f>SUM($AP$9:AP488)</f>
        <v>781884353999019</v>
      </c>
    </row>
    <row r="490" spans="1:45" x14ac:dyDescent="0.15">
      <c r="A490" s="5">
        <v>482</v>
      </c>
      <c r="J490" s="5">
        <f t="shared" si="56"/>
        <v>482</v>
      </c>
      <c r="K490" s="5">
        <f>SUM($AP$9:AP489)</f>
        <v>812947360750017</v>
      </c>
      <c r="L490" s="5">
        <f>LOOKUP(K490,AI:AI,AE:AE)</f>
        <v>514</v>
      </c>
      <c r="M490" s="5">
        <f>LOOKUP(L490,AE:AE,AG:AG)</f>
        <v>40018687503955</v>
      </c>
      <c r="N490" s="5">
        <f>AM490/M490/$K$1</f>
        <v>1.5204946756238265</v>
      </c>
      <c r="O490" s="5">
        <f>SUM($N$9:N490)</f>
        <v>1629.4792122041251</v>
      </c>
      <c r="AE490" s="5">
        <f t="shared" si="57"/>
        <v>482</v>
      </c>
      <c r="AF490" s="5">
        <f t="shared" si="58"/>
        <v>7941058967902</v>
      </c>
      <c r="AG490" s="5">
        <f t="shared" si="59"/>
        <v>7875700457878</v>
      </c>
      <c r="AH490" s="5">
        <f>AG490*$AF$1</f>
        <v>78757004578780</v>
      </c>
      <c r="AI490" s="5">
        <f>SUM($AF$9:AF489)</f>
        <v>151958535805862</v>
      </c>
      <c r="AK490" s="5">
        <f t="shared" si="60"/>
        <v>482</v>
      </c>
      <c r="AL490" s="5">
        <f t="shared" si="61"/>
        <v>69</v>
      </c>
      <c r="AM490" s="5">
        <f t="shared" si="62"/>
        <v>91272301912826</v>
      </c>
      <c r="AN490" s="5">
        <f>$AL$4*$AL$3^AL490*$AL$2</f>
        <v>91272301912826</v>
      </c>
      <c r="AO490" s="5">
        <f>IF(AL490=AL491,1,LOOKUP(MOD(AL490,$AL$1),$AN$1:$AN$5,$AO$1:$AO$5))</f>
        <v>1</v>
      </c>
      <c r="AP490" s="5">
        <f t="shared" si="63"/>
        <v>31063006750998</v>
      </c>
      <c r="AQ490" s="5">
        <f>AM490*$AR$3</f>
        <v>12169640255043.467</v>
      </c>
      <c r="AR490" s="5">
        <f>AM490*AL490*$AR$4</f>
        <v>18893366495954.98</v>
      </c>
      <c r="AS490" s="5">
        <f>SUM($AP$9:AP489)</f>
        <v>812947360750017</v>
      </c>
    </row>
    <row r="491" spans="1:45" x14ac:dyDescent="0.15">
      <c r="A491" s="5">
        <v>483</v>
      </c>
      <c r="J491" s="5">
        <f t="shared" si="56"/>
        <v>483</v>
      </c>
      <c r="K491" s="5">
        <f>SUM($AP$9:AP490)</f>
        <v>844010367501015</v>
      </c>
      <c r="L491" s="5">
        <f>LOOKUP(K491,AI:AI,AE:AE)</f>
        <v>515</v>
      </c>
      <c r="M491" s="5">
        <f>LOOKUP(L491,AE:AE,AG:AG)</f>
        <v>42101372116272</v>
      </c>
      <c r="N491" s="5">
        <f>AM491/M491/$K$1</f>
        <v>10.116948391852967</v>
      </c>
      <c r="O491" s="5">
        <f>SUM($N$9:N491)</f>
        <v>1639.5961605959781</v>
      </c>
      <c r="AE491" s="5">
        <f t="shared" si="57"/>
        <v>483</v>
      </c>
      <c r="AF491" s="5">
        <f t="shared" si="58"/>
        <v>8355268525178</v>
      </c>
      <c r="AG491" s="5">
        <f t="shared" si="59"/>
        <v>8286642089653</v>
      </c>
      <c r="AH491" s="5">
        <f>AG491*$AF$1</f>
        <v>82866420896530</v>
      </c>
      <c r="AI491" s="5">
        <f>SUM($AF$9:AF490)</f>
        <v>159899594773764</v>
      </c>
      <c r="AK491" s="5">
        <f t="shared" si="60"/>
        <v>483</v>
      </c>
      <c r="AL491" s="5">
        <f t="shared" si="61"/>
        <v>69</v>
      </c>
      <c r="AM491" s="5">
        <f t="shared" si="62"/>
        <v>638906113389782</v>
      </c>
      <c r="AN491" s="5">
        <f>$AL$4*$AL$3^AL491*$AL$2</f>
        <v>91272301912826</v>
      </c>
      <c r="AO491" s="5">
        <f>IF(AL491=AL492,1,LOOKUP(MOD(AL491,$AL$1),$AN$1:$AN$5,$AO$1:$AO$5))</f>
        <v>7</v>
      </c>
      <c r="AP491" s="5">
        <f t="shared" si="63"/>
        <v>217441047256989</v>
      </c>
      <c r="AQ491" s="5">
        <f>AM491*$AR$3</f>
        <v>85187481785304.266</v>
      </c>
      <c r="AR491" s="5">
        <f>AM491*AL491*$AR$4</f>
        <v>132253565471684.87</v>
      </c>
      <c r="AS491" s="5">
        <f>SUM($AP$9:AP490)</f>
        <v>844010367501015</v>
      </c>
    </row>
    <row r="492" spans="1:45" x14ac:dyDescent="0.15">
      <c r="A492" s="5">
        <v>484</v>
      </c>
      <c r="J492" s="5">
        <f t="shared" si="56"/>
        <v>484</v>
      </c>
      <c r="K492" s="5">
        <f>SUM($AP$9:AP491)</f>
        <v>1061451414758004</v>
      </c>
      <c r="L492" s="5">
        <f>LOOKUP(K492,AI:AI,AE:AE)</f>
        <v>520</v>
      </c>
      <c r="M492" s="5">
        <f>LOOKUP(L492,AE:AE,AG:AG)</f>
        <v>54254886589775</v>
      </c>
      <c r="N492" s="5">
        <f>AM492/M492/$K$1</f>
        <v>1.7607939488365911</v>
      </c>
      <c r="O492" s="5">
        <f>SUM($N$9:N492)</f>
        <v>1641.3569545448147</v>
      </c>
      <c r="AE492" s="5">
        <f t="shared" si="57"/>
        <v>484</v>
      </c>
      <c r="AF492" s="5">
        <f t="shared" si="58"/>
        <v>8791046390763</v>
      </c>
      <c r="AG492" s="5">
        <f t="shared" si="59"/>
        <v>8718988633461</v>
      </c>
      <c r="AH492" s="5">
        <f>AG492*$AF$1</f>
        <v>87189886334610</v>
      </c>
      <c r="AI492" s="5">
        <f>SUM($AF$9:AF491)</f>
        <v>168254863298942</v>
      </c>
      <c r="AK492" s="5">
        <f t="shared" si="60"/>
        <v>484</v>
      </c>
      <c r="AL492" s="5">
        <f t="shared" si="61"/>
        <v>70</v>
      </c>
      <c r="AM492" s="5">
        <f t="shared" si="62"/>
        <v>143297514003137</v>
      </c>
      <c r="AN492" s="5">
        <f>$AL$4*$AL$3^AL492*$AL$2</f>
        <v>143297514003136.84</v>
      </c>
      <c r="AO492" s="5">
        <f>IF(AL492=AL493,1,LOOKUP(MOD(AL492,$AL$1),$AN$1:$AN$5,$AO$1:$AO$5))</f>
        <v>1</v>
      </c>
      <c r="AP492" s="5">
        <f t="shared" si="63"/>
        <v>49198813141077</v>
      </c>
      <c r="AQ492" s="5">
        <f>AM492*$AR$3</f>
        <v>19106335200418.266</v>
      </c>
      <c r="AR492" s="5">
        <f>AM492*AL492*$AR$4</f>
        <v>30092477940658.77</v>
      </c>
      <c r="AS492" s="5">
        <f>SUM($AP$9:AP491)</f>
        <v>1061451414758004</v>
      </c>
    </row>
    <row r="493" spans="1:45" x14ac:dyDescent="0.15">
      <c r="A493" s="5">
        <v>485</v>
      </c>
      <c r="J493" s="5">
        <f t="shared" si="56"/>
        <v>485</v>
      </c>
      <c r="K493" s="5">
        <f>SUM($AP$9:AP492)</f>
        <v>1110650227899081</v>
      </c>
      <c r="L493" s="5">
        <f>LOOKUP(K493,AI:AI,AE:AE)</f>
        <v>521</v>
      </c>
      <c r="M493" s="5">
        <f>LOOKUP(L493,AE:AE,AG:AG)</f>
        <v>57077184055647</v>
      </c>
      <c r="N493" s="5">
        <f>AM493/M493/$K$1</f>
        <v>1.6737279104195715</v>
      </c>
      <c r="O493" s="5">
        <f>SUM($N$9:N493)</f>
        <v>1643.0306824552342</v>
      </c>
      <c r="AE493" s="5">
        <f t="shared" si="57"/>
        <v>485</v>
      </c>
      <c r="AF493" s="5">
        <f t="shared" si="58"/>
        <v>9249513871592</v>
      </c>
      <c r="AG493" s="5">
        <f t="shared" si="59"/>
        <v>9173853226426</v>
      </c>
      <c r="AH493" s="5">
        <f>AG493*$AF$1</f>
        <v>91738532264260</v>
      </c>
      <c r="AI493" s="5">
        <f>SUM($AF$9:AF492)</f>
        <v>177045909689705</v>
      </c>
      <c r="AK493" s="5">
        <f t="shared" si="60"/>
        <v>485</v>
      </c>
      <c r="AL493" s="5">
        <f t="shared" si="61"/>
        <v>70</v>
      </c>
      <c r="AM493" s="5">
        <f t="shared" si="62"/>
        <v>143297514003137</v>
      </c>
      <c r="AN493" s="5">
        <f>$AL$4*$AL$3^AL493*$AL$2</f>
        <v>143297514003136.84</v>
      </c>
      <c r="AO493" s="5">
        <f>IF(AL493=AL494,1,LOOKUP(MOD(AL493,$AL$1),$AN$1:$AN$5,$AO$1:$AO$5))</f>
        <v>1</v>
      </c>
      <c r="AP493" s="5">
        <f t="shared" si="63"/>
        <v>49198813141077</v>
      </c>
      <c r="AQ493" s="5">
        <f>AM493*$AR$3</f>
        <v>19106335200418.266</v>
      </c>
      <c r="AR493" s="5">
        <f>AM493*AL493*$AR$4</f>
        <v>30092477940658.77</v>
      </c>
      <c r="AS493" s="5">
        <f>SUM($AP$9:AP492)</f>
        <v>1110650227899081</v>
      </c>
    </row>
    <row r="494" spans="1:45" x14ac:dyDescent="0.15">
      <c r="A494" s="5">
        <v>486</v>
      </c>
      <c r="J494" s="5">
        <f t="shared" si="56"/>
        <v>486</v>
      </c>
      <c r="K494" s="5">
        <f>SUM($AP$9:AP493)</f>
        <v>1159849041040158</v>
      </c>
      <c r="L494" s="5">
        <f>LOOKUP(K494,AI:AI,AE:AE)</f>
        <v>521</v>
      </c>
      <c r="M494" s="5">
        <f>LOOKUP(L494,AE:AE,AG:AG)</f>
        <v>57077184055647</v>
      </c>
      <c r="N494" s="5">
        <f>AM494/M494/$K$1</f>
        <v>1.6737279104195715</v>
      </c>
      <c r="O494" s="5">
        <f>SUM($N$9:N494)</f>
        <v>1644.7044103656538</v>
      </c>
      <c r="AE494" s="5">
        <f t="shared" si="57"/>
        <v>486</v>
      </c>
      <c r="AF494" s="5">
        <f t="shared" si="58"/>
        <v>9731850484528</v>
      </c>
      <c r="AG494" s="5">
        <f t="shared" si="59"/>
        <v>9652406807103</v>
      </c>
      <c r="AH494" s="5">
        <f>AG494*$AF$1</f>
        <v>96524068071030</v>
      </c>
      <c r="AI494" s="5">
        <f>SUM($AF$9:AF493)</f>
        <v>186295423561297</v>
      </c>
      <c r="AK494" s="5">
        <f t="shared" si="60"/>
        <v>486</v>
      </c>
      <c r="AL494" s="5">
        <f t="shared" si="61"/>
        <v>70</v>
      </c>
      <c r="AM494" s="5">
        <f t="shared" si="62"/>
        <v>143297514003137</v>
      </c>
      <c r="AN494" s="5">
        <f>$AL$4*$AL$3^AL494*$AL$2</f>
        <v>143297514003136.84</v>
      </c>
      <c r="AO494" s="5">
        <f>IF(AL494=AL495,1,LOOKUP(MOD(AL494,$AL$1),$AN$1:$AN$5,$AO$1:$AO$5))</f>
        <v>1</v>
      </c>
      <c r="AP494" s="5">
        <f t="shared" si="63"/>
        <v>49198813141077</v>
      </c>
      <c r="AQ494" s="5">
        <f>AM494*$AR$3</f>
        <v>19106335200418.266</v>
      </c>
      <c r="AR494" s="5">
        <f>AM494*AL494*$AR$4</f>
        <v>30092477940658.77</v>
      </c>
      <c r="AS494" s="5">
        <f>SUM($AP$9:AP493)</f>
        <v>1159849041040158</v>
      </c>
    </row>
    <row r="495" spans="1:45" x14ac:dyDescent="0.15">
      <c r="A495" s="5">
        <v>487</v>
      </c>
      <c r="J495" s="5">
        <f t="shared" si="56"/>
        <v>487</v>
      </c>
      <c r="K495" s="5">
        <f>SUM($AP$9:AP494)</f>
        <v>1209047854181235</v>
      </c>
      <c r="L495" s="5">
        <f>LOOKUP(K495,AI:AI,AE:AE)</f>
        <v>522</v>
      </c>
      <c r="M495" s="5">
        <f>LOOKUP(L495,AE:AE,AG:AG)</f>
        <v>60046074051631</v>
      </c>
      <c r="N495" s="5">
        <f>AM495/M495/$K$1</f>
        <v>1.5909728905831182</v>
      </c>
      <c r="O495" s="5">
        <f>SUM($N$9:N495)</f>
        <v>1646.2953832562368</v>
      </c>
      <c r="AE495" s="5">
        <f t="shared" si="57"/>
        <v>487</v>
      </c>
      <c r="AF495" s="5">
        <f t="shared" si="58"/>
        <v>10239296974079</v>
      </c>
      <c r="AG495" s="5">
        <f t="shared" si="59"/>
        <v>10155881112783</v>
      </c>
      <c r="AH495" s="5">
        <f>AG495*$AF$1</f>
        <v>101558811127830</v>
      </c>
      <c r="AI495" s="5">
        <f>SUM($AF$9:AF494)</f>
        <v>196027274045825</v>
      </c>
      <c r="AK495" s="5">
        <f t="shared" si="60"/>
        <v>487</v>
      </c>
      <c r="AL495" s="5">
        <f t="shared" si="61"/>
        <v>70</v>
      </c>
      <c r="AM495" s="5">
        <f t="shared" si="62"/>
        <v>143297514003137</v>
      </c>
      <c r="AN495" s="5">
        <f>$AL$4*$AL$3^AL495*$AL$2</f>
        <v>143297514003136.84</v>
      </c>
      <c r="AO495" s="5">
        <f>IF(AL495=AL496,1,LOOKUP(MOD(AL495,$AL$1),$AN$1:$AN$5,$AO$1:$AO$5))</f>
        <v>1</v>
      </c>
      <c r="AP495" s="5">
        <f t="shared" si="63"/>
        <v>49198813141077</v>
      </c>
      <c r="AQ495" s="5">
        <f>AM495*$AR$3</f>
        <v>19106335200418.266</v>
      </c>
      <c r="AR495" s="5">
        <f>AM495*AL495*$AR$4</f>
        <v>30092477940658.77</v>
      </c>
      <c r="AS495" s="5">
        <f>SUM($AP$9:AP494)</f>
        <v>1209047854181235</v>
      </c>
    </row>
    <row r="496" spans="1:45" x14ac:dyDescent="0.15">
      <c r="A496" s="5">
        <v>488</v>
      </c>
      <c r="J496" s="5">
        <f t="shared" si="56"/>
        <v>488</v>
      </c>
      <c r="K496" s="5">
        <f>SUM($AP$9:AP495)</f>
        <v>1258246667322312</v>
      </c>
      <c r="L496" s="5">
        <f>LOOKUP(K496,AI:AI,AE:AE)</f>
        <v>523</v>
      </c>
      <c r="M496" s="5">
        <f>LOOKUP(L496,AE:AE,AG:AG)</f>
        <v>63169160087075</v>
      </c>
      <c r="N496" s="5">
        <f>AM496/M496/$K$1</f>
        <v>1.5123151213409596</v>
      </c>
      <c r="O496" s="5">
        <f>SUM($N$9:N496)</f>
        <v>1647.8076983775777</v>
      </c>
      <c r="AE496" s="5">
        <f t="shared" si="57"/>
        <v>488</v>
      </c>
      <c r="AF496" s="5">
        <f t="shared" si="58"/>
        <v>10773158486373</v>
      </c>
      <c r="AG496" s="5">
        <f t="shared" si="59"/>
        <v>10685571832012</v>
      </c>
      <c r="AH496" s="5">
        <f>AG496*$AF$1</f>
        <v>106855718320120</v>
      </c>
      <c r="AI496" s="5">
        <f>SUM($AF$9:AF495)</f>
        <v>206266571019904</v>
      </c>
      <c r="AK496" s="5">
        <f t="shared" si="60"/>
        <v>488</v>
      </c>
      <c r="AL496" s="5">
        <f t="shared" si="61"/>
        <v>70</v>
      </c>
      <c r="AM496" s="5">
        <f t="shared" si="62"/>
        <v>143297514003137</v>
      </c>
      <c r="AN496" s="5">
        <f>$AL$4*$AL$3^AL496*$AL$2</f>
        <v>143297514003136.84</v>
      </c>
      <c r="AO496" s="5">
        <f>IF(AL496=AL497,1,LOOKUP(MOD(AL496,$AL$1),$AN$1:$AN$5,$AO$1:$AO$5))</f>
        <v>1</v>
      </c>
      <c r="AP496" s="5">
        <f t="shared" si="63"/>
        <v>49198813141077</v>
      </c>
      <c r="AQ496" s="5">
        <f>AM496*$AR$3</f>
        <v>19106335200418.266</v>
      </c>
      <c r="AR496" s="5">
        <f>AM496*AL496*$AR$4</f>
        <v>30092477940658.77</v>
      </c>
      <c r="AS496" s="5">
        <f>SUM($AP$9:AP495)</f>
        <v>1258246667322312</v>
      </c>
    </row>
    <row r="497" spans="1:45" x14ac:dyDescent="0.15">
      <c r="A497" s="5">
        <v>489</v>
      </c>
      <c r="J497" s="5">
        <f t="shared" si="56"/>
        <v>489</v>
      </c>
      <c r="K497" s="5">
        <f>SUM($AP$9:AP496)</f>
        <v>1307445480463389</v>
      </c>
      <c r="L497" s="5">
        <f>LOOKUP(K497,AI:AI,AE:AE)</f>
        <v>524</v>
      </c>
      <c r="M497" s="5">
        <f>LOOKUP(L497,AE:AE,AG:AG)</f>
        <v>66454439540935</v>
      </c>
      <c r="N497" s="5">
        <f>AM497/M497/$K$1</f>
        <v>1.4375514512201277</v>
      </c>
      <c r="O497" s="5">
        <f>SUM($N$9:N497)</f>
        <v>1649.2452498287978</v>
      </c>
      <c r="AE497" s="5">
        <f t="shared" si="57"/>
        <v>489</v>
      </c>
      <c r="AF497" s="5">
        <f t="shared" si="58"/>
        <v>11334807907461</v>
      </c>
      <c r="AG497" s="5">
        <f t="shared" si="59"/>
        <v>11242841920382</v>
      </c>
      <c r="AH497" s="5">
        <f>AG497*$AF$1</f>
        <v>112428419203820</v>
      </c>
      <c r="AI497" s="5">
        <f>SUM($AF$9:AF496)</f>
        <v>217039729506277</v>
      </c>
      <c r="AK497" s="5">
        <f t="shared" si="60"/>
        <v>489</v>
      </c>
      <c r="AL497" s="5">
        <f t="shared" si="61"/>
        <v>70</v>
      </c>
      <c r="AM497" s="5">
        <f t="shared" si="62"/>
        <v>143297514003137</v>
      </c>
      <c r="AN497" s="5">
        <f>$AL$4*$AL$3^AL497*$AL$2</f>
        <v>143297514003136.84</v>
      </c>
      <c r="AO497" s="5">
        <f>IF(AL497=AL498,1,LOOKUP(MOD(AL497,$AL$1),$AN$1:$AN$5,$AO$1:$AO$5))</f>
        <v>1</v>
      </c>
      <c r="AP497" s="5">
        <f t="shared" si="63"/>
        <v>49198813141077</v>
      </c>
      <c r="AQ497" s="5">
        <f>AM497*$AR$3</f>
        <v>19106335200418.266</v>
      </c>
      <c r="AR497" s="5">
        <f>AM497*AL497*$AR$4</f>
        <v>30092477940658.77</v>
      </c>
      <c r="AS497" s="5">
        <f>SUM($AP$9:AP496)</f>
        <v>1307445480463389</v>
      </c>
    </row>
    <row r="498" spans="1:45" x14ac:dyDescent="0.15">
      <c r="A498" s="5">
        <v>490</v>
      </c>
      <c r="J498" s="5">
        <f t="shared" si="56"/>
        <v>490</v>
      </c>
      <c r="K498" s="5">
        <f>SUM($AP$9:AP497)</f>
        <v>1356644293604466</v>
      </c>
      <c r="L498" s="5">
        <f>LOOKUP(K498,AI:AI,AE:AE)</f>
        <v>525</v>
      </c>
      <c r="M498" s="5">
        <f>LOOKUP(L498,AE:AE,AG:AG)</f>
        <v>69910324039962</v>
      </c>
      <c r="N498" s="5">
        <f>AM498/M498/$K$1</f>
        <v>13.66488817123544</v>
      </c>
      <c r="O498" s="5">
        <f>SUM($N$9:N498)</f>
        <v>1662.9101380000332</v>
      </c>
      <c r="AE498" s="5">
        <f t="shared" si="57"/>
        <v>490</v>
      </c>
      <c r="AF498" s="5">
        <f t="shared" si="58"/>
        <v>11925689374442</v>
      </c>
      <c r="AG498" s="5">
        <f t="shared" si="59"/>
        <v>11829125088010</v>
      </c>
      <c r="AH498" s="5">
        <f>AG498*$AF$1</f>
        <v>118291250880100</v>
      </c>
      <c r="AI498" s="5">
        <f>SUM($AF$9:AF497)</f>
        <v>228374537413738</v>
      </c>
      <c r="AK498" s="5">
        <f t="shared" si="60"/>
        <v>490</v>
      </c>
      <c r="AL498" s="5">
        <f t="shared" si="61"/>
        <v>70</v>
      </c>
      <c r="AM498" s="5">
        <f t="shared" si="62"/>
        <v>1432975140031370</v>
      </c>
      <c r="AN498" s="5">
        <f>$AL$4*$AL$3^AL498*$AL$2</f>
        <v>143297514003136.84</v>
      </c>
      <c r="AO498" s="5">
        <f>IF(AL498=AL499,1,LOOKUP(MOD(AL498,$AL$1),$AN$1:$AN$5,$AO$1:$AO$5))</f>
        <v>10</v>
      </c>
      <c r="AP498" s="5">
        <f t="shared" si="63"/>
        <v>491988131410770</v>
      </c>
      <c r="AQ498" s="5">
        <f>AM498*$AR$3</f>
        <v>191063352004182.66</v>
      </c>
      <c r="AR498" s="5">
        <f>AM498*AL498*$AR$4</f>
        <v>300924779406587.69</v>
      </c>
      <c r="AS498" s="5">
        <f>SUM($AP$9:AP497)</f>
        <v>1356644293604466</v>
      </c>
    </row>
    <row r="499" spans="1:45" x14ac:dyDescent="0.15">
      <c r="A499" s="5">
        <v>491</v>
      </c>
      <c r="J499" s="5">
        <f t="shared" si="56"/>
        <v>491</v>
      </c>
      <c r="K499" s="5">
        <f>SUM($AP$9:AP498)</f>
        <v>1848632425015236</v>
      </c>
      <c r="L499" s="5">
        <f>LOOKUP(K499,AI:AI,AE:AE)</f>
        <v>531</v>
      </c>
      <c r="M499" s="5">
        <f>LOOKUP(L499,AE:AE,AG:AG)</f>
        <v>94757223571842</v>
      </c>
      <c r="N499" s="5">
        <f>AM499/M499/$K$1</f>
        <v>1.5828316372056801</v>
      </c>
      <c r="O499" s="5">
        <f>SUM($N$9:N499)</f>
        <v>1664.4929696372387</v>
      </c>
      <c r="AE499" s="5">
        <f t="shared" si="57"/>
        <v>491</v>
      </c>
      <c r="AF499" s="5">
        <f t="shared" si="58"/>
        <v>12547321968353</v>
      </c>
      <c r="AG499" s="5">
        <f t="shared" si="59"/>
        <v>12445929467599</v>
      </c>
      <c r="AH499" s="5">
        <f>AG499*$AF$1</f>
        <v>124459294675990</v>
      </c>
      <c r="AI499" s="5">
        <f>SUM($AF$9:AF498)</f>
        <v>240300226788180</v>
      </c>
      <c r="AK499" s="5">
        <f t="shared" si="60"/>
        <v>491</v>
      </c>
      <c r="AL499" s="5">
        <f t="shared" si="61"/>
        <v>71</v>
      </c>
      <c r="AM499" s="5">
        <f t="shared" si="62"/>
        <v>224977096984925</v>
      </c>
      <c r="AN499" s="5">
        <f>$AL$4*$AL$3^AL499*$AL$2</f>
        <v>224977096984924.87</v>
      </c>
      <c r="AO499" s="5">
        <f>IF(AL499=AL500,1,LOOKUP(MOD(AL499,$AL$1),$AN$1:$AN$5,$AO$1:$AO$5))</f>
        <v>1</v>
      </c>
      <c r="AP499" s="5">
        <f t="shared" si="63"/>
        <v>77917067922446</v>
      </c>
      <c r="AQ499" s="5">
        <f>AM499*$AR$3</f>
        <v>29996946264656.668</v>
      </c>
      <c r="AR499" s="5">
        <f>AM499*AL499*$AR$4</f>
        <v>47920121657789.031</v>
      </c>
      <c r="AS499" s="5">
        <f>SUM($AP$9:AP498)</f>
        <v>1848632425015236</v>
      </c>
    </row>
    <row r="500" spans="1:45" x14ac:dyDescent="0.15">
      <c r="A500" s="5">
        <v>492</v>
      </c>
      <c r="J500" s="5">
        <f t="shared" si="56"/>
        <v>492</v>
      </c>
      <c r="K500" s="5">
        <f>SUM($AP$9:AP499)</f>
        <v>1926549492937682</v>
      </c>
      <c r="L500" s="5">
        <f>LOOKUP(K500,AI:AI,AE:AE)</f>
        <v>531</v>
      </c>
      <c r="M500" s="5">
        <f>LOOKUP(L500,AE:AE,AG:AG)</f>
        <v>94757223571842</v>
      </c>
      <c r="N500" s="5">
        <f>AM500/M500/$K$1</f>
        <v>1.5828316372056801</v>
      </c>
      <c r="O500" s="5">
        <f>SUM($N$9:N500)</f>
        <v>1666.0758012744443</v>
      </c>
      <c r="AE500" s="5">
        <f t="shared" si="57"/>
        <v>492</v>
      </c>
      <c r="AF500" s="5">
        <f t="shared" si="58"/>
        <v>13201303598219</v>
      </c>
      <c r="AG500" s="5">
        <f t="shared" si="59"/>
        <v>13094841472427</v>
      </c>
      <c r="AH500" s="5">
        <f>AG500*$AF$1</f>
        <v>130948414724270</v>
      </c>
      <c r="AI500" s="5">
        <f>SUM($AF$9:AF499)</f>
        <v>252847548756533</v>
      </c>
      <c r="AK500" s="5">
        <f t="shared" si="60"/>
        <v>492</v>
      </c>
      <c r="AL500" s="5">
        <f t="shared" si="61"/>
        <v>71</v>
      </c>
      <c r="AM500" s="5">
        <f t="shared" si="62"/>
        <v>224977096984925</v>
      </c>
      <c r="AN500" s="5">
        <f>$AL$4*$AL$3^AL500*$AL$2</f>
        <v>224977096984924.87</v>
      </c>
      <c r="AO500" s="5">
        <f>IF(AL500=AL501,1,LOOKUP(MOD(AL500,$AL$1),$AN$1:$AN$5,$AO$1:$AO$5))</f>
        <v>1</v>
      </c>
      <c r="AP500" s="5">
        <f t="shared" si="63"/>
        <v>77917067922446</v>
      </c>
      <c r="AQ500" s="5">
        <f>AM500*$AR$3</f>
        <v>29996946264656.668</v>
      </c>
      <c r="AR500" s="5">
        <f>AM500*AL500*$AR$4</f>
        <v>47920121657789.031</v>
      </c>
      <c r="AS500" s="5">
        <f>SUM($AP$9:AP499)</f>
        <v>1926549492937682</v>
      </c>
    </row>
    <row r="501" spans="1:45" x14ac:dyDescent="0.15">
      <c r="A501" s="5">
        <v>493</v>
      </c>
      <c r="J501" s="5">
        <f t="shared" si="56"/>
        <v>493</v>
      </c>
      <c r="K501" s="5">
        <f>SUM($AP$9:AP500)</f>
        <v>2004466560860128</v>
      </c>
      <c r="L501" s="5">
        <f>LOOKUP(K501,AI:AI,AE:AE)</f>
        <v>532</v>
      </c>
      <c r="M501" s="5">
        <f>LOOKUP(L501,AE:AE,AG:AG)</f>
        <v>99682457791395</v>
      </c>
      <c r="N501" s="5">
        <f>AM501/M501/$K$1</f>
        <v>1.5046251331117422</v>
      </c>
      <c r="O501" s="5">
        <f>SUM($N$9:N501)</f>
        <v>1667.5804264075559</v>
      </c>
      <c r="AE501" s="5">
        <f t="shared" si="57"/>
        <v>493</v>
      </c>
      <c r="AF501" s="5">
        <f t="shared" si="58"/>
        <v>13889315086150</v>
      </c>
      <c r="AG501" s="5">
        <f t="shared" si="59"/>
        <v>13777529854068</v>
      </c>
      <c r="AH501" s="5">
        <f>AG501*$AF$1</f>
        <v>137775298540680</v>
      </c>
      <c r="AI501" s="5">
        <f>SUM($AF$9:AF500)</f>
        <v>266048852354752</v>
      </c>
      <c r="AK501" s="5">
        <f t="shared" si="60"/>
        <v>493</v>
      </c>
      <c r="AL501" s="5">
        <f t="shared" si="61"/>
        <v>71</v>
      </c>
      <c r="AM501" s="5">
        <f t="shared" si="62"/>
        <v>224977096984925</v>
      </c>
      <c r="AN501" s="5">
        <f>$AL$4*$AL$3^AL501*$AL$2</f>
        <v>224977096984924.87</v>
      </c>
      <c r="AO501" s="5">
        <f>IF(AL501=AL502,1,LOOKUP(MOD(AL501,$AL$1),$AN$1:$AN$5,$AO$1:$AO$5))</f>
        <v>1</v>
      </c>
      <c r="AP501" s="5">
        <f t="shared" si="63"/>
        <v>77917067922446</v>
      </c>
      <c r="AQ501" s="5">
        <f>AM501*$AR$3</f>
        <v>29996946264656.668</v>
      </c>
      <c r="AR501" s="5">
        <f>AM501*AL501*$AR$4</f>
        <v>47920121657789.031</v>
      </c>
      <c r="AS501" s="5">
        <f>SUM($AP$9:AP500)</f>
        <v>2004466560860128</v>
      </c>
    </row>
    <row r="502" spans="1:45" x14ac:dyDescent="0.15">
      <c r="A502" s="5">
        <v>494</v>
      </c>
      <c r="J502" s="5">
        <f t="shared" si="56"/>
        <v>494</v>
      </c>
      <c r="K502" s="5">
        <f>SUM($AP$9:AP501)</f>
        <v>2082383628782574</v>
      </c>
      <c r="L502" s="5">
        <f>LOOKUP(K502,AI:AI,AE:AE)</f>
        <v>533</v>
      </c>
      <c r="M502" s="5">
        <f>LOOKUP(L502,AE:AE,AG:AG)</f>
        <v>104863322373974</v>
      </c>
      <c r="N502" s="5">
        <f>AM502/M502/$K$1</f>
        <v>1.4302878063351159</v>
      </c>
      <c r="O502" s="5">
        <f>SUM($N$9:N502)</f>
        <v>1669.0107142138911</v>
      </c>
      <c r="AE502" s="5">
        <f t="shared" si="57"/>
        <v>494</v>
      </c>
      <c r="AF502" s="5">
        <f t="shared" si="58"/>
        <v>14613124463879</v>
      </c>
      <c r="AG502" s="5">
        <f t="shared" si="59"/>
        <v>14495749970193</v>
      </c>
      <c r="AH502" s="5">
        <f>AG502*$AF$1</f>
        <v>144957499701930</v>
      </c>
      <c r="AI502" s="5">
        <f>SUM($AF$9:AF501)</f>
        <v>279938167440902</v>
      </c>
      <c r="AK502" s="5">
        <f t="shared" si="60"/>
        <v>494</v>
      </c>
      <c r="AL502" s="5">
        <f t="shared" si="61"/>
        <v>71</v>
      </c>
      <c r="AM502" s="5">
        <f t="shared" si="62"/>
        <v>224977096984925</v>
      </c>
      <c r="AN502" s="5">
        <f>$AL$4*$AL$3^AL502*$AL$2</f>
        <v>224977096984924.87</v>
      </c>
      <c r="AO502" s="5">
        <f>IF(AL502=AL503,1,LOOKUP(MOD(AL502,$AL$1),$AN$1:$AN$5,$AO$1:$AO$5))</f>
        <v>1</v>
      </c>
      <c r="AP502" s="5">
        <f t="shared" si="63"/>
        <v>77917067922446</v>
      </c>
      <c r="AQ502" s="5">
        <f>AM502*$AR$3</f>
        <v>29996946264656.668</v>
      </c>
      <c r="AR502" s="5">
        <f>AM502*AL502*$AR$4</f>
        <v>47920121657789.031</v>
      </c>
      <c r="AS502" s="5">
        <f>SUM($AP$9:AP501)</f>
        <v>2082383628782574</v>
      </c>
    </row>
    <row r="503" spans="1:45" x14ac:dyDescent="0.15">
      <c r="A503" s="5">
        <v>495</v>
      </c>
      <c r="J503" s="5">
        <f t="shared" si="56"/>
        <v>495</v>
      </c>
      <c r="K503" s="5">
        <f>SUM($AP$9:AP502)</f>
        <v>2160300696705020</v>
      </c>
      <c r="L503" s="5">
        <f>LOOKUP(K503,AI:AI,AE:AE)</f>
        <v>534</v>
      </c>
      <c r="M503" s="5">
        <f>LOOKUP(L503,AE:AE,AG:AG)</f>
        <v>110313067270333</v>
      </c>
      <c r="N503" s="5">
        <f>AM503/M503/$K$1</f>
        <v>1.3596279664287734</v>
      </c>
      <c r="O503" s="5">
        <f>SUM($N$9:N503)</f>
        <v>1670.3703421803198</v>
      </c>
      <c r="AE503" s="5">
        <f t="shared" si="57"/>
        <v>495</v>
      </c>
      <c r="AF503" s="5">
        <f t="shared" si="58"/>
        <v>15374591491665</v>
      </c>
      <c r="AG503" s="5">
        <f t="shared" si="59"/>
        <v>15251348273295</v>
      </c>
      <c r="AH503" s="5">
        <f>AG503*$AF$1</f>
        <v>152513482732950</v>
      </c>
      <c r="AI503" s="5">
        <f>SUM($AF$9:AF502)</f>
        <v>294551291904781</v>
      </c>
      <c r="AK503" s="5">
        <f t="shared" si="60"/>
        <v>495</v>
      </c>
      <c r="AL503" s="5">
        <f t="shared" si="61"/>
        <v>71</v>
      </c>
      <c r="AM503" s="5">
        <f t="shared" si="62"/>
        <v>224977096984925</v>
      </c>
      <c r="AN503" s="5">
        <f>$AL$4*$AL$3^AL503*$AL$2</f>
        <v>224977096984924.87</v>
      </c>
      <c r="AO503" s="5">
        <f>IF(AL503=AL504,1,LOOKUP(MOD(AL503,$AL$1),$AN$1:$AN$5,$AO$1:$AO$5))</f>
        <v>1</v>
      </c>
      <c r="AP503" s="5">
        <f t="shared" si="63"/>
        <v>77917067922446</v>
      </c>
      <c r="AQ503" s="5">
        <f>AM503*$AR$3</f>
        <v>29996946264656.668</v>
      </c>
      <c r="AR503" s="5">
        <f>AM503*AL503*$AR$4</f>
        <v>47920121657789.031</v>
      </c>
      <c r="AS503" s="5">
        <f>SUM($AP$9:AP502)</f>
        <v>2160300696705020</v>
      </c>
    </row>
    <row r="504" spans="1:45" x14ac:dyDescent="0.15">
      <c r="A504" s="5">
        <v>496</v>
      </c>
      <c r="J504" s="5">
        <f t="shared" si="56"/>
        <v>496</v>
      </c>
      <c r="K504" s="5">
        <f>SUM($AP$9:AP503)</f>
        <v>2238217764627466</v>
      </c>
      <c r="L504" s="5">
        <f>LOOKUP(K504,AI:AI,AE:AE)</f>
        <v>534</v>
      </c>
      <c r="M504" s="5">
        <f>LOOKUP(L504,AE:AE,AG:AG)</f>
        <v>110313067270333</v>
      </c>
      <c r="N504" s="5">
        <f>AM504/M504/$K$1</f>
        <v>1.3596279664287734</v>
      </c>
      <c r="O504" s="5">
        <f>SUM($N$9:N504)</f>
        <v>1671.7299701467484</v>
      </c>
      <c r="AE504" s="5">
        <f t="shared" si="57"/>
        <v>496</v>
      </c>
      <c r="AF504" s="5">
        <f t="shared" si="58"/>
        <v>16175672411071</v>
      </c>
      <c r="AG504" s="5">
        <f t="shared" si="59"/>
        <v>16046267031782</v>
      </c>
      <c r="AH504" s="5">
        <f>AG504*$AF$1</f>
        <v>160462670317820</v>
      </c>
      <c r="AI504" s="5">
        <f>SUM($AF$9:AF503)</f>
        <v>309925883396446</v>
      </c>
      <c r="AK504" s="5">
        <f t="shared" si="60"/>
        <v>496</v>
      </c>
      <c r="AL504" s="5">
        <f t="shared" si="61"/>
        <v>71</v>
      </c>
      <c r="AM504" s="5">
        <f t="shared" si="62"/>
        <v>224977096984925</v>
      </c>
      <c r="AN504" s="5">
        <f>$AL$4*$AL$3^AL504*$AL$2</f>
        <v>224977096984924.87</v>
      </c>
      <c r="AO504" s="5">
        <f>IF(AL504=AL505,1,LOOKUP(MOD(AL504,$AL$1),$AN$1:$AN$5,$AO$1:$AO$5))</f>
        <v>1</v>
      </c>
      <c r="AP504" s="5">
        <f t="shared" si="63"/>
        <v>77917067922446</v>
      </c>
      <c r="AQ504" s="5">
        <f>AM504*$AR$3</f>
        <v>29996946264656.668</v>
      </c>
      <c r="AR504" s="5">
        <f>AM504*AL504*$AR$4</f>
        <v>47920121657789.031</v>
      </c>
      <c r="AS504" s="5">
        <f>SUM($AP$9:AP503)</f>
        <v>2238217764627466</v>
      </c>
    </row>
    <row r="505" spans="1:45" x14ac:dyDescent="0.15">
      <c r="A505" s="5">
        <v>497</v>
      </c>
      <c r="J505" s="5">
        <f t="shared" si="56"/>
        <v>497</v>
      </c>
      <c r="K505" s="5">
        <f>SUM($AP$9:AP504)</f>
        <v>2316134832549912</v>
      </c>
      <c r="L505" s="5">
        <f>LOOKUP(K505,AI:AI,AE:AE)</f>
        <v>535</v>
      </c>
      <c r="M505" s="5">
        <f>LOOKUP(L505,AE:AE,AG:AG)</f>
        <v>116045628350392</v>
      </c>
      <c r="N505" s="5">
        <f>AM505/M505/$K$1</f>
        <v>2.5849268680835524</v>
      </c>
      <c r="O505" s="5">
        <f>SUM($N$9:N505)</f>
        <v>1674.314897014832</v>
      </c>
      <c r="AE505" s="5">
        <f t="shared" si="57"/>
        <v>497</v>
      </c>
      <c r="AF505" s="5">
        <f t="shared" si="58"/>
        <v>17018424943688</v>
      </c>
      <c r="AG505" s="5">
        <f t="shared" si="59"/>
        <v>16882549295435</v>
      </c>
      <c r="AH505" s="5">
        <f>AG505*$AF$1</f>
        <v>168825492954350</v>
      </c>
      <c r="AI505" s="5">
        <f>SUM($AF$9:AF504)</f>
        <v>326101555807517</v>
      </c>
      <c r="AK505" s="5">
        <f t="shared" si="60"/>
        <v>497</v>
      </c>
      <c r="AL505" s="5">
        <f t="shared" si="61"/>
        <v>71</v>
      </c>
      <c r="AM505" s="5">
        <f t="shared" si="62"/>
        <v>449954193969850</v>
      </c>
      <c r="AN505" s="5">
        <f>$AL$4*$AL$3^AL505*$AL$2</f>
        <v>224977096984924.87</v>
      </c>
      <c r="AO505" s="5">
        <f>IF(AL505=AL506,1,LOOKUP(MOD(AL505,$AL$1),$AN$1:$AN$5,$AO$1:$AO$5))</f>
        <v>2</v>
      </c>
      <c r="AP505" s="5">
        <f t="shared" si="63"/>
        <v>155834135844891</v>
      </c>
      <c r="AQ505" s="5">
        <f>AM505*$AR$3</f>
        <v>59993892529313.336</v>
      </c>
      <c r="AR505" s="5">
        <f>AM505*AL505*$AR$4</f>
        <v>95840243315578.062</v>
      </c>
      <c r="AS505" s="5">
        <f>SUM($AP$9:AP504)</f>
        <v>2316134832549912</v>
      </c>
    </row>
    <row r="506" spans="1:45" x14ac:dyDescent="0.15">
      <c r="A506" s="5">
        <v>498</v>
      </c>
      <c r="J506" s="5">
        <f t="shared" si="56"/>
        <v>498</v>
      </c>
      <c r="K506" s="5">
        <f>SUM($AP$9:AP505)</f>
        <v>2471968968394803</v>
      </c>
      <c r="L506" s="5">
        <f>LOOKUP(K506,AI:AI,AE:AE)</f>
        <v>536</v>
      </c>
      <c r="M506" s="5">
        <f>LOOKUP(L506,AE:AE,AG:AG)</f>
        <v>122075662870282</v>
      </c>
      <c r="N506" s="5">
        <f>AM506/M506/$K$1</f>
        <v>1.9289350771559788</v>
      </c>
      <c r="O506" s="5">
        <f>SUM($N$9:N506)</f>
        <v>1676.243832091988</v>
      </c>
      <c r="AE506" s="5">
        <f t="shared" si="57"/>
        <v>498</v>
      </c>
      <c r="AF506" s="5">
        <f t="shared" si="58"/>
        <v>17905013548538</v>
      </c>
      <c r="AG506" s="5">
        <f t="shared" si="59"/>
        <v>17762344117873</v>
      </c>
      <c r="AH506" s="5">
        <f>AG506*$AF$1</f>
        <v>177623441178730</v>
      </c>
      <c r="AI506" s="5">
        <f>SUM($AF$9:AF505)</f>
        <v>343119980751205</v>
      </c>
      <c r="AK506" s="5">
        <f t="shared" si="60"/>
        <v>498</v>
      </c>
      <c r="AL506" s="5">
        <f t="shared" si="61"/>
        <v>72</v>
      </c>
      <c r="AM506" s="5">
        <f t="shared" si="62"/>
        <v>353214042266332</v>
      </c>
      <c r="AN506" s="5">
        <f>$AL$4*$AL$3^AL506*$AL$2</f>
        <v>353214042266331.94</v>
      </c>
      <c r="AO506" s="5">
        <f>IF(AL506=AL507,1,LOOKUP(MOD(AL506,$AL$1),$AN$1:$AN$5,$AO$1:$AO$5))</f>
        <v>1</v>
      </c>
      <c r="AP506" s="5">
        <f t="shared" si="63"/>
        <v>123389438765039</v>
      </c>
      <c r="AQ506" s="5">
        <f>AM506*$AR$3</f>
        <v>47095205635510.93</v>
      </c>
      <c r="AR506" s="5">
        <f>AM506*AL506*$AR$4</f>
        <v>76294233129527.719</v>
      </c>
      <c r="AS506" s="5">
        <f>SUM($AP$9:AP505)</f>
        <v>2471968968394803</v>
      </c>
    </row>
    <row r="507" spans="1:45" x14ac:dyDescent="0.15">
      <c r="A507" s="5">
        <v>499</v>
      </c>
      <c r="J507" s="5">
        <f t="shared" si="56"/>
        <v>499</v>
      </c>
      <c r="K507" s="5">
        <f>SUM($AP$9:AP506)</f>
        <v>2595358407159842</v>
      </c>
      <c r="L507" s="5">
        <f>LOOKUP(K507,AI:AI,AE:AE)</f>
        <v>537</v>
      </c>
      <c r="M507" s="5">
        <f>LOOKUP(L507,AE:AE,AG:AG)</f>
        <v>128418586771284</v>
      </c>
      <c r="N507" s="5">
        <f>AM507/M507/$K$1</f>
        <v>1.8336600183658931</v>
      </c>
      <c r="O507" s="5">
        <f>SUM($N$9:N507)</f>
        <v>1678.0774921103539</v>
      </c>
      <c r="AE507" s="5">
        <f t="shared" si="57"/>
        <v>499</v>
      </c>
      <c r="AF507" s="5">
        <f t="shared" si="58"/>
        <v>18837714951515</v>
      </c>
      <c r="AG507" s="5">
        <f t="shared" si="59"/>
        <v>18687912049316</v>
      </c>
      <c r="AH507" s="5">
        <f>AG507*$AF$1</f>
        <v>186879120493160</v>
      </c>
      <c r="AI507" s="5">
        <f>SUM($AF$9:AF506)</f>
        <v>361024994299743</v>
      </c>
      <c r="AK507" s="5">
        <f t="shared" si="60"/>
        <v>499</v>
      </c>
      <c r="AL507" s="5">
        <f t="shared" si="61"/>
        <v>72</v>
      </c>
      <c r="AM507" s="5">
        <f t="shared" si="62"/>
        <v>353214042266332</v>
      </c>
      <c r="AN507" s="5">
        <f>$AL$4*$AL$3^AL507*$AL$2</f>
        <v>353214042266331.94</v>
      </c>
      <c r="AO507" s="5">
        <f>IF(AL507=AL508,1,LOOKUP(MOD(AL507,$AL$1),$AN$1:$AN$5,$AO$1:$AO$5))</f>
        <v>1</v>
      </c>
      <c r="AP507" s="5">
        <f t="shared" si="63"/>
        <v>123389438765039</v>
      </c>
      <c r="AQ507" s="5">
        <f>AM507*$AR$3</f>
        <v>47095205635510.93</v>
      </c>
      <c r="AR507" s="5">
        <f>AM507*AL507*$AR$4</f>
        <v>76294233129527.719</v>
      </c>
      <c r="AS507" s="5">
        <f>SUM($AP$9:AP506)</f>
        <v>2595358407159842</v>
      </c>
    </row>
    <row r="508" spans="1:45" x14ac:dyDescent="0.15">
      <c r="A508" s="5">
        <v>500</v>
      </c>
      <c r="J508" s="5">
        <f t="shared" si="56"/>
        <v>500</v>
      </c>
      <c r="K508" s="5">
        <f>SUM($AP$9:AP507)</f>
        <v>2718747845924881</v>
      </c>
      <c r="L508" s="5">
        <f>LOOKUP(K508,AI:AI,AE:AE)</f>
        <v>538</v>
      </c>
      <c r="M508" s="5">
        <f>LOOKUP(L508,AE:AE,AG:AG)</f>
        <v>135090613905211</v>
      </c>
      <c r="N508" s="5">
        <f>AM508/M508/$K$1</f>
        <v>1.7430968841608869</v>
      </c>
      <c r="O508" s="5">
        <f>SUM($N$9:N508)</f>
        <v>1679.8205889945148</v>
      </c>
      <c r="AE508" s="5">
        <f t="shared" si="57"/>
        <v>500</v>
      </c>
      <c r="AF508" s="5">
        <f t="shared" si="58"/>
        <v>19818923960918</v>
      </c>
      <c r="AG508" s="5">
        <f t="shared" si="59"/>
        <v>19661630913609</v>
      </c>
      <c r="AH508" s="5">
        <f>AG508*$AF$1</f>
        <v>196616309136090</v>
      </c>
      <c r="AI508" s="5">
        <f>SUM($AF$9:AF507)</f>
        <v>379862709251258</v>
      </c>
      <c r="AK508" s="5">
        <f t="shared" si="60"/>
        <v>500</v>
      </c>
      <c r="AL508" s="5">
        <f t="shared" si="61"/>
        <v>72</v>
      </c>
      <c r="AM508" s="5">
        <f t="shared" si="62"/>
        <v>353214042266332</v>
      </c>
      <c r="AN508" s="5">
        <f>$AL$4*$AL$3^AL508*$AL$2</f>
        <v>353214042266331.94</v>
      </c>
      <c r="AO508" s="5">
        <f>IF(AL508=AL509,1,LOOKUP(MOD(AL508,$AL$1),$AN$1:$AN$5,$AO$1:$AO$5))</f>
        <v>1</v>
      </c>
      <c r="AP508" s="5">
        <f t="shared" si="63"/>
        <v>123389438765039</v>
      </c>
      <c r="AQ508" s="5">
        <f>AM508*$AR$3</f>
        <v>47095205635510.93</v>
      </c>
      <c r="AR508" s="5">
        <f>AM508*AL508*$AR$4</f>
        <v>76294233129527.719</v>
      </c>
      <c r="AS508" s="5">
        <f>SUM($AP$9:AP507)</f>
        <v>2718747845924881</v>
      </c>
    </row>
    <row r="509" spans="1:45" x14ac:dyDescent="0.15">
      <c r="A509" s="5">
        <v>501</v>
      </c>
      <c r="J509" s="5">
        <f t="shared" si="56"/>
        <v>501</v>
      </c>
      <c r="K509" s="5">
        <f>SUM($AP$9:AP508)</f>
        <v>2842137284689920</v>
      </c>
      <c r="L509" s="5">
        <f>LOOKUP(K509,AI:AI,AE:AE)</f>
        <v>539</v>
      </c>
      <c r="M509" s="5">
        <f>LOOKUP(L509,AE:AE,AG:AG)</f>
        <v>142108797285603</v>
      </c>
      <c r="N509" s="5">
        <f>AM509/M509/$K$1</f>
        <v>1.6570123220753672</v>
      </c>
      <c r="O509" s="5">
        <f>SUM($N$9:N509)</f>
        <v>1681.4776013165902</v>
      </c>
      <c r="AE509" s="5">
        <f t="shared" si="57"/>
        <v>501</v>
      </c>
      <c r="AF509" s="5">
        <f t="shared" si="58"/>
        <v>20851159583882</v>
      </c>
      <c r="AG509" s="5">
        <f t="shared" si="59"/>
        <v>20686001884208</v>
      </c>
      <c r="AH509" s="5">
        <f>AG509*$AF$1</f>
        <v>206860018842080</v>
      </c>
      <c r="AI509" s="5">
        <f>SUM($AF$9:AF508)</f>
        <v>399681633212176</v>
      </c>
      <c r="AK509" s="5">
        <f t="shared" si="60"/>
        <v>501</v>
      </c>
      <c r="AL509" s="5">
        <f t="shared" si="61"/>
        <v>72</v>
      </c>
      <c r="AM509" s="5">
        <f t="shared" si="62"/>
        <v>353214042266332</v>
      </c>
      <c r="AN509" s="5">
        <f>$AL$4*$AL$3^AL509*$AL$2</f>
        <v>353214042266331.94</v>
      </c>
      <c r="AO509" s="5">
        <f>IF(AL509=AL510,1,LOOKUP(MOD(AL509,$AL$1),$AN$1:$AN$5,$AO$1:$AO$5))</f>
        <v>1</v>
      </c>
      <c r="AP509" s="5">
        <f t="shared" si="63"/>
        <v>123389438765039</v>
      </c>
      <c r="AQ509" s="5">
        <f>AM509*$AR$3</f>
        <v>47095205635510.93</v>
      </c>
      <c r="AR509" s="5">
        <f>AM509*AL509*$AR$4</f>
        <v>76294233129527.719</v>
      </c>
      <c r="AS509" s="5">
        <f>SUM($AP$9:AP508)</f>
        <v>2842137284689920</v>
      </c>
    </row>
    <row r="510" spans="1:45" x14ac:dyDescent="0.15">
      <c r="A510" s="5">
        <v>502</v>
      </c>
      <c r="J510" s="5">
        <f t="shared" si="56"/>
        <v>502</v>
      </c>
      <c r="K510" s="5">
        <f>SUM($AP$9:AP509)</f>
        <v>2965526723454959</v>
      </c>
      <c r="L510" s="5">
        <f>LOOKUP(K510,AI:AI,AE:AE)</f>
        <v>540</v>
      </c>
      <c r="M510" s="5">
        <f>LOOKUP(L510,AE:AE,AG:AG)</f>
        <v>149491072469270</v>
      </c>
      <c r="N510" s="5">
        <f>AM510/M510/$K$1</f>
        <v>1.5751845530839983</v>
      </c>
      <c r="O510" s="5">
        <f>SUM($N$9:N510)</f>
        <v>1683.0527858696742</v>
      </c>
      <c r="AE510" s="5">
        <f t="shared" si="57"/>
        <v>502</v>
      </c>
      <c r="AF510" s="5">
        <f t="shared" si="58"/>
        <v>21937071459241</v>
      </c>
      <c r="AG510" s="5">
        <f t="shared" si="59"/>
        <v>21763655874583</v>
      </c>
      <c r="AH510" s="5">
        <f>AG510*$AF$1</f>
        <v>217636558745830</v>
      </c>
      <c r="AI510" s="5">
        <f>SUM($AF$9:AF509)</f>
        <v>420532792796058</v>
      </c>
      <c r="AK510" s="5">
        <f t="shared" si="60"/>
        <v>502</v>
      </c>
      <c r="AL510" s="5">
        <f t="shared" si="61"/>
        <v>72</v>
      </c>
      <c r="AM510" s="5">
        <f t="shared" si="62"/>
        <v>353214042266332</v>
      </c>
      <c r="AN510" s="5">
        <f>$AL$4*$AL$3^AL510*$AL$2</f>
        <v>353214042266331.94</v>
      </c>
      <c r="AO510" s="5">
        <f>IF(AL510=AL511,1,LOOKUP(MOD(AL510,$AL$1),$AN$1:$AN$5,$AO$1:$AO$5))</f>
        <v>1</v>
      </c>
      <c r="AP510" s="5">
        <f t="shared" si="63"/>
        <v>123389438765039</v>
      </c>
      <c r="AQ510" s="5">
        <f>AM510*$AR$3</f>
        <v>47095205635510.93</v>
      </c>
      <c r="AR510" s="5">
        <f>AM510*AL510*$AR$4</f>
        <v>76294233129527.719</v>
      </c>
      <c r="AS510" s="5">
        <f>SUM($AP$9:AP509)</f>
        <v>2965526723454959</v>
      </c>
    </row>
    <row r="511" spans="1:45" x14ac:dyDescent="0.15">
      <c r="A511" s="5">
        <v>503</v>
      </c>
      <c r="J511" s="5">
        <f t="shared" si="56"/>
        <v>503</v>
      </c>
      <c r="K511" s="5">
        <f>SUM($AP$9:AP510)</f>
        <v>3088916162219998</v>
      </c>
      <c r="L511" s="5">
        <f>LOOKUP(K511,AI:AI,AE:AE)</f>
        <v>541</v>
      </c>
      <c r="M511" s="5">
        <f>LOOKUP(L511,AE:AE,AG:AG)</f>
        <v>157256303178091</v>
      </c>
      <c r="N511" s="5">
        <f>AM511/M511/$K$1</f>
        <v>1.4974027966998609</v>
      </c>
      <c r="O511" s="5">
        <f>SUM($N$9:N511)</f>
        <v>1684.550188666374</v>
      </c>
      <c r="AE511" s="5">
        <f t="shared" si="57"/>
        <v>503</v>
      </c>
      <c r="AF511" s="5">
        <f t="shared" si="58"/>
        <v>23079446623176</v>
      </c>
      <c r="AG511" s="5">
        <f t="shared" si="59"/>
        <v>22897360259285</v>
      </c>
      <c r="AH511" s="5">
        <f>AG511*$AF$1</f>
        <v>228973602592850</v>
      </c>
      <c r="AI511" s="5">
        <f>SUM($AF$9:AF510)</f>
        <v>442469864255299</v>
      </c>
      <c r="AK511" s="5">
        <f t="shared" si="60"/>
        <v>503</v>
      </c>
      <c r="AL511" s="5">
        <f t="shared" si="61"/>
        <v>72</v>
      </c>
      <c r="AM511" s="5">
        <f t="shared" si="62"/>
        <v>353214042266332</v>
      </c>
      <c r="AN511" s="5">
        <f>$AL$4*$AL$3^AL511*$AL$2</f>
        <v>353214042266331.94</v>
      </c>
      <c r="AO511" s="5">
        <f>IF(AL511=AL512,1,LOOKUP(MOD(AL511,$AL$1),$AN$1:$AN$5,$AO$1:$AO$5))</f>
        <v>1</v>
      </c>
      <c r="AP511" s="5">
        <f t="shared" si="63"/>
        <v>123389438765039</v>
      </c>
      <c r="AQ511" s="5">
        <f>AM511*$AR$3</f>
        <v>47095205635510.93</v>
      </c>
      <c r="AR511" s="5">
        <f>AM511*AL511*$AR$4</f>
        <v>76294233129527.719</v>
      </c>
      <c r="AS511" s="5">
        <f>SUM($AP$9:AP510)</f>
        <v>3088916162219998</v>
      </c>
    </row>
    <row r="512" spans="1:45" x14ac:dyDescent="0.15">
      <c r="A512" s="5">
        <v>504</v>
      </c>
      <c r="J512" s="5">
        <f t="shared" si="56"/>
        <v>504</v>
      </c>
      <c r="K512" s="5">
        <f>SUM($AP$9:AP511)</f>
        <v>3212305600985037</v>
      </c>
      <c r="L512" s="5">
        <f>LOOKUP(K512,AI:AI,AE:AE)</f>
        <v>542</v>
      </c>
      <c r="M512" s="5">
        <f>LOOKUP(L512,AE:AE,AG:AG)</f>
        <v>165424329276620</v>
      </c>
      <c r="N512" s="5">
        <f>AM512/M512/$K$1</f>
        <v>5.6938668987146537</v>
      </c>
      <c r="O512" s="5">
        <f>SUM($N$9:N512)</f>
        <v>1690.2440555650887</v>
      </c>
      <c r="AE512" s="5">
        <f t="shared" si="57"/>
        <v>504</v>
      </c>
      <c r="AF512" s="5">
        <f t="shared" si="58"/>
        <v>24281216624856</v>
      </c>
      <c r="AG512" s="5">
        <f t="shared" si="59"/>
        <v>24090025942771</v>
      </c>
      <c r="AH512" s="5">
        <f>AG512*$AF$1</f>
        <v>240900259427710</v>
      </c>
      <c r="AI512" s="5">
        <f>SUM($AF$9:AF511)</f>
        <v>465549310878475</v>
      </c>
      <c r="AK512" s="5">
        <f t="shared" si="60"/>
        <v>504</v>
      </c>
      <c r="AL512" s="5">
        <f t="shared" si="61"/>
        <v>72</v>
      </c>
      <c r="AM512" s="5">
        <f t="shared" si="62"/>
        <v>1412856169065330</v>
      </c>
      <c r="AN512" s="5">
        <f>$AL$4*$AL$3^AL512*$AL$2</f>
        <v>353214042266331.94</v>
      </c>
      <c r="AO512" s="5">
        <f>IF(AL512=AL513,1,LOOKUP(MOD(AL512,$AL$1),$AN$1:$AN$5,$AO$1:$AO$5))</f>
        <v>4</v>
      </c>
      <c r="AP512" s="5">
        <f t="shared" si="63"/>
        <v>493557755060155</v>
      </c>
      <c r="AQ512" s="5">
        <f>AM512*$AR$3</f>
        <v>188380822542044</v>
      </c>
      <c r="AR512" s="5">
        <f>AM512*AL512*$AR$4</f>
        <v>305176932518111.31</v>
      </c>
      <c r="AS512" s="5">
        <f>SUM($AP$9:AP511)</f>
        <v>3212305600985037</v>
      </c>
    </row>
    <row r="513" spans="1:45" x14ac:dyDescent="0.15">
      <c r="A513" s="5">
        <v>505</v>
      </c>
      <c r="J513" s="5">
        <f t="shared" si="56"/>
        <v>505</v>
      </c>
      <c r="K513" s="5">
        <f>SUM($AP$9:AP512)</f>
        <v>3705863356045192</v>
      </c>
      <c r="L513" s="5">
        <f>LOOKUP(K513,AI:AI,AE:AE)</f>
        <v>544</v>
      </c>
      <c r="M513" s="5">
        <f>LOOKUP(L513,AE:AE,AG:AG)</f>
        <v>183053313149346</v>
      </c>
      <c r="N513" s="5">
        <f>AM513/M513/$K$1</f>
        <v>2.0196158041517616</v>
      </c>
      <c r="O513" s="5">
        <f>SUM($N$9:N513)</f>
        <v>1692.2636713692405</v>
      </c>
      <c r="AE513" s="5">
        <f t="shared" si="57"/>
        <v>505</v>
      </c>
      <c r="AF513" s="5">
        <f t="shared" si="58"/>
        <v>25545465010146</v>
      </c>
      <c r="AG513" s="5">
        <f t="shared" si="59"/>
        <v>25344714793957</v>
      </c>
      <c r="AH513" s="5">
        <f>AG513*$AF$1</f>
        <v>253447147939570</v>
      </c>
      <c r="AI513" s="5">
        <f>SUM($AF$9:AF512)</f>
        <v>489830527503331</v>
      </c>
      <c r="AK513" s="5">
        <f t="shared" si="60"/>
        <v>505</v>
      </c>
      <c r="AL513" s="5">
        <f t="shared" si="61"/>
        <v>73</v>
      </c>
      <c r="AM513" s="5">
        <f t="shared" si="62"/>
        <v>554546046358141</v>
      </c>
      <c r="AN513" s="5">
        <f>$AL$4*$AL$3^AL513*$AL$2</f>
        <v>554546046358141.19</v>
      </c>
      <c r="AO513" s="5">
        <f>IF(AL513=AL514,1,LOOKUP(MOD(AL513,$AL$1),$AN$1:$AN$5,$AO$1:$AO$5))</f>
        <v>1</v>
      </c>
      <c r="AP513" s="5">
        <f t="shared" si="63"/>
        <v>195385057000185</v>
      </c>
      <c r="AQ513" s="5">
        <f>AM513*$AR$3</f>
        <v>73939472847752.125</v>
      </c>
      <c r="AR513" s="5">
        <f>AM513*AL513*$AR$4</f>
        <v>121445584152432.89</v>
      </c>
      <c r="AS513" s="5">
        <f>SUM($AP$9:AP512)</f>
        <v>3705863356045192</v>
      </c>
    </row>
    <row r="514" spans="1:45" x14ac:dyDescent="0.15">
      <c r="A514" s="5">
        <v>506</v>
      </c>
      <c r="J514" s="5">
        <f t="shared" si="56"/>
        <v>506</v>
      </c>
      <c r="K514" s="5">
        <f>SUM($AP$9:AP513)</f>
        <v>3901248413045377</v>
      </c>
      <c r="L514" s="5">
        <f>LOOKUP(K514,AI:AI,AE:AE)</f>
        <v>545</v>
      </c>
      <c r="M514" s="5">
        <f>LOOKUP(L514,AE:AE,AG:AG)</f>
        <v>192559298620797</v>
      </c>
      <c r="N514" s="5">
        <f>AM514/M514/$K$1</f>
        <v>1.9199143686475404</v>
      </c>
      <c r="O514" s="5">
        <f>SUM($N$9:N514)</f>
        <v>1694.1835857378881</v>
      </c>
      <c r="AE514" s="5">
        <f t="shared" si="57"/>
        <v>506</v>
      </c>
      <c r="AF514" s="5">
        <f t="shared" si="58"/>
        <v>26875435192403</v>
      </c>
      <c r="AG514" s="5">
        <f t="shared" si="59"/>
        <v>26664647465404</v>
      </c>
      <c r="AH514" s="5">
        <f>AG514*$AF$1</f>
        <v>266646474654040</v>
      </c>
      <c r="AI514" s="5">
        <f>SUM($AF$9:AF513)</f>
        <v>515375992513477</v>
      </c>
      <c r="AK514" s="5">
        <f t="shared" si="60"/>
        <v>506</v>
      </c>
      <c r="AL514" s="5">
        <f t="shared" si="61"/>
        <v>73</v>
      </c>
      <c r="AM514" s="5">
        <f t="shared" si="62"/>
        <v>554546046358141</v>
      </c>
      <c r="AN514" s="5">
        <f>$AL$4*$AL$3^AL514*$AL$2</f>
        <v>554546046358141.19</v>
      </c>
      <c r="AO514" s="5">
        <f>IF(AL514=AL515,1,LOOKUP(MOD(AL514,$AL$1),$AN$1:$AN$5,$AO$1:$AO$5))</f>
        <v>1</v>
      </c>
      <c r="AP514" s="5">
        <f t="shared" si="63"/>
        <v>195385057000185</v>
      </c>
      <c r="AQ514" s="5">
        <f>AM514*$AR$3</f>
        <v>73939472847752.125</v>
      </c>
      <c r="AR514" s="5">
        <f>AM514*AL514*$AR$4</f>
        <v>121445584152432.89</v>
      </c>
      <c r="AS514" s="5">
        <f>SUM($AP$9:AP513)</f>
        <v>3901248413045377</v>
      </c>
    </row>
    <row r="515" spans="1:45" x14ac:dyDescent="0.15">
      <c r="A515" s="5">
        <v>507</v>
      </c>
      <c r="J515" s="5">
        <f t="shared" si="56"/>
        <v>507</v>
      </c>
      <c r="K515" s="5">
        <f>SUM($AP$9:AP514)</f>
        <v>4096633470045562</v>
      </c>
      <c r="L515" s="5">
        <f>LOOKUP(K515,AI:AI,AE:AE)</f>
        <v>546</v>
      </c>
      <c r="M515" s="5">
        <f>LOOKUP(L515,AE:AE,AG:AG)</f>
        <v>202558249356519</v>
      </c>
      <c r="N515" s="5">
        <f>AM515/M515/$K$1</f>
        <v>1.825140992347654</v>
      </c>
      <c r="O515" s="5">
        <f>SUM($N$9:N515)</f>
        <v>1696.0087267302356</v>
      </c>
      <c r="AE515" s="5">
        <f t="shared" si="57"/>
        <v>507</v>
      </c>
      <c r="AF515" s="5">
        <f t="shared" si="58"/>
        <v>28274538730361</v>
      </c>
      <c r="AG515" s="5">
        <f t="shared" si="59"/>
        <v>28053211617012</v>
      </c>
      <c r="AH515" s="5">
        <f>AG515*$AF$1</f>
        <v>280532116170120</v>
      </c>
      <c r="AI515" s="5">
        <f>SUM($AF$9:AF514)</f>
        <v>542251427705880</v>
      </c>
      <c r="AK515" s="5">
        <f t="shared" si="60"/>
        <v>507</v>
      </c>
      <c r="AL515" s="5">
        <f t="shared" si="61"/>
        <v>73</v>
      </c>
      <c r="AM515" s="5">
        <f t="shared" si="62"/>
        <v>554546046358141</v>
      </c>
      <c r="AN515" s="5">
        <f>$AL$4*$AL$3^AL515*$AL$2</f>
        <v>554546046358141.19</v>
      </c>
      <c r="AO515" s="5">
        <f>IF(AL515=AL516,1,LOOKUP(MOD(AL515,$AL$1),$AN$1:$AN$5,$AO$1:$AO$5))</f>
        <v>1</v>
      </c>
      <c r="AP515" s="5">
        <f t="shared" si="63"/>
        <v>195385057000185</v>
      </c>
      <c r="AQ515" s="5">
        <f>AM515*$AR$3</f>
        <v>73939472847752.125</v>
      </c>
      <c r="AR515" s="5">
        <f>AM515*AL515*$AR$4</f>
        <v>121445584152432.89</v>
      </c>
      <c r="AS515" s="5">
        <f>SUM($AP$9:AP514)</f>
        <v>4096633470045562</v>
      </c>
    </row>
    <row r="516" spans="1:45" x14ac:dyDescent="0.15">
      <c r="A516" s="5">
        <v>508</v>
      </c>
      <c r="J516" s="5">
        <f t="shared" si="56"/>
        <v>508</v>
      </c>
      <c r="K516" s="5">
        <f>SUM($AP$9:AP515)</f>
        <v>4292018527045747</v>
      </c>
      <c r="L516" s="5">
        <f>LOOKUP(K516,AI:AI,AE:AE)</f>
        <v>547</v>
      </c>
      <c r="M516" s="5">
        <f>LOOKUP(L516,AE:AE,AG:AG)</f>
        <v>213075696919261</v>
      </c>
      <c r="N516" s="5">
        <f>AM516/M516/$K$1</f>
        <v>1.7350517660343359</v>
      </c>
      <c r="O516" s="5">
        <f>SUM($N$9:N516)</f>
        <v>1697.7437784962699</v>
      </c>
      <c r="AE516" s="5">
        <f t="shared" si="57"/>
        <v>508</v>
      </c>
      <c r="AF516" s="5">
        <f t="shared" si="58"/>
        <v>29746364034133</v>
      </c>
      <c r="AG516" s="5">
        <f t="shared" si="59"/>
        <v>29513970565116</v>
      </c>
      <c r="AH516" s="5">
        <f>AG516*$AF$1</f>
        <v>295139705651160</v>
      </c>
      <c r="AI516" s="5">
        <f>SUM($AF$9:AF515)</f>
        <v>570525966436241</v>
      </c>
      <c r="AK516" s="5">
        <f t="shared" si="60"/>
        <v>508</v>
      </c>
      <c r="AL516" s="5">
        <f t="shared" si="61"/>
        <v>73</v>
      </c>
      <c r="AM516" s="5">
        <f t="shared" si="62"/>
        <v>554546046358141</v>
      </c>
      <c r="AN516" s="5">
        <f>$AL$4*$AL$3^AL516*$AL$2</f>
        <v>554546046358141.19</v>
      </c>
      <c r="AO516" s="5">
        <f>IF(AL516=AL517,1,LOOKUP(MOD(AL516,$AL$1),$AN$1:$AN$5,$AO$1:$AO$5))</f>
        <v>1</v>
      </c>
      <c r="AP516" s="5">
        <f t="shared" si="63"/>
        <v>195385057000185</v>
      </c>
      <c r="AQ516" s="5">
        <f>AM516*$AR$3</f>
        <v>73939472847752.125</v>
      </c>
      <c r="AR516" s="5">
        <f>AM516*AL516*$AR$4</f>
        <v>121445584152432.89</v>
      </c>
      <c r="AS516" s="5">
        <f>SUM($AP$9:AP515)</f>
        <v>4292018527045747</v>
      </c>
    </row>
    <row r="517" spans="1:45" x14ac:dyDescent="0.15">
      <c r="A517" s="5">
        <v>509</v>
      </c>
      <c r="J517" s="5">
        <f t="shared" si="56"/>
        <v>509</v>
      </c>
      <c r="K517" s="5">
        <f>SUM($AP$9:AP516)</f>
        <v>4487403584045932</v>
      </c>
      <c r="L517" s="5">
        <f>LOOKUP(K517,AI:AI,AE:AE)</f>
        <v>548</v>
      </c>
      <c r="M517" s="5">
        <f>LOOKUP(L517,AE:AE,AG:AG)</f>
        <v>224138493614886</v>
      </c>
      <c r="N517" s="5">
        <f>AM517/M517/$K$1</f>
        <v>1.6494148696920101</v>
      </c>
      <c r="O517" s="5">
        <f>SUM($N$9:N517)</f>
        <v>1699.3931933659619</v>
      </c>
      <c r="AE517" s="5">
        <f t="shared" si="57"/>
        <v>509</v>
      </c>
      <c r="AF517" s="5">
        <f t="shared" si="58"/>
        <v>31294685521457</v>
      </c>
      <c r="AG517" s="5">
        <f t="shared" si="59"/>
        <v>31050672378989</v>
      </c>
      <c r="AH517" s="5">
        <f>AG517*$AF$1</f>
        <v>310506723789890</v>
      </c>
      <c r="AI517" s="5">
        <f>SUM($AF$9:AF516)</f>
        <v>600272330470374</v>
      </c>
      <c r="AK517" s="5">
        <f t="shared" si="60"/>
        <v>509</v>
      </c>
      <c r="AL517" s="5">
        <f t="shared" si="61"/>
        <v>73</v>
      </c>
      <c r="AM517" s="5">
        <f t="shared" si="62"/>
        <v>554546046358141</v>
      </c>
      <c r="AN517" s="5">
        <f>$AL$4*$AL$3^AL517*$AL$2</f>
        <v>554546046358141.19</v>
      </c>
      <c r="AO517" s="5">
        <f>IF(AL517=AL518,1,LOOKUP(MOD(AL517,$AL$1),$AN$1:$AN$5,$AO$1:$AO$5))</f>
        <v>1</v>
      </c>
      <c r="AP517" s="5">
        <f t="shared" si="63"/>
        <v>195385057000185</v>
      </c>
      <c r="AQ517" s="5">
        <f>AM517*$AR$3</f>
        <v>73939472847752.125</v>
      </c>
      <c r="AR517" s="5">
        <f>AM517*AL517*$AR$4</f>
        <v>121445584152432.89</v>
      </c>
      <c r="AS517" s="5">
        <f>SUM($AP$9:AP516)</f>
        <v>4487403584045932</v>
      </c>
    </row>
    <row r="518" spans="1:45" x14ac:dyDescent="0.15">
      <c r="A518" s="5">
        <v>510</v>
      </c>
      <c r="J518" s="5">
        <f t="shared" si="56"/>
        <v>510</v>
      </c>
      <c r="K518" s="5">
        <f>SUM($AP$9:AP517)</f>
        <v>4682788641046117</v>
      </c>
      <c r="L518" s="5">
        <f>LOOKUP(K518,AI:AI,AE:AE)</f>
        <v>549</v>
      </c>
      <c r="M518" s="5">
        <f>LOOKUP(L518,AE:AE,AG:AG)</f>
        <v>235774880737776</v>
      </c>
      <c r="N518" s="5">
        <f>AM518/M518/$K$1</f>
        <v>1.5680099724021515</v>
      </c>
      <c r="O518" s="5">
        <f>SUM($N$9:N518)</f>
        <v>1700.9612033383642</v>
      </c>
      <c r="AE518" s="5">
        <f t="shared" si="57"/>
        <v>510</v>
      </c>
      <c r="AF518" s="5">
        <f t="shared" si="58"/>
        <v>32923473247427</v>
      </c>
      <c r="AG518" s="5">
        <f t="shared" si="59"/>
        <v>32667259447836</v>
      </c>
      <c r="AH518" s="5">
        <f>AG518*$AF$1</f>
        <v>326672594478360</v>
      </c>
      <c r="AI518" s="5">
        <f>SUM($AF$9:AF517)</f>
        <v>631567015991831</v>
      </c>
      <c r="AK518" s="5">
        <f t="shared" si="60"/>
        <v>510</v>
      </c>
      <c r="AL518" s="5">
        <f t="shared" si="61"/>
        <v>73</v>
      </c>
      <c r="AM518" s="5">
        <f t="shared" si="62"/>
        <v>554546046358141</v>
      </c>
      <c r="AN518" s="5">
        <f>$AL$4*$AL$3^AL518*$AL$2</f>
        <v>554546046358141.19</v>
      </c>
      <c r="AO518" s="5">
        <f>IF(AL518=AL519,1,LOOKUP(MOD(AL518,$AL$1),$AN$1:$AN$5,$AO$1:$AO$5))</f>
        <v>1</v>
      </c>
      <c r="AP518" s="5">
        <f t="shared" si="63"/>
        <v>195385057000185</v>
      </c>
      <c r="AQ518" s="5">
        <f>AM518*$AR$3</f>
        <v>73939472847752.125</v>
      </c>
      <c r="AR518" s="5">
        <f>AM518*AL518*$AR$4</f>
        <v>121445584152432.89</v>
      </c>
      <c r="AS518" s="5">
        <f>SUM($AP$9:AP517)</f>
        <v>4682788641046117</v>
      </c>
    </row>
    <row r="519" spans="1:45" x14ac:dyDescent="0.15">
      <c r="A519" s="5">
        <v>511</v>
      </c>
      <c r="J519" s="5">
        <f t="shared" si="56"/>
        <v>511</v>
      </c>
      <c r="K519" s="5">
        <f>SUM($AP$9:AP518)</f>
        <v>4878173698046302</v>
      </c>
      <c r="L519" s="5">
        <f>LOOKUP(K519,AI:AI,AE:AE)</f>
        <v>550</v>
      </c>
      <c r="M519" s="5">
        <f>LOOKUP(L519,AE:AE,AG:AG)</f>
        <v>248014560338917</v>
      </c>
      <c r="N519" s="5">
        <f>AM519/M519/$K$1</f>
        <v>8.9437659724548926</v>
      </c>
      <c r="O519" s="5">
        <f>SUM($N$9:N519)</f>
        <v>1709.9049693108191</v>
      </c>
      <c r="AE519" s="5">
        <f t="shared" si="57"/>
        <v>511</v>
      </c>
      <c r="AF519" s="5">
        <f t="shared" si="58"/>
        <v>34636903032191</v>
      </c>
      <c r="AG519" s="5">
        <f t="shared" si="59"/>
        <v>34367878542621</v>
      </c>
      <c r="AH519" s="5">
        <f>AG519*$AF$1</f>
        <v>343678785426210</v>
      </c>
      <c r="AI519" s="5">
        <f>SUM($AF$9:AF518)</f>
        <v>664490489239258</v>
      </c>
      <c r="AK519" s="5">
        <f t="shared" si="60"/>
        <v>511</v>
      </c>
      <c r="AL519" s="5">
        <f t="shared" si="61"/>
        <v>73</v>
      </c>
      <c r="AM519" s="5">
        <f t="shared" si="62"/>
        <v>3327276278148850</v>
      </c>
      <c r="AN519" s="5">
        <f>$AL$4*$AL$3^AL519*$AL$2</f>
        <v>554546046358141.19</v>
      </c>
      <c r="AO519" s="5">
        <f>IF(AL519=AL520,1,LOOKUP(MOD(AL519,$AL$1),$AN$1:$AN$5,$AO$1:$AO$5))</f>
        <v>6</v>
      </c>
      <c r="AP519" s="5">
        <f t="shared" si="63"/>
        <v>1172310342001110</v>
      </c>
      <c r="AQ519" s="5">
        <f>AM519*$AR$3</f>
        <v>443636837086513.31</v>
      </c>
      <c r="AR519" s="5">
        <f>AM519*AL519*$AR$4</f>
        <v>728673504914598.12</v>
      </c>
      <c r="AS519" s="5">
        <f>SUM($AP$9:AP518)</f>
        <v>4878173698046302</v>
      </c>
    </row>
    <row r="520" spans="1:45" x14ac:dyDescent="0.15">
      <c r="A520" s="5">
        <v>512</v>
      </c>
      <c r="J520" s="5">
        <f t="shared" si="56"/>
        <v>512</v>
      </c>
      <c r="K520" s="5">
        <f>SUM($AP$9:AP519)</f>
        <v>6050484040047412</v>
      </c>
      <c r="L520" s="5">
        <f>LOOKUP(K520,AI:AI,AE:AE)</f>
        <v>554</v>
      </c>
      <c r="M520" s="5">
        <f>LOOKUP(L520,AE:AE,AG:AG)</f>
        <v>303655708169741</v>
      </c>
      <c r="N520" s="5">
        <f>AM520/M520/$K$1</f>
        <v>1.9114571082931926</v>
      </c>
      <c r="O520" s="5">
        <f>SUM($N$9:N520)</f>
        <v>1711.8164264191123</v>
      </c>
      <c r="AE520" s="5">
        <f t="shared" si="57"/>
        <v>512</v>
      </c>
      <c r="AF520" s="5">
        <f t="shared" si="58"/>
        <v>36439367112313</v>
      </c>
      <c r="AG520" s="5">
        <f t="shared" si="59"/>
        <v>36156891398264</v>
      </c>
      <c r="AH520" s="5">
        <f>AG520*$AF$1</f>
        <v>361568913982640</v>
      </c>
      <c r="AI520" s="5">
        <f>SUM($AF$9:AF519)</f>
        <v>699127392271449</v>
      </c>
      <c r="AK520" s="5">
        <f t="shared" si="60"/>
        <v>512</v>
      </c>
      <c r="AL520" s="5">
        <f t="shared" si="61"/>
        <v>74</v>
      </c>
      <c r="AM520" s="5">
        <f t="shared" si="62"/>
        <v>870637292782282</v>
      </c>
      <c r="AN520" s="5">
        <f>$AL$4*$AL$3^AL520*$AL$2</f>
        <v>870637292782281.75</v>
      </c>
      <c r="AO520" s="5">
        <f>IF(AL520=AL521,1,LOOKUP(MOD(AL520,$AL$1),$AN$1:$AN$5,$AO$1:$AO$5))</f>
        <v>1</v>
      </c>
      <c r="AP520" s="5">
        <f t="shared" si="63"/>
        <v>309366451368637</v>
      </c>
      <c r="AQ520" s="5">
        <f>AM520*$AR$3</f>
        <v>116084972370970.94</v>
      </c>
      <c r="AR520" s="5">
        <f>AM520*AL520*$AR$4</f>
        <v>193281478997666.59</v>
      </c>
      <c r="AS520" s="5">
        <f>SUM($AP$9:AP519)</f>
        <v>6050484040047412</v>
      </c>
    </row>
    <row r="521" spans="1:45" x14ac:dyDescent="0.15">
      <c r="A521" s="5">
        <v>513</v>
      </c>
      <c r="J521" s="5">
        <f t="shared" si="56"/>
        <v>513</v>
      </c>
      <c r="K521" s="5">
        <f>SUM($AP$9:AP520)</f>
        <v>6359850491416049</v>
      </c>
      <c r="L521" s="5">
        <f>LOOKUP(K521,AI:AI,AE:AE)</f>
        <v>555</v>
      </c>
      <c r="M521" s="5">
        <f>LOOKUP(L521,AE:AE,AG:AG)</f>
        <v>319414014324759</v>
      </c>
      <c r="N521" s="5">
        <f>AM521/M521/$K$1</f>
        <v>1.8171552775537181</v>
      </c>
      <c r="O521" s="5">
        <f>SUM($N$9:N521)</f>
        <v>1713.6335816966659</v>
      </c>
      <c r="AE521" s="5">
        <f t="shared" si="57"/>
        <v>513</v>
      </c>
      <c r="AF521" s="5">
        <f t="shared" si="58"/>
        <v>38335485342866</v>
      </c>
      <c r="AG521" s="5">
        <f t="shared" si="59"/>
        <v>38038885843115</v>
      </c>
      <c r="AH521" s="5">
        <f>AG521*$AF$1</f>
        <v>380388858431150</v>
      </c>
      <c r="AI521" s="5">
        <f>SUM($AF$9:AF520)</f>
        <v>735566759383762</v>
      </c>
      <c r="AK521" s="5">
        <f t="shared" si="60"/>
        <v>513</v>
      </c>
      <c r="AL521" s="5">
        <f t="shared" si="61"/>
        <v>74</v>
      </c>
      <c r="AM521" s="5">
        <f t="shared" si="62"/>
        <v>870637292782282</v>
      </c>
      <c r="AN521" s="5">
        <f>$AL$4*$AL$3^AL521*$AL$2</f>
        <v>870637292782281.75</v>
      </c>
      <c r="AO521" s="5">
        <f>IF(AL521=AL522,1,LOOKUP(MOD(AL521,$AL$1),$AN$1:$AN$5,$AO$1:$AO$5))</f>
        <v>1</v>
      </c>
      <c r="AP521" s="5">
        <f t="shared" si="63"/>
        <v>309366451368637</v>
      </c>
      <c r="AQ521" s="5">
        <f>AM521*$AR$3</f>
        <v>116084972370970.94</v>
      </c>
      <c r="AR521" s="5">
        <f>AM521*AL521*$AR$4</f>
        <v>193281478997666.59</v>
      </c>
      <c r="AS521" s="5">
        <f>SUM($AP$9:AP520)</f>
        <v>6359850491416049</v>
      </c>
    </row>
    <row r="522" spans="1:45" x14ac:dyDescent="0.15">
      <c r="A522" s="5">
        <v>514</v>
      </c>
      <c r="J522" s="5">
        <f t="shared" ref="J522:J585" si="64">A522</f>
        <v>514</v>
      </c>
      <c r="K522" s="5">
        <f>SUM($AP$9:AP521)</f>
        <v>6669216942784686</v>
      </c>
      <c r="L522" s="5">
        <f>LOOKUP(K522,AI:AI,AE:AE)</f>
        <v>556</v>
      </c>
      <c r="M522" s="5">
        <f>LOOKUP(L522,AE:AE,AG:AG)</f>
        <v>335989011824855</v>
      </c>
      <c r="N522" s="5">
        <f>AM522/M522/$K$1</f>
        <v>1.7275114406343135</v>
      </c>
      <c r="O522" s="5">
        <f>SUM($N$9:N522)</f>
        <v>1715.3610931373003</v>
      </c>
      <c r="AE522" s="5">
        <f t="shared" ref="AE522:AE585" si="65">A522</f>
        <v>514</v>
      </c>
      <c r="AF522" s="5">
        <f t="shared" ref="AF522:AF585" si="66">ROUND(1.05^AE522*(AE522+4),0)</f>
        <v>40330116978694</v>
      </c>
      <c r="AG522" s="5">
        <f t="shared" ref="AG522:AG585" si="67">ROUND(1.05^AE522*AE522,0)</f>
        <v>40018687503955</v>
      </c>
      <c r="AH522" s="5">
        <f>AG522*$AF$1</f>
        <v>400186875039550</v>
      </c>
      <c r="AI522" s="5">
        <f>SUM($AF$9:AF521)</f>
        <v>773902244726628</v>
      </c>
      <c r="AK522" s="5">
        <f t="shared" ref="AK522:AK585" si="68">A522</f>
        <v>514</v>
      </c>
      <c r="AL522" s="5">
        <f t="shared" ref="AL522:AL585" si="69">ROUNDUP(AK522/$AL$1,0)</f>
        <v>74</v>
      </c>
      <c r="AM522" s="5">
        <f t="shared" ref="AM522:AM585" si="70">ROUND(AN522*AO522,0)</f>
        <v>870637292782282</v>
      </c>
      <c r="AN522" s="5">
        <f>$AL$4*$AL$3^AL522*$AL$2</f>
        <v>870637292782281.75</v>
      </c>
      <c r="AO522" s="5">
        <f>IF(AL522=AL523,1,LOOKUP(MOD(AL522,$AL$1),$AN$1:$AN$5,$AO$1:$AO$5))</f>
        <v>1</v>
      </c>
      <c r="AP522" s="5">
        <f t="shared" ref="AP522:AP585" si="71">ROUND(AQ522+AR522,0)</f>
        <v>309366451368637</v>
      </c>
      <c r="AQ522" s="5">
        <f>AM522*$AR$3</f>
        <v>116084972370970.94</v>
      </c>
      <c r="AR522" s="5">
        <f>AM522*AL522*$AR$4</f>
        <v>193281478997666.59</v>
      </c>
      <c r="AS522" s="5">
        <f>SUM($AP$9:AP521)</f>
        <v>6669216942784686</v>
      </c>
    </row>
    <row r="523" spans="1:45" x14ac:dyDescent="0.15">
      <c r="A523" s="5">
        <v>515</v>
      </c>
      <c r="J523" s="5">
        <f t="shared" si="64"/>
        <v>515</v>
      </c>
      <c r="K523" s="5">
        <f>SUM($AP$9:AP522)</f>
        <v>6978583394153323</v>
      </c>
      <c r="L523" s="5">
        <f>LOOKUP(K523,AI:AI,AE:AE)</f>
        <v>557</v>
      </c>
      <c r="M523" s="5">
        <f>LOOKUP(L523,AE:AE,AG:AG)</f>
        <v>353422974039148</v>
      </c>
      <c r="N523" s="5">
        <f>AM523/M523/$K$1</f>
        <v>1.6422952226941592</v>
      </c>
      <c r="O523" s="5">
        <f>SUM($N$9:N523)</f>
        <v>1717.0033883599945</v>
      </c>
      <c r="AE523" s="5">
        <f t="shared" si="65"/>
        <v>515</v>
      </c>
      <c r="AF523" s="5">
        <f t="shared" si="66"/>
        <v>42428373064748</v>
      </c>
      <c r="AG523" s="5">
        <f t="shared" si="67"/>
        <v>42101372116272</v>
      </c>
      <c r="AH523" s="5">
        <f>AG523*$AF$1</f>
        <v>421013721162720</v>
      </c>
      <c r="AI523" s="5">
        <f>SUM($AF$9:AF522)</f>
        <v>814232361705322</v>
      </c>
      <c r="AK523" s="5">
        <f t="shared" si="68"/>
        <v>515</v>
      </c>
      <c r="AL523" s="5">
        <f t="shared" si="69"/>
        <v>74</v>
      </c>
      <c r="AM523" s="5">
        <f t="shared" si="70"/>
        <v>870637292782282</v>
      </c>
      <c r="AN523" s="5">
        <f>$AL$4*$AL$3^AL523*$AL$2</f>
        <v>870637292782281.75</v>
      </c>
      <c r="AO523" s="5">
        <f>IF(AL523=AL524,1,LOOKUP(MOD(AL523,$AL$1),$AN$1:$AN$5,$AO$1:$AO$5))</f>
        <v>1</v>
      </c>
      <c r="AP523" s="5">
        <f t="shared" si="71"/>
        <v>309366451368637</v>
      </c>
      <c r="AQ523" s="5">
        <f>AM523*$AR$3</f>
        <v>116084972370970.94</v>
      </c>
      <c r="AR523" s="5">
        <f>AM523*AL523*$AR$4</f>
        <v>193281478997666.59</v>
      </c>
      <c r="AS523" s="5">
        <f>SUM($AP$9:AP522)</f>
        <v>6978583394153323</v>
      </c>
    </row>
    <row r="524" spans="1:45" x14ac:dyDescent="0.15">
      <c r="A524" s="5">
        <v>516</v>
      </c>
      <c r="J524" s="5">
        <f t="shared" si="64"/>
        <v>516</v>
      </c>
      <c r="K524" s="5">
        <f>SUM($AP$9:AP523)</f>
        <v>7287949845521960</v>
      </c>
      <c r="L524" s="5">
        <f>LOOKUP(K524,AI:AI,AE:AE)</f>
        <v>558</v>
      </c>
      <c r="M524" s="5">
        <f>LOOKUP(L524,AE:AE,AG:AG)</f>
        <v>371760359945309</v>
      </c>
      <c r="N524" s="5">
        <f>AM524/M524/$K$1</f>
        <v>1.5612876583728375</v>
      </c>
      <c r="O524" s="5">
        <f>SUM($N$9:N524)</f>
        <v>1718.5646760183672</v>
      </c>
      <c r="AE524" s="5">
        <f t="shared" si="65"/>
        <v>516</v>
      </c>
      <c r="AF524" s="5">
        <f t="shared" si="66"/>
        <v>44635629466960</v>
      </c>
      <c r="AG524" s="5">
        <f t="shared" si="67"/>
        <v>44292278471061</v>
      </c>
      <c r="AH524" s="5">
        <f>AG524*$AF$1</f>
        <v>442922784710610</v>
      </c>
      <c r="AI524" s="5">
        <f>SUM($AF$9:AF523)</f>
        <v>856660734770070</v>
      </c>
      <c r="AK524" s="5">
        <f t="shared" si="68"/>
        <v>516</v>
      </c>
      <c r="AL524" s="5">
        <f t="shared" si="69"/>
        <v>74</v>
      </c>
      <c r="AM524" s="5">
        <f t="shared" si="70"/>
        <v>870637292782282</v>
      </c>
      <c r="AN524" s="5">
        <f>$AL$4*$AL$3^AL524*$AL$2</f>
        <v>870637292782281.75</v>
      </c>
      <c r="AO524" s="5">
        <f>IF(AL524=AL525,1,LOOKUP(MOD(AL524,$AL$1),$AN$1:$AN$5,$AO$1:$AO$5))</f>
        <v>1</v>
      </c>
      <c r="AP524" s="5">
        <f t="shared" si="71"/>
        <v>309366451368637</v>
      </c>
      <c r="AQ524" s="5">
        <f>AM524*$AR$3</f>
        <v>116084972370970.94</v>
      </c>
      <c r="AR524" s="5">
        <f>AM524*AL524*$AR$4</f>
        <v>193281478997666.59</v>
      </c>
      <c r="AS524" s="5">
        <f>SUM($AP$9:AP523)</f>
        <v>7287949845521960</v>
      </c>
    </row>
    <row r="525" spans="1:45" x14ac:dyDescent="0.15">
      <c r="A525" s="5">
        <v>517</v>
      </c>
      <c r="J525" s="5">
        <f t="shared" si="64"/>
        <v>517</v>
      </c>
      <c r="K525" s="5">
        <f>SUM($AP$9:AP524)</f>
        <v>7597316296890597</v>
      </c>
      <c r="L525" s="5">
        <f>LOOKUP(K525,AI:AI,AE:AE)</f>
        <v>559</v>
      </c>
      <c r="M525" s="5">
        <f>LOOKUP(L525,AE:AE,AG:AG)</f>
        <v>391047927006988</v>
      </c>
      <c r="N525" s="5">
        <f>AM525/M525/$K$1</f>
        <v>1.484280625900064</v>
      </c>
      <c r="O525" s="5">
        <f>SUM($N$9:N525)</f>
        <v>1720.0489566442673</v>
      </c>
      <c r="AE525" s="5">
        <f t="shared" si="65"/>
        <v>517</v>
      </c>
      <c r="AF525" s="5">
        <f t="shared" si="66"/>
        <v>46957540576732</v>
      </c>
      <c r="AG525" s="5">
        <f t="shared" si="67"/>
        <v>46597022031037</v>
      </c>
      <c r="AH525" s="5">
        <f>AG525*$AF$1</f>
        <v>465970220310370</v>
      </c>
      <c r="AI525" s="5">
        <f>SUM($AF$9:AF524)</f>
        <v>901296364237030</v>
      </c>
      <c r="AK525" s="5">
        <f t="shared" si="68"/>
        <v>517</v>
      </c>
      <c r="AL525" s="5">
        <f t="shared" si="69"/>
        <v>74</v>
      </c>
      <c r="AM525" s="5">
        <f t="shared" si="70"/>
        <v>870637292782282</v>
      </c>
      <c r="AN525" s="5">
        <f>$AL$4*$AL$3^AL525*$AL$2</f>
        <v>870637292782281.75</v>
      </c>
      <c r="AO525" s="5">
        <f>IF(AL525=AL526,1,LOOKUP(MOD(AL525,$AL$1),$AN$1:$AN$5,$AO$1:$AO$5))</f>
        <v>1</v>
      </c>
      <c r="AP525" s="5">
        <f t="shared" si="71"/>
        <v>309366451368637</v>
      </c>
      <c r="AQ525" s="5">
        <f>AM525*$AR$3</f>
        <v>116084972370970.94</v>
      </c>
      <c r="AR525" s="5">
        <f>AM525*AL525*$AR$4</f>
        <v>193281478997666.59</v>
      </c>
      <c r="AS525" s="5">
        <f>SUM($AP$9:AP524)</f>
        <v>7597316296890597</v>
      </c>
    </row>
    <row r="526" spans="1:45" x14ac:dyDescent="0.15">
      <c r="A526" s="5">
        <v>518</v>
      </c>
      <c r="J526" s="5">
        <f t="shared" si="64"/>
        <v>518</v>
      </c>
      <c r="K526" s="5">
        <f>SUM($AP$9:AP525)</f>
        <v>7906682748259234</v>
      </c>
      <c r="L526" s="5">
        <f>LOOKUP(K526,AI:AI,AE:AE)</f>
        <v>559</v>
      </c>
      <c r="M526" s="5">
        <f>LOOKUP(L526,AE:AE,AG:AG)</f>
        <v>391047927006988</v>
      </c>
      <c r="N526" s="5">
        <f>AM526/M526/$K$1</f>
        <v>10.389964381300441</v>
      </c>
      <c r="O526" s="5">
        <f>SUM($N$9:N526)</f>
        <v>1730.4389210255677</v>
      </c>
      <c r="AE526" s="5">
        <f t="shared" si="65"/>
        <v>518</v>
      </c>
      <c r="AF526" s="5">
        <f t="shared" si="66"/>
        <v>49400053723814</v>
      </c>
      <c r="AG526" s="5">
        <f t="shared" si="67"/>
        <v>49021509250834</v>
      </c>
      <c r="AH526" s="5">
        <f>AG526*$AF$1</f>
        <v>490215092508340</v>
      </c>
      <c r="AI526" s="5">
        <f>SUM($AF$9:AF525)</f>
        <v>948253904813762</v>
      </c>
      <c r="AK526" s="5">
        <f t="shared" si="68"/>
        <v>518</v>
      </c>
      <c r="AL526" s="5">
        <f t="shared" si="69"/>
        <v>74</v>
      </c>
      <c r="AM526" s="5">
        <f t="shared" si="70"/>
        <v>6094461049475970</v>
      </c>
      <c r="AN526" s="5">
        <f>$AL$4*$AL$3^AL526*$AL$2</f>
        <v>870637292782281.75</v>
      </c>
      <c r="AO526" s="5">
        <f>IF(AL526=AL527,1,LOOKUP(MOD(AL526,$AL$1),$AN$1:$AN$5,$AO$1:$AO$5))</f>
        <v>7</v>
      </c>
      <c r="AP526" s="5">
        <f t="shared" si="71"/>
        <v>2165565159580460</v>
      </c>
      <c r="AQ526" s="5">
        <f>AM526*$AR$3</f>
        <v>812594806596796</v>
      </c>
      <c r="AR526" s="5">
        <f>AM526*AL526*$AR$4</f>
        <v>1352970352983665.2</v>
      </c>
      <c r="AS526" s="5">
        <f>SUM($AP$9:AP525)</f>
        <v>7906682748259234</v>
      </c>
    </row>
    <row r="527" spans="1:45" x14ac:dyDescent="0.15">
      <c r="A527" s="5">
        <v>519</v>
      </c>
      <c r="J527" s="5">
        <f t="shared" si="64"/>
        <v>519</v>
      </c>
      <c r="K527" s="5">
        <f>SUM($AP$9:AP526)</f>
        <v>1.0072247907839694E+16</v>
      </c>
      <c r="L527" s="5">
        <f>LOOKUP(K527,AI:AI,AE:AE)</f>
        <v>564</v>
      </c>
      <c r="M527" s="5">
        <f>LOOKUP(L527,AE:AE,AG:AG)</f>
        <v>503551367157738</v>
      </c>
      <c r="N527" s="5">
        <f>AM527/M527/$K$1</f>
        <v>1.8096803872377623</v>
      </c>
      <c r="O527" s="5">
        <f>SUM($N$9:N527)</f>
        <v>1732.2486014128053</v>
      </c>
      <c r="AE527" s="5">
        <f t="shared" si="65"/>
        <v>519</v>
      </c>
      <c r="AF527" s="5">
        <f t="shared" si="66"/>
        <v>51969424334161</v>
      </c>
      <c r="AG527" s="5">
        <f t="shared" si="67"/>
        <v>51571952637533</v>
      </c>
      <c r="AH527" s="5">
        <f>AG527*$AF$1</f>
        <v>515719526375330</v>
      </c>
      <c r="AI527" s="5">
        <f>SUM($AF$9:AF526)</f>
        <v>997653958537576</v>
      </c>
      <c r="AK527" s="5">
        <f t="shared" si="68"/>
        <v>519</v>
      </c>
      <c r="AL527" s="5">
        <f t="shared" si="69"/>
        <v>75</v>
      </c>
      <c r="AM527" s="5">
        <f t="shared" si="70"/>
        <v>1366900549668180</v>
      </c>
      <c r="AN527" s="5">
        <f>$AL$4*$AL$3^AL527*$AL$2</f>
        <v>1366900549668182.2</v>
      </c>
      <c r="AO527" s="5">
        <f>IF(AL527=AL528,1,LOOKUP(MOD(AL527,$AL$1),$AN$1:$AN$5,$AO$1:$AO$5))</f>
        <v>1</v>
      </c>
      <c r="AP527" s="5">
        <f t="shared" si="71"/>
        <v>489806030297764</v>
      </c>
      <c r="AQ527" s="5">
        <f>AM527*$AR$3</f>
        <v>182253406622424</v>
      </c>
      <c r="AR527" s="5">
        <f>AM527*AL527*$AR$4</f>
        <v>307552623675340.5</v>
      </c>
      <c r="AS527" s="5">
        <f>SUM($AP$9:AP526)</f>
        <v>1.0072247907839694E+16</v>
      </c>
    </row>
    <row r="528" spans="1:45" x14ac:dyDescent="0.15">
      <c r="A528" s="5">
        <v>520</v>
      </c>
      <c r="J528" s="5">
        <f t="shared" si="64"/>
        <v>520</v>
      </c>
      <c r="K528" s="5">
        <f>SUM($AP$9:AP527)</f>
        <v>1.0562053938137458E+16</v>
      </c>
      <c r="L528" s="5">
        <f>LOOKUP(K528,AI:AI,AE:AE)</f>
        <v>565</v>
      </c>
      <c r="M528" s="5">
        <f>LOOKUP(L528,AE:AE,AG:AG)</f>
        <v>529666398167248</v>
      </c>
      <c r="N528" s="5">
        <f>AM528/M528/$K$1</f>
        <v>1.7204546791438664</v>
      </c>
      <c r="O528" s="5">
        <f>SUM($N$9:N528)</f>
        <v>1733.9690560919491</v>
      </c>
      <c r="AE528" s="5">
        <f t="shared" si="65"/>
        <v>520</v>
      </c>
      <c r="AF528" s="5">
        <f t="shared" si="66"/>
        <v>54672231871234</v>
      </c>
      <c r="AG528" s="5">
        <f t="shared" si="67"/>
        <v>54254886589775</v>
      </c>
      <c r="AH528" s="5">
        <f>AG528*$AF$1</f>
        <v>542548865897750</v>
      </c>
      <c r="AI528" s="5">
        <f>SUM($AF$9:AF527)</f>
        <v>1049623382871737</v>
      </c>
      <c r="AK528" s="5">
        <f t="shared" si="68"/>
        <v>520</v>
      </c>
      <c r="AL528" s="5">
        <f t="shared" si="69"/>
        <v>75</v>
      </c>
      <c r="AM528" s="5">
        <f t="shared" si="70"/>
        <v>1366900549668180</v>
      </c>
      <c r="AN528" s="5">
        <f>$AL$4*$AL$3^AL528*$AL$2</f>
        <v>1366900549668182.2</v>
      </c>
      <c r="AO528" s="5">
        <f>IF(AL528=AL529,1,LOOKUP(MOD(AL528,$AL$1),$AN$1:$AN$5,$AO$1:$AO$5))</f>
        <v>1</v>
      </c>
      <c r="AP528" s="5">
        <f t="shared" si="71"/>
        <v>489806030297764</v>
      </c>
      <c r="AQ528" s="5">
        <f>AM528*$AR$3</f>
        <v>182253406622424</v>
      </c>
      <c r="AR528" s="5">
        <f>AM528*AL528*$AR$4</f>
        <v>307552623675340.5</v>
      </c>
      <c r="AS528" s="5">
        <f>SUM($AP$9:AP527)</f>
        <v>1.0562053938137458E+16</v>
      </c>
    </row>
    <row r="529" spans="1:45" x14ac:dyDescent="0.15">
      <c r="A529" s="5">
        <v>521</v>
      </c>
      <c r="J529" s="5">
        <f t="shared" si="64"/>
        <v>521</v>
      </c>
      <c r="K529" s="5">
        <f>SUM($AP$9:AP528)</f>
        <v>1.1051859968435222E+16</v>
      </c>
      <c r="L529" s="5">
        <f>LOOKUP(K529,AI:AI,AE:AE)</f>
        <v>566</v>
      </c>
      <c r="M529" s="5">
        <f>LOOKUP(L529,AE:AE,AG:AG)</f>
        <v>557134053859815</v>
      </c>
      <c r="N529" s="5">
        <f>AM529/M529/$K$1</f>
        <v>1.6356333395865466</v>
      </c>
      <c r="O529" s="5">
        <f>SUM($N$9:N529)</f>
        <v>1735.6046894315357</v>
      </c>
      <c r="AE529" s="5">
        <f t="shared" si="65"/>
        <v>521</v>
      </c>
      <c r="AF529" s="5">
        <f t="shared" si="66"/>
        <v>57515396601179</v>
      </c>
      <c r="AG529" s="5">
        <f t="shared" si="67"/>
        <v>57077184055647</v>
      </c>
      <c r="AH529" s="5">
        <f>AG529*$AF$1</f>
        <v>570771840556470</v>
      </c>
      <c r="AI529" s="5">
        <f>SUM($AF$9:AF528)</f>
        <v>1104295614742971</v>
      </c>
      <c r="AK529" s="5">
        <f t="shared" si="68"/>
        <v>521</v>
      </c>
      <c r="AL529" s="5">
        <f t="shared" si="69"/>
        <v>75</v>
      </c>
      <c r="AM529" s="5">
        <f t="shared" si="70"/>
        <v>1366900549668180</v>
      </c>
      <c r="AN529" s="5">
        <f>$AL$4*$AL$3^AL529*$AL$2</f>
        <v>1366900549668182.2</v>
      </c>
      <c r="AO529" s="5">
        <f>IF(AL529=AL530,1,LOOKUP(MOD(AL529,$AL$1),$AN$1:$AN$5,$AO$1:$AO$5))</f>
        <v>1</v>
      </c>
      <c r="AP529" s="5">
        <f t="shared" si="71"/>
        <v>489806030297764</v>
      </c>
      <c r="AQ529" s="5">
        <f>AM529*$AR$3</f>
        <v>182253406622424</v>
      </c>
      <c r="AR529" s="5">
        <f>AM529*AL529*$AR$4</f>
        <v>307552623675340.5</v>
      </c>
      <c r="AS529" s="5">
        <f>SUM($AP$9:AP528)</f>
        <v>1.1051859968435222E+16</v>
      </c>
    </row>
    <row r="530" spans="1:45" x14ac:dyDescent="0.15">
      <c r="A530" s="5">
        <v>522</v>
      </c>
      <c r="J530" s="5">
        <f t="shared" si="64"/>
        <v>522</v>
      </c>
      <c r="K530" s="5">
        <f>SUM($AP$9:AP529)</f>
        <v>1.1541665998732986E+16</v>
      </c>
      <c r="L530" s="5">
        <f>LOOKUP(K530,AI:AI,AE:AE)</f>
        <v>567</v>
      </c>
      <c r="M530" s="5">
        <f>LOOKUP(L530,AE:AE,AG:AG)</f>
        <v>586024309126220</v>
      </c>
      <c r="N530" s="5">
        <f>AM530/M530/$K$1</f>
        <v>1.5549986901923007</v>
      </c>
      <c r="O530" s="5">
        <f>SUM($N$9:N530)</f>
        <v>1737.1596881217281</v>
      </c>
      <c r="AE530" s="5">
        <f t="shared" si="65"/>
        <v>522</v>
      </c>
      <c r="AF530" s="5">
        <f t="shared" si="66"/>
        <v>60506197224441</v>
      </c>
      <c r="AG530" s="5">
        <f t="shared" si="67"/>
        <v>60046074051631</v>
      </c>
      <c r="AH530" s="5">
        <f>AG530*$AF$1</f>
        <v>600460740516310</v>
      </c>
      <c r="AI530" s="5">
        <f>SUM($AF$9:AF529)</f>
        <v>1161811011344150</v>
      </c>
      <c r="AK530" s="5">
        <f t="shared" si="68"/>
        <v>522</v>
      </c>
      <c r="AL530" s="5">
        <f t="shared" si="69"/>
        <v>75</v>
      </c>
      <c r="AM530" s="5">
        <f t="shared" si="70"/>
        <v>1366900549668180</v>
      </c>
      <c r="AN530" s="5">
        <f>$AL$4*$AL$3^AL530*$AL$2</f>
        <v>1366900549668182.2</v>
      </c>
      <c r="AO530" s="5">
        <f>IF(AL530=AL531,1,LOOKUP(MOD(AL530,$AL$1),$AN$1:$AN$5,$AO$1:$AO$5))</f>
        <v>1</v>
      </c>
      <c r="AP530" s="5">
        <f t="shared" si="71"/>
        <v>489806030297764</v>
      </c>
      <c r="AQ530" s="5">
        <f>AM530*$AR$3</f>
        <v>182253406622424</v>
      </c>
      <c r="AR530" s="5">
        <f>AM530*AL530*$AR$4</f>
        <v>307552623675340.5</v>
      </c>
      <c r="AS530" s="5">
        <f>SUM($AP$9:AP529)</f>
        <v>1.1541665998732986E+16</v>
      </c>
    </row>
    <row r="531" spans="1:45" x14ac:dyDescent="0.15">
      <c r="A531" s="5">
        <v>523</v>
      </c>
      <c r="J531" s="5">
        <f t="shared" si="64"/>
        <v>523</v>
      </c>
      <c r="K531" s="5">
        <f>SUM($AP$9:AP530)</f>
        <v>1.203147202903075E+16</v>
      </c>
      <c r="L531" s="5">
        <f>LOOKUP(K531,AI:AI,AE:AE)</f>
        <v>568</v>
      </c>
      <c r="M531" s="5">
        <f>LOOKUP(L531,AE:AE,AG:AG)</f>
        <v>616410754784617</v>
      </c>
      <c r="N531" s="5">
        <f>AM531/M531/$K$1</f>
        <v>1.4783438251828203</v>
      </c>
      <c r="O531" s="5">
        <f>SUM($N$9:N531)</f>
        <v>1738.6380319469108</v>
      </c>
      <c r="AE531" s="5">
        <f t="shared" si="65"/>
        <v>523</v>
      </c>
      <c r="AF531" s="5">
        <f t="shared" si="66"/>
        <v>63652289418525</v>
      </c>
      <c r="AG531" s="5">
        <f t="shared" si="67"/>
        <v>63169160087075</v>
      </c>
      <c r="AH531" s="5">
        <f>AG531*$AF$1</f>
        <v>631691600870750</v>
      </c>
      <c r="AI531" s="5">
        <f>SUM($AF$9:AF530)</f>
        <v>1222317208568591</v>
      </c>
      <c r="AK531" s="5">
        <f t="shared" si="68"/>
        <v>523</v>
      </c>
      <c r="AL531" s="5">
        <f t="shared" si="69"/>
        <v>75</v>
      </c>
      <c r="AM531" s="5">
        <f t="shared" si="70"/>
        <v>1366900549668180</v>
      </c>
      <c r="AN531" s="5">
        <f>$AL$4*$AL$3^AL531*$AL$2</f>
        <v>1366900549668182.2</v>
      </c>
      <c r="AO531" s="5">
        <f>IF(AL531=AL532,1,LOOKUP(MOD(AL531,$AL$1),$AN$1:$AN$5,$AO$1:$AO$5))</f>
        <v>1</v>
      </c>
      <c r="AP531" s="5">
        <f t="shared" si="71"/>
        <v>489806030297764</v>
      </c>
      <c r="AQ531" s="5">
        <f>AM531*$AR$3</f>
        <v>182253406622424</v>
      </c>
      <c r="AR531" s="5">
        <f>AM531*AL531*$AR$4</f>
        <v>307552623675340.5</v>
      </c>
      <c r="AS531" s="5">
        <f>SUM($AP$9:AP530)</f>
        <v>1.203147202903075E+16</v>
      </c>
    </row>
    <row r="532" spans="1:45" x14ac:dyDescent="0.15">
      <c r="A532" s="5">
        <v>524</v>
      </c>
      <c r="J532" s="5">
        <f t="shared" si="64"/>
        <v>524</v>
      </c>
      <c r="K532" s="5">
        <f>SUM($AP$9:AP531)</f>
        <v>1.2521278059328514E+16</v>
      </c>
      <c r="L532" s="5">
        <f>LOOKUP(K532,AI:AI,AE:AE)</f>
        <v>568</v>
      </c>
      <c r="M532" s="5">
        <f>LOOKUP(L532,AE:AE,AG:AG)</f>
        <v>616410754784617</v>
      </c>
      <c r="N532" s="5">
        <f>AM532/M532/$K$1</f>
        <v>1.4783438251828203</v>
      </c>
      <c r="O532" s="5">
        <f>SUM($N$9:N532)</f>
        <v>1740.1163757720935</v>
      </c>
      <c r="AE532" s="5">
        <f t="shared" si="65"/>
        <v>524</v>
      </c>
      <c r="AF532" s="5">
        <f t="shared" si="66"/>
        <v>66961725338957</v>
      </c>
      <c r="AG532" s="5">
        <f t="shared" si="67"/>
        <v>66454439540935</v>
      </c>
      <c r="AH532" s="5">
        <f>AG532*$AF$1</f>
        <v>664544395409350</v>
      </c>
      <c r="AI532" s="5">
        <f>SUM($AF$9:AF531)</f>
        <v>1285969497987116</v>
      </c>
      <c r="AK532" s="5">
        <f t="shared" si="68"/>
        <v>524</v>
      </c>
      <c r="AL532" s="5">
        <f t="shared" si="69"/>
        <v>75</v>
      </c>
      <c r="AM532" s="5">
        <f t="shared" si="70"/>
        <v>1366900549668180</v>
      </c>
      <c r="AN532" s="5">
        <f>$AL$4*$AL$3^AL532*$AL$2</f>
        <v>1366900549668182.2</v>
      </c>
      <c r="AO532" s="5">
        <f>IF(AL532=AL533,1,LOOKUP(MOD(AL532,$AL$1),$AN$1:$AN$5,$AO$1:$AO$5))</f>
        <v>1</v>
      </c>
      <c r="AP532" s="5">
        <f t="shared" si="71"/>
        <v>489806030297764</v>
      </c>
      <c r="AQ532" s="5">
        <f>AM532*$AR$3</f>
        <v>182253406622424</v>
      </c>
      <c r="AR532" s="5">
        <f>AM532*AL532*$AR$4</f>
        <v>307552623675340.5</v>
      </c>
      <c r="AS532" s="5">
        <f>SUM($AP$9:AP531)</f>
        <v>1.2521278059328514E+16</v>
      </c>
    </row>
    <row r="533" spans="1:45" x14ac:dyDescent="0.15">
      <c r="A533" s="5">
        <v>525</v>
      </c>
      <c r="J533" s="5">
        <f t="shared" si="64"/>
        <v>525</v>
      </c>
      <c r="K533" s="5">
        <f>SUM($AP$9:AP532)</f>
        <v>1.3011084089626278E+16</v>
      </c>
      <c r="L533" s="5">
        <f>LOOKUP(K533,AI:AI,AE:AE)</f>
        <v>569</v>
      </c>
      <c r="M533" s="5">
        <f>LOOKUP(L533,AE:AE,AG:AG)</f>
        <v>648370784236038</v>
      </c>
      <c r="N533" s="5">
        <f>AM533/M533/$K$1</f>
        <v>9.8383045425172018</v>
      </c>
      <c r="O533" s="5">
        <f>SUM($N$9:N533)</f>
        <v>1749.9546803146106</v>
      </c>
      <c r="AE533" s="5">
        <f t="shared" si="65"/>
        <v>525</v>
      </c>
      <c r="AF533" s="5">
        <f t="shared" si="66"/>
        <v>70442974127886</v>
      </c>
      <c r="AG533" s="5">
        <f t="shared" si="67"/>
        <v>69910324039962</v>
      </c>
      <c r="AH533" s="5">
        <f>AG533*$AF$1</f>
        <v>699103240399620</v>
      </c>
      <c r="AI533" s="5">
        <f>SUM($AF$9:AF532)</f>
        <v>1352931223326073</v>
      </c>
      <c r="AK533" s="5">
        <f t="shared" si="68"/>
        <v>525</v>
      </c>
      <c r="AL533" s="5">
        <f t="shared" si="69"/>
        <v>75</v>
      </c>
      <c r="AM533" s="5">
        <f t="shared" si="70"/>
        <v>9568303847677280</v>
      </c>
      <c r="AN533" s="5">
        <f>$AL$4*$AL$3^AL533*$AL$2</f>
        <v>1366900549668182.2</v>
      </c>
      <c r="AO533" s="5">
        <f>IF(AL533=AL534,1,LOOKUP(MOD(AL533,$AL$1),$AN$1:$AN$5,$AO$1:$AO$5))</f>
        <v>7</v>
      </c>
      <c r="AP533" s="5">
        <f t="shared" si="71"/>
        <v>3428642212084360</v>
      </c>
      <c r="AQ533" s="5">
        <f>AM533*$AR$3</f>
        <v>1275773846356970.7</v>
      </c>
      <c r="AR533" s="5">
        <f>AM533*AL533*$AR$4</f>
        <v>2152868365727388</v>
      </c>
      <c r="AS533" s="5">
        <f>SUM($AP$9:AP532)</f>
        <v>1.3011084089626278E+16</v>
      </c>
    </row>
    <row r="534" spans="1:45" x14ac:dyDescent="0.15">
      <c r="A534" s="5">
        <v>526</v>
      </c>
      <c r="J534" s="5">
        <f t="shared" si="64"/>
        <v>526</v>
      </c>
      <c r="K534" s="5">
        <f>SUM($AP$9:AP533)</f>
        <v>1.6439726301710638E+16</v>
      </c>
      <c r="L534" s="5">
        <f>LOOKUP(K534,AI:AI,AE:AE)</f>
        <v>574</v>
      </c>
      <c r="M534" s="5">
        <f>LOOKUP(L534,AE:AE,AG:AG)</f>
        <v>834775238898568</v>
      </c>
      <c r="N534" s="5">
        <f>AM534/M534/$K$1</f>
        <v>1.7138616184564066</v>
      </c>
      <c r="O534" s="5">
        <f>SUM($N$9:N534)</f>
        <v>1751.668541933067</v>
      </c>
      <c r="AE534" s="5">
        <f t="shared" si="65"/>
        <v>526</v>
      </c>
      <c r="AF534" s="5">
        <f t="shared" si="66"/>
        <v>74104943482360</v>
      </c>
      <c r="AG534" s="5">
        <f t="shared" si="67"/>
        <v>73545660890040</v>
      </c>
      <c r="AH534" s="5">
        <f>AG534*$AF$1</f>
        <v>735456608900400</v>
      </c>
      <c r="AI534" s="5">
        <f>SUM($AF$9:AF533)</f>
        <v>1423374197453959</v>
      </c>
      <c r="AK534" s="5">
        <f t="shared" si="68"/>
        <v>526</v>
      </c>
      <c r="AL534" s="5">
        <f t="shared" si="69"/>
        <v>76</v>
      </c>
      <c r="AM534" s="5">
        <f t="shared" si="70"/>
        <v>2146033862979050</v>
      </c>
      <c r="AN534" s="5">
        <f>$AL$4*$AL$3^AL534*$AL$2</f>
        <v>2146033862979046.5</v>
      </c>
      <c r="AO534" s="5">
        <f>IF(AL534=AL535,1,LOOKUP(MOD(AL534,$AL$1),$AN$1:$AN$5,$AO$1:$AO$5))</f>
        <v>1</v>
      </c>
      <c r="AP534" s="5">
        <f t="shared" si="71"/>
        <v>775433569156430</v>
      </c>
      <c r="AQ534" s="5">
        <f>AM534*$AR$3</f>
        <v>286137848397206.69</v>
      </c>
      <c r="AR534" s="5">
        <f>AM534*AL534*$AR$4</f>
        <v>489295720759223.44</v>
      </c>
      <c r="AS534" s="5">
        <f>SUM($AP$9:AP533)</f>
        <v>1.6439726301710638E+16</v>
      </c>
    </row>
    <row r="535" spans="1:45" x14ac:dyDescent="0.15">
      <c r="A535" s="5">
        <v>527</v>
      </c>
      <c r="J535" s="5">
        <f t="shared" si="64"/>
        <v>527</v>
      </c>
      <c r="K535" s="5">
        <f>SUM($AP$9:AP534)</f>
        <v>1.7215159870867068E+16</v>
      </c>
      <c r="L535" s="5">
        <f>LOOKUP(K535,AI:AI,AE:AE)</f>
        <v>575</v>
      </c>
      <c r="M535" s="5">
        <f>LOOKUP(L535,AE:AE,AG:AG)</f>
        <v>878041028719531</v>
      </c>
      <c r="N535" s="5">
        <f>AM535/M535/$K$1</f>
        <v>1.6294104662426117</v>
      </c>
      <c r="O535" s="5">
        <f>SUM($N$9:N535)</f>
        <v>1753.2979523993097</v>
      </c>
      <c r="AE535" s="5">
        <f t="shared" si="65"/>
        <v>527</v>
      </c>
      <c r="AF535" s="5">
        <f t="shared" si="66"/>
        <v>77957002336962</v>
      </c>
      <c r="AG535" s="5">
        <f t="shared" si="67"/>
        <v>77369755615026</v>
      </c>
      <c r="AH535" s="5">
        <f>AG535*$AF$1</f>
        <v>773697556150260</v>
      </c>
      <c r="AI535" s="5">
        <f>SUM($AF$9:AF534)</f>
        <v>1497479140936319</v>
      </c>
      <c r="AK535" s="5">
        <f t="shared" si="68"/>
        <v>527</v>
      </c>
      <c r="AL535" s="5">
        <f t="shared" si="69"/>
        <v>76</v>
      </c>
      <c r="AM535" s="5">
        <f t="shared" si="70"/>
        <v>2146033862979050</v>
      </c>
      <c r="AN535" s="5">
        <f>$AL$4*$AL$3^AL535*$AL$2</f>
        <v>2146033862979046.5</v>
      </c>
      <c r="AO535" s="5">
        <f>IF(AL535=AL536,1,LOOKUP(MOD(AL535,$AL$1),$AN$1:$AN$5,$AO$1:$AO$5))</f>
        <v>1</v>
      </c>
      <c r="AP535" s="5">
        <f t="shared" si="71"/>
        <v>775433569156430</v>
      </c>
      <c r="AQ535" s="5">
        <f>AM535*$AR$3</f>
        <v>286137848397206.69</v>
      </c>
      <c r="AR535" s="5">
        <f>AM535*AL535*$AR$4</f>
        <v>489295720759223.44</v>
      </c>
      <c r="AS535" s="5">
        <f>SUM($AP$9:AP534)</f>
        <v>1.7215159870867068E+16</v>
      </c>
    </row>
    <row r="536" spans="1:45" x14ac:dyDescent="0.15">
      <c r="A536" s="5">
        <v>528</v>
      </c>
      <c r="J536" s="5">
        <f t="shared" si="64"/>
        <v>528</v>
      </c>
      <c r="K536" s="5">
        <f>SUM($AP$9:AP535)</f>
        <v>1.7990593440023498E+16</v>
      </c>
      <c r="L536" s="5">
        <f>LOOKUP(K536,AI:AI,AE:AE)</f>
        <v>576</v>
      </c>
      <c r="M536" s="5">
        <f>LOOKUP(L536,AE:AE,AG:AG)</f>
        <v>923546459425343</v>
      </c>
      <c r="N536" s="5">
        <f>AM536/M536/$K$1</f>
        <v>1.5491253605977213</v>
      </c>
      <c r="O536" s="5">
        <f>SUM($N$9:N536)</f>
        <v>1754.8470777599075</v>
      </c>
      <c r="AE536" s="5">
        <f t="shared" si="65"/>
        <v>528</v>
      </c>
      <c r="AF536" s="5">
        <f t="shared" si="66"/>
        <v>82009004718318</v>
      </c>
      <c r="AG536" s="5">
        <f t="shared" si="67"/>
        <v>81392395660286</v>
      </c>
      <c r="AH536" s="5">
        <f>AG536*$AF$1</f>
        <v>813923956602860</v>
      </c>
      <c r="AI536" s="5">
        <f>SUM($AF$9:AF535)</f>
        <v>1575436143273281</v>
      </c>
      <c r="AK536" s="5">
        <f t="shared" si="68"/>
        <v>528</v>
      </c>
      <c r="AL536" s="5">
        <f t="shared" si="69"/>
        <v>76</v>
      </c>
      <c r="AM536" s="5">
        <f t="shared" si="70"/>
        <v>2146033862979050</v>
      </c>
      <c r="AN536" s="5">
        <f>$AL$4*$AL$3^AL536*$AL$2</f>
        <v>2146033862979046.5</v>
      </c>
      <c r="AO536" s="5">
        <f>IF(AL536=AL537,1,LOOKUP(MOD(AL536,$AL$1),$AN$1:$AN$5,$AO$1:$AO$5))</f>
        <v>1</v>
      </c>
      <c r="AP536" s="5">
        <f t="shared" si="71"/>
        <v>775433569156430</v>
      </c>
      <c r="AQ536" s="5">
        <f>AM536*$AR$3</f>
        <v>286137848397206.69</v>
      </c>
      <c r="AR536" s="5">
        <f>AM536*AL536*$AR$4</f>
        <v>489295720759223.44</v>
      </c>
      <c r="AS536" s="5">
        <f>SUM($AP$9:AP535)</f>
        <v>1.7990593440023498E+16</v>
      </c>
    </row>
    <row r="537" spans="1:45" x14ac:dyDescent="0.15">
      <c r="A537" s="5">
        <v>529</v>
      </c>
      <c r="J537" s="5">
        <f t="shared" si="64"/>
        <v>529</v>
      </c>
      <c r="K537" s="5">
        <f>SUM($AP$9:AP536)</f>
        <v>1.8766027009179928E+16</v>
      </c>
      <c r="L537" s="5">
        <f>LOOKUP(K537,AI:AI,AE:AE)</f>
        <v>576</v>
      </c>
      <c r="M537" s="5">
        <f>LOOKUP(L537,AE:AE,AG:AG)</f>
        <v>923546459425343</v>
      </c>
      <c r="N537" s="5">
        <f>AM537/M537/$K$1</f>
        <v>1.5491253605977213</v>
      </c>
      <c r="O537" s="5">
        <f>SUM($N$9:N537)</f>
        <v>1756.3962031205053</v>
      </c>
      <c r="AE537" s="5">
        <f t="shared" si="65"/>
        <v>529</v>
      </c>
      <c r="AF537" s="5">
        <f t="shared" si="66"/>
        <v>86271314831967</v>
      </c>
      <c r="AG537" s="5">
        <f t="shared" si="67"/>
        <v>85623875321033</v>
      </c>
      <c r="AH537" s="5">
        <f>AG537*$AF$1</f>
        <v>856238753210330</v>
      </c>
      <c r="AI537" s="5">
        <f>SUM($AF$9:AF536)</f>
        <v>1657445147991599</v>
      </c>
      <c r="AK537" s="5">
        <f t="shared" si="68"/>
        <v>529</v>
      </c>
      <c r="AL537" s="5">
        <f t="shared" si="69"/>
        <v>76</v>
      </c>
      <c r="AM537" s="5">
        <f t="shared" si="70"/>
        <v>2146033862979050</v>
      </c>
      <c r="AN537" s="5">
        <f>$AL$4*$AL$3^AL537*$AL$2</f>
        <v>2146033862979046.5</v>
      </c>
      <c r="AO537" s="5">
        <f>IF(AL537=AL538,1,LOOKUP(MOD(AL537,$AL$1),$AN$1:$AN$5,$AO$1:$AO$5))</f>
        <v>1</v>
      </c>
      <c r="AP537" s="5">
        <f t="shared" si="71"/>
        <v>775433569156430</v>
      </c>
      <c r="AQ537" s="5">
        <f>AM537*$AR$3</f>
        <v>286137848397206.69</v>
      </c>
      <c r="AR537" s="5">
        <f>AM537*AL537*$AR$4</f>
        <v>489295720759223.44</v>
      </c>
      <c r="AS537" s="5">
        <f>SUM($AP$9:AP536)</f>
        <v>1.8766027009179928E+16</v>
      </c>
    </row>
    <row r="538" spans="1:45" x14ac:dyDescent="0.15">
      <c r="A538" s="5">
        <v>530</v>
      </c>
      <c r="J538" s="5">
        <f t="shared" si="64"/>
        <v>530</v>
      </c>
      <c r="K538" s="5">
        <f>SUM($AP$9:AP537)</f>
        <v>1.954146057833636E+16</v>
      </c>
      <c r="L538" s="5">
        <f>LOOKUP(K538,AI:AI,AE:AE)</f>
        <v>577</v>
      </c>
      <c r="M538" s="5">
        <f>LOOKUP(L538,AE:AE,AG:AG)</f>
        <v>971407330629938</v>
      </c>
      <c r="N538" s="5">
        <f>AM538/M538/$K$1</f>
        <v>1.4728005409000364</v>
      </c>
      <c r="O538" s="5">
        <f>SUM($N$9:N538)</f>
        <v>1757.8690036614053</v>
      </c>
      <c r="AE538" s="5">
        <f t="shared" si="65"/>
        <v>530</v>
      </c>
      <c r="AF538" s="5">
        <f t="shared" si="66"/>
        <v>90754833445186</v>
      </c>
      <c r="AG538" s="5">
        <f t="shared" si="67"/>
        <v>90075021958705</v>
      </c>
      <c r="AH538" s="5">
        <f>AG538*$AF$1</f>
        <v>900750219587050</v>
      </c>
      <c r="AI538" s="5">
        <f>SUM($AF$9:AF537)</f>
        <v>1743716462823566</v>
      </c>
      <c r="AK538" s="5">
        <f t="shared" si="68"/>
        <v>530</v>
      </c>
      <c r="AL538" s="5">
        <f t="shared" si="69"/>
        <v>76</v>
      </c>
      <c r="AM538" s="5">
        <f t="shared" si="70"/>
        <v>2146033862979050</v>
      </c>
      <c r="AN538" s="5">
        <f>$AL$4*$AL$3^AL538*$AL$2</f>
        <v>2146033862979046.5</v>
      </c>
      <c r="AO538" s="5">
        <f>IF(AL538=AL539,1,LOOKUP(MOD(AL538,$AL$1),$AN$1:$AN$5,$AO$1:$AO$5))</f>
        <v>1</v>
      </c>
      <c r="AP538" s="5">
        <f t="shared" si="71"/>
        <v>775433569156430</v>
      </c>
      <c r="AQ538" s="5">
        <f>AM538*$AR$3</f>
        <v>286137848397206.69</v>
      </c>
      <c r="AR538" s="5">
        <f>AM538*AL538*$AR$4</f>
        <v>489295720759223.44</v>
      </c>
      <c r="AS538" s="5">
        <f>SUM($AP$9:AP537)</f>
        <v>1.954146057833636E+16</v>
      </c>
    </row>
    <row r="539" spans="1:45" x14ac:dyDescent="0.15">
      <c r="A539" s="5">
        <v>531</v>
      </c>
      <c r="J539" s="5">
        <f t="shared" si="64"/>
        <v>531</v>
      </c>
      <c r="K539" s="5">
        <f>SUM($AP$9:AP538)</f>
        <v>2.0316894147492792E+16</v>
      </c>
      <c r="L539" s="5">
        <f>LOOKUP(K539,AI:AI,AE:AE)</f>
        <v>578</v>
      </c>
      <c r="M539" s="5">
        <f>LOOKUP(L539,AE:AE,AG:AG)</f>
        <v>1021745422806430</v>
      </c>
      <c r="N539" s="5">
        <f>AM539/M539/$K$1</f>
        <v>1.4002404219794364</v>
      </c>
      <c r="O539" s="5">
        <f>SUM($N$9:N539)</f>
        <v>1759.2692440833846</v>
      </c>
      <c r="AE539" s="5">
        <f t="shared" si="65"/>
        <v>531</v>
      </c>
      <c r="AF539" s="5">
        <f t="shared" si="66"/>
        <v>95471025632647</v>
      </c>
      <c r="AG539" s="5">
        <f t="shared" si="67"/>
        <v>94757223571842</v>
      </c>
      <c r="AH539" s="5">
        <f>AG539*$AF$1</f>
        <v>947572235718420</v>
      </c>
      <c r="AI539" s="5">
        <f>SUM($AF$9:AF538)</f>
        <v>1834471296268752</v>
      </c>
      <c r="AK539" s="5">
        <f t="shared" si="68"/>
        <v>531</v>
      </c>
      <c r="AL539" s="5">
        <f t="shared" si="69"/>
        <v>76</v>
      </c>
      <c r="AM539" s="5">
        <f t="shared" si="70"/>
        <v>2146033862979050</v>
      </c>
      <c r="AN539" s="5">
        <f>$AL$4*$AL$3^AL539*$AL$2</f>
        <v>2146033862979046.5</v>
      </c>
      <c r="AO539" s="5">
        <f>IF(AL539=AL540,1,LOOKUP(MOD(AL539,$AL$1),$AN$1:$AN$5,$AO$1:$AO$5))</f>
        <v>1</v>
      </c>
      <c r="AP539" s="5">
        <f t="shared" si="71"/>
        <v>775433569156430</v>
      </c>
      <c r="AQ539" s="5">
        <f>AM539*$AR$3</f>
        <v>286137848397206.69</v>
      </c>
      <c r="AR539" s="5">
        <f>AM539*AL539*$AR$4</f>
        <v>489295720759223.44</v>
      </c>
      <c r="AS539" s="5">
        <f>SUM($AP$9:AP538)</f>
        <v>2.0316894147492792E+16</v>
      </c>
    </row>
    <row r="540" spans="1:45" x14ac:dyDescent="0.15">
      <c r="A540" s="5">
        <v>532</v>
      </c>
      <c r="J540" s="5">
        <f t="shared" si="64"/>
        <v>532</v>
      </c>
      <c r="K540" s="5">
        <f>SUM($AP$9:AP539)</f>
        <v>2.1092327716649224E+16</v>
      </c>
      <c r="L540" s="5">
        <f>LOOKUP(K540,AI:AI,AE:AE)</f>
        <v>579</v>
      </c>
      <c r="M540" s="5">
        <f>LOOKUP(L540,AE:AE,AG:AG)</f>
        <v>1074688805873990</v>
      </c>
      <c r="N540" s="5">
        <f>AM540/M540/$K$1</f>
        <v>9.318813631596031</v>
      </c>
      <c r="O540" s="5">
        <f>SUM($N$9:N540)</f>
        <v>1768.5880577149806</v>
      </c>
      <c r="AE540" s="5">
        <f t="shared" si="65"/>
        <v>532</v>
      </c>
      <c r="AF540" s="5">
        <f t="shared" si="66"/>
        <v>100431949955240</v>
      </c>
      <c r="AG540" s="5">
        <f t="shared" si="67"/>
        <v>99682457791395</v>
      </c>
      <c r="AH540" s="5">
        <f>AG540*$AF$1</f>
        <v>996824577913950</v>
      </c>
      <c r="AI540" s="5">
        <f>SUM($AF$9:AF539)</f>
        <v>1929942321901399</v>
      </c>
      <c r="AK540" s="5">
        <f t="shared" si="68"/>
        <v>532</v>
      </c>
      <c r="AL540" s="5">
        <f t="shared" si="69"/>
        <v>76</v>
      </c>
      <c r="AM540" s="5">
        <f t="shared" si="70"/>
        <v>1.50222370408533E+16</v>
      </c>
      <c r="AN540" s="5">
        <f>$AL$4*$AL$3^AL540*$AL$2</f>
        <v>2146033862979046.5</v>
      </c>
      <c r="AO540" s="5">
        <f>IF(AL540=AL541,1,LOOKUP(MOD(AL540,$AL$1),$AN$1:$AN$5,$AO$1:$AO$5))</f>
        <v>7</v>
      </c>
      <c r="AP540" s="5">
        <f t="shared" si="71"/>
        <v>5428034984094990</v>
      </c>
      <c r="AQ540" s="5">
        <f>AM540*$AR$3</f>
        <v>2002964938780440</v>
      </c>
      <c r="AR540" s="5">
        <f>AM540*AL540*$AR$4</f>
        <v>3425070045314552.5</v>
      </c>
      <c r="AS540" s="5">
        <f>SUM($AP$9:AP539)</f>
        <v>2.1092327716649224E+16</v>
      </c>
    </row>
    <row r="541" spans="1:45" x14ac:dyDescent="0.15">
      <c r="A541" s="5">
        <v>533</v>
      </c>
      <c r="J541" s="5">
        <f t="shared" si="64"/>
        <v>533</v>
      </c>
      <c r="K541" s="5">
        <f>SUM($AP$9:AP540)</f>
        <v>2.6520362700744216E+16</v>
      </c>
      <c r="L541" s="5">
        <f>LOOKUP(K541,AI:AI,AE:AE)</f>
        <v>583</v>
      </c>
      <c r="M541" s="5">
        <f>LOOKUP(L541,AE:AE,AG:AG)</f>
        <v>1315315422937930</v>
      </c>
      <c r="N541" s="5">
        <f>AM541/M541/$K$1</f>
        <v>1.7077136561669166</v>
      </c>
      <c r="O541" s="5">
        <f>SUM($N$9:N541)</f>
        <v>1770.2957713711476</v>
      </c>
      <c r="AE541" s="5">
        <f t="shared" si="65"/>
        <v>533</v>
      </c>
      <c r="AF541" s="5">
        <f t="shared" si="66"/>
        <v>105650289146011</v>
      </c>
      <c r="AG541" s="5">
        <f t="shared" si="67"/>
        <v>104863322373974</v>
      </c>
      <c r="AH541" s="5">
        <f>AG541*$AF$1</f>
        <v>1048633223739740</v>
      </c>
      <c r="AI541" s="5">
        <f>SUM($AF$9:AF540)</f>
        <v>2030374271856639</v>
      </c>
      <c r="AK541" s="5">
        <f t="shared" si="68"/>
        <v>533</v>
      </c>
      <c r="AL541" s="5">
        <f t="shared" si="69"/>
        <v>77</v>
      </c>
      <c r="AM541" s="5">
        <f t="shared" si="70"/>
        <v>3369273164877100</v>
      </c>
      <c r="AN541" s="5">
        <f>$AL$4*$AL$3^AL541*$AL$2</f>
        <v>3369273164877102.5</v>
      </c>
      <c r="AO541" s="5">
        <f>IF(AL541=AL542,1,LOOKUP(MOD(AL541,$AL$1),$AN$1:$AN$5,$AO$1:$AO$5))</f>
        <v>1</v>
      </c>
      <c r="AP541" s="5">
        <f t="shared" si="71"/>
        <v>1227538523070220</v>
      </c>
      <c r="AQ541" s="5">
        <f>AM541*$AR$3</f>
        <v>449236421983613.31</v>
      </c>
      <c r="AR541" s="5">
        <f>AM541*AL541*$AR$4</f>
        <v>778302101086610.12</v>
      </c>
      <c r="AS541" s="5">
        <f>SUM($AP$9:AP540)</f>
        <v>2.6520362700744216E+16</v>
      </c>
    </row>
    <row r="542" spans="1:45" x14ac:dyDescent="0.15">
      <c r="A542" s="5">
        <v>534</v>
      </c>
      <c r="J542" s="5">
        <f t="shared" si="64"/>
        <v>534</v>
      </c>
      <c r="K542" s="5">
        <f>SUM($AP$9:AP541)</f>
        <v>2.7747901223814436E+16</v>
      </c>
      <c r="L542" s="5">
        <f>LOOKUP(K542,AI:AI,AE:AE)</f>
        <v>584</v>
      </c>
      <c r="M542" s="5">
        <f>LOOKUP(L542,AE:AE,AG:AG)</f>
        <v>1383450115515510</v>
      </c>
      <c r="N542" s="5">
        <f>AM542/M542/$K$1</f>
        <v>1.6236090370928047</v>
      </c>
      <c r="O542" s="5">
        <f>SUM($N$9:N542)</f>
        <v>1771.9193804082404</v>
      </c>
      <c r="AE542" s="5">
        <f t="shared" si="65"/>
        <v>534</v>
      </c>
      <c r="AF542" s="5">
        <f t="shared" si="66"/>
        <v>111139382380972</v>
      </c>
      <c r="AG542" s="5">
        <f t="shared" si="67"/>
        <v>110313067270333</v>
      </c>
      <c r="AH542" s="5">
        <f>AG542*$AF$1</f>
        <v>1103130672703330</v>
      </c>
      <c r="AI542" s="5">
        <f>SUM($AF$9:AF541)</f>
        <v>2136024561002650</v>
      </c>
      <c r="AK542" s="5">
        <f t="shared" si="68"/>
        <v>534</v>
      </c>
      <c r="AL542" s="5">
        <f t="shared" si="69"/>
        <v>77</v>
      </c>
      <c r="AM542" s="5">
        <f t="shared" si="70"/>
        <v>3369273164877100</v>
      </c>
      <c r="AN542" s="5">
        <f>$AL$4*$AL$3^AL542*$AL$2</f>
        <v>3369273164877102.5</v>
      </c>
      <c r="AO542" s="5">
        <f>IF(AL542=AL543,1,LOOKUP(MOD(AL542,$AL$1),$AN$1:$AN$5,$AO$1:$AO$5))</f>
        <v>1</v>
      </c>
      <c r="AP542" s="5">
        <f t="shared" si="71"/>
        <v>1227538523070220</v>
      </c>
      <c r="AQ542" s="5">
        <f>AM542*$AR$3</f>
        <v>449236421983613.31</v>
      </c>
      <c r="AR542" s="5">
        <f>AM542*AL542*$AR$4</f>
        <v>778302101086610.12</v>
      </c>
      <c r="AS542" s="5">
        <f>SUM($AP$9:AP541)</f>
        <v>2.7747901223814436E+16</v>
      </c>
    </row>
    <row r="543" spans="1:45" x14ac:dyDescent="0.15">
      <c r="A543" s="5">
        <v>535</v>
      </c>
      <c r="J543" s="5">
        <f t="shared" si="64"/>
        <v>535</v>
      </c>
      <c r="K543" s="5">
        <f>SUM($AP$9:AP542)</f>
        <v>2.8975439746884656E+16</v>
      </c>
      <c r="L543" s="5">
        <f>LOOKUP(K543,AI:AI,AE:AE)</f>
        <v>585</v>
      </c>
      <c r="M543" s="5">
        <f>LOOKUP(L543,AE:AE,AG:AG)</f>
        <v>1455109988793490</v>
      </c>
      <c r="N543" s="5">
        <f>AM543/M543/$K$1</f>
        <v>1.5436510828851482</v>
      </c>
      <c r="O543" s="5">
        <f>SUM($N$9:N543)</f>
        <v>1773.4630314911255</v>
      </c>
      <c r="AE543" s="5">
        <f t="shared" si="65"/>
        <v>535</v>
      </c>
      <c r="AF543" s="5">
        <f t="shared" si="66"/>
        <v>116913259216563</v>
      </c>
      <c r="AG543" s="5">
        <f t="shared" si="67"/>
        <v>116045628350392</v>
      </c>
      <c r="AH543" s="5">
        <f>AG543*$AF$1</f>
        <v>1160456283503920</v>
      </c>
      <c r="AI543" s="5">
        <f>SUM($AF$9:AF542)</f>
        <v>2247163943383622</v>
      </c>
      <c r="AK543" s="5">
        <f t="shared" si="68"/>
        <v>535</v>
      </c>
      <c r="AL543" s="5">
        <f t="shared" si="69"/>
        <v>77</v>
      </c>
      <c r="AM543" s="5">
        <f t="shared" si="70"/>
        <v>3369273164877100</v>
      </c>
      <c r="AN543" s="5">
        <f>$AL$4*$AL$3^AL543*$AL$2</f>
        <v>3369273164877102.5</v>
      </c>
      <c r="AO543" s="5">
        <f>IF(AL543=AL544,1,LOOKUP(MOD(AL543,$AL$1),$AN$1:$AN$5,$AO$1:$AO$5))</f>
        <v>1</v>
      </c>
      <c r="AP543" s="5">
        <f t="shared" si="71"/>
        <v>1227538523070220</v>
      </c>
      <c r="AQ543" s="5">
        <f>AM543*$AR$3</f>
        <v>449236421983613.31</v>
      </c>
      <c r="AR543" s="5">
        <f>AM543*AL543*$AR$4</f>
        <v>778302101086610.12</v>
      </c>
      <c r="AS543" s="5">
        <f>SUM($AP$9:AP542)</f>
        <v>2.8975439746884656E+16</v>
      </c>
    </row>
    <row r="544" spans="1:45" x14ac:dyDescent="0.15">
      <c r="A544" s="5">
        <v>536</v>
      </c>
      <c r="J544" s="5">
        <f t="shared" si="64"/>
        <v>536</v>
      </c>
      <c r="K544" s="5">
        <f>SUM($AP$9:AP543)</f>
        <v>3.0202978269954876E+16</v>
      </c>
      <c r="L544" s="5">
        <f>LOOKUP(K544,AI:AI,AE:AE)</f>
        <v>586</v>
      </c>
      <c r="M544" s="5">
        <f>LOOKUP(L544,AE:AE,AG:AG)</f>
        <v>1530477224110490</v>
      </c>
      <c r="N544" s="5">
        <f>AM544/M544/$K$1</f>
        <v>1.4676351104953833</v>
      </c>
      <c r="O544" s="5">
        <f>SUM($N$9:N544)</f>
        <v>1774.9306666016209</v>
      </c>
      <c r="AE544" s="5">
        <f t="shared" si="65"/>
        <v>536</v>
      </c>
      <c r="AF544" s="5">
        <f t="shared" si="66"/>
        <v>122986675279761</v>
      </c>
      <c r="AG544" s="5">
        <f t="shared" si="67"/>
        <v>122075662870282</v>
      </c>
      <c r="AH544" s="5">
        <f>AG544*$AF$1</f>
        <v>1220756628702820</v>
      </c>
      <c r="AI544" s="5">
        <f>SUM($AF$9:AF543)</f>
        <v>2364077202600185</v>
      </c>
      <c r="AK544" s="5">
        <f t="shared" si="68"/>
        <v>536</v>
      </c>
      <c r="AL544" s="5">
        <f t="shared" si="69"/>
        <v>77</v>
      </c>
      <c r="AM544" s="5">
        <f t="shared" si="70"/>
        <v>3369273164877100</v>
      </c>
      <c r="AN544" s="5">
        <f>$AL$4*$AL$3^AL544*$AL$2</f>
        <v>3369273164877102.5</v>
      </c>
      <c r="AO544" s="5">
        <f>IF(AL544=AL545,1,LOOKUP(MOD(AL544,$AL$1),$AN$1:$AN$5,$AO$1:$AO$5))</f>
        <v>1</v>
      </c>
      <c r="AP544" s="5">
        <f t="shared" si="71"/>
        <v>1227538523070220</v>
      </c>
      <c r="AQ544" s="5">
        <f>AM544*$AR$3</f>
        <v>449236421983613.31</v>
      </c>
      <c r="AR544" s="5">
        <f>AM544*AL544*$AR$4</f>
        <v>778302101086610.12</v>
      </c>
      <c r="AS544" s="5">
        <f>SUM($AP$9:AP543)</f>
        <v>3.0202978269954876E+16</v>
      </c>
    </row>
    <row r="545" spans="1:45" x14ac:dyDescent="0.15">
      <c r="A545" s="5">
        <v>537</v>
      </c>
      <c r="J545" s="5">
        <f t="shared" si="64"/>
        <v>537</v>
      </c>
      <c r="K545" s="5">
        <f>SUM($AP$9:AP544)</f>
        <v>3.1430516793025096E+16</v>
      </c>
      <c r="L545" s="5">
        <f>LOOKUP(K545,AI:AI,AE:AE)</f>
        <v>587</v>
      </c>
      <c r="M545" s="5">
        <f>LOOKUP(L545,AE:AE,AG:AG)</f>
        <v>1609743407987200</v>
      </c>
      <c r="N545" s="5">
        <f>AM545/M545/$K$1</f>
        <v>1.3953665526896988</v>
      </c>
      <c r="O545" s="5">
        <f>SUM($N$9:N545)</f>
        <v>1776.3260331543106</v>
      </c>
      <c r="AE545" s="5">
        <f t="shared" si="65"/>
        <v>537</v>
      </c>
      <c r="AF545" s="5">
        <f t="shared" si="66"/>
        <v>129375149801238</v>
      </c>
      <c r="AG545" s="5">
        <f t="shared" si="67"/>
        <v>128418586771284</v>
      </c>
      <c r="AH545" s="5">
        <f>AG545*$AF$1</f>
        <v>1284185867712840</v>
      </c>
      <c r="AI545" s="5">
        <f>SUM($AF$9:AF544)</f>
        <v>2487063877879946</v>
      </c>
      <c r="AK545" s="5">
        <f t="shared" si="68"/>
        <v>537</v>
      </c>
      <c r="AL545" s="5">
        <f t="shared" si="69"/>
        <v>77</v>
      </c>
      <c r="AM545" s="5">
        <f t="shared" si="70"/>
        <v>3369273164877100</v>
      </c>
      <c r="AN545" s="5">
        <f>$AL$4*$AL$3^AL545*$AL$2</f>
        <v>3369273164877102.5</v>
      </c>
      <c r="AO545" s="5">
        <f>IF(AL545=AL546,1,LOOKUP(MOD(AL545,$AL$1),$AN$1:$AN$5,$AO$1:$AO$5))</f>
        <v>1</v>
      </c>
      <c r="AP545" s="5">
        <f t="shared" si="71"/>
        <v>1227538523070220</v>
      </c>
      <c r="AQ545" s="5">
        <f>AM545*$AR$3</f>
        <v>449236421983613.31</v>
      </c>
      <c r="AR545" s="5">
        <f>AM545*AL545*$AR$4</f>
        <v>778302101086610.12</v>
      </c>
      <c r="AS545" s="5">
        <f>SUM($AP$9:AP544)</f>
        <v>3.1430516793025096E+16</v>
      </c>
    </row>
    <row r="546" spans="1:45" x14ac:dyDescent="0.15">
      <c r="A546" s="5">
        <v>538</v>
      </c>
      <c r="J546" s="5">
        <f t="shared" si="64"/>
        <v>538</v>
      </c>
      <c r="K546" s="5">
        <f>SUM($AP$9:AP545)</f>
        <v>3.2658055316095316E+16</v>
      </c>
      <c r="L546" s="5">
        <f>LOOKUP(K546,AI:AI,AE:AE)</f>
        <v>587</v>
      </c>
      <c r="M546" s="5">
        <f>LOOKUP(L546,AE:AE,AG:AG)</f>
        <v>1609743407987200</v>
      </c>
      <c r="N546" s="5">
        <f>AM546/M546/$K$1</f>
        <v>1.3953665526896988</v>
      </c>
      <c r="O546" s="5">
        <f>SUM($N$9:N546)</f>
        <v>1777.7213997070003</v>
      </c>
      <c r="AE546" s="5">
        <f t="shared" si="65"/>
        <v>538</v>
      </c>
      <c r="AF546" s="5">
        <f t="shared" si="66"/>
        <v>136095005086662</v>
      </c>
      <c r="AG546" s="5">
        <f t="shared" si="67"/>
        <v>135090613905211</v>
      </c>
      <c r="AH546" s="5">
        <f>AG546*$AF$1</f>
        <v>1350906139052110</v>
      </c>
      <c r="AI546" s="5">
        <f>SUM($AF$9:AF545)</f>
        <v>2616439027681184</v>
      </c>
      <c r="AK546" s="5">
        <f t="shared" si="68"/>
        <v>538</v>
      </c>
      <c r="AL546" s="5">
        <f t="shared" si="69"/>
        <v>77</v>
      </c>
      <c r="AM546" s="5">
        <f t="shared" si="70"/>
        <v>3369273164877100</v>
      </c>
      <c r="AN546" s="5">
        <f>$AL$4*$AL$3^AL546*$AL$2</f>
        <v>3369273164877102.5</v>
      </c>
      <c r="AO546" s="5">
        <f>IF(AL546=AL547,1,LOOKUP(MOD(AL546,$AL$1),$AN$1:$AN$5,$AO$1:$AO$5))</f>
        <v>1</v>
      </c>
      <c r="AP546" s="5">
        <f t="shared" si="71"/>
        <v>1227538523070220</v>
      </c>
      <c r="AQ546" s="5">
        <f>AM546*$AR$3</f>
        <v>449236421983613.31</v>
      </c>
      <c r="AR546" s="5">
        <f>AM546*AL546*$AR$4</f>
        <v>778302101086610.12</v>
      </c>
      <c r="AS546" s="5">
        <f>SUM($AP$9:AP545)</f>
        <v>3.2658055316095316E+16</v>
      </c>
    </row>
    <row r="547" spans="1:45" x14ac:dyDescent="0.15">
      <c r="A547" s="5">
        <v>539</v>
      </c>
      <c r="J547" s="5">
        <f t="shared" si="64"/>
        <v>539</v>
      </c>
      <c r="K547" s="5">
        <f>SUM($AP$9:AP546)</f>
        <v>3.3885593839165536E+16</v>
      </c>
      <c r="L547" s="5">
        <f>LOOKUP(K547,AI:AI,AE:AE)</f>
        <v>588</v>
      </c>
      <c r="M547" s="5">
        <f>LOOKUP(L547,AE:AE,AG:AG)</f>
        <v>1693110017191310</v>
      </c>
      <c r="N547" s="5">
        <f>AM547/M547/$K$1</f>
        <v>13.266604574487395</v>
      </c>
      <c r="O547" s="5">
        <f>SUM($N$9:N547)</f>
        <v>1790.9880042814877</v>
      </c>
      <c r="AE547" s="5">
        <f t="shared" si="65"/>
        <v>539</v>
      </c>
      <c r="AF547" s="5">
        <f t="shared" si="66"/>
        <v>143163408026127</v>
      </c>
      <c r="AG547" s="5">
        <f t="shared" si="67"/>
        <v>142108797285603</v>
      </c>
      <c r="AH547" s="5">
        <f>AG547*$AF$1</f>
        <v>1421087972856030</v>
      </c>
      <c r="AI547" s="5">
        <f>SUM($AF$9:AF546)</f>
        <v>2752534032767846</v>
      </c>
      <c r="AK547" s="5">
        <f t="shared" si="68"/>
        <v>539</v>
      </c>
      <c r="AL547" s="5">
        <f t="shared" si="69"/>
        <v>77</v>
      </c>
      <c r="AM547" s="5">
        <f t="shared" si="70"/>
        <v>3.3692731648771E+16</v>
      </c>
      <c r="AN547" s="5">
        <f>$AL$4*$AL$3^AL547*$AL$2</f>
        <v>3369273164877102.5</v>
      </c>
      <c r="AO547" s="5">
        <f>IF(AL547=AL548,1,LOOKUP(MOD(AL547,$AL$1),$AN$1:$AN$5,$AO$1:$AO$5))</f>
        <v>10</v>
      </c>
      <c r="AP547" s="5">
        <f t="shared" si="71"/>
        <v>1.22753852307022E+16</v>
      </c>
      <c r="AQ547" s="5">
        <f>AM547*$AR$3</f>
        <v>4492364219836133.5</v>
      </c>
      <c r="AR547" s="5">
        <f>AM547*AL547*$AR$4</f>
        <v>7783021010866101</v>
      </c>
      <c r="AS547" s="5">
        <f>SUM($AP$9:AP546)</f>
        <v>3.3885593839165536E+16</v>
      </c>
    </row>
    <row r="548" spans="1:45" x14ac:dyDescent="0.15">
      <c r="A548" s="5">
        <v>540</v>
      </c>
      <c r="J548" s="5">
        <f t="shared" si="64"/>
        <v>540</v>
      </c>
      <c r="K548" s="5">
        <f>SUM($AP$9:AP547)</f>
        <v>4.6160979069867736E+16</v>
      </c>
      <c r="L548" s="5">
        <f>LOOKUP(K548,AI:AI,AE:AE)</f>
        <v>594</v>
      </c>
      <c r="M548" s="5">
        <f>LOOKUP(L548,AE:AE,AG:AG)</f>
        <v>2292081693474720</v>
      </c>
      <c r="N548" s="5">
        <f>AM548/M548/$K$1</f>
        <v>1.5385603063847608</v>
      </c>
      <c r="O548" s="5">
        <f>SUM($N$9:N548)</f>
        <v>1792.5265645878726</v>
      </c>
      <c r="AE548" s="5">
        <f t="shared" si="65"/>
        <v>540</v>
      </c>
      <c r="AF548" s="5">
        <f t="shared" si="66"/>
        <v>150598413746820</v>
      </c>
      <c r="AG548" s="5">
        <f t="shared" si="67"/>
        <v>149491072469270</v>
      </c>
      <c r="AH548" s="5">
        <f>AG548*$AF$1</f>
        <v>1494910724692700</v>
      </c>
      <c r="AI548" s="5">
        <f>SUM($AF$9:AF547)</f>
        <v>2895697440793973</v>
      </c>
      <c r="AK548" s="5">
        <f t="shared" si="68"/>
        <v>540</v>
      </c>
      <c r="AL548" s="5">
        <f t="shared" si="69"/>
        <v>78</v>
      </c>
      <c r="AM548" s="5">
        <f t="shared" si="70"/>
        <v>5289758868857050</v>
      </c>
      <c r="AN548" s="5">
        <f>$AL$4*$AL$3^AL548*$AL$2</f>
        <v>5289758868857052</v>
      </c>
      <c r="AO548" s="5">
        <f>IF(AL548=AL549,1,LOOKUP(MOD(AL548,$AL$1),$AN$1:$AN$5,$AO$1:$AO$5))</f>
        <v>1</v>
      </c>
      <c r="AP548" s="5">
        <f t="shared" si="71"/>
        <v>1943104757826820</v>
      </c>
      <c r="AQ548" s="5">
        <f>AM548*$AR$3</f>
        <v>705301182514273.37</v>
      </c>
      <c r="AR548" s="5">
        <f>AM548*AL548*$AR$4</f>
        <v>1237803575312549.7</v>
      </c>
      <c r="AS548" s="5">
        <f>SUM($AP$9:AP547)</f>
        <v>4.6160979069867736E+16</v>
      </c>
    </row>
    <row r="549" spans="1:45" x14ac:dyDescent="0.15">
      <c r="A549" s="5">
        <v>541</v>
      </c>
      <c r="J549" s="5">
        <f t="shared" si="64"/>
        <v>541</v>
      </c>
      <c r="K549" s="5">
        <f>SUM($AP$9:AP548)</f>
        <v>4.810408382769456E+16</v>
      </c>
      <c r="L549" s="5">
        <f>LOOKUP(K549,AI:AI,AE:AE)</f>
        <v>595</v>
      </c>
      <c r="M549" s="5">
        <f>LOOKUP(L549,AE:AE,AG:AG)</f>
        <v>2410737437707630</v>
      </c>
      <c r="N549" s="5">
        <f>AM549/M549/$K$1</f>
        <v>1.4628328483274069</v>
      </c>
      <c r="O549" s="5">
        <f>SUM($N$9:N549)</f>
        <v>1793.9893974362001</v>
      </c>
      <c r="AE549" s="5">
        <f t="shared" si="65"/>
        <v>541</v>
      </c>
      <c r="AF549" s="5">
        <f t="shared" si="66"/>
        <v>158419011519518</v>
      </c>
      <c r="AG549" s="5">
        <f t="shared" si="67"/>
        <v>157256303178091</v>
      </c>
      <c r="AH549" s="5">
        <f>AG549*$AF$1</f>
        <v>1572563031780910</v>
      </c>
      <c r="AI549" s="5">
        <f>SUM($AF$9:AF548)</f>
        <v>3046295854540793</v>
      </c>
      <c r="AK549" s="5">
        <f t="shared" si="68"/>
        <v>541</v>
      </c>
      <c r="AL549" s="5">
        <f t="shared" si="69"/>
        <v>78</v>
      </c>
      <c r="AM549" s="5">
        <f t="shared" si="70"/>
        <v>5289758868857050</v>
      </c>
      <c r="AN549" s="5">
        <f>$AL$4*$AL$3^AL549*$AL$2</f>
        <v>5289758868857052</v>
      </c>
      <c r="AO549" s="5">
        <f>IF(AL549=AL550,1,LOOKUP(MOD(AL549,$AL$1),$AN$1:$AN$5,$AO$1:$AO$5))</f>
        <v>1</v>
      </c>
      <c r="AP549" s="5">
        <f t="shared" si="71"/>
        <v>1943104757826820</v>
      </c>
      <c r="AQ549" s="5">
        <f>AM549*$AR$3</f>
        <v>705301182514273.37</v>
      </c>
      <c r="AR549" s="5">
        <f>AM549*AL549*$AR$4</f>
        <v>1237803575312549.7</v>
      </c>
      <c r="AS549" s="5">
        <f>SUM($AP$9:AP548)</f>
        <v>4.810408382769456E+16</v>
      </c>
    </row>
    <row r="550" spans="1:45" x14ac:dyDescent="0.15">
      <c r="A550" s="5">
        <v>542</v>
      </c>
      <c r="J550" s="5">
        <f t="shared" si="64"/>
        <v>542</v>
      </c>
      <c r="K550" s="5">
        <f>SUM($AP$9:AP549)</f>
        <v>5.0047188585521376E+16</v>
      </c>
      <c r="L550" s="5">
        <f>LOOKUP(K550,AI:AI,AE:AE)</f>
        <v>596</v>
      </c>
      <c r="M550" s="5">
        <f>LOOKUP(L550,AE:AE,AG:AG)</f>
        <v>2535528552130140</v>
      </c>
      <c r="N550" s="5">
        <f>AM550/M550/$K$1</f>
        <v>1.3908366007587214</v>
      </c>
      <c r="O550" s="5">
        <f>SUM($N$9:N550)</f>
        <v>1795.3802340369589</v>
      </c>
      <c r="AE550" s="5">
        <f t="shared" si="65"/>
        <v>542</v>
      </c>
      <c r="AF550" s="5">
        <f t="shared" si="66"/>
        <v>166645173035119</v>
      </c>
      <c r="AG550" s="5">
        <f t="shared" si="67"/>
        <v>165424329276620</v>
      </c>
      <c r="AH550" s="5">
        <f>AG550*$AF$1</f>
        <v>1654243292766200</v>
      </c>
      <c r="AI550" s="5">
        <f>SUM($AF$9:AF549)</f>
        <v>3204714866060311</v>
      </c>
      <c r="AK550" s="5">
        <f t="shared" si="68"/>
        <v>542</v>
      </c>
      <c r="AL550" s="5">
        <f t="shared" si="69"/>
        <v>78</v>
      </c>
      <c r="AM550" s="5">
        <f t="shared" si="70"/>
        <v>5289758868857050</v>
      </c>
      <c r="AN550" s="5">
        <f>$AL$4*$AL$3^AL550*$AL$2</f>
        <v>5289758868857052</v>
      </c>
      <c r="AO550" s="5">
        <f>IF(AL550=AL551,1,LOOKUP(MOD(AL550,$AL$1),$AN$1:$AN$5,$AO$1:$AO$5))</f>
        <v>1</v>
      </c>
      <c r="AP550" s="5">
        <f t="shared" si="71"/>
        <v>1943104757826820</v>
      </c>
      <c r="AQ550" s="5">
        <f>AM550*$AR$3</f>
        <v>705301182514273.37</v>
      </c>
      <c r="AR550" s="5">
        <f>AM550*AL550*$AR$4</f>
        <v>1237803575312549.7</v>
      </c>
      <c r="AS550" s="5">
        <f>SUM($AP$9:AP549)</f>
        <v>5.0047188585521376E+16</v>
      </c>
    </row>
    <row r="551" spans="1:45" x14ac:dyDescent="0.15">
      <c r="A551" s="5">
        <v>543</v>
      </c>
      <c r="J551" s="5">
        <f t="shared" si="64"/>
        <v>543</v>
      </c>
      <c r="K551" s="5">
        <f>SUM($AP$9:AP550)</f>
        <v>5.1990293343348192E+16</v>
      </c>
      <c r="L551" s="5">
        <f>LOOKUP(K551,AI:AI,AE:AE)</f>
        <v>597</v>
      </c>
      <c r="M551" s="5">
        <f>LOOKUP(L551,AE:AE,AG:AG)</f>
        <v>2666771934400630</v>
      </c>
      <c r="N551" s="5">
        <f>AM551/M551/$K$1</f>
        <v>1.3223875154378233</v>
      </c>
      <c r="O551" s="5">
        <f>SUM($N$9:N551)</f>
        <v>1796.7026215523967</v>
      </c>
      <c r="AE551" s="5">
        <f t="shared" si="65"/>
        <v>543</v>
      </c>
      <c r="AF551" s="5">
        <f t="shared" si="66"/>
        <v>175297903173481</v>
      </c>
      <c r="AG551" s="5">
        <f t="shared" si="67"/>
        <v>174016017227057</v>
      </c>
      <c r="AH551" s="5">
        <f>AG551*$AF$1</f>
        <v>1740160172270570</v>
      </c>
      <c r="AI551" s="5">
        <f>SUM($AF$9:AF550)</f>
        <v>3371360039095430</v>
      </c>
      <c r="AK551" s="5">
        <f t="shared" si="68"/>
        <v>543</v>
      </c>
      <c r="AL551" s="5">
        <f t="shared" si="69"/>
        <v>78</v>
      </c>
      <c r="AM551" s="5">
        <f t="shared" si="70"/>
        <v>5289758868857050</v>
      </c>
      <c r="AN551" s="5">
        <f>$AL$4*$AL$3^AL551*$AL$2</f>
        <v>5289758868857052</v>
      </c>
      <c r="AO551" s="5">
        <f>IF(AL551=AL552,1,LOOKUP(MOD(AL551,$AL$1),$AN$1:$AN$5,$AO$1:$AO$5))</f>
        <v>1</v>
      </c>
      <c r="AP551" s="5">
        <f t="shared" si="71"/>
        <v>1943104757826820</v>
      </c>
      <c r="AQ551" s="5">
        <f>AM551*$AR$3</f>
        <v>705301182514273.37</v>
      </c>
      <c r="AR551" s="5">
        <f>AM551*AL551*$AR$4</f>
        <v>1237803575312549.7</v>
      </c>
      <c r="AS551" s="5">
        <f>SUM($AP$9:AP550)</f>
        <v>5.1990293343348192E+16</v>
      </c>
    </row>
    <row r="552" spans="1:45" x14ac:dyDescent="0.15">
      <c r="A552" s="5">
        <v>544</v>
      </c>
      <c r="J552" s="5">
        <f t="shared" si="64"/>
        <v>544</v>
      </c>
      <c r="K552" s="5">
        <f>SUM($AP$9:AP551)</f>
        <v>5.3933398101175008E+16</v>
      </c>
      <c r="L552" s="5">
        <f>LOOKUP(K552,AI:AI,AE:AE)</f>
        <v>597</v>
      </c>
      <c r="M552" s="5">
        <f>LOOKUP(L552,AE:AE,AG:AG)</f>
        <v>2666771934400630</v>
      </c>
      <c r="N552" s="5">
        <f>AM552/M552/$K$1</f>
        <v>1.3223875154378233</v>
      </c>
      <c r="O552" s="5">
        <f>SUM($N$9:N552)</f>
        <v>1798.0250090678346</v>
      </c>
      <c r="AE552" s="5">
        <f t="shared" si="65"/>
        <v>544</v>
      </c>
      <c r="AF552" s="5">
        <f t="shared" si="66"/>
        <v>184399293393091</v>
      </c>
      <c r="AG552" s="5">
        <f t="shared" si="67"/>
        <v>183053313149346</v>
      </c>
      <c r="AH552" s="5">
        <f>AG552*$AF$1</f>
        <v>1830533131493460</v>
      </c>
      <c r="AI552" s="5">
        <f>SUM($AF$9:AF551)</f>
        <v>3546657942268911</v>
      </c>
      <c r="AK552" s="5">
        <f t="shared" si="68"/>
        <v>544</v>
      </c>
      <c r="AL552" s="5">
        <f t="shared" si="69"/>
        <v>78</v>
      </c>
      <c r="AM552" s="5">
        <f t="shared" si="70"/>
        <v>5289758868857050</v>
      </c>
      <c r="AN552" s="5">
        <f>$AL$4*$AL$3^AL552*$AL$2</f>
        <v>5289758868857052</v>
      </c>
      <c r="AO552" s="5">
        <f>IF(AL552=AL553,1,LOOKUP(MOD(AL552,$AL$1),$AN$1:$AN$5,$AO$1:$AO$5))</f>
        <v>1</v>
      </c>
      <c r="AP552" s="5">
        <f t="shared" si="71"/>
        <v>1943104757826820</v>
      </c>
      <c r="AQ552" s="5">
        <f>AM552*$AR$3</f>
        <v>705301182514273.37</v>
      </c>
      <c r="AR552" s="5">
        <f>AM552*AL552*$AR$4</f>
        <v>1237803575312549.7</v>
      </c>
      <c r="AS552" s="5">
        <f>SUM($AP$9:AP551)</f>
        <v>5.3933398101175008E+16</v>
      </c>
    </row>
    <row r="553" spans="1:45" x14ac:dyDescent="0.15">
      <c r="A553" s="5">
        <v>545</v>
      </c>
      <c r="J553" s="5">
        <f t="shared" si="64"/>
        <v>545</v>
      </c>
      <c r="K553" s="5">
        <f>SUM($AP$9:AP552)</f>
        <v>5.5876502859001824E+16</v>
      </c>
      <c r="L553" s="5">
        <f>LOOKUP(K553,AI:AI,AE:AE)</f>
        <v>598</v>
      </c>
      <c r="M553" s="5">
        <f>LOOKUP(L553,AE:AE,AG:AG)</f>
        <v>2804800833517850</v>
      </c>
      <c r="N553" s="5">
        <f>AM553/M553/$K$1</f>
        <v>1.2573106334071986</v>
      </c>
      <c r="O553" s="5">
        <f>SUM($N$9:N553)</f>
        <v>1799.2823197012417</v>
      </c>
      <c r="AE553" s="5">
        <f t="shared" si="65"/>
        <v>545</v>
      </c>
      <c r="AF553" s="5">
        <f t="shared" si="66"/>
        <v>193972577876729</v>
      </c>
      <c r="AG553" s="5">
        <f t="shared" si="67"/>
        <v>192559298620797</v>
      </c>
      <c r="AH553" s="5">
        <f>AG553*$AF$1</f>
        <v>1925592986207970</v>
      </c>
      <c r="AI553" s="5">
        <f>SUM($AF$9:AF552)</f>
        <v>3731057235662002</v>
      </c>
      <c r="AK553" s="5">
        <f t="shared" si="68"/>
        <v>545</v>
      </c>
      <c r="AL553" s="5">
        <f t="shared" si="69"/>
        <v>78</v>
      </c>
      <c r="AM553" s="5">
        <f t="shared" si="70"/>
        <v>5289758868857050</v>
      </c>
      <c r="AN553" s="5">
        <f>$AL$4*$AL$3^AL553*$AL$2</f>
        <v>5289758868857052</v>
      </c>
      <c r="AO553" s="5">
        <f>IF(AL553=AL554,1,LOOKUP(MOD(AL553,$AL$1),$AN$1:$AN$5,$AO$1:$AO$5))</f>
        <v>1</v>
      </c>
      <c r="AP553" s="5">
        <f t="shared" si="71"/>
        <v>1943104757826820</v>
      </c>
      <c r="AQ553" s="5">
        <f>AM553*$AR$3</f>
        <v>705301182514273.37</v>
      </c>
      <c r="AR553" s="5">
        <f>AM553*AL553*$AR$4</f>
        <v>1237803575312549.7</v>
      </c>
      <c r="AS553" s="5">
        <f>SUM($AP$9:AP552)</f>
        <v>5.5876502859001824E+16</v>
      </c>
    </row>
    <row r="554" spans="1:45" x14ac:dyDescent="0.15">
      <c r="A554" s="5">
        <v>546</v>
      </c>
      <c r="J554" s="5">
        <f t="shared" si="64"/>
        <v>546</v>
      </c>
      <c r="K554" s="5">
        <f>SUM($AP$9:AP553)</f>
        <v>5.781960761682864E+16</v>
      </c>
      <c r="L554" s="5">
        <f>LOOKUP(K554,AI:AI,AE:AE)</f>
        <v>599</v>
      </c>
      <c r="M554" s="5">
        <f>LOOKUP(L554,AE:AE,AG:AG)</f>
        <v>2949965692710790</v>
      </c>
      <c r="N554" s="5">
        <f>AM554/M554/$K$1</f>
        <v>2.390879271094696</v>
      </c>
      <c r="O554" s="5">
        <f>SUM($N$9:N554)</f>
        <v>1801.6731989723364</v>
      </c>
      <c r="AE554" s="5">
        <f t="shared" si="65"/>
        <v>546</v>
      </c>
      <c r="AF554" s="5">
        <f t="shared" si="66"/>
        <v>204042192575248</v>
      </c>
      <c r="AG554" s="5">
        <f t="shared" si="67"/>
        <v>202558249356519</v>
      </c>
      <c r="AH554" s="5">
        <f>AG554*$AF$1</f>
        <v>2025582493565190</v>
      </c>
      <c r="AI554" s="5">
        <f>SUM($AF$9:AF553)</f>
        <v>3925029813538731</v>
      </c>
      <c r="AK554" s="5">
        <f t="shared" si="68"/>
        <v>546</v>
      </c>
      <c r="AL554" s="5">
        <f t="shared" si="69"/>
        <v>78</v>
      </c>
      <c r="AM554" s="5">
        <f t="shared" si="70"/>
        <v>1.05795177377141E+16</v>
      </c>
      <c r="AN554" s="5">
        <f>$AL$4*$AL$3^AL554*$AL$2</f>
        <v>5289758868857052</v>
      </c>
      <c r="AO554" s="5">
        <f>IF(AL554=AL555,1,LOOKUP(MOD(AL554,$AL$1),$AN$1:$AN$5,$AO$1:$AO$5))</f>
        <v>2</v>
      </c>
      <c r="AP554" s="5">
        <f t="shared" si="71"/>
        <v>3886209515653650</v>
      </c>
      <c r="AQ554" s="5">
        <f>AM554*$AR$3</f>
        <v>1410602365028546.7</v>
      </c>
      <c r="AR554" s="5">
        <f>AM554*AL554*$AR$4</f>
        <v>2475607150625099.5</v>
      </c>
      <c r="AS554" s="5">
        <f>SUM($AP$9:AP553)</f>
        <v>5.781960761682864E+16</v>
      </c>
    </row>
    <row r="555" spans="1:45" x14ac:dyDescent="0.15">
      <c r="A555" s="5">
        <v>547</v>
      </c>
      <c r="J555" s="5">
        <f t="shared" si="64"/>
        <v>547</v>
      </c>
      <c r="K555" s="5">
        <f>SUM($AP$9:AP554)</f>
        <v>6.1705817132482288E+16</v>
      </c>
      <c r="L555" s="5">
        <f>LOOKUP(K555,AI:AI,AE:AE)</f>
        <v>600</v>
      </c>
      <c r="M555" s="5">
        <f>LOOKUP(L555,AE:AE,AG:AG)</f>
        <v>3102635035739230</v>
      </c>
      <c r="N555" s="5">
        <f>AM555/M555/$K$1</f>
        <v>1.7844877721552255</v>
      </c>
      <c r="O555" s="5">
        <f>SUM($N$9:N555)</f>
        <v>1803.4576867444916</v>
      </c>
      <c r="AE555" s="5">
        <f t="shared" si="65"/>
        <v>547</v>
      </c>
      <c r="AF555" s="5">
        <f t="shared" si="66"/>
        <v>214633837298927</v>
      </c>
      <c r="AG555" s="5">
        <f t="shared" si="67"/>
        <v>213075696919261</v>
      </c>
      <c r="AH555" s="5">
        <f>AG555*$AF$1</f>
        <v>2130756969192610</v>
      </c>
      <c r="AI555" s="5">
        <f>SUM($AF$9:AF554)</f>
        <v>4129072006113979</v>
      </c>
      <c r="AK555" s="5">
        <f t="shared" si="68"/>
        <v>547</v>
      </c>
      <c r="AL555" s="5">
        <f t="shared" si="69"/>
        <v>79</v>
      </c>
      <c r="AM555" s="5">
        <f t="shared" si="70"/>
        <v>8304921424105570</v>
      </c>
      <c r="AN555" s="5">
        <f>$AL$4*$AL$3^AL555*$AL$2</f>
        <v>8304921424105572</v>
      </c>
      <c r="AO555" s="5">
        <f>IF(AL555=AL556,1,LOOKUP(MOD(AL555,$AL$1),$AN$1:$AN$5,$AO$1:$AO$5))</f>
        <v>1</v>
      </c>
      <c r="AP555" s="5">
        <f t="shared" si="71"/>
        <v>3075589234060430</v>
      </c>
      <c r="AQ555" s="5">
        <f>AM555*$AR$3</f>
        <v>1107322856547409.4</v>
      </c>
      <c r="AR555" s="5">
        <f>AM555*AL555*$AR$4</f>
        <v>1968266377513020</v>
      </c>
      <c r="AS555" s="5">
        <f>SUM($AP$9:AP554)</f>
        <v>6.1705817132482288E+16</v>
      </c>
    </row>
    <row r="556" spans="1:45" x14ac:dyDescent="0.15">
      <c r="A556" s="5">
        <v>548</v>
      </c>
      <c r="J556" s="5">
        <f t="shared" si="64"/>
        <v>548</v>
      </c>
      <c r="K556" s="5">
        <f>SUM($AP$9:AP555)</f>
        <v>6.478140636654272E+16</v>
      </c>
      <c r="L556" s="5">
        <f>LOOKUP(K556,AI:AI,AE:AE)</f>
        <v>601</v>
      </c>
      <c r="M556" s="5">
        <f>LOOKUP(L556,AE:AE,AG:AG)</f>
        <v>3263196398838740</v>
      </c>
      <c r="N556" s="5">
        <f>AM556/M556/$K$1</f>
        <v>1.6966843566961947</v>
      </c>
      <c r="O556" s="5">
        <f>SUM($N$9:N556)</f>
        <v>1805.1543711011877</v>
      </c>
      <c r="AE556" s="5">
        <f t="shared" si="65"/>
        <v>548</v>
      </c>
      <c r="AF556" s="5">
        <f t="shared" si="66"/>
        <v>225774541013535</v>
      </c>
      <c r="AG556" s="5">
        <f t="shared" si="67"/>
        <v>224138493614886</v>
      </c>
      <c r="AH556" s="5">
        <f>AG556*$AF$1</f>
        <v>2241384936148860</v>
      </c>
      <c r="AI556" s="5">
        <f>SUM($AF$9:AF555)</f>
        <v>4343705843412906</v>
      </c>
      <c r="AK556" s="5">
        <f t="shared" si="68"/>
        <v>548</v>
      </c>
      <c r="AL556" s="5">
        <f t="shared" si="69"/>
        <v>79</v>
      </c>
      <c r="AM556" s="5">
        <f t="shared" si="70"/>
        <v>8304921424105570</v>
      </c>
      <c r="AN556" s="5">
        <f>$AL$4*$AL$3^AL556*$AL$2</f>
        <v>8304921424105572</v>
      </c>
      <c r="AO556" s="5">
        <f>IF(AL556=AL557,1,LOOKUP(MOD(AL556,$AL$1),$AN$1:$AN$5,$AO$1:$AO$5))</f>
        <v>1</v>
      </c>
      <c r="AP556" s="5">
        <f t="shared" si="71"/>
        <v>3075589234060430</v>
      </c>
      <c r="AQ556" s="5">
        <f>AM556*$AR$3</f>
        <v>1107322856547409.4</v>
      </c>
      <c r="AR556" s="5">
        <f>AM556*AL556*$AR$4</f>
        <v>1968266377513020</v>
      </c>
      <c r="AS556" s="5">
        <f>SUM($AP$9:AP555)</f>
        <v>6.478140636654272E+16</v>
      </c>
    </row>
    <row r="557" spans="1:45" x14ac:dyDescent="0.15">
      <c r="A557" s="5">
        <v>549</v>
      </c>
      <c r="J557" s="5">
        <f t="shared" si="64"/>
        <v>549</v>
      </c>
      <c r="K557" s="5">
        <f>SUM($AP$9:AP556)</f>
        <v>6.7856995600603152E+16</v>
      </c>
      <c r="L557" s="5">
        <f>LOOKUP(K557,AI:AI,AE:AE)</f>
        <v>602</v>
      </c>
      <c r="M557" s="5">
        <f>LOOKUP(L557,AE:AE,AG:AG)</f>
        <v>3432057310658840</v>
      </c>
      <c r="N557" s="5">
        <f>AM557/M557/$K$1</f>
        <v>1.6132056610890926</v>
      </c>
      <c r="O557" s="5">
        <f>SUM($N$9:N557)</f>
        <v>1806.7675767622768</v>
      </c>
      <c r="AE557" s="5">
        <f t="shared" si="65"/>
        <v>549</v>
      </c>
      <c r="AF557" s="5">
        <f t="shared" si="66"/>
        <v>237492730506357</v>
      </c>
      <c r="AG557" s="5">
        <f t="shared" si="67"/>
        <v>235774880737776</v>
      </c>
      <c r="AH557" s="5">
        <f>AG557*$AF$1</f>
        <v>2357748807377760</v>
      </c>
      <c r="AI557" s="5">
        <f>SUM($AF$9:AF556)</f>
        <v>4569480384426441</v>
      </c>
      <c r="AK557" s="5">
        <f t="shared" si="68"/>
        <v>549</v>
      </c>
      <c r="AL557" s="5">
        <f t="shared" si="69"/>
        <v>79</v>
      </c>
      <c r="AM557" s="5">
        <f t="shared" si="70"/>
        <v>8304921424105570</v>
      </c>
      <c r="AN557" s="5">
        <f>$AL$4*$AL$3^AL557*$AL$2</f>
        <v>8304921424105572</v>
      </c>
      <c r="AO557" s="5">
        <f>IF(AL557=AL558,1,LOOKUP(MOD(AL557,$AL$1),$AN$1:$AN$5,$AO$1:$AO$5))</f>
        <v>1</v>
      </c>
      <c r="AP557" s="5">
        <f t="shared" si="71"/>
        <v>3075589234060430</v>
      </c>
      <c r="AQ557" s="5">
        <f>AM557*$AR$3</f>
        <v>1107322856547409.4</v>
      </c>
      <c r="AR557" s="5">
        <f>AM557*AL557*$AR$4</f>
        <v>1968266377513020</v>
      </c>
      <c r="AS557" s="5">
        <f>SUM($AP$9:AP556)</f>
        <v>6.7856995600603152E+16</v>
      </c>
    </row>
    <row r="558" spans="1:45" x14ac:dyDescent="0.15">
      <c r="A558" s="5">
        <v>550</v>
      </c>
      <c r="J558" s="5">
        <f t="shared" si="64"/>
        <v>550</v>
      </c>
      <c r="K558" s="5">
        <f>SUM($AP$9:AP557)</f>
        <v>7.0932584834663584E+16</v>
      </c>
      <c r="L558" s="5">
        <f>LOOKUP(K558,AI:AI,AE:AE)</f>
        <v>603</v>
      </c>
      <c r="M558" s="5">
        <f>LOOKUP(L558,AE:AE,AG:AG)</f>
        <v>3609646322663870</v>
      </c>
      <c r="N558" s="5">
        <f>AM558/M558/$K$1</f>
        <v>1.5338384395098024</v>
      </c>
      <c r="O558" s="5">
        <f>SUM($N$9:N558)</f>
        <v>1808.3014152017865</v>
      </c>
      <c r="AE558" s="5">
        <f t="shared" si="65"/>
        <v>550</v>
      </c>
      <c r="AF558" s="5">
        <f t="shared" si="66"/>
        <v>249818302595928</v>
      </c>
      <c r="AG558" s="5">
        <f t="shared" si="67"/>
        <v>248014560338917</v>
      </c>
      <c r="AH558" s="5">
        <f>AG558*$AF$1</f>
        <v>2480145603389170</v>
      </c>
      <c r="AI558" s="5">
        <f>SUM($AF$9:AF557)</f>
        <v>4806973114932798</v>
      </c>
      <c r="AK558" s="5">
        <f t="shared" si="68"/>
        <v>550</v>
      </c>
      <c r="AL558" s="5">
        <f t="shared" si="69"/>
        <v>79</v>
      </c>
      <c r="AM558" s="5">
        <f t="shared" si="70"/>
        <v>8304921424105570</v>
      </c>
      <c r="AN558" s="5">
        <f>$AL$4*$AL$3^AL558*$AL$2</f>
        <v>8304921424105572</v>
      </c>
      <c r="AO558" s="5">
        <f>IF(AL558=AL559,1,LOOKUP(MOD(AL558,$AL$1),$AN$1:$AN$5,$AO$1:$AO$5))</f>
        <v>1</v>
      </c>
      <c r="AP558" s="5">
        <f t="shared" si="71"/>
        <v>3075589234060430</v>
      </c>
      <c r="AQ558" s="5">
        <f>AM558*$AR$3</f>
        <v>1107322856547409.4</v>
      </c>
      <c r="AR558" s="5">
        <f>AM558*AL558*$AR$4</f>
        <v>1968266377513020</v>
      </c>
      <c r="AS558" s="5">
        <f>SUM($AP$9:AP557)</f>
        <v>7.0932584834663584E+16</v>
      </c>
    </row>
    <row r="559" spans="1:45" x14ac:dyDescent="0.15">
      <c r="A559" s="5">
        <v>551</v>
      </c>
      <c r="J559" s="5">
        <f t="shared" si="64"/>
        <v>551</v>
      </c>
      <c r="K559" s="5">
        <f>SUM($AP$9:AP558)</f>
        <v>7.4008174068724016E+16</v>
      </c>
      <c r="L559" s="5">
        <f>LOOKUP(K559,AI:AI,AE:AE)</f>
        <v>604</v>
      </c>
      <c r="M559" s="5">
        <f>LOOKUP(L559,AE:AE,AG:AG)</f>
        <v>3796414092592740</v>
      </c>
      <c r="N559" s="5">
        <f>AM559/M559/$K$1</f>
        <v>1.4583799732330691</v>
      </c>
      <c r="O559" s="5">
        <f>SUM($N$9:N559)</f>
        <v>1809.7597951750197</v>
      </c>
      <c r="AE559" s="5">
        <f t="shared" si="65"/>
        <v>551</v>
      </c>
      <c r="AF559" s="5">
        <f t="shared" si="66"/>
        <v>262782700068189</v>
      </c>
      <c r="AG559" s="5">
        <f t="shared" si="67"/>
        <v>260888770698328</v>
      </c>
      <c r="AH559" s="5">
        <f>AG559*$AF$1</f>
        <v>2608887706983280</v>
      </c>
      <c r="AI559" s="5">
        <f>SUM($AF$9:AF558)</f>
        <v>5056791417528726</v>
      </c>
      <c r="AK559" s="5">
        <f t="shared" si="68"/>
        <v>551</v>
      </c>
      <c r="AL559" s="5">
        <f t="shared" si="69"/>
        <v>79</v>
      </c>
      <c r="AM559" s="5">
        <f t="shared" si="70"/>
        <v>8304921424105570</v>
      </c>
      <c r="AN559" s="5">
        <f>$AL$4*$AL$3^AL559*$AL$2</f>
        <v>8304921424105572</v>
      </c>
      <c r="AO559" s="5">
        <f>IF(AL559=AL560,1,LOOKUP(MOD(AL559,$AL$1),$AN$1:$AN$5,$AO$1:$AO$5))</f>
        <v>1</v>
      </c>
      <c r="AP559" s="5">
        <f t="shared" si="71"/>
        <v>3075589234060430</v>
      </c>
      <c r="AQ559" s="5">
        <f>AM559*$AR$3</f>
        <v>1107322856547409.4</v>
      </c>
      <c r="AR559" s="5">
        <f>AM559*AL559*$AR$4</f>
        <v>1968266377513020</v>
      </c>
      <c r="AS559" s="5">
        <f>SUM($AP$9:AP558)</f>
        <v>7.4008174068724016E+16</v>
      </c>
    </row>
    <row r="560" spans="1:45" x14ac:dyDescent="0.15">
      <c r="A560" s="5">
        <v>552</v>
      </c>
      <c r="J560" s="5">
        <f t="shared" si="64"/>
        <v>552</v>
      </c>
      <c r="K560" s="5">
        <f>SUM($AP$9:AP559)</f>
        <v>7.7083763302784448E+16</v>
      </c>
      <c r="L560" s="5">
        <f>LOOKUP(K560,AI:AI,AE:AE)</f>
        <v>604</v>
      </c>
      <c r="M560" s="5">
        <f>LOOKUP(L560,AE:AE,AG:AG)</f>
        <v>3796414092592740</v>
      </c>
      <c r="N560" s="5">
        <f>AM560/M560/$K$1</f>
        <v>1.4583799732330691</v>
      </c>
      <c r="O560" s="5">
        <f>SUM($N$9:N560)</f>
        <v>1811.2181751482528</v>
      </c>
      <c r="AE560" s="5">
        <f t="shared" si="65"/>
        <v>552</v>
      </c>
      <c r="AF560" s="5">
        <f t="shared" si="66"/>
        <v>276418991531187</v>
      </c>
      <c r="AG560" s="5">
        <f t="shared" si="67"/>
        <v>274430365692833</v>
      </c>
      <c r="AH560" s="5">
        <f>AG560*$AF$1</f>
        <v>2744303656928330</v>
      </c>
      <c r="AI560" s="5">
        <f>SUM($AF$9:AF559)</f>
        <v>5319574117596915</v>
      </c>
      <c r="AK560" s="5">
        <f t="shared" si="68"/>
        <v>552</v>
      </c>
      <c r="AL560" s="5">
        <f t="shared" si="69"/>
        <v>79</v>
      </c>
      <c r="AM560" s="5">
        <f t="shared" si="70"/>
        <v>8304921424105570</v>
      </c>
      <c r="AN560" s="5">
        <f>$AL$4*$AL$3^AL560*$AL$2</f>
        <v>8304921424105572</v>
      </c>
      <c r="AO560" s="5">
        <f>IF(AL560=AL561,1,LOOKUP(MOD(AL560,$AL$1),$AN$1:$AN$5,$AO$1:$AO$5))</f>
        <v>1</v>
      </c>
      <c r="AP560" s="5">
        <f t="shared" si="71"/>
        <v>3075589234060430</v>
      </c>
      <c r="AQ560" s="5">
        <f>AM560*$AR$3</f>
        <v>1107322856547409.4</v>
      </c>
      <c r="AR560" s="5">
        <f>AM560*AL560*$AR$4</f>
        <v>1968266377513020</v>
      </c>
      <c r="AS560" s="5">
        <f>SUM($AP$9:AP559)</f>
        <v>7.7083763302784448E+16</v>
      </c>
    </row>
    <row r="561" spans="1:45" x14ac:dyDescent="0.15">
      <c r="A561" s="5">
        <v>553</v>
      </c>
      <c r="J561" s="5">
        <f t="shared" si="64"/>
        <v>553</v>
      </c>
      <c r="K561" s="5">
        <f>SUM($AP$9:AP560)</f>
        <v>8.015935253684488E+16</v>
      </c>
      <c r="L561" s="5">
        <f>LOOKUP(K561,AI:AI,AE:AE)</f>
        <v>605</v>
      </c>
      <c r="M561" s="5">
        <f>LOOKUP(L561,AE:AE,AG:AG)</f>
        <v>3992834523707850</v>
      </c>
      <c r="N561" s="5">
        <f>AM561/M561/$K$1</f>
        <v>5.5465502012295822</v>
      </c>
      <c r="O561" s="5">
        <f>SUM($N$9:N561)</f>
        <v>1816.7647253494824</v>
      </c>
      <c r="AE561" s="5">
        <f t="shared" si="65"/>
        <v>553</v>
      </c>
      <c r="AF561" s="5">
        <f t="shared" si="66"/>
        <v>290761955390314</v>
      </c>
      <c r="AG561" s="5">
        <f t="shared" si="67"/>
        <v>288673898260043</v>
      </c>
      <c r="AH561" s="5">
        <f>AG561*$AF$1</f>
        <v>2886738982600430</v>
      </c>
      <c r="AI561" s="5">
        <f>SUM($AF$9:AF560)</f>
        <v>5595993109128102</v>
      </c>
      <c r="AK561" s="5">
        <f t="shared" si="68"/>
        <v>553</v>
      </c>
      <c r="AL561" s="5">
        <f t="shared" si="69"/>
        <v>79</v>
      </c>
      <c r="AM561" s="5">
        <f t="shared" si="70"/>
        <v>3.32196856964223E+16</v>
      </c>
      <c r="AN561" s="5">
        <f>$AL$4*$AL$3^AL561*$AL$2</f>
        <v>8304921424105572</v>
      </c>
      <c r="AO561" s="5">
        <f>IF(AL561=AL562,1,LOOKUP(MOD(AL561,$AL$1),$AN$1:$AN$5,$AO$1:$AO$5))</f>
        <v>4</v>
      </c>
      <c r="AP561" s="5">
        <f t="shared" si="71"/>
        <v>1.23023569362417E+16</v>
      </c>
      <c r="AQ561" s="5">
        <f>AM561*$AR$3</f>
        <v>4429291426189640</v>
      </c>
      <c r="AR561" s="5">
        <f>AM561*AL561*$AR$4</f>
        <v>7873065510052086</v>
      </c>
      <c r="AS561" s="5">
        <f>SUM($AP$9:AP560)</f>
        <v>8.015935253684488E+16</v>
      </c>
    </row>
    <row r="562" spans="1:45" x14ac:dyDescent="0.15">
      <c r="A562" s="5">
        <v>554</v>
      </c>
      <c r="J562" s="5">
        <f t="shared" si="64"/>
        <v>554</v>
      </c>
      <c r="K562" s="5">
        <f>SUM($AP$9:AP561)</f>
        <v>9.2461709473086576E+16</v>
      </c>
      <c r="L562" s="5">
        <f>LOOKUP(K562,AI:AI,AE:AE)</f>
        <v>608</v>
      </c>
      <c r="M562" s="5">
        <f>LOOKUP(L562,AE:AE,AG:AG)</f>
        <v>4645125090625510</v>
      </c>
      <c r="N562" s="5">
        <f>AM562/M562/$K$1</f>
        <v>1.8713133132710984</v>
      </c>
      <c r="O562" s="5">
        <f>SUM($N$9:N562)</f>
        <v>1818.6360386627534</v>
      </c>
      <c r="AE562" s="5">
        <f t="shared" si="65"/>
        <v>554</v>
      </c>
      <c r="AF562" s="5">
        <f t="shared" si="66"/>
        <v>305848168156526</v>
      </c>
      <c r="AG562" s="5">
        <f t="shared" si="67"/>
        <v>303655708169741</v>
      </c>
      <c r="AH562" s="5">
        <f>AG562*$AF$1</f>
        <v>3036557081697410</v>
      </c>
      <c r="AI562" s="5">
        <f>SUM($AF$9:AF561)</f>
        <v>5886755064518416</v>
      </c>
      <c r="AK562" s="5">
        <f t="shared" si="68"/>
        <v>554</v>
      </c>
      <c r="AL562" s="5">
        <f t="shared" si="69"/>
        <v>80</v>
      </c>
      <c r="AM562" s="5">
        <f t="shared" si="70"/>
        <v>1.30387266358457E+16</v>
      </c>
      <c r="AN562" s="5">
        <f>$AL$4*$AL$3^AL562*$AL$2</f>
        <v>1.3038726635845744E+16</v>
      </c>
      <c r="AO562" s="5">
        <f>IF(AL562=AL563,1,LOOKUP(MOD(AL562,$AL$1),$AN$1:$AN$5,$AO$1:$AO$5))</f>
        <v>1</v>
      </c>
      <c r="AP562" s="5">
        <f t="shared" si="71"/>
        <v>4867791277382390</v>
      </c>
      <c r="AQ562" s="5">
        <f>AM562*$AR$3</f>
        <v>1738496884779426.7</v>
      </c>
      <c r="AR562" s="5">
        <f>AM562*AL562*$AR$4</f>
        <v>3129294392602968</v>
      </c>
      <c r="AS562" s="5">
        <f>SUM($AP$9:AP561)</f>
        <v>9.2461709473086576E+16</v>
      </c>
    </row>
    <row r="563" spans="1:45" x14ac:dyDescent="0.15">
      <c r="A563" s="5">
        <v>555</v>
      </c>
      <c r="J563" s="5">
        <f t="shared" si="64"/>
        <v>555</v>
      </c>
      <c r="K563" s="5">
        <f>SUM($AP$9:AP562)</f>
        <v>9.732950075046896E+16</v>
      </c>
      <c r="L563" s="5">
        <f>LOOKUP(K563,AI:AI,AE:AE)</f>
        <v>609</v>
      </c>
      <c r="M563" s="5">
        <f>LOOKUP(L563,AE:AE,AG:AG)</f>
        <v>4885403353948170</v>
      </c>
      <c r="N563" s="5">
        <f>AM563/M563/$K$1</f>
        <v>1.7792767135332328</v>
      </c>
      <c r="O563" s="5">
        <f>SUM($N$9:N563)</f>
        <v>1820.4153153762866</v>
      </c>
      <c r="AE563" s="5">
        <f t="shared" si="65"/>
        <v>555</v>
      </c>
      <c r="AF563" s="5">
        <f t="shared" si="66"/>
        <v>321716097310884</v>
      </c>
      <c r="AG563" s="5">
        <f t="shared" si="67"/>
        <v>319414014324759</v>
      </c>
      <c r="AH563" s="5">
        <f>AG563*$AF$1</f>
        <v>3194140143247590</v>
      </c>
      <c r="AI563" s="5">
        <f>SUM($AF$9:AF562)</f>
        <v>6192603232674942</v>
      </c>
      <c r="AK563" s="5">
        <f t="shared" si="68"/>
        <v>555</v>
      </c>
      <c r="AL563" s="5">
        <f t="shared" si="69"/>
        <v>80</v>
      </c>
      <c r="AM563" s="5">
        <f t="shared" si="70"/>
        <v>1.30387266358457E+16</v>
      </c>
      <c r="AN563" s="5">
        <f>$AL$4*$AL$3^AL563*$AL$2</f>
        <v>1.3038726635845744E+16</v>
      </c>
      <c r="AO563" s="5">
        <f>IF(AL563=AL564,1,LOOKUP(MOD(AL563,$AL$1),$AN$1:$AN$5,$AO$1:$AO$5))</f>
        <v>1</v>
      </c>
      <c r="AP563" s="5">
        <f t="shared" si="71"/>
        <v>4867791277382390</v>
      </c>
      <c r="AQ563" s="5">
        <f>AM563*$AR$3</f>
        <v>1738496884779426.7</v>
      </c>
      <c r="AR563" s="5">
        <f>AM563*AL563*$AR$4</f>
        <v>3129294392602968</v>
      </c>
      <c r="AS563" s="5">
        <f>SUM($AP$9:AP562)</f>
        <v>9.732950075046896E+16</v>
      </c>
    </row>
    <row r="564" spans="1:45" x14ac:dyDescent="0.15">
      <c r="A564" s="5">
        <v>556</v>
      </c>
      <c r="J564" s="5">
        <f t="shared" si="64"/>
        <v>556</v>
      </c>
      <c r="K564" s="5">
        <f>SUM($AP$9:AP563)</f>
        <v>1.0219729202785134E+17</v>
      </c>
      <c r="L564" s="5">
        <f>LOOKUP(K564,AI:AI,AE:AE)</f>
        <v>610</v>
      </c>
      <c r="M564" s="5">
        <f>LOOKUP(L564,AE:AE,AG:AG)</f>
        <v>5138096630876520</v>
      </c>
      <c r="N564" s="5">
        <f>AM564/M564/$K$1</f>
        <v>1.6917713013922553</v>
      </c>
      <c r="O564" s="5">
        <f>SUM($N$9:N564)</f>
        <v>1822.1070866776788</v>
      </c>
      <c r="AE564" s="5">
        <f t="shared" si="65"/>
        <v>556</v>
      </c>
      <c r="AF564" s="5">
        <f t="shared" si="66"/>
        <v>338406198960286</v>
      </c>
      <c r="AG564" s="5">
        <f t="shared" si="67"/>
        <v>335989011824855</v>
      </c>
      <c r="AH564" s="5">
        <f>AG564*$AF$1</f>
        <v>3359890118248550</v>
      </c>
      <c r="AI564" s="5">
        <f>SUM($AF$9:AF563)</f>
        <v>6514319329985826</v>
      </c>
      <c r="AK564" s="5">
        <f t="shared" si="68"/>
        <v>556</v>
      </c>
      <c r="AL564" s="5">
        <f t="shared" si="69"/>
        <v>80</v>
      </c>
      <c r="AM564" s="5">
        <f t="shared" si="70"/>
        <v>1.30387266358457E+16</v>
      </c>
      <c r="AN564" s="5">
        <f>$AL$4*$AL$3^AL564*$AL$2</f>
        <v>1.3038726635845744E+16</v>
      </c>
      <c r="AO564" s="5">
        <f>IF(AL564=AL565,1,LOOKUP(MOD(AL564,$AL$1),$AN$1:$AN$5,$AO$1:$AO$5))</f>
        <v>1</v>
      </c>
      <c r="AP564" s="5">
        <f t="shared" si="71"/>
        <v>4867791277382390</v>
      </c>
      <c r="AQ564" s="5">
        <f>AM564*$AR$3</f>
        <v>1738496884779426.7</v>
      </c>
      <c r="AR564" s="5">
        <f>AM564*AL564*$AR$4</f>
        <v>3129294392602968</v>
      </c>
      <c r="AS564" s="5">
        <f>SUM($AP$9:AP563)</f>
        <v>1.0219729202785134E+17</v>
      </c>
    </row>
    <row r="565" spans="1:45" x14ac:dyDescent="0.15">
      <c r="A565" s="5">
        <v>557</v>
      </c>
      <c r="J565" s="5">
        <f t="shared" si="64"/>
        <v>557</v>
      </c>
      <c r="K565" s="5">
        <f>SUM($AP$9:AP564)</f>
        <v>1.0706508330523373E+17</v>
      </c>
      <c r="L565" s="5">
        <f>LOOKUP(K565,AI:AI,AE:AE)</f>
        <v>611</v>
      </c>
      <c r="M565" s="5">
        <f>LOOKUP(L565,AE:AE,AG:AG)</f>
        <v>5403845727112840</v>
      </c>
      <c r="N565" s="5">
        <f>AM565/M565/$K$1</f>
        <v>1.608573757071585</v>
      </c>
      <c r="O565" s="5">
        <f>SUM($N$9:N565)</f>
        <v>1823.7156604347504</v>
      </c>
      <c r="AE565" s="5">
        <f t="shared" si="65"/>
        <v>557</v>
      </c>
      <c r="AF565" s="5">
        <f t="shared" si="66"/>
        <v>355961020531351</v>
      </c>
      <c r="AG565" s="5">
        <f t="shared" si="67"/>
        <v>353422974039148</v>
      </c>
      <c r="AH565" s="5">
        <f>AG565*$AF$1</f>
        <v>3534229740391480</v>
      </c>
      <c r="AI565" s="5">
        <f>SUM($AF$9:AF564)</f>
        <v>6852725528946112</v>
      </c>
      <c r="AK565" s="5">
        <f t="shared" si="68"/>
        <v>557</v>
      </c>
      <c r="AL565" s="5">
        <f t="shared" si="69"/>
        <v>80</v>
      </c>
      <c r="AM565" s="5">
        <f t="shared" si="70"/>
        <v>1.30387266358457E+16</v>
      </c>
      <c r="AN565" s="5">
        <f>$AL$4*$AL$3^AL565*$AL$2</f>
        <v>1.3038726635845744E+16</v>
      </c>
      <c r="AO565" s="5">
        <f>IF(AL565=AL566,1,LOOKUP(MOD(AL565,$AL$1),$AN$1:$AN$5,$AO$1:$AO$5))</f>
        <v>1</v>
      </c>
      <c r="AP565" s="5">
        <f t="shared" si="71"/>
        <v>4867791277382390</v>
      </c>
      <c r="AQ565" s="5">
        <f>AM565*$AR$3</f>
        <v>1738496884779426.7</v>
      </c>
      <c r="AR565" s="5">
        <f>AM565*AL565*$AR$4</f>
        <v>3129294392602968</v>
      </c>
      <c r="AS565" s="5">
        <f>SUM($AP$9:AP564)</f>
        <v>1.0706508330523373E+17</v>
      </c>
    </row>
    <row r="566" spans="1:45" x14ac:dyDescent="0.15">
      <c r="A566" s="5">
        <v>558</v>
      </c>
      <c r="J566" s="5">
        <f t="shared" si="64"/>
        <v>558</v>
      </c>
      <c r="K566" s="5">
        <f>SUM($AP$9:AP565)</f>
        <v>1.1193287458261611E+17</v>
      </c>
      <c r="L566" s="5">
        <f>LOOKUP(K566,AI:AI,AE:AE)</f>
        <v>612</v>
      </c>
      <c r="M566" s="5">
        <f>LOOKUP(L566,AE:AE,AG:AG)</f>
        <v>5683324491395600</v>
      </c>
      <c r="N566" s="5">
        <f>AM566/M566/$K$1</f>
        <v>1.5294717795996551</v>
      </c>
      <c r="O566" s="5">
        <f>SUM($N$9:N566)</f>
        <v>1825.24513221435</v>
      </c>
      <c r="AE566" s="5">
        <f t="shared" si="65"/>
        <v>558</v>
      </c>
      <c r="AF566" s="5">
        <f t="shared" si="66"/>
        <v>374425308762121</v>
      </c>
      <c r="AG566" s="5">
        <f t="shared" si="67"/>
        <v>371760359945309</v>
      </c>
      <c r="AH566" s="5">
        <f>AG566*$AF$1</f>
        <v>3717603599453090</v>
      </c>
      <c r="AI566" s="5">
        <f>SUM($AF$9:AF565)</f>
        <v>7208686549477463</v>
      </c>
      <c r="AK566" s="5">
        <f t="shared" si="68"/>
        <v>558</v>
      </c>
      <c r="AL566" s="5">
        <f t="shared" si="69"/>
        <v>80</v>
      </c>
      <c r="AM566" s="5">
        <f t="shared" si="70"/>
        <v>1.30387266358457E+16</v>
      </c>
      <c r="AN566" s="5">
        <f>$AL$4*$AL$3^AL566*$AL$2</f>
        <v>1.3038726635845744E+16</v>
      </c>
      <c r="AO566" s="5">
        <f>IF(AL566=AL567,1,LOOKUP(MOD(AL566,$AL$1),$AN$1:$AN$5,$AO$1:$AO$5))</f>
        <v>1</v>
      </c>
      <c r="AP566" s="5">
        <f t="shared" si="71"/>
        <v>4867791277382390</v>
      </c>
      <c r="AQ566" s="5">
        <f>AM566*$AR$3</f>
        <v>1738496884779426.7</v>
      </c>
      <c r="AR566" s="5">
        <f>AM566*AL566*$AR$4</f>
        <v>3129294392602968</v>
      </c>
      <c r="AS566" s="5">
        <f>SUM($AP$9:AP565)</f>
        <v>1.1193287458261611E+17</v>
      </c>
    </row>
    <row r="567" spans="1:45" x14ac:dyDescent="0.15">
      <c r="A567" s="5">
        <v>559</v>
      </c>
      <c r="J567" s="5">
        <f t="shared" si="64"/>
        <v>559</v>
      </c>
      <c r="K567" s="5">
        <f>SUM($AP$9:AP566)</f>
        <v>1.168006658599985E+17</v>
      </c>
      <c r="L567" s="5">
        <f>LOOKUP(K567,AI:AI,AE:AE)</f>
        <v>613</v>
      </c>
      <c r="M567" s="5">
        <f>LOOKUP(L567,AE:AE,AG:AG)</f>
        <v>5977241517788850</v>
      </c>
      <c r="N567" s="5">
        <f>AM567/M567/$K$1</f>
        <v>1.4542635424764849</v>
      </c>
      <c r="O567" s="5">
        <f>SUM($N$9:N567)</f>
        <v>1826.6993957568263</v>
      </c>
      <c r="AE567" s="5">
        <f t="shared" si="65"/>
        <v>559</v>
      </c>
      <c r="AF567" s="5">
        <f t="shared" si="66"/>
        <v>393846123264640</v>
      </c>
      <c r="AG567" s="5">
        <f t="shared" si="67"/>
        <v>391047927006988</v>
      </c>
      <c r="AH567" s="5">
        <f>AG567*$AF$1</f>
        <v>3910479270069880</v>
      </c>
      <c r="AI567" s="5">
        <f>SUM($AF$9:AF566)</f>
        <v>7583111858239584</v>
      </c>
      <c r="AK567" s="5">
        <f t="shared" si="68"/>
        <v>559</v>
      </c>
      <c r="AL567" s="5">
        <f t="shared" si="69"/>
        <v>80</v>
      </c>
      <c r="AM567" s="5">
        <f t="shared" si="70"/>
        <v>1.30387266358457E+16</v>
      </c>
      <c r="AN567" s="5">
        <f>$AL$4*$AL$3^AL567*$AL$2</f>
        <v>1.3038726635845744E+16</v>
      </c>
      <c r="AO567" s="5">
        <f>IF(AL567=AL568,1,LOOKUP(MOD(AL567,$AL$1),$AN$1:$AN$5,$AO$1:$AO$5))</f>
        <v>1</v>
      </c>
      <c r="AP567" s="5">
        <f t="shared" si="71"/>
        <v>4867791277382390</v>
      </c>
      <c r="AQ567" s="5">
        <f>AM567*$AR$3</f>
        <v>1738496884779426.7</v>
      </c>
      <c r="AR567" s="5">
        <f>AM567*AL567*$AR$4</f>
        <v>3129294392602968</v>
      </c>
      <c r="AS567" s="5">
        <f>SUM($AP$9:AP566)</f>
        <v>1.168006658599985E+17</v>
      </c>
    </row>
    <row r="568" spans="1:45" x14ac:dyDescent="0.15">
      <c r="A568" s="5">
        <v>560</v>
      </c>
      <c r="J568" s="5">
        <f t="shared" si="64"/>
        <v>560</v>
      </c>
      <c r="K568" s="5">
        <f>SUM($AP$9:AP567)</f>
        <v>1.2166845713738088E+17</v>
      </c>
      <c r="L568" s="5">
        <f>LOOKUP(K568,AI:AI,AE:AE)</f>
        <v>613</v>
      </c>
      <c r="M568" s="5">
        <f>LOOKUP(L568,AE:AE,AG:AG)</f>
        <v>5977241517788850</v>
      </c>
      <c r="N568" s="5">
        <f>AM568/M568/$K$1</f>
        <v>8.7255812548589411</v>
      </c>
      <c r="O568" s="5">
        <f>SUM($N$9:N568)</f>
        <v>1835.4249770116853</v>
      </c>
      <c r="AE568" s="5">
        <f t="shared" si="65"/>
        <v>560</v>
      </c>
      <c r="AF568" s="5">
        <f t="shared" si="66"/>
        <v>414272955945506</v>
      </c>
      <c r="AG568" s="5">
        <f t="shared" si="67"/>
        <v>411334849874971</v>
      </c>
      <c r="AH568" s="5">
        <f>AG568*$AF$1</f>
        <v>4113348498749710</v>
      </c>
      <c r="AI568" s="5">
        <f>SUM($AF$9:AF567)</f>
        <v>7976957981504224</v>
      </c>
      <c r="AK568" s="5">
        <f t="shared" si="68"/>
        <v>560</v>
      </c>
      <c r="AL568" s="5">
        <f t="shared" si="69"/>
        <v>80</v>
      </c>
      <c r="AM568" s="5">
        <f t="shared" si="70"/>
        <v>7.8232359815074496E+16</v>
      </c>
      <c r="AN568" s="5">
        <f>$AL$4*$AL$3^AL568*$AL$2</f>
        <v>1.3038726635845744E+16</v>
      </c>
      <c r="AO568" s="5">
        <f>IF(AL568=AL569,1,LOOKUP(MOD(AL568,$AL$1),$AN$1:$AN$5,$AO$1:$AO$5))</f>
        <v>6</v>
      </c>
      <c r="AP568" s="5">
        <f t="shared" si="71"/>
        <v>2.92067476642945E+16</v>
      </c>
      <c r="AQ568" s="5">
        <f>AM568*$AR$3</f>
        <v>1.04309813086766E+16</v>
      </c>
      <c r="AR568" s="5">
        <f>AM568*AL568*$AR$4</f>
        <v>1.877576635561788E+16</v>
      </c>
      <c r="AS568" s="5">
        <f>SUM($AP$9:AP567)</f>
        <v>1.2166845713738088E+17</v>
      </c>
    </row>
    <row r="569" spans="1:45" x14ac:dyDescent="0.15">
      <c r="A569" s="5">
        <v>561</v>
      </c>
      <c r="J569" s="5">
        <f t="shared" si="64"/>
        <v>561</v>
      </c>
      <c r="K569" s="5">
        <f>SUM($AP$9:AP568)</f>
        <v>1.5087520480167539E+17</v>
      </c>
      <c r="L569" s="5">
        <f>LOOKUP(K569,AI:AI,AE:AE)</f>
        <v>618</v>
      </c>
      <c r="M569" s="5">
        <f>LOOKUP(L569,AE:AE,AG:AG)</f>
        <v>7690866986697870</v>
      </c>
      <c r="N569" s="5">
        <f>AM569/M569/$K$1</f>
        <v>1.7744684141752476</v>
      </c>
      <c r="O569" s="5">
        <f>SUM($N$9:N569)</f>
        <v>1837.1994454258606</v>
      </c>
      <c r="AE569" s="5">
        <f t="shared" si="65"/>
        <v>561</v>
      </c>
      <c r="AF569" s="5">
        <f t="shared" si="66"/>
        <v>435757856586297</v>
      </c>
      <c r="AG569" s="5">
        <f t="shared" si="67"/>
        <v>432672845212235</v>
      </c>
      <c r="AH569" s="5">
        <f>AG569*$AF$1</f>
        <v>4326728452122350</v>
      </c>
      <c r="AI569" s="5">
        <f>SUM($AF$9:AF568)</f>
        <v>8391230937449730</v>
      </c>
      <c r="AK569" s="5">
        <f t="shared" si="68"/>
        <v>561</v>
      </c>
      <c r="AL569" s="5">
        <f t="shared" si="69"/>
        <v>81</v>
      </c>
      <c r="AM569" s="5">
        <f t="shared" si="70"/>
        <v>2.04708008182778E+16</v>
      </c>
      <c r="AN569" s="5">
        <f>$AL$4*$AL$3^AL569*$AL$2</f>
        <v>2.047080081827782E+16</v>
      </c>
      <c r="AO569" s="5">
        <f>IF(AL569=AL570,1,LOOKUP(MOD(AL569,$AL$1),$AN$1:$AN$5,$AO$1:$AO$5))</f>
        <v>1</v>
      </c>
      <c r="AP569" s="5">
        <f t="shared" si="71"/>
        <v>7703844707945210</v>
      </c>
      <c r="AQ569" s="5">
        <f>AM569*$AR$3</f>
        <v>2729440109103706.5</v>
      </c>
      <c r="AR569" s="5">
        <f>AM569*AL569*$AR$4</f>
        <v>4974404598841505</v>
      </c>
      <c r="AS569" s="5">
        <f>SUM($AP$9:AP568)</f>
        <v>1.5087520480167539E+17</v>
      </c>
    </row>
    <row r="570" spans="1:45" x14ac:dyDescent="0.15">
      <c r="A570" s="5">
        <v>562</v>
      </c>
      <c r="J570" s="5">
        <f t="shared" si="64"/>
        <v>562</v>
      </c>
      <c r="K570" s="5">
        <f>SUM($AP$9:AP569)</f>
        <v>1.5857904950962061E+17</v>
      </c>
      <c r="L570" s="5">
        <f>LOOKUP(K570,AI:AI,AE:AE)</f>
        <v>619</v>
      </c>
      <c r="M570" s="5">
        <f>LOOKUP(L570,AE:AE,AG:AG)</f>
        <v>8088477343049000</v>
      </c>
      <c r="N570" s="5">
        <f>AM570/M570/$K$1</f>
        <v>1.6872397568432997</v>
      </c>
      <c r="O570" s="5">
        <f>SUM($N$9:N570)</f>
        <v>1838.886685182704</v>
      </c>
      <c r="AE570" s="5">
        <f t="shared" si="65"/>
        <v>562</v>
      </c>
      <c r="AF570" s="5">
        <f t="shared" si="66"/>
        <v>458355564901303</v>
      </c>
      <c r="AG570" s="5">
        <f t="shared" si="67"/>
        <v>455116302958538</v>
      </c>
      <c r="AH570" s="5">
        <f>AG570*$AF$1</f>
        <v>4551163029585380</v>
      </c>
      <c r="AI570" s="5">
        <f>SUM($AF$9:AF569)</f>
        <v>8826988794036027</v>
      </c>
      <c r="AK570" s="5">
        <f t="shared" si="68"/>
        <v>562</v>
      </c>
      <c r="AL570" s="5">
        <f t="shared" si="69"/>
        <v>81</v>
      </c>
      <c r="AM570" s="5">
        <f t="shared" si="70"/>
        <v>2.04708008182778E+16</v>
      </c>
      <c r="AN570" s="5">
        <f>$AL$4*$AL$3^AL570*$AL$2</f>
        <v>2.047080081827782E+16</v>
      </c>
      <c r="AO570" s="5">
        <f>IF(AL570=AL571,1,LOOKUP(MOD(AL570,$AL$1),$AN$1:$AN$5,$AO$1:$AO$5))</f>
        <v>1</v>
      </c>
      <c r="AP570" s="5">
        <f t="shared" si="71"/>
        <v>7703844707945210</v>
      </c>
      <c r="AQ570" s="5">
        <f>AM570*$AR$3</f>
        <v>2729440109103706.5</v>
      </c>
      <c r="AR570" s="5">
        <f>AM570*AL570*$AR$4</f>
        <v>4974404598841505</v>
      </c>
      <c r="AS570" s="5">
        <f>SUM($AP$9:AP569)</f>
        <v>1.5857904950962061E+17</v>
      </c>
    </row>
    <row r="571" spans="1:45" x14ac:dyDescent="0.15">
      <c r="A571" s="5">
        <v>563</v>
      </c>
      <c r="J571" s="5">
        <f t="shared" si="64"/>
        <v>563</v>
      </c>
      <c r="K571" s="5">
        <f>SUM($AP$9:AP570)</f>
        <v>1.6628289421756582E+17</v>
      </c>
      <c r="L571" s="5">
        <f>LOOKUP(K571,AI:AI,AE:AE)</f>
        <v>620</v>
      </c>
      <c r="M571" s="5">
        <f>LOOKUP(L571,AE:AE,AG:AG)</f>
        <v>8506621567568500</v>
      </c>
      <c r="N571" s="5">
        <f>AM571/M571/$K$1</f>
        <v>1.6043032403778834</v>
      </c>
      <c r="O571" s="5">
        <f>SUM($N$9:N571)</f>
        <v>1840.4909884230819</v>
      </c>
      <c r="AE571" s="5">
        <f t="shared" si="65"/>
        <v>563</v>
      </c>
      <c r="AF571" s="5">
        <f t="shared" si="66"/>
        <v>482123649406344</v>
      </c>
      <c r="AG571" s="5">
        <f t="shared" si="67"/>
        <v>478722424366441</v>
      </c>
      <c r="AH571" s="5">
        <f>AG571*$AF$1</f>
        <v>4787224243664410</v>
      </c>
      <c r="AI571" s="5">
        <f>SUM($AF$9:AF570)</f>
        <v>9285344358937330</v>
      </c>
      <c r="AK571" s="5">
        <f t="shared" si="68"/>
        <v>563</v>
      </c>
      <c r="AL571" s="5">
        <f t="shared" si="69"/>
        <v>81</v>
      </c>
      <c r="AM571" s="5">
        <f t="shared" si="70"/>
        <v>2.04708008182778E+16</v>
      </c>
      <c r="AN571" s="5">
        <f>$AL$4*$AL$3^AL571*$AL$2</f>
        <v>2.047080081827782E+16</v>
      </c>
      <c r="AO571" s="5">
        <f>IF(AL571=AL572,1,LOOKUP(MOD(AL571,$AL$1),$AN$1:$AN$5,$AO$1:$AO$5))</f>
        <v>1</v>
      </c>
      <c r="AP571" s="5">
        <f t="shared" si="71"/>
        <v>7703844707945210</v>
      </c>
      <c r="AQ571" s="5">
        <f>AM571*$AR$3</f>
        <v>2729440109103706.5</v>
      </c>
      <c r="AR571" s="5">
        <f>AM571*AL571*$AR$4</f>
        <v>4974404598841505</v>
      </c>
      <c r="AS571" s="5">
        <f>SUM($AP$9:AP570)</f>
        <v>1.6628289421756582E+17</v>
      </c>
    </row>
    <row r="572" spans="1:45" x14ac:dyDescent="0.15">
      <c r="A572" s="5">
        <v>564</v>
      </c>
      <c r="J572" s="5">
        <f t="shared" si="64"/>
        <v>564</v>
      </c>
      <c r="K572" s="5">
        <f>SUM($AP$9:AP571)</f>
        <v>1.7398673892551104E+17</v>
      </c>
      <c r="L572" s="5">
        <f>LOOKUP(K572,AI:AI,AE:AE)</f>
        <v>620</v>
      </c>
      <c r="M572" s="5">
        <f>LOOKUP(L572,AE:AE,AG:AG)</f>
        <v>8506621567568500</v>
      </c>
      <c r="N572" s="5">
        <f>AM572/M572/$K$1</f>
        <v>1.6043032403778834</v>
      </c>
      <c r="O572" s="5">
        <f>SUM($N$9:N572)</f>
        <v>1842.0952916634599</v>
      </c>
      <c r="AE572" s="5">
        <f t="shared" si="65"/>
        <v>564</v>
      </c>
      <c r="AF572" s="5">
        <f t="shared" si="66"/>
        <v>507122653449636</v>
      </c>
      <c r="AG572" s="5">
        <f t="shared" si="67"/>
        <v>503551367157738</v>
      </c>
      <c r="AH572" s="5">
        <f>AG572*$AF$1</f>
        <v>5035513671577380</v>
      </c>
      <c r="AI572" s="5">
        <f>SUM($AF$9:AF571)</f>
        <v>9767468008343674</v>
      </c>
      <c r="AK572" s="5">
        <f t="shared" si="68"/>
        <v>564</v>
      </c>
      <c r="AL572" s="5">
        <f t="shared" si="69"/>
        <v>81</v>
      </c>
      <c r="AM572" s="5">
        <f t="shared" si="70"/>
        <v>2.04708008182778E+16</v>
      </c>
      <c r="AN572" s="5">
        <f>$AL$4*$AL$3^AL572*$AL$2</f>
        <v>2.047080081827782E+16</v>
      </c>
      <c r="AO572" s="5">
        <f>IF(AL572=AL573,1,LOOKUP(MOD(AL572,$AL$1),$AN$1:$AN$5,$AO$1:$AO$5))</f>
        <v>1</v>
      </c>
      <c r="AP572" s="5">
        <f t="shared" si="71"/>
        <v>7703844707945210</v>
      </c>
      <c r="AQ572" s="5">
        <f>AM572*$AR$3</f>
        <v>2729440109103706.5</v>
      </c>
      <c r="AR572" s="5">
        <f>AM572*AL572*$AR$4</f>
        <v>4974404598841505</v>
      </c>
      <c r="AS572" s="5">
        <f>SUM($AP$9:AP571)</f>
        <v>1.7398673892551104E+17</v>
      </c>
    </row>
    <row r="573" spans="1:45" x14ac:dyDescent="0.15">
      <c r="A573" s="5">
        <v>565</v>
      </c>
      <c r="J573" s="5">
        <f t="shared" si="64"/>
        <v>565</v>
      </c>
      <c r="K573" s="5">
        <f>SUM($AP$9:AP572)</f>
        <v>1.8169058363345626E+17</v>
      </c>
      <c r="L573" s="5">
        <f>LOOKUP(K573,AI:AI,AE:AE)</f>
        <v>621</v>
      </c>
      <c r="M573" s="5">
        <f>LOOKUP(L573,AE:AE,AG:AG)</f>
        <v>8946359021182320</v>
      </c>
      <c r="N573" s="5">
        <f>AM573/M573/$K$1</f>
        <v>1.5254474488678598</v>
      </c>
      <c r="O573" s="5">
        <f>SUM($N$9:N573)</f>
        <v>1843.6207391123278</v>
      </c>
      <c r="AE573" s="5">
        <f t="shared" si="65"/>
        <v>565</v>
      </c>
      <c r="AF573" s="5">
        <f t="shared" si="66"/>
        <v>533416248773742</v>
      </c>
      <c r="AG573" s="5">
        <f t="shared" si="67"/>
        <v>529666398167248</v>
      </c>
      <c r="AH573" s="5">
        <f>AG573*$AF$1</f>
        <v>5296663981672480</v>
      </c>
      <c r="AI573" s="5">
        <f>SUM($AF$9:AF572)</f>
        <v>1.027459066179331E+16</v>
      </c>
      <c r="AK573" s="5">
        <f t="shared" si="68"/>
        <v>565</v>
      </c>
      <c r="AL573" s="5">
        <f t="shared" si="69"/>
        <v>81</v>
      </c>
      <c r="AM573" s="5">
        <f t="shared" si="70"/>
        <v>2.04708008182778E+16</v>
      </c>
      <c r="AN573" s="5">
        <f>$AL$4*$AL$3^AL573*$AL$2</f>
        <v>2.047080081827782E+16</v>
      </c>
      <c r="AO573" s="5">
        <f>IF(AL573=AL574,1,LOOKUP(MOD(AL573,$AL$1),$AN$1:$AN$5,$AO$1:$AO$5))</f>
        <v>1</v>
      </c>
      <c r="AP573" s="5">
        <f t="shared" si="71"/>
        <v>7703844707945210</v>
      </c>
      <c r="AQ573" s="5">
        <f>AM573*$AR$3</f>
        <v>2729440109103706.5</v>
      </c>
      <c r="AR573" s="5">
        <f>AM573*AL573*$AR$4</f>
        <v>4974404598841505</v>
      </c>
      <c r="AS573" s="5">
        <f>SUM($AP$9:AP572)</f>
        <v>1.8169058363345626E+17</v>
      </c>
    </row>
    <row r="574" spans="1:45" x14ac:dyDescent="0.15">
      <c r="A574" s="5">
        <v>566</v>
      </c>
      <c r="J574" s="5">
        <f t="shared" si="64"/>
        <v>566</v>
      </c>
      <c r="K574" s="5">
        <f>SUM($AP$9:AP573)</f>
        <v>1.8939442834140147E+17</v>
      </c>
      <c r="L574" s="5">
        <f>LOOKUP(K574,AI:AI,AE:AE)</f>
        <v>622</v>
      </c>
      <c r="M574" s="5">
        <f>LOOKUP(L574,AE:AE,AG:AG)</f>
        <v>9408803666238600</v>
      </c>
      <c r="N574" s="5">
        <f>AM574/M574/$K$1</f>
        <v>1.4504713914361373</v>
      </c>
      <c r="O574" s="5">
        <f>SUM($N$9:N574)</f>
        <v>1845.071210503764</v>
      </c>
      <c r="AE574" s="5">
        <f t="shared" si="65"/>
        <v>566</v>
      </c>
      <c r="AF574" s="5">
        <f t="shared" si="66"/>
        <v>561071396996633</v>
      </c>
      <c r="AG574" s="5">
        <f t="shared" si="67"/>
        <v>557134053859815</v>
      </c>
      <c r="AH574" s="5">
        <f>AG574*$AF$1</f>
        <v>5571340538598150</v>
      </c>
      <c r="AI574" s="5">
        <f>SUM($AF$9:AF573)</f>
        <v>1.0808006910567052E+16</v>
      </c>
      <c r="AK574" s="5">
        <f t="shared" si="68"/>
        <v>566</v>
      </c>
      <c r="AL574" s="5">
        <f t="shared" si="69"/>
        <v>81</v>
      </c>
      <c r="AM574" s="5">
        <f t="shared" si="70"/>
        <v>2.04708008182778E+16</v>
      </c>
      <c r="AN574" s="5">
        <f>$AL$4*$AL$3^AL574*$AL$2</f>
        <v>2.047080081827782E+16</v>
      </c>
      <c r="AO574" s="5">
        <f>IF(AL574=AL575,1,LOOKUP(MOD(AL574,$AL$1),$AN$1:$AN$5,$AO$1:$AO$5))</f>
        <v>1</v>
      </c>
      <c r="AP574" s="5">
        <f t="shared" si="71"/>
        <v>7703844707945210</v>
      </c>
      <c r="AQ574" s="5">
        <f>AM574*$AR$3</f>
        <v>2729440109103706.5</v>
      </c>
      <c r="AR574" s="5">
        <f>AM574*AL574*$AR$4</f>
        <v>4974404598841505</v>
      </c>
      <c r="AS574" s="5">
        <f>SUM($AP$9:AP573)</f>
        <v>1.8939442834140147E+17</v>
      </c>
    </row>
    <row r="575" spans="1:45" x14ac:dyDescent="0.15">
      <c r="A575" s="5">
        <v>567</v>
      </c>
      <c r="J575" s="5">
        <f t="shared" si="64"/>
        <v>567</v>
      </c>
      <c r="K575" s="5">
        <f>SUM($AP$9:AP574)</f>
        <v>1.9709827304934669E+17</v>
      </c>
      <c r="L575" s="5">
        <f>LOOKUP(K575,AI:AI,AE:AE)</f>
        <v>623</v>
      </c>
      <c r="M575" s="5">
        <f>LOOKUP(L575,AE:AE,AG:AG)</f>
        <v>9895126878247560</v>
      </c>
      <c r="N575" s="5">
        <f>AM575/M575/$K$1</f>
        <v>9.6542879130367005</v>
      </c>
      <c r="O575" s="5">
        <f>SUM($N$9:N575)</f>
        <v>1854.7254984168007</v>
      </c>
      <c r="AE575" s="5">
        <f t="shared" si="65"/>
        <v>567</v>
      </c>
      <c r="AF575" s="5">
        <f t="shared" si="66"/>
        <v>590158519419880</v>
      </c>
      <c r="AG575" s="5">
        <f t="shared" si="67"/>
        <v>586024309126220</v>
      </c>
      <c r="AH575" s="5">
        <f>AG575*$AF$1</f>
        <v>5860243091262200</v>
      </c>
      <c r="AI575" s="5">
        <f>SUM($AF$9:AF574)</f>
        <v>1.1369078307563684E+16</v>
      </c>
      <c r="AK575" s="5">
        <f t="shared" si="68"/>
        <v>567</v>
      </c>
      <c r="AL575" s="5">
        <f t="shared" si="69"/>
        <v>81</v>
      </c>
      <c r="AM575" s="5">
        <f t="shared" si="70"/>
        <v>1.4329560572794499E+17</v>
      </c>
      <c r="AN575" s="5">
        <f>$AL$4*$AL$3^AL575*$AL$2</f>
        <v>2.047080081827782E+16</v>
      </c>
      <c r="AO575" s="5">
        <f>IF(AL575=AL576,1,LOOKUP(MOD(AL575,$AL$1),$AN$1:$AN$5,$AO$1:$AO$5))</f>
        <v>7</v>
      </c>
      <c r="AP575" s="5">
        <f t="shared" si="71"/>
        <v>5.39269129556166E+16</v>
      </c>
      <c r="AQ575" s="5">
        <f>AM575*$AR$3</f>
        <v>1.9106080763726E+16</v>
      </c>
      <c r="AR575" s="5">
        <f>AM575*AL575*$AR$4</f>
        <v>3.4820832191890632E+16</v>
      </c>
      <c r="AS575" s="5">
        <f>SUM($AP$9:AP574)</f>
        <v>1.9709827304934669E+17</v>
      </c>
    </row>
    <row r="576" spans="1:45" x14ac:dyDescent="0.15">
      <c r="A576" s="5">
        <v>568</v>
      </c>
      <c r="J576" s="5">
        <f t="shared" si="64"/>
        <v>568</v>
      </c>
      <c r="K576" s="5">
        <f>SUM($AP$9:AP575)</f>
        <v>2.510251860049633E+17</v>
      </c>
      <c r="L576" s="5">
        <f>LOOKUP(K576,AI:AI,AE:AE)</f>
        <v>628</v>
      </c>
      <c r="M576" s="5">
        <f>LOOKUP(L576,AE:AE,AG:AG)</f>
        <v>1.27303240767189E+16</v>
      </c>
      <c r="N576" s="5">
        <f>AM576/M576/$K$1</f>
        <v>1.6830761516627843</v>
      </c>
      <c r="O576" s="5">
        <f>SUM($N$9:N576)</f>
        <v>1856.4085745684636</v>
      </c>
      <c r="AE576" s="5">
        <f t="shared" si="65"/>
        <v>568</v>
      </c>
      <c r="AF576" s="5">
        <f t="shared" si="66"/>
        <v>620751675592959</v>
      </c>
      <c r="AG576" s="5">
        <f t="shared" si="67"/>
        <v>616410754784617</v>
      </c>
      <c r="AH576" s="5">
        <f>AG576*$AF$1</f>
        <v>6164107547846170</v>
      </c>
      <c r="AI576" s="5">
        <f>SUM($AF$9:AF575)</f>
        <v>1.1959236826983564E+16</v>
      </c>
      <c r="AK576" s="5">
        <f t="shared" si="68"/>
        <v>568</v>
      </c>
      <c r="AL576" s="5">
        <f t="shared" si="69"/>
        <v>82</v>
      </c>
      <c r="AM576" s="5">
        <f t="shared" si="70"/>
        <v>3.21391572846962E+16</v>
      </c>
      <c r="AN576" s="5">
        <f>$AL$4*$AL$3^AL576*$AL$2</f>
        <v>3.2139157284696176E+16</v>
      </c>
      <c r="AO576" s="5">
        <f>IF(AL576=AL577,1,LOOKUP(MOD(AL576,$AL$1),$AN$1:$AN$5,$AO$1:$AO$5))</f>
        <v>1</v>
      </c>
      <c r="AP576" s="5">
        <f t="shared" si="71"/>
        <v>1.21914536633281E+16</v>
      </c>
      <c r="AQ576" s="5">
        <f>AM576*$AR$3</f>
        <v>4285220971292826.5</v>
      </c>
      <c r="AR576" s="5">
        <f>AM576*AL576*$AR$4</f>
        <v>7906232692035266</v>
      </c>
      <c r="AS576" s="5">
        <f>SUM($AP$9:AP575)</f>
        <v>2.510251860049633E+17</v>
      </c>
    </row>
    <row r="577" spans="1:45" x14ac:dyDescent="0.15">
      <c r="A577" s="5">
        <v>569</v>
      </c>
      <c r="J577" s="5">
        <f t="shared" si="64"/>
        <v>569</v>
      </c>
      <c r="K577" s="5">
        <f>SUM($AP$9:AP576)</f>
        <v>2.6321663966829139E+17</v>
      </c>
      <c r="L577" s="5">
        <f>LOOKUP(K577,AI:AI,AE:AE)</f>
        <v>629</v>
      </c>
      <c r="M577" s="5">
        <f>LOOKUP(L577,AE:AE,AG:AG)</f>
        <v>1.33881250580717E+16</v>
      </c>
      <c r="N577" s="5">
        <f>AM577/M577/$K$1</f>
        <v>1.6003812903993107</v>
      </c>
      <c r="O577" s="5">
        <f>SUM($N$9:N577)</f>
        <v>1858.0089558588629</v>
      </c>
      <c r="AE577" s="5">
        <f t="shared" si="65"/>
        <v>569</v>
      </c>
      <c r="AF577" s="5">
        <f t="shared" si="66"/>
        <v>652928751084797</v>
      </c>
      <c r="AG577" s="5">
        <f t="shared" si="67"/>
        <v>648370784236038</v>
      </c>
      <c r="AH577" s="5">
        <f>AG577*$AF$1</f>
        <v>6483707842360380</v>
      </c>
      <c r="AI577" s="5">
        <f>SUM($AF$9:AF576)</f>
        <v>1.2579988502576524E+16</v>
      </c>
      <c r="AK577" s="5">
        <f t="shared" si="68"/>
        <v>569</v>
      </c>
      <c r="AL577" s="5">
        <f t="shared" si="69"/>
        <v>82</v>
      </c>
      <c r="AM577" s="5">
        <f t="shared" si="70"/>
        <v>3.21391572846962E+16</v>
      </c>
      <c r="AN577" s="5">
        <f>$AL$4*$AL$3^AL577*$AL$2</f>
        <v>3.2139157284696176E+16</v>
      </c>
      <c r="AO577" s="5">
        <f>IF(AL577=AL578,1,LOOKUP(MOD(AL577,$AL$1),$AN$1:$AN$5,$AO$1:$AO$5))</f>
        <v>1</v>
      </c>
      <c r="AP577" s="5">
        <f t="shared" si="71"/>
        <v>1.21914536633281E+16</v>
      </c>
      <c r="AQ577" s="5">
        <f>AM577*$AR$3</f>
        <v>4285220971292826.5</v>
      </c>
      <c r="AR577" s="5">
        <f>AM577*AL577*$AR$4</f>
        <v>7906232692035266</v>
      </c>
      <c r="AS577" s="5">
        <f>SUM($AP$9:AP576)</f>
        <v>2.6321663966829139E+17</v>
      </c>
    </row>
    <row r="578" spans="1:45" x14ac:dyDescent="0.15">
      <c r="A578" s="5">
        <v>570</v>
      </c>
      <c r="J578" s="5">
        <f t="shared" si="64"/>
        <v>570</v>
      </c>
      <c r="K578" s="5">
        <f>SUM($AP$9:AP577)</f>
        <v>2.7540809333161949E+17</v>
      </c>
      <c r="L578" s="5">
        <f>LOOKUP(K578,AI:AI,AE:AE)</f>
        <v>630</v>
      </c>
      <c r="M578" s="5">
        <f>LOOKUP(L578,AE:AE,AG:AG)</f>
        <v>1.40798803273679E+16</v>
      </c>
      <c r="N578" s="5">
        <f>AM578/M578/$K$1</f>
        <v>1.5217533358445483</v>
      </c>
      <c r="O578" s="5">
        <f>SUM($N$9:N578)</f>
        <v>1859.5307091947075</v>
      </c>
      <c r="AE578" s="5">
        <f t="shared" si="65"/>
        <v>570</v>
      </c>
      <c r="AF578" s="5">
        <f t="shared" si="66"/>
        <v>686771654936837</v>
      </c>
      <c r="AG578" s="5">
        <f t="shared" si="67"/>
        <v>681985789745639</v>
      </c>
      <c r="AH578" s="5">
        <f>AG578*$AF$1</f>
        <v>6819857897456390</v>
      </c>
      <c r="AI578" s="5">
        <f>SUM($AF$9:AF577)</f>
        <v>1.323291725366132E+16</v>
      </c>
      <c r="AK578" s="5">
        <f t="shared" si="68"/>
        <v>570</v>
      </c>
      <c r="AL578" s="5">
        <f t="shared" si="69"/>
        <v>82</v>
      </c>
      <c r="AM578" s="5">
        <f t="shared" si="70"/>
        <v>3.21391572846962E+16</v>
      </c>
      <c r="AN578" s="5">
        <f>$AL$4*$AL$3^AL578*$AL$2</f>
        <v>3.2139157284696176E+16</v>
      </c>
      <c r="AO578" s="5">
        <f>IF(AL578=AL579,1,LOOKUP(MOD(AL578,$AL$1),$AN$1:$AN$5,$AO$1:$AO$5))</f>
        <v>1</v>
      </c>
      <c r="AP578" s="5">
        <f t="shared" si="71"/>
        <v>1.21914536633281E+16</v>
      </c>
      <c r="AQ578" s="5">
        <f>AM578*$AR$3</f>
        <v>4285220971292826.5</v>
      </c>
      <c r="AR578" s="5">
        <f>AM578*AL578*$AR$4</f>
        <v>7906232692035266</v>
      </c>
      <c r="AS578" s="5">
        <f>SUM($AP$9:AP577)</f>
        <v>2.7540809333161949E+17</v>
      </c>
    </row>
    <row r="579" spans="1:45" x14ac:dyDescent="0.15">
      <c r="A579" s="5">
        <v>571</v>
      </c>
      <c r="J579" s="5">
        <f t="shared" si="64"/>
        <v>571</v>
      </c>
      <c r="K579" s="5">
        <f>SUM($AP$9:AP578)</f>
        <v>2.8759954699494758E+17</v>
      </c>
      <c r="L579" s="5">
        <f>LOOKUP(K579,AI:AI,AE:AE)</f>
        <v>630</v>
      </c>
      <c r="M579" s="5">
        <f>LOOKUP(L579,AE:AE,AG:AG)</f>
        <v>1.40798803273679E+16</v>
      </c>
      <c r="N579" s="5">
        <f>AM579/M579/$K$1</f>
        <v>1.5217533358445483</v>
      </c>
      <c r="O579" s="5">
        <f>SUM($N$9:N579)</f>
        <v>1861.052462530552</v>
      </c>
      <c r="AE579" s="5">
        <f t="shared" si="65"/>
        <v>571</v>
      </c>
      <c r="AF579" s="5">
        <f t="shared" si="66"/>
        <v>722366527296368</v>
      </c>
      <c r="AG579" s="5">
        <f t="shared" si="67"/>
        <v>717341368845610</v>
      </c>
      <c r="AH579" s="5">
        <f>AG579*$AF$1</f>
        <v>7173413688456100</v>
      </c>
      <c r="AI579" s="5">
        <f>SUM($AF$9:AF578)</f>
        <v>1.3919688908598156E+16</v>
      </c>
      <c r="AK579" s="5">
        <f t="shared" si="68"/>
        <v>571</v>
      </c>
      <c r="AL579" s="5">
        <f t="shared" si="69"/>
        <v>82</v>
      </c>
      <c r="AM579" s="5">
        <f t="shared" si="70"/>
        <v>3.21391572846962E+16</v>
      </c>
      <c r="AN579" s="5">
        <f>$AL$4*$AL$3^AL579*$AL$2</f>
        <v>3.2139157284696176E+16</v>
      </c>
      <c r="AO579" s="5">
        <f>IF(AL579=AL580,1,LOOKUP(MOD(AL579,$AL$1),$AN$1:$AN$5,$AO$1:$AO$5))</f>
        <v>1</v>
      </c>
      <c r="AP579" s="5">
        <f t="shared" si="71"/>
        <v>1.21914536633281E+16</v>
      </c>
      <c r="AQ579" s="5">
        <f>AM579*$AR$3</f>
        <v>4285220971292826.5</v>
      </c>
      <c r="AR579" s="5">
        <f>AM579*AL579*$AR$4</f>
        <v>7906232692035266</v>
      </c>
      <c r="AS579" s="5">
        <f>SUM($AP$9:AP578)</f>
        <v>2.8759954699494758E+17</v>
      </c>
    </row>
    <row r="580" spans="1:45" x14ac:dyDescent="0.15">
      <c r="A580" s="5">
        <v>572</v>
      </c>
      <c r="J580" s="5">
        <f t="shared" si="64"/>
        <v>572</v>
      </c>
      <c r="K580" s="5">
        <f>SUM($AP$9:AP579)</f>
        <v>2.9979100065827571E+17</v>
      </c>
      <c r="L580" s="5">
        <f>LOOKUP(K580,AI:AI,AE:AE)</f>
        <v>631</v>
      </c>
      <c r="M580" s="5">
        <f>LOOKUP(L580,AE:AE,AG:AG)</f>
        <v>1.48073408109486E+16</v>
      </c>
      <c r="N580" s="5">
        <f>AM580/M580/$K$1</f>
        <v>1.4469920784575712</v>
      </c>
      <c r="O580" s="5">
        <f>SUM($N$9:N580)</f>
        <v>1862.4994546090095</v>
      </c>
      <c r="AE580" s="5">
        <f t="shared" si="65"/>
        <v>572</v>
      </c>
      <c r="AF580" s="5">
        <f t="shared" si="66"/>
        <v>759803957754510</v>
      </c>
      <c r="AG580" s="5">
        <f t="shared" si="67"/>
        <v>754527541381215</v>
      </c>
      <c r="AH580" s="5">
        <f>AG580*$AF$1</f>
        <v>7545275413812150</v>
      </c>
      <c r="AI580" s="5">
        <f>SUM($AF$9:AF579)</f>
        <v>1.4642055435894524E+16</v>
      </c>
      <c r="AK580" s="5">
        <f t="shared" si="68"/>
        <v>572</v>
      </c>
      <c r="AL580" s="5">
        <f t="shared" si="69"/>
        <v>82</v>
      </c>
      <c r="AM580" s="5">
        <f t="shared" si="70"/>
        <v>3.21391572846962E+16</v>
      </c>
      <c r="AN580" s="5">
        <f>$AL$4*$AL$3^AL580*$AL$2</f>
        <v>3.2139157284696176E+16</v>
      </c>
      <c r="AO580" s="5">
        <f>IF(AL580=AL581,1,LOOKUP(MOD(AL580,$AL$1),$AN$1:$AN$5,$AO$1:$AO$5))</f>
        <v>1</v>
      </c>
      <c r="AP580" s="5">
        <f t="shared" si="71"/>
        <v>1.21914536633281E+16</v>
      </c>
      <c r="AQ580" s="5">
        <f>AM580*$AR$3</f>
        <v>4285220971292826.5</v>
      </c>
      <c r="AR580" s="5">
        <f>AM580*AL580*$AR$4</f>
        <v>7906232692035266</v>
      </c>
      <c r="AS580" s="5">
        <f>SUM($AP$9:AP579)</f>
        <v>2.9979100065827571E+17</v>
      </c>
    </row>
    <row r="581" spans="1:45" x14ac:dyDescent="0.15">
      <c r="A581" s="5">
        <v>573</v>
      </c>
      <c r="J581" s="5">
        <f t="shared" si="64"/>
        <v>573</v>
      </c>
      <c r="K581" s="5">
        <f>SUM($AP$9:AP580)</f>
        <v>3.1198245432160384E+17</v>
      </c>
      <c r="L581" s="5">
        <f>LOOKUP(K581,AI:AI,AE:AE)</f>
        <v>632</v>
      </c>
      <c r="M581" s="5">
        <f>LOOKUP(L581,AE:AE,AG:AG)</f>
        <v>1.55723476420689E+16</v>
      </c>
      <c r="N581" s="5">
        <f>AM581/M581/$K$1</f>
        <v>1.3759071752663183</v>
      </c>
      <c r="O581" s="5">
        <f>SUM($N$9:N581)</f>
        <v>1863.8753617842758</v>
      </c>
      <c r="AE581" s="5">
        <f t="shared" si="65"/>
        <v>573</v>
      </c>
      <c r="AF581" s="5">
        <f t="shared" si="66"/>
        <v>799179214940226</v>
      </c>
      <c r="AG581" s="5">
        <f t="shared" si="67"/>
        <v>793638977748266</v>
      </c>
      <c r="AH581" s="5">
        <f>AG581*$AF$1</f>
        <v>7936389777482660</v>
      </c>
      <c r="AI581" s="5">
        <f>SUM($AF$9:AF580)</f>
        <v>1.5401859393649034E+16</v>
      </c>
      <c r="AK581" s="5">
        <f t="shared" si="68"/>
        <v>573</v>
      </c>
      <c r="AL581" s="5">
        <f t="shared" si="69"/>
        <v>82</v>
      </c>
      <c r="AM581" s="5">
        <f t="shared" si="70"/>
        <v>3.21391572846962E+16</v>
      </c>
      <c r="AN581" s="5">
        <f>$AL$4*$AL$3^AL581*$AL$2</f>
        <v>3.2139157284696176E+16</v>
      </c>
      <c r="AO581" s="5">
        <f>IF(AL581=AL582,1,LOOKUP(MOD(AL581,$AL$1),$AN$1:$AN$5,$AO$1:$AO$5))</f>
        <v>1</v>
      </c>
      <c r="AP581" s="5">
        <f t="shared" si="71"/>
        <v>1.21914536633281E+16</v>
      </c>
      <c r="AQ581" s="5">
        <f>AM581*$AR$3</f>
        <v>4285220971292826.5</v>
      </c>
      <c r="AR581" s="5">
        <f>AM581*AL581*$AR$4</f>
        <v>7906232692035266</v>
      </c>
      <c r="AS581" s="5">
        <f>SUM($AP$9:AP580)</f>
        <v>3.1198245432160384E+17</v>
      </c>
    </row>
    <row r="582" spans="1:45" x14ac:dyDescent="0.15">
      <c r="A582" s="5">
        <v>574</v>
      </c>
      <c r="J582" s="5">
        <f t="shared" si="64"/>
        <v>574</v>
      </c>
      <c r="K582" s="5">
        <f>SUM($AP$9:AP581)</f>
        <v>3.2417390798493197E+17</v>
      </c>
      <c r="L582" s="5">
        <f>LOOKUP(K582,AI:AI,AE:AE)</f>
        <v>633</v>
      </c>
      <c r="M582" s="5">
        <f>LOOKUP(L582,AE:AE,AG:AG)</f>
        <v>1.63768368042739E+16</v>
      </c>
      <c r="N582" s="5">
        <f>AM582/M582/$K$1</f>
        <v>9.1582236415830511</v>
      </c>
      <c r="O582" s="5">
        <f>SUM($N$9:N582)</f>
        <v>1873.033585425859</v>
      </c>
      <c r="AE582" s="5">
        <f t="shared" si="65"/>
        <v>574</v>
      </c>
      <c r="AF582" s="5">
        <f t="shared" si="66"/>
        <v>840592487950126</v>
      </c>
      <c r="AG582" s="5">
        <f t="shared" si="67"/>
        <v>834775238898568</v>
      </c>
      <c r="AH582" s="5">
        <f>AG582*$AF$1</f>
        <v>8347752388985680</v>
      </c>
      <c r="AI582" s="5">
        <f>SUM($AF$9:AF581)</f>
        <v>1.620103860858926E+16</v>
      </c>
      <c r="AK582" s="5">
        <f t="shared" si="68"/>
        <v>574</v>
      </c>
      <c r="AL582" s="5">
        <f t="shared" si="69"/>
        <v>82</v>
      </c>
      <c r="AM582" s="5">
        <f t="shared" si="70"/>
        <v>2.2497410099287299E+17</v>
      </c>
      <c r="AN582" s="5">
        <f>$AL$4*$AL$3^AL582*$AL$2</f>
        <v>3.2139157284696176E+16</v>
      </c>
      <c r="AO582" s="5">
        <f>IF(AL582=AL583,1,LOOKUP(MOD(AL582,$AL$1),$AN$1:$AN$5,$AO$1:$AO$5))</f>
        <v>7</v>
      </c>
      <c r="AP582" s="5">
        <f t="shared" si="71"/>
        <v>8.5340175643296496E+16</v>
      </c>
      <c r="AQ582" s="5">
        <f>AM582*$AR$3</f>
        <v>2.9996546799049732E+16</v>
      </c>
      <c r="AR582" s="5">
        <f>AM582*AL582*$AR$4</f>
        <v>5.534362884424676E+16</v>
      </c>
      <c r="AS582" s="5">
        <f>SUM($AP$9:AP581)</f>
        <v>3.2417390798493197E+17</v>
      </c>
    </row>
    <row r="583" spans="1:45" x14ac:dyDescent="0.15">
      <c r="A583" s="5">
        <v>575</v>
      </c>
      <c r="J583" s="5">
        <f t="shared" si="64"/>
        <v>575</v>
      </c>
      <c r="K583" s="5">
        <f>SUM($AP$9:AP582)</f>
        <v>4.0951408362822848E+17</v>
      </c>
      <c r="L583" s="5">
        <f>LOOKUP(K583,AI:AI,AE:AE)</f>
        <v>637</v>
      </c>
      <c r="M583" s="5">
        <f>LOOKUP(L583,AE:AE,AG:AG)</f>
        <v>2.00319367324731E+16</v>
      </c>
      <c r="N583" s="5">
        <f>AM583/M583/$K$1</f>
        <v>1.6792677150441293</v>
      </c>
      <c r="O583" s="5">
        <f>SUM($N$9:N583)</f>
        <v>1874.712853140903</v>
      </c>
      <c r="AE583" s="5">
        <f t="shared" si="65"/>
        <v>575</v>
      </c>
      <c r="AF583" s="5">
        <f t="shared" si="66"/>
        <v>884149140223667</v>
      </c>
      <c r="AG583" s="5">
        <f t="shared" si="67"/>
        <v>878041028719531</v>
      </c>
      <c r="AH583" s="5">
        <f>AG583*$AF$1</f>
        <v>8780410287195310</v>
      </c>
      <c r="AI583" s="5">
        <f>SUM($AF$9:AF582)</f>
        <v>1.7041631096539386E+16</v>
      </c>
      <c r="AK583" s="5">
        <f t="shared" si="68"/>
        <v>575</v>
      </c>
      <c r="AL583" s="5">
        <f t="shared" si="69"/>
        <v>83</v>
      </c>
      <c r="AM583" s="5">
        <f t="shared" si="70"/>
        <v>5.0458476936973E+16</v>
      </c>
      <c r="AN583" s="5">
        <f>$AL$4*$AL$3^AL583*$AL$2</f>
        <v>5.0458476936973008E+16</v>
      </c>
      <c r="AO583" s="5">
        <f>IF(AL583=AL584,1,LOOKUP(MOD(AL583,$AL$1),$AN$1:$AN$5,$AO$1:$AO$5))</f>
        <v>1</v>
      </c>
      <c r="AP583" s="5">
        <f t="shared" si="71"/>
        <v>1.9291957682236E+16</v>
      </c>
      <c r="AQ583" s="5">
        <f>AM583*$AR$3</f>
        <v>6727796924929733</v>
      </c>
      <c r="AR583" s="5">
        <f>AM583*AL583*$AR$4</f>
        <v>1.2564160757306276E+16</v>
      </c>
      <c r="AS583" s="5">
        <f>SUM($AP$9:AP582)</f>
        <v>4.0951408362822848E+17</v>
      </c>
    </row>
    <row r="584" spans="1:45" x14ac:dyDescent="0.15">
      <c r="A584" s="5">
        <v>576</v>
      </c>
      <c r="J584" s="5">
        <f t="shared" si="64"/>
        <v>576</v>
      </c>
      <c r="K584" s="5">
        <f>SUM($AP$9:AP583)</f>
        <v>4.2880604131046451E+17</v>
      </c>
      <c r="L584" s="5">
        <f>LOOKUP(K584,AI:AI,AE:AE)</f>
        <v>638</v>
      </c>
      <c r="M584" s="5">
        <f>LOOKUP(L584,AE:AE,AG:AG)</f>
        <v>2.10665532450294E+16</v>
      </c>
      <c r="N584" s="5">
        <f>AM584/M584/$K$1</f>
        <v>1.596795841891492</v>
      </c>
      <c r="O584" s="5">
        <f>SUM($N$9:N584)</f>
        <v>1876.3096489827944</v>
      </c>
      <c r="AE584" s="5">
        <f t="shared" si="65"/>
        <v>576</v>
      </c>
      <c r="AF584" s="5">
        <f t="shared" si="66"/>
        <v>929959976504686</v>
      </c>
      <c r="AG584" s="5">
        <f t="shared" si="67"/>
        <v>923546459425343</v>
      </c>
      <c r="AH584" s="5">
        <f>AG584*$AF$1</f>
        <v>9235464594253430</v>
      </c>
      <c r="AI584" s="5">
        <f>SUM($AF$9:AF583)</f>
        <v>1.7925780236763052E+16</v>
      </c>
      <c r="AK584" s="5">
        <f t="shared" si="68"/>
        <v>576</v>
      </c>
      <c r="AL584" s="5">
        <f t="shared" si="69"/>
        <v>83</v>
      </c>
      <c r="AM584" s="5">
        <f t="shared" si="70"/>
        <v>5.0458476936973E+16</v>
      </c>
      <c r="AN584" s="5">
        <f>$AL$4*$AL$3^AL584*$AL$2</f>
        <v>5.0458476936973008E+16</v>
      </c>
      <c r="AO584" s="5">
        <f>IF(AL584=AL585,1,LOOKUP(MOD(AL584,$AL$1),$AN$1:$AN$5,$AO$1:$AO$5))</f>
        <v>1</v>
      </c>
      <c r="AP584" s="5">
        <f t="shared" si="71"/>
        <v>1.9291957682236E+16</v>
      </c>
      <c r="AQ584" s="5">
        <f>AM584*$AR$3</f>
        <v>6727796924929733</v>
      </c>
      <c r="AR584" s="5">
        <f>AM584*AL584*$AR$4</f>
        <v>1.2564160757306276E+16</v>
      </c>
      <c r="AS584" s="5">
        <f>SUM($AP$9:AP583)</f>
        <v>4.2880604131046451E+17</v>
      </c>
    </row>
    <row r="585" spans="1:45" x14ac:dyDescent="0.15">
      <c r="A585" s="5">
        <v>577</v>
      </c>
      <c r="J585" s="5">
        <f t="shared" si="64"/>
        <v>577</v>
      </c>
      <c r="K585" s="5">
        <f>SUM($AP$9:AP584)</f>
        <v>4.4809799899270054E+17</v>
      </c>
      <c r="L585" s="5">
        <f>LOOKUP(K585,AI:AI,AE:AE)</f>
        <v>639</v>
      </c>
      <c r="M585" s="5">
        <f>LOOKUP(L585,AE:AE,AG:AG)</f>
        <v>2.21545515670102E+16</v>
      </c>
      <c r="N585" s="5">
        <f>AM585/M585/$K$1</f>
        <v>1.5183780417717709</v>
      </c>
      <c r="O585" s="5">
        <f>SUM($N$9:N585)</f>
        <v>1877.8280270245662</v>
      </c>
      <c r="AE585" s="5">
        <f t="shared" si="65"/>
        <v>577</v>
      </c>
      <c r="AF585" s="5">
        <f t="shared" si="66"/>
        <v>978141523563247</v>
      </c>
      <c r="AG585" s="5">
        <f t="shared" si="67"/>
        <v>971407330629938</v>
      </c>
      <c r="AH585" s="5">
        <f>AG585*$AF$1</f>
        <v>9714073306299380</v>
      </c>
      <c r="AI585" s="5">
        <f>SUM($AF$9:AF584)</f>
        <v>1.8855740213267736E+16</v>
      </c>
      <c r="AK585" s="5">
        <f t="shared" si="68"/>
        <v>577</v>
      </c>
      <c r="AL585" s="5">
        <f t="shared" si="69"/>
        <v>83</v>
      </c>
      <c r="AM585" s="5">
        <f t="shared" si="70"/>
        <v>5.0458476936973E+16</v>
      </c>
      <c r="AN585" s="5">
        <f>$AL$4*$AL$3^AL585*$AL$2</f>
        <v>5.0458476936973008E+16</v>
      </c>
      <c r="AO585" s="5">
        <f>IF(AL585=AL586,1,LOOKUP(MOD(AL585,$AL$1),$AN$1:$AN$5,$AO$1:$AO$5))</f>
        <v>1</v>
      </c>
      <c r="AP585" s="5">
        <f t="shared" si="71"/>
        <v>1.9291957682236E+16</v>
      </c>
      <c r="AQ585" s="5">
        <f>AM585*$AR$3</f>
        <v>6727796924929733</v>
      </c>
      <c r="AR585" s="5">
        <f>AM585*AL585*$AR$4</f>
        <v>1.2564160757306276E+16</v>
      </c>
      <c r="AS585" s="5">
        <f>SUM($AP$9:AP584)</f>
        <v>4.4809799899270054E+17</v>
      </c>
    </row>
    <row r="586" spans="1:45" x14ac:dyDescent="0.15">
      <c r="A586" s="5">
        <v>578</v>
      </c>
      <c r="J586" s="5">
        <f t="shared" ref="J586:J649" si="72">A586</f>
        <v>578</v>
      </c>
      <c r="K586" s="5">
        <f>SUM($AP$9:AP585)</f>
        <v>4.6738995667493658E+17</v>
      </c>
      <c r="L586" s="5">
        <f>LOOKUP(K586,AI:AI,AE:AE)</f>
        <v>640</v>
      </c>
      <c r="M586" s="5">
        <f>LOOKUP(L586,AE:AE,AG:AG)</f>
        <v>2.32986833380764E+16</v>
      </c>
      <c r="N586" s="5">
        <f>AM586/M586/$K$1</f>
        <v>1.443814834363339</v>
      </c>
      <c r="O586" s="5">
        <f>SUM($N$9:N586)</f>
        <v>1879.2718418589295</v>
      </c>
      <c r="AE586" s="5">
        <f t="shared" ref="AE586:AE649" si="73">A586</f>
        <v>578</v>
      </c>
      <c r="AF586" s="5">
        <f t="shared" ref="AF586:AF649" si="74">ROUND(1.05^AE586*(AE586+4),0)</f>
        <v>1028816325386400</v>
      </c>
      <c r="AG586" s="5">
        <f t="shared" ref="AG586:AG649" si="75">ROUND(1.05^AE586*AE586,0)</f>
        <v>1021745422806430</v>
      </c>
      <c r="AH586" s="5">
        <f>AG586*$AF$1</f>
        <v>1.02174542280643E+16</v>
      </c>
      <c r="AI586" s="5">
        <f>SUM($AF$9:AF585)</f>
        <v>1.9833881736830984E+16</v>
      </c>
      <c r="AK586" s="5">
        <f t="shared" ref="AK586:AK649" si="76">A586</f>
        <v>578</v>
      </c>
      <c r="AL586" s="5">
        <f t="shared" ref="AL586:AL649" si="77">ROUNDUP(AK586/$AL$1,0)</f>
        <v>83</v>
      </c>
      <c r="AM586" s="5">
        <f t="shared" ref="AM586:AM649" si="78">ROUND(AN586*AO586,0)</f>
        <v>5.0458476936973E+16</v>
      </c>
      <c r="AN586" s="5">
        <f>$AL$4*$AL$3^AL586*$AL$2</f>
        <v>5.0458476936973008E+16</v>
      </c>
      <c r="AO586" s="5">
        <f>IF(AL586=AL587,1,LOOKUP(MOD(AL586,$AL$1),$AN$1:$AN$5,$AO$1:$AO$5))</f>
        <v>1</v>
      </c>
      <c r="AP586" s="5">
        <f t="shared" ref="AP586:AP649" si="79">ROUND(AQ586+AR586,0)</f>
        <v>1.9291957682236E+16</v>
      </c>
      <c r="AQ586" s="5">
        <f>AM586*$AR$3</f>
        <v>6727796924929733</v>
      </c>
      <c r="AR586" s="5">
        <f>AM586*AL586*$AR$4</f>
        <v>1.2564160757306276E+16</v>
      </c>
      <c r="AS586" s="5">
        <f>SUM($AP$9:AP585)</f>
        <v>4.6738995667493658E+17</v>
      </c>
    </row>
    <row r="587" spans="1:45" x14ac:dyDescent="0.15">
      <c r="A587" s="5">
        <v>579</v>
      </c>
      <c r="J587" s="5">
        <f t="shared" si="72"/>
        <v>579</v>
      </c>
      <c r="K587" s="5">
        <f>SUM($AP$9:AP586)</f>
        <v>4.8668191435717261E+17</v>
      </c>
      <c r="L587" s="5">
        <f>LOOKUP(K587,AI:AI,AE:AE)</f>
        <v>641</v>
      </c>
      <c r="M587" s="5">
        <f>LOOKUP(L587,AE:AE,AG:AG)</f>
        <v>2.45018419073318E+16</v>
      </c>
      <c r="N587" s="5">
        <f>AM587/M587/$K$1</f>
        <v>1.3729165648800761</v>
      </c>
      <c r="O587" s="5">
        <f>SUM($N$9:N587)</f>
        <v>1880.6447584238097</v>
      </c>
      <c r="AE587" s="5">
        <f t="shared" si="73"/>
        <v>579</v>
      </c>
      <c r="AF587" s="5">
        <f t="shared" si="74"/>
        <v>1082113253582970</v>
      </c>
      <c r="AG587" s="5">
        <f t="shared" si="75"/>
        <v>1074688805873990</v>
      </c>
      <c r="AH587" s="5">
        <f>AG587*$AF$1</f>
        <v>1.07468880587399E+16</v>
      </c>
      <c r="AI587" s="5">
        <f>SUM($AF$9:AF586)</f>
        <v>2.0862698062217384E+16</v>
      </c>
      <c r="AK587" s="5">
        <f t="shared" si="76"/>
        <v>579</v>
      </c>
      <c r="AL587" s="5">
        <f t="shared" si="77"/>
        <v>83</v>
      </c>
      <c r="AM587" s="5">
        <f t="shared" si="78"/>
        <v>5.0458476936973E+16</v>
      </c>
      <c r="AN587" s="5">
        <f>$AL$4*$AL$3^AL587*$AL$2</f>
        <v>5.0458476936973008E+16</v>
      </c>
      <c r="AO587" s="5">
        <f>IF(AL587=AL588,1,LOOKUP(MOD(AL587,$AL$1),$AN$1:$AN$5,$AO$1:$AO$5))</f>
        <v>1</v>
      </c>
      <c r="AP587" s="5">
        <f t="shared" si="79"/>
        <v>1.9291957682236E+16</v>
      </c>
      <c r="AQ587" s="5">
        <f>AM587*$AR$3</f>
        <v>6727796924929733</v>
      </c>
      <c r="AR587" s="5">
        <f>AM587*AL587*$AR$4</f>
        <v>1.2564160757306276E+16</v>
      </c>
      <c r="AS587" s="5">
        <f>SUM($AP$9:AP586)</f>
        <v>4.8668191435717261E+17</v>
      </c>
    </row>
    <row r="588" spans="1:45" x14ac:dyDescent="0.15">
      <c r="A588" s="5">
        <v>580</v>
      </c>
      <c r="J588" s="5">
        <f t="shared" si="72"/>
        <v>580</v>
      </c>
      <c r="K588" s="5">
        <f>SUM($AP$9:AP587)</f>
        <v>5.0597387203940864E+17</v>
      </c>
      <c r="L588" s="5">
        <f>LOOKUP(K588,AI:AI,AE:AE)</f>
        <v>642</v>
      </c>
      <c r="M588" s="5">
        <f>LOOKUP(L588,AE:AE,AG:AG)</f>
        <v>2.57670696251675E+16</v>
      </c>
      <c r="N588" s="5">
        <f>AM588/M588/$K$1</f>
        <v>1.3055029195788885</v>
      </c>
      <c r="O588" s="5">
        <f>SUM($N$9:N588)</f>
        <v>1881.9502613433885</v>
      </c>
      <c r="AE588" s="5">
        <f t="shared" si="73"/>
        <v>580</v>
      </c>
      <c r="AF588" s="5">
        <f t="shared" si="74"/>
        <v>1138167833785720</v>
      </c>
      <c r="AG588" s="5">
        <f t="shared" si="75"/>
        <v>1130372163691300</v>
      </c>
      <c r="AH588" s="5">
        <f>AG588*$AF$1</f>
        <v>1.1303721636913E+16</v>
      </c>
      <c r="AI588" s="5">
        <f>SUM($AF$9:AF587)</f>
        <v>2.1944811315800352E+16</v>
      </c>
      <c r="AK588" s="5">
        <f t="shared" si="76"/>
        <v>580</v>
      </c>
      <c r="AL588" s="5">
        <f t="shared" si="77"/>
        <v>83</v>
      </c>
      <c r="AM588" s="5">
        <f t="shared" si="78"/>
        <v>5.0458476936973E+16</v>
      </c>
      <c r="AN588" s="5">
        <f>$AL$4*$AL$3^AL588*$AL$2</f>
        <v>5.0458476936973008E+16</v>
      </c>
      <c r="AO588" s="5">
        <f>IF(AL588=AL589,1,LOOKUP(MOD(AL588,$AL$1),$AN$1:$AN$5,$AO$1:$AO$5))</f>
        <v>1</v>
      </c>
      <c r="AP588" s="5">
        <f t="shared" si="79"/>
        <v>1.9291957682236E+16</v>
      </c>
      <c r="AQ588" s="5">
        <f>AM588*$AR$3</f>
        <v>6727796924929733</v>
      </c>
      <c r="AR588" s="5">
        <f>AM588*AL588*$AR$4</f>
        <v>1.2564160757306276E+16</v>
      </c>
      <c r="AS588" s="5">
        <f>SUM($AP$9:AP587)</f>
        <v>5.0597387203940864E+17</v>
      </c>
    </row>
    <row r="589" spans="1:45" x14ac:dyDescent="0.15">
      <c r="A589" s="5">
        <v>581</v>
      </c>
      <c r="J589" s="5">
        <f t="shared" si="72"/>
        <v>581</v>
      </c>
      <c r="K589" s="5">
        <f>SUM($AP$9:AP588)</f>
        <v>5.2526582972164467E+17</v>
      </c>
      <c r="L589" s="5">
        <f>LOOKUP(K589,AI:AI,AE:AE)</f>
        <v>642</v>
      </c>
      <c r="M589" s="5">
        <f>LOOKUP(L589,AE:AE,AG:AG)</f>
        <v>2.57670696251675E+16</v>
      </c>
      <c r="N589" s="5">
        <f>AM589/M589/$K$1</f>
        <v>9.1385204370522199</v>
      </c>
      <c r="O589" s="5">
        <f>SUM($N$9:N589)</f>
        <v>1891.0887817804407</v>
      </c>
      <c r="AE589" s="5">
        <f t="shared" si="73"/>
        <v>581</v>
      </c>
      <c r="AF589" s="5">
        <f t="shared" si="74"/>
        <v>1197122588874790</v>
      </c>
      <c r="AG589" s="5">
        <f t="shared" si="75"/>
        <v>1188937135275650</v>
      </c>
      <c r="AH589" s="5">
        <f>AG589*$AF$1</f>
        <v>1.18893713527565E+16</v>
      </c>
      <c r="AI589" s="5">
        <f>SUM($AF$9:AF588)</f>
        <v>2.3082979149586072E+16</v>
      </c>
      <c r="AK589" s="5">
        <f t="shared" si="76"/>
        <v>581</v>
      </c>
      <c r="AL589" s="5">
        <f t="shared" si="77"/>
        <v>83</v>
      </c>
      <c r="AM589" s="5">
        <f t="shared" si="78"/>
        <v>3.5320933855881101E+17</v>
      </c>
      <c r="AN589" s="5">
        <f>$AL$4*$AL$3^AL589*$AL$2</f>
        <v>5.0458476936973008E+16</v>
      </c>
      <c r="AO589" s="5">
        <f>IF(AL589=AL590,1,LOOKUP(MOD(AL589,$AL$1),$AN$1:$AN$5,$AO$1:$AO$5))</f>
        <v>7</v>
      </c>
      <c r="AP589" s="5">
        <f t="shared" si="79"/>
        <v>1.35043703775652E+17</v>
      </c>
      <c r="AQ589" s="5">
        <f>AM589*$AR$3</f>
        <v>4.7094578474508136E+16</v>
      </c>
      <c r="AR589" s="5">
        <f>AM589*AL589*$AR$4</f>
        <v>8.7949125301143952E+16</v>
      </c>
      <c r="AS589" s="5">
        <f>SUM($AP$9:AP588)</f>
        <v>5.2526582972164467E+17</v>
      </c>
    </row>
    <row r="590" spans="1:45" x14ac:dyDescent="0.15">
      <c r="A590" s="5">
        <v>582</v>
      </c>
      <c r="J590" s="5">
        <f t="shared" si="72"/>
        <v>582</v>
      </c>
      <c r="K590" s="5">
        <f>SUM($AP$9:AP589)</f>
        <v>6.6030953349729664E+17</v>
      </c>
      <c r="L590" s="5">
        <f>LOOKUP(K590,AI:AI,AE:AE)</f>
        <v>647</v>
      </c>
      <c r="M590" s="5">
        <f>LOOKUP(L590,AE:AE,AG:AG)</f>
        <v>3.31421576570389E+16</v>
      </c>
      <c r="N590" s="5">
        <f>AM590/M590/$K$1</f>
        <v>1.5935355328165144</v>
      </c>
      <c r="O590" s="5">
        <f>SUM($N$9:N590)</f>
        <v>1892.6823173132573</v>
      </c>
      <c r="AE590" s="5">
        <f t="shared" si="73"/>
        <v>582</v>
      </c>
      <c r="AF590" s="5">
        <f t="shared" si="74"/>
        <v>1259127399888310</v>
      </c>
      <c r="AG590" s="5">
        <f t="shared" si="75"/>
        <v>1250532673609210</v>
      </c>
      <c r="AH590" s="5">
        <f>AG590*$AF$1</f>
        <v>1.25053267360921E+16</v>
      </c>
      <c r="AI590" s="5">
        <f>SUM($AF$9:AF589)</f>
        <v>2.4280101738460864E+16</v>
      </c>
      <c r="AK590" s="5">
        <f t="shared" si="76"/>
        <v>582</v>
      </c>
      <c r="AL590" s="5">
        <f t="shared" si="77"/>
        <v>84</v>
      </c>
      <c r="AM590" s="5">
        <f t="shared" si="78"/>
        <v>7.92198087910476E+16</v>
      </c>
      <c r="AN590" s="5">
        <f>$AL$4*$AL$3^AL590*$AL$2</f>
        <v>7.92198087910476E+16</v>
      </c>
      <c r="AO590" s="5">
        <f>IF(AL590=AL591,1,LOOKUP(MOD(AL590,$AL$1),$AN$1:$AN$5,$AO$1:$AO$5))</f>
        <v>1</v>
      </c>
      <c r="AP590" s="5">
        <f t="shared" si="79"/>
        <v>3.05260329874837E+16</v>
      </c>
      <c r="AQ590" s="5">
        <f>AM590*$AR$3</f>
        <v>1.056264117213968E+16</v>
      </c>
      <c r="AR590" s="5">
        <f>AM590*AL590*$AR$4</f>
        <v>1.9963391815343996E+16</v>
      </c>
      <c r="AS590" s="5">
        <f>SUM($AP$9:AP589)</f>
        <v>6.6030953349729664E+17</v>
      </c>
    </row>
    <row r="591" spans="1:45" x14ac:dyDescent="0.15">
      <c r="A591" s="5">
        <v>583</v>
      </c>
      <c r="J591" s="5">
        <f t="shared" si="72"/>
        <v>583</v>
      </c>
      <c r="K591" s="5">
        <f>SUM($AP$9:AP590)</f>
        <v>6.9083556648478029E+17</v>
      </c>
      <c r="L591" s="5">
        <f>LOOKUP(K591,AI:AI,AE:AE)</f>
        <v>648</v>
      </c>
      <c r="M591" s="5">
        <f>LOOKUP(L591,AE:AE,AG:AG)</f>
        <v>3.48530511125955E+16</v>
      </c>
      <c r="N591" s="5">
        <f>AM591/M591/$K$1</f>
        <v>1.5153108314701409</v>
      </c>
      <c r="O591" s="5">
        <f>SUM($N$9:N591)</f>
        <v>1894.1976281447273</v>
      </c>
      <c r="AE591" s="5">
        <f t="shared" si="73"/>
        <v>583</v>
      </c>
      <c r="AF591" s="5">
        <f t="shared" si="74"/>
        <v>1324339885530990</v>
      </c>
      <c r="AG591" s="5">
        <f t="shared" si="75"/>
        <v>1315315422937930</v>
      </c>
      <c r="AH591" s="5">
        <f>AG591*$AF$1</f>
        <v>1.31531542293793E+16</v>
      </c>
      <c r="AI591" s="5">
        <f>SUM($AF$9:AF590)</f>
        <v>2.5539229138349176E+16</v>
      </c>
      <c r="AK591" s="5">
        <f t="shared" si="76"/>
        <v>583</v>
      </c>
      <c r="AL591" s="5">
        <f t="shared" si="77"/>
        <v>84</v>
      </c>
      <c r="AM591" s="5">
        <f t="shared" si="78"/>
        <v>7.92198087910476E+16</v>
      </c>
      <c r="AN591" s="5">
        <f>$AL$4*$AL$3^AL591*$AL$2</f>
        <v>7.92198087910476E+16</v>
      </c>
      <c r="AO591" s="5">
        <f>IF(AL591=AL592,1,LOOKUP(MOD(AL591,$AL$1),$AN$1:$AN$5,$AO$1:$AO$5))</f>
        <v>1</v>
      </c>
      <c r="AP591" s="5">
        <f t="shared" si="79"/>
        <v>3.05260329874837E+16</v>
      </c>
      <c r="AQ591" s="5">
        <f>AM591*$AR$3</f>
        <v>1.056264117213968E+16</v>
      </c>
      <c r="AR591" s="5">
        <f>AM591*AL591*$AR$4</f>
        <v>1.9963391815343996E+16</v>
      </c>
      <c r="AS591" s="5">
        <f>SUM($AP$9:AP590)</f>
        <v>6.9083556648478029E+17</v>
      </c>
    </row>
    <row r="592" spans="1:45" x14ac:dyDescent="0.15">
      <c r="A592" s="5">
        <v>584</v>
      </c>
      <c r="J592" s="5">
        <f t="shared" si="72"/>
        <v>584</v>
      </c>
      <c r="K592" s="5">
        <f>SUM($AP$9:AP591)</f>
        <v>7.2136159947226394E+17</v>
      </c>
      <c r="L592" s="5">
        <f>LOOKUP(K592,AI:AI,AE:AE)</f>
        <v>649</v>
      </c>
      <c r="M592" s="5">
        <f>LOOKUP(L592,AE:AE,AG:AG)</f>
        <v>3.66521785195652E+16</v>
      </c>
      <c r="N592" s="5">
        <f>AM592/M592/$K$1</f>
        <v>1.4409295161679496</v>
      </c>
      <c r="O592" s="5">
        <f>SUM($N$9:N592)</f>
        <v>1895.6385576608952</v>
      </c>
      <c r="AE592" s="5">
        <f t="shared" si="73"/>
        <v>584</v>
      </c>
      <c r="AF592" s="5">
        <f t="shared" si="74"/>
        <v>1392925801238210</v>
      </c>
      <c r="AG592" s="5">
        <f t="shared" si="75"/>
        <v>1383450115515510</v>
      </c>
      <c r="AH592" s="5">
        <f>AG592*$AF$1</f>
        <v>1.38345011551551E+16</v>
      </c>
      <c r="AI592" s="5">
        <f>SUM($AF$9:AF591)</f>
        <v>2.6863569023880168E+16</v>
      </c>
      <c r="AK592" s="5">
        <f t="shared" si="76"/>
        <v>584</v>
      </c>
      <c r="AL592" s="5">
        <f t="shared" si="77"/>
        <v>84</v>
      </c>
      <c r="AM592" s="5">
        <f t="shared" si="78"/>
        <v>7.92198087910476E+16</v>
      </c>
      <c r="AN592" s="5">
        <f>$AL$4*$AL$3^AL592*$AL$2</f>
        <v>7.92198087910476E+16</v>
      </c>
      <c r="AO592" s="5">
        <f>IF(AL592=AL593,1,LOOKUP(MOD(AL592,$AL$1),$AN$1:$AN$5,$AO$1:$AO$5))</f>
        <v>1</v>
      </c>
      <c r="AP592" s="5">
        <f t="shared" si="79"/>
        <v>3.05260329874837E+16</v>
      </c>
      <c r="AQ592" s="5">
        <f>AM592*$AR$3</f>
        <v>1.056264117213968E+16</v>
      </c>
      <c r="AR592" s="5">
        <f>AM592*AL592*$AR$4</f>
        <v>1.9963391815343996E+16</v>
      </c>
      <c r="AS592" s="5">
        <f>SUM($AP$9:AP591)</f>
        <v>7.2136159947226394E+17</v>
      </c>
    </row>
    <row r="593" spans="1:45" x14ac:dyDescent="0.15">
      <c r="A593" s="5">
        <v>585</v>
      </c>
      <c r="J593" s="5">
        <f t="shared" si="72"/>
        <v>585</v>
      </c>
      <c r="K593" s="5">
        <f>SUM($AP$9:AP592)</f>
        <v>7.5188763245974758E+17</v>
      </c>
      <c r="L593" s="5">
        <f>LOOKUP(K593,AI:AI,AE:AE)</f>
        <v>650</v>
      </c>
      <c r="M593" s="5">
        <f>LOOKUP(L593,AE:AE,AG:AG)</f>
        <v>3.8544086039450304E+16</v>
      </c>
      <c r="N593" s="5">
        <f>AM593/M593/$K$1</f>
        <v>1.3702025728835157</v>
      </c>
      <c r="O593" s="5">
        <f>SUM($N$9:N593)</f>
        <v>1897.0087602337787</v>
      </c>
      <c r="AE593" s="5">
        <f t="shared" si="73"/>
        <v>585</v>
      </c>
      <c r="AF593" s="5">
        <f t="shared" si="74"/>
        <v>1465059458802340</v>
      </c>
      <c r="AG593" s="5">
        <f t="shared" si="75"/>
        <v>1455109988793490</v>
      </c>
      <c r="AH593" s="5">
        <f>AG593*$AF$1</f>
        <v>1.45510998879349E+16</v>
      </c>
      <c r="AI593" s="5">
        <f>SUM($AF$9:AF592)</f>
        <v>2.8256494825118376E+16</v>
      </c>
      <c r="AK593" s="5">
        <f t="shared" si="76"/>
        <v>585</v>
      </c>
      <c r="AL593" s="5">
        <f t="shared" si="77"/>
        <v>84</v>
      </c>
      <c r="AM593" s="5">
        <f t="shared" si="78"/>
        <v>7.92198087910476E+16</v>
      </c>
      <c r="AN593" s="5">
        <f>$AL$4*$AL$3^AL593*$AL$2</f>
        <v>7.92198087910476E+16</v>
      </c>
      <c r="AO593" s="5">
        <f>IF(AL593=AL594,1,LOOKUP(MOD(AL593,$AL$1),$AN$1:$AN$5,$AO$1:$AO$5))</f>
        <v>1</v>
      </c>
      <c r="AP593" s="5">
        <f t="shared" si="79"/>
        <v>3.05260329874837E+16</v>
      </c>
      <c r="AQ593" s="5">
        <f>AM593*$AR$3</f>
        <v>1.056264117213968E+16</v>
      </c>
      <c r="AR593" s="5">
        <f>AM593*AL593*$AR$4</f>
        <v>1.9963391815343996E+16</v>
      </c>
      <c r="AS593" s="5">
        <f>SUM($AP$9:AP592)</f>
        <v>7.5188763245974758E+17</v>
      </c>
    </row>
    <row r="594" spans="1:45" x14ac:dyDescent="0.15">
      <c r="A594" s="5">
        <v>586</v>
      </c>
      <c r="J594" s="5">
        <f t="shared" si="72"/>
        <v>586</v>
      </c>
      <c r="K594" s="5">
        <f>SUM($AP$9:AP593)</f>
        <v>7.8241366544723123E+17</v>
      </c>
      <c r="L594" s="5">
        <f>LOOKUP(K594,AI:AI,AE:AE)</f>
        <v>650</v>
      </c>
      <c r="M594" s="5">
        <f>LOOKUP(L594,AE:AE,AG:AG)</f>
        <v>3.8544086039450304E+16</v>
      </c>
      <c r="N594" s="5">
        <f>AM594/M594/$K$1</f>
        <v>1.3702025728835157</v>
      </c>
      <c r="O594" s="5">
        <f>SUM($N$9:N594)</f>
        <v>1898.3789628066622</v>
      </c>
      <c r="AE594" s="5">
        <f t="shared" si="73"/>
        <v>586</v>
      </c>
      <c r="AF594" s="5">
        <f t="shared" si="74"/>
        <v>1540924167619770</v>
      </c>
      <c r="AG594" s="5">
        <f t="shared" si="75"/>
        <v>1530477224110490</v>
      </c>
      <c r="AH594" s="5">
        <f>AG594*$AF$1</f>
        <v>1.53047722411049E+16</v>
      </c>
      <c r="AI594" s="5">
        <f>SUM($AF$9:AF593)</f>
        <v>2.9721554283920716E+16</v>
      </c>
      <c r="AK594" s="5">
        <f t="shared" si="76"/>
        <v>586</v>
      </c>
      <c r="AL594" s="5">
        <f t="shared" si="77"/>
        <v>84</v>
      </c>
      <c r="AM594" s="5">
        <f t="shared" si="78"/>
        <v>7.92198087910476E+16</v>
      </c>
      <c r="AN594" s="5">
        <f>$AL$4*$AL$3^AL594*$AL$2</f>
        <v>7.92198087910476E+16</v>
      </c>
      <c r="AO594" s="5">
        <f>IF(AL594=AL595,1,LOOKUP(MOD(AL594,$AL$1),$AN$1:$AN$5,$AO$1:$AO$5))</f>
        <v>1</v>
      </c>
      <c r="AP594" s="5">
        <f t="shared" si="79"/>
        <v>3.05260329874837E+16</v>
      </c>
      <c r="AQ594" s="5">
        <f>AM594*$AR$3</f>
        <v>1.056264117213968E+16</v>
      </c>
      <c r="AR594" s="5">
        <f>AM594*AL594*$AR$4</f>
        <v>1.9963391815343996E+16</v>
      </c>
      <c r="AS594" s="5">
        <f>SUM($AP$9:AP593)</f>
        <v>7.8241366544723123E+17</v>
      </c>
    </row>
    <row r="595" spans="1:45" x14ac:dyDescent="0.15">
      <c r="A595" s="5">
        <v>587</v>
      </c>
      <c r="J595" s="5">
        <f t="shared" si="72"/>
        <v>587</v>
      </c>
      <c r="K595" s="5">
        <f>SUM($AP$9:AP594)</f>
        <v>8.1293969843471488E+17</v>
      </c>
      <c r="L595" s="5">
        <f>LOOKUP(K595,AI:AI,AE:AE)</f>
        <v>651</v>
      </c>
      <c r="M595" s="5">
        <f>LOOKUP(L595,AE:AE,AG:AG)</f>
        <v>4.0533553865025E+16</v>
      </c>
      <c r="N595" s="5">
        <f>AM595/M595/$K$1</f>
        <v>1.3029502924062399</v>
      </c>
      <c r="O595" s="5">
        <f>SUM($N$9:N595)</f>
        <v>1899.6819130990684</v>
      </c>
      <c r="AE595" s="5">
        <f t="shared" si="73"/>
        <v>587</v>
      </c>
      <c r="AF595" s="5">
        <f t="shared" si="74"/>
        <v>1620712698671950</v>
      </c>
      <c r="AG595" s="5">
        <f t="shared" si="75"/>
        <v>1609743407987200</v>
      </c>
      <c r="AH595" s="5">
        <f>AG595*$AF$1</f>
        <v>1.6097434079872E+16</v>
      </c>
      <c r="AI595" s="5">
        <f>SUM($AF$9:AF594)</f>
        <v>3.1262478451540488E+16</v>
      </c>
      <c r="AK595" s="5">
        <f t="shared" si="76"/>
        <v>587</v>
      </c>
      <c r="AL595" s="5">
        <f t="shared" si="77"/>
        <v>84</v>
      </c>
      <c r="AM595" s="5">
        <f t="shared" si="78"/>
        <v>7.92198087910476E+16</v>
      </c>
      <c r="AN595" s="5">
        <f>$AL$4*$AL$3^AL595*$AL$2</f>
        <v>7.92198087910476E+16</v>
      </c>
      <c r="AO595" s="5">
        <f>IF(AL595=AL596,1,LOOKUP(MOD(AL595,$AL$1),$AN$1:$AN$5,$AO$1:$AO$5))</f>
        <v>1</v>
      </c>
      <c r="AP595" s="5">
        <f t="shared" si="79"/>
        <v>3.05260329874837E+16</v>
      </c>
      <c r="AQ595" s="5">
        <f>AM595*$AR$3</f>
        <v>1.056264117213968E+16</v>
      </c>
      <c r="AR595" s="5">
        <f>AM595*AL595*$AR$4</f>
        <v>1.9963391815343996E+16</v>
      </c>
      <c r="AS595" s="5">
        <f>SUM($AP$9:AP594)</f>
        <v>8.1293969843471488E+17</v>
      </c>
    </row>
    <row r="596" spans="1:45" x14ac:dyDescent="0.15">
      <c r="A596" s="5">
        <v>588</v>
      </c>
      <c r="J596" s="5">
        <f t="shared" si="72"/>
        <v>588</v>
      </c>
      <c r="K596" s="5">
        <f>SUM($AP$9:AP595)</f>
        <v>8.4346573142219853E+17</v>
      </c>
      <c r="L596" s="5">
        <f>LOOKUP(K596,AI:AI,AE:AE)</f>
        <v>652</v>
      </c>
      <c r="M596" s="5">
        <f>LOOKUP(L596,AE:AE,AG:AG)</f>
        <v>4.2625608258058496E+16</v>
      </c>
      <c r="N596" s="5">
        <f>AM596/M596/$K$1</f>
        <v>12.390018117973462</v>
      </c>
      <c r="O596" s="5">
        <f>SUM($N$9:N596)</f>
        <v>1912.071931217042</v>
      </c>
      <c r="AE596" s="5">
        <f t="shared" si="73"/>
        <v>588</v>
      </c>
      <c r="AF596" s="5">
        <f t="shared" si="74"/>
        <v>1704627772410300</v>
      </c>
      <c r="AG596" s="5">
        <f t="shared" si="75"/>
        <v>1693110017191310</v>
      </c>
      <c r="AH596" s="5">
        <f>AG596*$AF$1</f>
        <v>1.69311001719131E+16</v>
      </c>
      <c r="AI596" s="5">
        <f>SUM($AF$9:AF595)</f>
        <v>3.288319115021244E+16</v>
      </c>
      <c r="AK596" s="5">
        <f t="shared" si="76"/>
        <v>588</v>
      </c>
      <c r="AL596" s="5">
        <f t="shared" si="77"/>
        <v>84</v>
      </c>
      <c r="AM596" s="5">
        <f t="shared" si="78"/>
        <v>7.9219808791047603E+17</v>
      </c>
      <c r="AN596" s="5">
        <f>$AL$4*$AL$3^AL596*$AL$2</f>
        <v>7.92198087910476E+16</v>
      </c>
      <c r="AO596" s="5">
        <f>IF(AL596=AL597,1,LOOKUP(MOD(AL596,$AL$1),$AN$1:$AN$5,$AO$1:$AO$5))</f>
        <v>10</v>
      </c>
      <c r="AP596" s="5">
        <f t="shared" si="79"/>
        <v>3.0526032987483699E+17</v>
      </c>
      <c r="AQ596" s="5">
        <f>AM596*$AR$3</f>
        <v>1.056264117213968E+17</v>
      </c>
      <c r="AR596" s="5">
        <f>AM596*AL596*$AR$4</f>
        <v>1.9963391815343997E+17</v>
      </c>
      <c r="AS596" s="5">
        <f>SUM($AP$9:AP595)</f>
        <v>8.4346573142219853E+17</v>
      </c>
    </row>
    <row r="597" spans="1:45" x14ac:dyDescent="0.15">
      <c r="A597" s="5">
        <v>589</v>
      </c>
      <c r="J597" s="5">
        <f t="shared" si="72"/>
        <v>589</v>
      </c>
      <c r="K597" s="5">
        <f>SUM($AP$9:AP596)</f>
        <v>1.1487260612970355E+18</v>
      </c>
      <c r="L597" s="5">
        <f>LOOKUP(K597,AI:AI,AE:AE)</f>
        <v>658</v>
      </c>
      <c r="M597" s="5">
        <f>LOOKUP(L597,AE:AE,AG:AG)</f>
        <v>5.7648057987873504E+16</v>
      </c>
      <c r="N597" s="5">
        <f>AM597/M597/$K$1</f>
        <v>1.4383265645954373</v>
      </c>
      <c r="O597" s="5">
        <f>SUM($N$9:N597)</f>
        <v>1913.5102577816374</v>
      </c>
      <c r="AE597" s="5">
        <f t="shared" si="73"/>
        <v>589</v>
      </c>
      <c r="AF597" s="5">
        <f t="shared" si="74"/>
        <v>1792882571775800</v>
      </c>
      <c r="AG597" s="5">
        <f t="shared" si="75"/>
        <v>1780788928795860</v>
      </c>
      <c r="AH597" s="5">
        <f>AG597*$AF$1</f>
        <v>1.78078892879586E+16</v>
      </c>
      <c r="AI597" s="5">
        <f>SUM($AF$9:AF596)</f>
        <v>3.458781892262274E+16</v>
      </c>
      <c r="AK597" s="5">
        <f t="shared" si="76"/>
        <v>589</v>
      </c>
      <c r="AL597" s="5">
        <f t="shared" si="77"/>
        <v>85</v>
      </c>
      <c r="AM597" s="5">
        <f t="shared" si="78"/>
        <v>1.2437509980194499E+17</v>
      </c>
      <c r="AN597" s="5">
        <f>$AL$4*$AL$3^AL597*$AL$2</f>
        <v>1.2437509980194475E+17</v>
      </c>
      <c r="AO597" s="5">
        <f>IF(AL597=AL598,1,LOOKUP(MOD(AL597,$AL$1),$AN$1:$AN$5,$AO$1:$AO$5))</f>
        <v>1</v>
      </c>
      <c r="AP597" s="5">
        <f t="shared" si="79"/>
        <v>4.8298997089755296E+16</v>
      </c>
      <c r="AQ597" s="5">
        <f>AM597*$AR$3</f>
        <v>1.6583346640259332E+16</v>
      </c>
      <c r="AR597" s="5">
        <f>AM597*AL597*$AR$4</f>
        <v>3.1715650449495976E+16</v>
      </c>
      <c r="AS597" s="5">
        <f>SUM($AP$9:AP596)</f>
        <v>1.1487260612970355E+18</v>
      </c>
    </row>
    <row r="598" spans="1:45" x14ac:dyDescent="0.15">
      <c r="A598" s="5">
        <v>590</v>
      </c>
      <c r="J598" s="5">
        <f t="shared" si="72"/>
        <v>590</v>
      </c>
      <c r="K598" s="5">
        <f>SUM($AP$9:AP597)</f>
        <v>1.1970250583867909E+18</v>
      </c>
      <c r="L598" s="5">
        <f>LOOKUP(K598,AI:AI,AE:AE)</f>
        <v>659</v>
      </c>
      <c r="M598" s="5">
        <f>LOOKUP(L598,AE:AE,AG:AG)</f>
        <v>6.0622452469162704E+16</v>
      </c>
      <c r="N598" s="5">
        <f>AM598/M598/$K$1</f>
        <v>1.3677561666360258</v>
      </c>
      <c r="O598" s="5">
        <f>SUM($N$9:N598)</f>
        <v>1914.8780139482735</v>
      </c>
      <c r="AE598" s="5">
        <f t="shared" si="73"/>
        <v>590</v>
      </c>
      <c r="AF598" s="5">
        <f t="shared" si="74"/>
        <v>1885701281646820</v>
      </c>
      <c r="AG598" s="5">
        <f t="shared" si="75"/>
        <v>1873002956517880</v>
      </c>
      <c r="AH598" s="5">
        <f>AG598*$AF$1</f>
        <v>1.87300295651788E+16</v>
      </c>
      <c r="AI598" s="5">
        <f>SUM($AF$9:AF597)</f>
        <v>3.6380701494398544E+16</v>
      </c>
      <c r="AK598" s="5">
        <f t="shared" si="76"/>
        <v>590</v>
      </c>
      <c r="AL598" s="5">
        <f t="shared" si="77"/>
        <v>85</v>
      </c>
      <c r="AM598" s="5">
        <f t="shared" si="78"/>
        <v>1.2437509980194499E+17</v>
      </c>
      <c r="AN598" s="5">
        <f>$AL$4*$AL$3^AL598*$AL$2</f>
        <v>1.2437509980194475E+17</v>
      </c>
      <c r="AO598" s="5">
        <f>IF(AL598=AL599,1,LOOKUP(MOD(AL598,$AL$1),$AN$1:$AN$5,$AO$1:$AO$5))</f>
        <v>1</v>
      </c>
      <c r="AP598" s="5">
        <f t="shared" si="79"/>
        <v>4.8298997089755296E+16</v>
      </c>
      <c r="AQ598" s="5">
        <f>AM598*$AR$3</f>
        <v>1.6583346640259332E+16</v>
      </c>
      <c r="AR598" s="5">
        <f>AM598*AL598*$AR$4</f>
        <v>3.1715650449495976E+16</v>
      </c>
      <c r="AS598" s="5">
        <f>SUM($AP$9:AP597)</f>
        <v>1.1970250583867909E+18</v>
      </c>
    </row>
    <row r="599" spans="1:45" x14ac:dyDescent="0.15">
      <c r="A599" s="5">
        <v>591</v>
      </c>
      <c r="J599" s="5">
        <f t="shared" si="72"/>
        <v>591</v>
      </c>
      <c r="K599" s="5">
        <f>SUM($AP$9:AP598)</f>
        <v>1.2453240554765463E+18</v>
      </c>
      <c r="L599" s="5">
        <f>LOOKUP(K599,AI:AI,AE:AE)</f>
        <v>660</v>
      </c>
      <c r="M599" s="5">
        <f>LOOKUP(L599,AE:AE,AG:AG)</f>
        <v>6.3750166253611104E+16</v>
      </c>
      <c r="N599" s="5">
        <f>AM599/M599/$K$1</f>
        <v>1.3006512464836102</v>
      </c>
      <c r="O599" s="5">
        <f>SUM($N$9:N599)</f>
        <v>1916.1786651947571</v>
      </c>
      <c r="AE599" s="5">
        <f t="shared" si="73"/>
        <v>591</v>
      </c>
      <c r="AF599" s="5">
        <f t="shared" si="74"/>
        <v>1983319656075510</v>
      </c>
      <c r="AG599" s="5">
        <f t="shared" si="75"/>
        <v>1969986414690120</v>
      </c>
      <c r="AH599" s="5">
        <f>AG599*$AF$1</f>
        <v>1.96998641469012E+16</v>
      </c>
      <c r="AI599" s="5">
        <f>SUM($AF$9:AF598)</f>
        <v>3.826640277604536E+16</v>
      </c>
      <c r="AK599" s="5">
        <f t="shared" si="76"/>
        <v>591</v>
      </c>
      <c r="AL599" s="5">
        <f t="shared" si="77"/>
        <v>85</v>
      </c>
      <c r="AM599" s="5">
        <f t="shared" si="78"/>
        <v>1.2437509980194499E+17</v>
      </c>
      <c r="AN599" s="5">
        <f>$AL$4*$AL$3^AL599*$AL$2</f>
        <v>1.2437509980194475E+17</v>
      </c>
      <c r="AO599" s="5">
        <f>IF(AL599=AL600,1,LOOKUP(MOD(AL599,$AL$1),$AN$1:$AN$5,$AO$1:$AO$5))</f>
        <v>1</v>
      </c>
      <c r="AP599" s="5">
        <f t="shared" si="79"/>
        <v>4.8298997089755296E+16</v>
      </c>
      <c r="AQ599" s="5">
        <f>AM599*$AR$3</f>
        <v>1.6583346640259332E+16</v>
      </c>
      <c r="AR599" s="5">
        <f>AM599*AL599*$AR$4</f>
        <v>3.1715650449495976E+16</v>
      </c>
      <c r="AS599" s="5">
        <f>SUM($AP$9:AP598)</f>
        <v>1.2453240554765463E+18</v>
      </c>
    </row>
    <row r="600" spans="1:45" x14ac:dyDescent="0.15">
      <c r="A600" s="5">
        <v>592</v>
      </c>
      <c r="J600" s="5">
        <f t="shared" si="72"/>
        <v>592</v>
      </c>
      <c r="K600" s="5">
        <f>SUM($AP$9:AP599)</f>
        <v>1.2936230525663017E+18</v>
      </c>
      <c r="L600" s="5">
        <f>LOOKUP(K600,AI:AI,AE:AE)</f>
        <v>660</v>
      </c>
      <c r="M600" s="5">
        <f>LOOKUP(L600,AE:AE,AG:AG)</f>
        <v>6.3750166253611104E+16</v>
      </c>
      <c r="N600" s="5">
        <f>AM600/M600/$K$1</f>
        <v>1.3006512464836102</v>
      </c>
      <c r="O600" s="5">
        <f>SUM($N$9:N600)</f>
        <v>1917.4793164412406</v>
      </c>
      <c r="AE600" s="5">
        <f t="shared" si="73"/>
        <v>592</v>
      </c>
      <c r="AF600" s="5">
        <f t="shared" si="74"/>
        <v>2085985614742940</v>
      </c>
      <c r="AG600" s="5">
        <f t="shared" si="75"/>
        <v>2071985711288290</v>
      </c>
      <c r="AH600" s="5">
        <f>AG600*$AF$1</f>
        <v>2.07198571128829E+16</v>
      </c>
      <c r="AI600" s="5">
        <f>SUM($AF$9:AF599)</f>
        <v>4.0249722432120872E+16</v>
      </c>
      <c r="AK600" s="5">
        <f t="shared" si="76"/>
        <v>592</v>
      </c>
      <c r="AL600" s="5">
        <f t="shared" si="77"/>
        <v>85</v>
      </c>
      <c r="AM600" s="5">
        <f t="shared" si="78"/>
        <v>1.2437509980194499E+17</v>
      </c>
      <c r="AN600" s="5">
        <f>$AL$4*$AL$3^AL600*$AL$2</f>
        <v>1.2437509980194475E+17</v>
      </c>
      <c r="AO600" s="5">
        <f>IF(AL600=AL601,1,LOOKUP(MOD(AL600,$AL$1),$AN$1:$AN$5,$AO$1:$AO$5))</f>
        <v>1</v>
      </c>
      <c r="AP600" s="5">
        <f t="shared" si="79"/>
        <v>4.8298997089755296E+16</v>
      </c>
      <c r="AQ600" s="5">
        <f>AM600*$AR$3</f>
        <v>1.6583346640259332E+16</v>
      </c>
      <c r="AR600" s="5">
        <f>AM600*AL600*$AR$4</f>
        <v>3.1715650449495976E+16</v>
      </c>
      <c r="AS600" s="5">
        <f>SUM($AP$9:AP599)</f>
        <v>1.2936230525663017E+18</v>
      </c>
    </row>
    <row r="601" spans="1:45" x14ac:dyDescent="0.15">
      <c r="A601" s="5">
        <v>593</v>
      </c>
      <c r="J601" s="5">
        <f t="shared" si="72"/>
        <v>593</v>
      </c>
      <c r="K601" s="5">
        <f>SUM($AP$9:AP600)</f>
        <v>1.3419220496560571E+18</v>
      </c>
      <c r="L601" s="5">
        <f>LOOKUP(K601,AI:AI,AE:AE)</f>
        <v>661</v>
      </c>
      <c r="M601" s="5">
        <f>LOOKUP(L601,AE:AE,AG:AG)</f>
        <v>6.7039095285331504E+16</v>
      </c>
      <c r="N601" s="5">
        <f>AM601/M601/$K$1</f>
        <v>1.2368414706133313</v>
      </c>
      <c r="O601" s="5">
        <f>SUM($N$9:N601)</f>
        <v>1918.716157911854</v>
      </c>
      <c r="AE601" s="5">
        <f t="shared" si="73"/>
        <v>593</v>
      </c>
      <c r="AF601" s="5">
        <f t="shared" si="74"/>
        <v>2193959870136940</v>
      </c>
      <c r="AG601" s="5">
        <f t="shared" si="75"/>
        <v>2179259971509550</v>
      </c>
      <c r="AH601" s="5">
        <f>AG601*$AF$1</f>
        <v>2.17925997150955E+16</v>
      </c>
      <c r="AI601" s="5">
        <f>SUM($AF$9:AF600)</f>
        <v>4.2335708046863808E+16</v>
      </c>
      <c r="AK601" s="5">
        <f t="shared" si="76"/>
        <v>593</v>
      </c>
      <c r="AL601" s="5">
        <f t="shared" si="77"/>
        <v>85</v>
      </c>
      <c r="AM601" s="5">
        <f t="shared" si="78"/>
        <v>1.2437509980194499E+17</v>
      </c>
      <c r="AN601" s="5">
        <f>$AL$4*$AL$3^AL601*$AL$2</f>
        <v>1.2437509980194475E+17</v>
      </c>
      <c r="AO601" s="5">
        <f>IF(AL601=AL602,1,LOOKUP(MOD(AL601,$AL$1),$AN$1:$AN$5,$AO$1:$AO$5))</f>
        <v>1</v>
      </c>
      <c r="AP601" s="5">
        <f t="shared" si="79"/>
        <v>4.8298997089755296E+16</v>
      </c>
      <c r="AQ601" s="5">
        <f>AM601*$AR$3</f>
        <v>1.6583346640259332E+16</v>
      </c>
      <c r="AR601" s="5">
        <f>AM601*AL601*$AR$4</f>
        <v>3.1715650449495976E+16</v>
      </c>
      <c r="AS601" s="5">
        <f>SUM($AP$9:AP600)</f>
        <v>1.3419220496560571E+18</v>
      </c>
    </row>
    <row r="602" spans="1:45" x14ac:dyDescent="0.15">
      <c r="A602" s="5">
        <v>594</v>
      </c>
      <c r="J602" s="5">
        <f t="shared" si="72"/>
        <v>594</v>
      </c>
      <c r="K602" s="5">
        <f>SUM($AP$9:AP601)</f>
        <v>1.3902210467458125E+18</v>
      </c>
      <c r="L602" s="5">
        <f>LOOKUP(K602,AI:AI,AE:AE)</f>
        <v>662</v>
      </c>
      <c r="M602" s="5">
        <f>LOOKUP(L602,AE:AE,AG:AG)</f>
        <v>7.0497541804589904E+16</v>
      </c>
      <c r="N602" s="5">
        <f>AM602/M602/$K$1</f>
        <v>1.1761648857364582</v>
      </c>
      <c r="O602" s="5">
        <f>SUM($N$9:N602)</f>
        <v>1919.8923227975904</v>
      </c>
      <c r="AE602" s="5">
        <f t="shared" si="73"/>
        <v>594</v>
      </c>
      <c r="AF602" s="5">
        <f t="shared" si="74"/>
        <v>2307516587033470</v>
      </c>
      <c r="AG602" s="5">
        <f t="shared" si="75"/>
        <v>2292081693474720</v>
      </c>
      <c r="AH602" s="5">
        <f>AG602*$AF$1</f>
        <v>2.29208169347472E+16</v>
      </c>
      <c r="AI602" s="5">
        <f>SUM($AF$9:AF601)</f>
        <v>4.4529667917000752E+16</v>
      </c>
      <c r="AK602" s="5">
        <f t="shared" si="76"/>
        <v>594</v>
      </c>
      <c r="AL602" s="5">
        <f t="shared" si="77"/>
        <v>85</v>
      </c>
      <c r="AM602" s="5">
        <f t="shared" si="78"/>
        <v>1.2437509980194499E+17</v>
      </c>
      <c r="AN602" s="5">
        <f>$AL$4*$AL$3^AL602*$AL$2</f>
        <v>1.2437509980194475E+17</v>
      </c>
      <c r="AO602" s="5">
        <f>IF(AL602=AL603,1,LOOKUP(MOD(AL602,$AL$1),$AN$1:$AN$5,$AO$1:$AO$5))</f>
        <v>1</v>
      </c>
      <c r="AP602" s="5">
        <f t="shared" si="79"/>
        <v>4.8298997089755296E+16</v>
      </c>
      <c r="AQ602" s="5">
        <f>AM602*$AR$3</f>
        <v>1.6583346640259332E+16</v>
      </c>
      <c r="AR602" s="5">
        <f>AM602*AL602*$AR$4</f>
        <v>3.1715650449495976E+16</v>
      </c>
      <c r="AS602" s="5">
        <f>SUM($AP$9:AP601)</f>
        <v>1.3902210467458125E+18</v>
      </c>
    </row>
    <row r="603" spans="1:45" x14ac:dyDescent="0.15">
      <c r="A603" s="5">
        <v>595</v>
      </c>
      <c r="J603" s="5">
        <f t="shared" si="72"/>
        <v>595</v>
      </c>
      <c r="K603" s="5">
        <f>SUM($AP$9:AP602)</f>
        <v>1.4385200438355679E+18</v>
      </c>
      <c r="L603" s="5">
        <f>LOOKUP(K603,AI:AI,AE:AE)</f>
        <v>662</v>
      </c>
      <c r="M603" s="5">
        <f>LOOKUP(L603,AE:AE,AG:AG)</f>
        <v>7.0497541804589904E+16</v>
      </c>
      <c r="N603" s="5">
        <f>AM603/M603/$K$1</f>
        <v>2.3523297714729163</v>
      </c>
      <c r="O603" s="5">
        <f>SUM($N$9:N603)</f>
        <v>1922.2446525690634</v>
      </c>
      <c r="AE603" s="5">
        <f t="shared" si="73"/>
        <v>595</v>
      </c>
      <c r="AF603" s="5">
        <f t="shared" si="74"/>
        <v>2426944075944320</v>
      </c>
      <c r="AG603" s="5">
        <f t="shared" si="75"/>
        <v>2410737437707630</v>
      </c>
      <c r="AH603" s="5">
        <f>AG603*$AF$1</f>
        <v>2.41073743770763E+16</v>
      </c>
      <c r="AI603" s="5">
        <f>SUM($AF$9:AF602)</f>
        <v>4.6837184504034224E+16</v>
      </c>
      <c r="AK603" s="5">
        <f t="shared" si="76"/>
        <v>595</v>
      </c>
      <c r="AL603" s="5">
        <f t="shared" si="77"/>
        <v>85</v>
      </c>
      <c r="AM603" s="5">
        <f t="shared" si="78"/>
        <v>2.4875019960388998E+17</v>
      </c>
      <c r="AN603" s="5">
        <f>$AL$4*$AL$3^AL603*$AL$2</f>
        <v>1.2437509980194475E+17</v>
      </c>
      <c r="AO603" s="5">
        <f>IF(AL603=AL604,1,LOOKUP(MOD(AL603,$AL$1),$AN$1:$AN$5,$AO$1:$AO$5))</f>
        <v>2</v>
      </c>
      <c r="AP603" s="5">
        <f t="shared" si="79"/>
        <v>9.6597994179510592E+16</v>
      </c>
      <c r="AQ603" s="5">
        <f>AM603*$AR$3</f>
        <v>3.3166693280518664E+16</v>
      </c>
      <c r="AR603" s="5">
        <f>AM603*AL603*$AR$4</f>
        <v>6.3431300898991952E+16</v>
      </c>
      <c r="AS603" s="5">
        <f>SUM($AP$9:AP602)</f>
        <v>1.4385200438355679E+18</v>
      </c>
    </row>
    <row r="604" spans="1:45" x14ac:dyDescent="0.15">
      <c r="A604" s="5">
        <v>596</v>
      </c>
      <c r="J604" s="5">
        <f t="shared" si="72"/>
        <v>596</v>
      </c>
      <c r="K604" s="5">
        <f>SUM($AP$9:AP603)</f>
        <v>1.5351180380150784E+18</v>
      </c>
      <c r="L604" s="5">
        <f>LOOKUP(K604,AI:AI,AE:AE)</f>
        <v>664</v>
      </c>
      <c r="M604" s="5">
        <f>LOOKUP(L604,AE:AE,AG:AG)</f>
        <v>7.7958354159317408E+16</v>
      </c>
      <c r="N604" s="5">
        <f>AM604/M604/$K$1</f>
        <v>1.66985658599203</v>
      </c>
      <c r="O604" s="5">
        <f>SUM($N$9:N604)</f>
        <v>1923.9145091550554</v>
      </c>
      <c r="AE604" s="5">
        <f t="shared" si="73"/>
        <v>596</v>
      </c>
      <c r="AF604" s="5">
        <f t="shared" si="74"/>
        <v>2552545522278660</v>
      </c>
      <c r="AG604" s="5">
        <f t="shared" si="75"/>
        <v>2535528552130140</v>
      </c>
      <c r="AH604" s="5">
        <f>AG604*$AF$1</f>
        <v>2.53552855213014E+16</v>
      </c>
      <c r="AI604" s="5">
        <f>SUM($AF$9:AF603)</f>
        <v>4.9264128579978544E+16</v>
      </c>
      <c r="AK604" s="5">
        <f t="shared" si="76"/>
        <v>596</v>
      </c>
      <c r="AL604" s="5">
        <f t="shared" si="77"/>
        <v>86</v>
      </c>
      <c r="AM604" s="5">
        <f t="shared" si="78"/>
        <v>1.9526890668905299E+17</v>
      </c>
      <c r="AN604" s="5">
        <f>$AL$4*$AL$3^AL604*$AL$2</f>
        <v>1.9526890668905325E+17</v>
      </c>
      <c r="AO604" s="5">
        <f>IF(AL604=AL605,1,LOOKUP(MOD(AL604,$AL$1),$AN$1:$AN$5,$AO$1:$AO$5))</f>
        <v>1</v>
      </c>
      <c r="AP604" s="5">
        <f t="shared" si="79"/>
        <v>7.6415232150982704E+16</v>
      </c>
      <c r="AQ604" s="5">
        <f>AM604*$AR$3</f>
        <v>2.6035854225207064E+16</v>
      </c>
      <c r="AR604" s="5">
        <f>AM604*AL604*$AR$4</f>
        <v>5.0379377925775672E+16</v>
      </c>
      <c r="AS604" s="5">
        <f>SUM($AP$9:AP603)</f>
        <v>1.5351180380150784E+18</v>
      </c>
    </row>
    <row r="605" spans="1:45" x14ac:dyDescent="0.15">
      <c r="A605" s="5">
        <v>597</v>
      </c>
      <c r="J605" s="5">
        <f t="shared" si="72"/>
        <v>597</v>
      </c>
      <c r="K605" s="5">
        <f>SUM($AP$9:AP604)</f>
        <v>1.6115332701660611E+18</v>
      </c>
      <c r="L605" s="5">
        <f>LOOKUP(K605,AI:AI,AE:AE)</f>
        <v>665</v>
      </c>
      <c r="M605" s="5">
        <f>LOOKUP(L605,AE:AE,AG:AG)</f>
        <v>8.19795493851556E+16</v>
      </c>
      <c r="N605" s="5">
        <f>AM605/M605/$K$1</f>
        <v>1.5879481175778147</v>
      </c>
      <c r="O605" s="5">
        <f>SUM($N$9:N605)</f>
        <v>1925.5024572726331</v>
      </c>
      <c r="AE605" s="5">
        <f t="shared" si="73"/>
        <v>597</v>
      </c>
      <c r="AF605" s="5">
        <f t="shared" si="74"/>
        <v>2684639753056580</v>
      </c>
      <c r="AG605" s="5">
        <f t="shared" si="75"/>
        <v>2666771934400630</v>
      </c>
      <c r="AH605" s="5">
        <f>AG605*$AF$1</f>
        <v>2.66677193440063E+16</v>
      </c>
      <c r="AI605" s="5">
        <f>SUM($AF$9:AF604)</f>
        <v>5.18166741022572E+16</v>
      </c>
      <c r="AK605" s="5">
        <f t="shared" si="76"/>
        <v>597</v>
      </c>
      <c r="AL605" s="5">
        <f t="shared" si="77"/>
        <v>86</v>
      </c>
      <c r="AM605" s="5">
        <f t="shared" si="78"/>
        <v>1.9526890668905299E+17</v>
      </c>
      <c r="AN605" s="5">
        <f>$AL$4*$AL$3^AL605*$AL$2</f>
        <v>1.9526890668905325E+17</v>
      </c>
      <c r="AO605" s="5">
        <f>IF(AL605=AL606,1,LOOKUP(MOD(AL605,$AL$1),$AN$1:$AN$5,$AO$1:$AO$5))</f>
        <v>1</v>
      </c>
      <c r="AP605" s="5">
        <f t="shared" si="79"/>
        <v>7.6415232150982704E+16</v>
      </c>
      <c r="AQ605" s="5">
        <f>AM605*$AR$3</f>
        <v>2.6035854225207064E+16</v>
      </c>
      <c r="AR605" s="5">
        <f>AM605*AL605*$AR$4</f>
        <v>5.0379377925775672E+16</v>
      </c>
      <c r="AS605" s="5">
        <f>SUM($AP$9:AP604)</f>
        <v>1.6115332701660611E+18</v>
      </c>
    </row>
    <row r="606" spans="1:45" x14ac:dyDescent="0.15">
      <c r="A606" s="5">
        <v>598</v>
      </c>
      <c r="J606" s="5">
        <f t="shared" si="72"/>
        <v>598</v>
      </c>
      <c r="K606" s="5">
        <f>SUM($AP$9:AP605)</f>
        <v>1.6879485023170437E+18</v>
      </c>
      <c r="L606" s="5">
        <f>LOOKUP(K606,AI:AI,AE:AE)</f>
        <v>666</v>
      </c>
      <c r="M606" s="5">
        <f>LOOKUP(L606,AE:AE,AG:AG)</f>
        <v>8.6207968248179504E+16</v>
      </c>
      <c r="N606" s="5">
        <f>AM606/M606/$K$1</f>
        <v>1.5100607724713937</v>
      </c>
      <c r="O606" s="5">
        <f>SUM($N$9:N606)</f>
        <v>1927.0125180451046</v>
      </c>
      <c r="AE606" s="5">
        <f t="shared" si="73"/>
        <v>598</v>
      </c>
      <c r="AF606" s="5">
        <f t="shared" si="74"/>
        <v>2823562043106600</v>
      </c>
      <c r="AG606" s="5">
        <f t="shared" si="75"/>
        <v>2804800833517850</v>
      </c>
      <c r="AH606" s="5">
        <f>AG606*$AF$1</f>
        <v>2.80480083351785E+16</v>
      </c>
      <c r="AI606" s="5">
        <f>SUM($AF$9:AF605)</f>
        <v>5.4501313855313776E+16</v>
      </c>
      <c r="AK606" s="5">
        <f t="shared" si="76"/>
        <v>598</v>
      </c>
      <c r="AL606" s="5">
        <f t="shared" si="77"/>
        <v>86</v>
      </c>
      <c r="AM606" s="5">
        <f t="shared" si="78"/>
        <v>1.9526890668905299E+17</v>
      </c>
      <c r="AN606" s="5">
        <f>$AL$4*$AL$3^AL606*$AL$2</f>
        <v>1.9526890668905325E+17</v>
      </c>
      <c r="AO606" s="5">
        <f>IF(AL606=AL607,1,LOOKUP(MOD(AL606,$AL$1),$AN$1:$AN$5,$AO$1:$AO$5))</f>
        <v>1</v>
      </c>
      <c r="AP606" s="5">
        <f t="shared" si="79"/>
        <v>7.6415232150982704E+16</v>
      </c>
      <c r="AQ606" s="5">
        <f>AM606*$AR$3</f>
        <v>2.6035854225207064E+16</v>
      </c>
      <c r="AR606" s="5">
        <f>AM606*AL606*$AR$4</f>
        <v>5.0379377925775672E+16</v>
      </c>
      <c r="AS606" s="5">
        <f>SUM($AP$9:AP605)</f>
        <v>1.6879485023170437E+18</v>
      </c>
    </row>
    <row r="607" spans="1:45" x14ac:dyDescent="0.15">
      <c r="A607" s="5">
        <v>599</v>
      </c>
      <c r="J607" s="5">
        <f t="shared" si="72"/>
        <v>599</v>
      </c>
      <c r="K607" s="5">
        <f>SUM($AP$9:AP606)</f>
        <v>1.7643637344680264E+18</v>
      </c>
      <c r="L607" s="5">
        <f>LOOKUP(K607,AI:AI,AE:AE)</f>
        <v>666</v>
      </c>
      <c r="M607" s="5">
        <f>LOOKUP(L607,AE:AE,AG:AG)</f>
        <v>8.6207968248179504E+16</v>
      </c>
      <c r="N607" s="5">
        <f>AM607/M607/$K$1</f>
        <v>1.5100607724713937</v>
      </c>
      <c r="O607" s="5">
        <f>SUM($N$9:N607)</f>
        <v>1928.522578817576</v>
      </c>
      <c r="AE607" s="5">
        <f t="shared" si="73"/>
        <v>599</v>
      </c>
      <c r="AF607" s="5">
        <f t="shared" si="74"/>
        <v>2969664962778980</v>
      </c>
      <c r="AG607" s="5">
        <f t="shared" si="75"/>
        <v>2949965692710790</v>
      </c>
      <c r="AH607" s="5">
        <f>AG607*$AF$1</f>
        <v>2.94996569271079E+16</v>
      </c>
      <c r="AI607" s="5">
        <f>SUM($AF$9:AF606)</f>
        <v>5.7324875898420376E+16</v>
      </c>
      <c r="AK607" s="5">
        <f t="shared" si="76"/>
        <v>599</v>
      </c>
      <c r="AL607" s="5">
        <f t="shared" si="77"/>
        <v>86</v>
      </c>
      <c r="AM607" s="5">
        <f t="shared" si="78"/>
        <v>1.9526890668905299E+17</v>
      </c>
      <c r="AN607" s="5">
        <f>$AL$4*$AL$3^AL607*$AL$2</f>
        <v>1.9526890668905325E+17</v>
      </c>
      <c r="AO607" s="5">
        <f>IF(AL607=AL608,1,LOOKUP(MOD(AL607,$AL$1),$AN$1:$AN$5,$AO$1:$AO$5))</f>
        <v>1</v>
      </c>
      <c r="AP607" s="5">
        <f t="shared" si="79"/>
        <v>7.6415232150982704E+16</v>
      </c>
      <c r="AQ607" s="5">
        <f>AM607*$AR$3</f>
        <v>2.6035854225207064E+16</v>
      </c>
      <c r="AR607" s="5">
        <f>AM607*AL607*$AR$4</f>
        <v>5.0379377925775672E+16</v>
      </c>
      <c r="AS607" s="5">
        <f>SUM($AP$9:AP606)</f>
        <v>1.7643637344680264E+18</v>
      </c>
    </row>
    <row r="608" spans="1:45" x14ac:dyDescent="0.15">
      <c r="A608" s="5">
        <v>600</v>
      </c>
      <c r="J608" s="5">
        <f t="shared" si="72"/>
        <v>600</v>
      </c>
      <c r="K608" s="5">
        <f>SUM($AP$9:AP607)</f>
        <v>1.840778966619009E+18</v>
      </c>
      <c r="L608" s="5">
        <f>LOOKUP(K608,AI:AI,AE:AE)</f>
        <v>667</v>
      </c>
      <c r="M608" s="5">
        <f>LOOKUP(L608,AE:AE,AG:AG)</f>
        <v>9.06542801240428E+16</v>
      </c>
      <c r="N608" s="5">
        <f>AM608/M608/$K$1</f>
        <v>1.4359969650402633</v>
      </c>
      <c r="O608" s="5">
        <f>SUM($N$9:N608)</f>
        <v>1929.9585757826162</v>
      </c>
      <c r="AE608" s="5">
        <f t="shared" si="73"/>
        <v>600</v>
      </c>
      <c r="AF608" s="5">
        <f t="shared" si="74"/>
        <v>3123319269310820</v>
      </c>
      <c r="AG608" s="5">
        <f t="shared" si="75"/>
        <v>3102635035739230</v>
      </c>
      <c r="AH608" s="5">
        <f>AG608*$AF$1</f>
        <v>3.10263503573923E+16</v>
      </c>
      <c r="AI608" s="5">
        <f>SUM($AF$9:AF607)</f>
        <v>6.029454086119936E+16</v>
      </c>
      <c r="AK608" s="5">
        <f t="shared" si="76"/>
        <v>600</v>
      </c>
      <c r="AL608" s="5">
        <f t="shared" si="77"/>
        <v>86</v>
      </c>
      <c r="AM608" s="5">
        <f t="shared" si="78"/>
        <v>1.9526890668905299E+17</v>
      </c>
      <c r="AN608" s="5">
        <f>$AL$4*$AL$3^AL608*$AL$2</f>
        <v>1.9526890668905325E+17</v>
      </c>
      <c r="AO608" s="5">
        <f>IF(AL608=AL609,1,LOOKUP(MOD(AL608,$AL$1),$AN$1:$AN$5,$AO$1:$AO$5))</f>
        <v>1</v>
      </c>
      <c r="AP608" s="5">
        <f t="shared" si="79"/>
        <v>7.6415232150982704E+16</v>
      </c>
      <c r="AQ608" s="5">
        <f>AM608*$AR$3</f>
        <v>2.6035854225207064E+16</v>
      </c>
      <c r="AR608" s="5">
        <f>AM608*AL608*$AR$4</f>
        <v>5.0379377925775672E+16</v>
      </c>
      <c r="AS608" s="5">
        <f>SUM($AP$9:AP607)</f>
        <v>1.840778966619009E+18</v>
      </c>
    </row>
    <row r="609" spans="1:45" x14ac:dyDescent="0.15">
      <c r="A609" s="5">
        <v>601</v>
      </c>
      <c r="J609" s="5">
        <f t="shared" si="72"/>
        <v>601</v>
      </c>
      <c r="K609" s="5">
        <f>SUM($AP$9:AP608)</f>
        <v>1.9171941987699917E+18</v>
      </c>
      <c r="L609" s="5">
        <f>LOOKUP(K609,AI:AI,AE:AE)</f>
        <v>668</v>
      </c>
      <c r="M609" s="5">
        <f>LOOKUP(L609,AE:AE,AG:AG)</f>
        <v>9.5329703266872E+16</v>
      </c>
      <c r="N609" s="5">
        <f>AM609/M609/$K$1</f>
        <v>1.3655688276045845</v>
      </c>
      <c r="O609" s="5">
        <f>SUM($N$9:N609)</f>
        <v>1931.3241446102209</v>
      </c>
      <c r="AE609" s="5">
        <f t="shared" si="73"/>
        <v>601</v>
      </c>
      <c r="AF609" s="5">
        <f t="shared" si="74"/>
        <v>3284914844088910</v>
      </c>
      <c r="AG609" s="5">
        <f t="shared" si="75"/>
        <v>3263196398838740</v>
      </c>
      <c r="AH609" s="5">
        <f>AG609*$AF$1</f>
        <v>3.26319639883874E+16</v>
      </c>
      <c r="AI609" s="5">
        <f>SUM($AF$9:AF608)</f>
        <v>6.3417860130510176E+16</v>
      </c>
      <c r="AK609" s="5">
        <f t="shared" si="76"/>
        <v>601</v>
      </c>
      <c r="AL609" s="5">
        <f t="shared" si="77"/>
        <v>86</v>
      </c>
      <c r="AM609" s="5">
        <f t="shared" si="78"/>
        <v>1.9526890668905299E+17</v>
      </c>
      <c r="AN609" s="5">
        <f>$AL$4*$AL$3^AL609*$AL$2</f>
        <v>1.9526890668905325E+17</v>
      </c>
      <c r="AO609" s="5">
        <f>IF(AL609=AL610,1,LOOKUP(MOD(AL609,$AL$1),$AN$1:$AN$5,$AO$1:$AO$5))</f>
        <v>1</v>
      </c>
      <c r="AP609" s="5">
        <f t="shared" si="79"/>
        <v>7.6415232150982704E+16</v>
      </c>
      <c r="AQ609" s="5">
        <f>AM609*$AR$3</f>
        <v>2.6035854225207064E+16</v>
      </c>
      <c r="AR609" s="5">
        <f>AM609*AL609*$AR$4</f>
        <v>5.0379377925775672E+16</v>
      </c>
      <c r="AS609" s="5">
        <f>SUM($AP$9:AP608)</f>
        <v>1.9171941987699917E+18</v>
      </c>
    </row>
    <row r="610" spans="1:45" x14ac:dyDescent="0.15">
      <c r="A610" s="5">
        <v>602</v>
      </c>
      <c r="J610" s="5">
        <f t="shared" si="72"/>
        <v>602</v>
      </c>
      <c r="K610" s="5">
        <f>SUM($AP$9:AP609)</f>
        <v>1.9936094309209743E+18</v>
      </c>
      <c r="L610" s="5">
        <f>LOOKUP(K610,AI:AI,AE:AE)</f>
        <v>669</v>
      </c>
      <c r="M610" s="5">
        <f>LOOKUP(L610,AE:AE,AG:AG)</f>
        <v>1.00246033023674E+17</v>
      </c>
      <c r="N610" s="5">
        <f>AM610/M610/$K$1</f>
        <v>5.194390927979863</v>
      </c>
      <c r="O610" s="5">
        <f>SUM($N$9:N610)</f>
        <v>1936.5185355382007</v>
      </c>
      <c r="AE610" s="5">
        <f t="shared" si="73"/>
        <v>602</v>
      </c>
      <c r="AF610" s="5">
        <f t="shared" si="74"/>
        <v>3454861678171530</v>
      </c>
      <c r="AG610" s="5">
        <f t="shared" si="75"/>
        <v>3432057310658840</v>
      </c>
      <c r="AH610" s="5">
        <f>AG610*$AF$1</f>
        <v>3.43205731065884E+16</v>
      </c>
      <c r="AI610" s="5">
        <f>SUM($AF$9:AF609)</f>
        <v>6.6702774974599088E+16</v>
      </c>
      <c r="AK610" s="5">
        <f t="shared" si="76"/>
        <v>602</v>
      </c>
      <c r="AL610" s="5">
        <f t="shared" si="77"/>
        <v>86</v>
      </c>
      <c r="AM610" s="5">
        <f t="shared" si="78"/>
        <v>7.8107562675621299E+17</v>
      </c>
      <c r="AN610" s="5">
        <f>$AL$4*$AL$3^AL610*$AL$2</f>
        <v>1.9526890668905325E+17</v>
      </c>
      <c r="AO610" s="5">
        <f>IF(AL610=AL611,1,LOOKUP(MOD(AL610,$AL$1),$AN$1:$AN$5,$AO$1:$AO$5))</f>
        <v>4</v>
      </c>
      <c r="AP610" s="5">
        <f t="shared" si="79"/>
        <v>3.0566092860393101E+17</v>
      </c>
      <c r="AQ610" s="5">
        <f>AM610*$AR$3</f>
        <v>1.041434169008284E+17</v>
      </c>
      <c r="AR610" s="5">
        <f>AM610*AL610*$AR$4</f>
        <v>2.0151751170310294E+17</v>
      </c>
      <c r="AS610" s="5">
        <f>SUM($AP$9:AP609)</f>
        <v>1.9936094309209743E+18</v>
      </c>
    </row>
    <row r="611" spans="1:45" x14ac:dyDescent="0.15">
      <c r="A611" s="5">
        <v>603</v>
      </c>
      <c r="J611" s="5">
        <f t="shared" si="72"/>
        <v>603</v>
      </c>
      <c r="K611" s="5">
        <f>SUM($AP$9:AP610)</f>
        <v>2.2992703595249055E+18</v>
      </c>
      <c r="L611" s="5">
        <f>LOOKUP(K611,AI:AI,AE:AE)</f>
        <v>672</v>
      </c>
      <c r="M611" s="5">
        <f>LOOKUP(L611,AE:AE,AG:AG)</f>
        <v>1.1656770552153699E+17</v>
      </c>
      <c r="N611" s="5">
        <f>AM611/M611/$K$1</f>
        <v>1.7533282889411819</v>
      </c>
      <c r="O611" s="5">
        <f>SUM($N$9:N611)</f>
        <v>1938.2718638271419</v>
      </c>
      <c r="AE611" s="5">
        <f t="shared" si="73"/>
        <v>603</v>
      </c>
      <c r="AF611" s="5">
        <f t="shared" si="74"/>
        <v>3633590908552180</v>
      </c>
      <c r="AG611" s="5">
        <f t="shared" si="75"/>
        <v>3609646322663870</v>
      </c>
      <c r="AH611" s="5">
        <f>AG611*$AF$1</f>
        <v>3.6096463226638704E+16</v>
      </c>
      <c r="AI611" s="5">
        <f>SUM($AF$9:AF610)</f>
        <v>7.0157636652770616E+16</v>
      </c>
      <c r="AK611" s="5">
        <f t="shared" si="76"/>
        <v>603</v>
      </c>
      <c r="AL611" s="5">
        <f t="shared" si="77"/>
        <v>87</v>
      </c>
      <c r="AM611" s="5">
        <f t="shared" si="78"/>
        <v>3.0657218350181402E+17</v>
      </c>
      <c r="AN611" s="5">
        <f>$AL$4*$AL$3^AL611*$AL$2</f>
        <v>3.0657218350181357E+17</v>
      </c>
      <c r="AO611" s="5">
        <f>IF(AL611=AL612,1,LOOKUP(MOD(AL611,$AL$1),$AN$1:$AN$5,$AO$1:$AO$5))</f>
        <v>1</v>
      </c>
      <c r="AP611" s="5">
        <f t="shared" si="79"/>
        <v>1.2089163102754899E+17</v>
      </c>
      <c r="AQ611" s="5">
        <f>AM611*$AR$3</f>
        <v>4.08762911335752E+16</v>
      </c>
      <c r="AR611" s="5">
        <f>AM611*AL611*$AR$4</f>
        <v>8.0015339893973456E+16</v>
      </c>
      <c r="AS611" s="5">
        <f>SUM($AP$9:AP610)</f>
        <v>2.2992703595249055E+18</v>
      </c>
    </row>
    <row r="612" spans="1:45" x14ac:dyDescent="0.15">
      <c r="A612" s="5">
        <v>604</v>
      </c>
      <c r="J612" s="5">
        <f t="shared" si="72"/>
        <v>604</v>
      </c>
      <c r="K612" s="5">
        <f>SUM($AP$9:AP611)</f>
        <v>2.4201619905524547E+18</v>
      </c>
      <c r="L612" s="5">
        <f>LOOKUP(K612,AI:AI,AE:AE)</f>
        <v>673</v>
      </c>
      <c r="M612" s="5">
        <f>LOOKUP(L612,AE:AE,AG:AG)</f>
        <v>1.22578227837492E+17</v>
      </c>
      <c r="N612" s="5">
        <f>AM612/M612/$K$1</f>
        <v>1.6673552822025994</v>
      </c>
      <c r="O612" s="5">
        <f>SUM($N$9:N612)</f>
        <v>1939.9392191093445</v>
      </c>
      <c r="AE612" s="5">
        <f t="shared" si="73"/>
        <v>604</v>
      </c>
      <c r="AF612" s="5">
        <f t="shared" si="74"/>
        <v>3821555907775470</v>
      </c>
      <c r="AG612" s="5">
        <f t="shared" si="75"/>
        <v>3796414092592740</v>
      </c>
      <c r="AH612" s="5">
        <f>AG612*$AF$1</f>
        <v>3.79641409259274E+16</v>
      </c>
      <c r="AI612" s="5">
        <f>SUM($AF$9:AF611)</f>
        <v>7.37912275613228E+16</v>
      </c>
      <c r="AK612" s="5">
        <f t="shared" si="76"/>
        <v>604</v>
      </c>
      <c r="AL612" s="5">
        <f t="shared" si="77"/>
        <v>87</v>
      </c>
      <c r="AM612" s="5">
        <f t="shared" si="78"/>
        <v>3.0657218350181402E+17</v>
      </c>
      <c r="AN612" s="5">
        <f>$AL$4*$AL$3^AL612*$AL$2</f>
        <v>3.0657218350181357E+17</v>
      </c>
      <c r="AO612" s="5">
        <f>IF(AL612=AL613,1,LOOKUP(MOD(AL612,$AL$1),$AN$1:$AN$5,$AO$1:$AO$5))</f>
        <v>1</v>
      </c>
      <c r="AP612" s="5">
        <f t="shared" si="79"/>
        <v>1.2089163102754899E+17</v>
      </c>
      <c r="AQ612" s="5">
        <f>AM612*$AR$3</f>
        <v>4.08762911335752E+16</v>
      </c>
      <c r="AR612" s="5">
        <f>AM612*AL612*$AR$4</f>
        <v>8.0015339893973456E+16</v>
      </c>
      <c r="AS612" s="5">
        <f>SUM($AP$9:AP611)</f>
        <v>2.4201619905524547E+18</v>
      </c>
    </row>
    <row r="613" spans="1:45" x14ac:dyDescent="0.15">
      <c r="A613" s="5">
        <v>605</v>
      </c>
      <c r="J613" s="5">
        <f t="shared" si="72"/>
        <v>605</v>
      </c>
      <c r="K613" s="5">
        <f>SUM($AP$9:AP612)</f>
        <v>2.5410536215800038E+18</v>
      </c>
      <c r="L613" s="5">
        <f>LOOKUP(K613,AI:AI,AE:AE)</f>
        <v>674</v>
      </c>
      <c r="M613" s="5">
        <f>LOOKUP(L613,AE:AE,AG:AG)</f>
        <v>1.28898383121238E+17</v>
      </c>
      <c r="N613" s="5">
        <f>AM613/M613/$K$1</f>
        <v>1.5856013917229737</v>
      </c>
      <c r="O613" s="5">
        <f>SUM($N$9:N613)</f>
        <v>1941.5248205010676</v>
      </c>
      <c r="AE613" s="5">
        <f t="shared" si="73"/>
        <v>605</v>
      </c>
      <c r="AF613" s="5">
        <f t="shared" si="74"/>
        <v>4019233429649720</v>
      </c>
      <c r="AG613" s="5">
        <f t="shared" si="75"/>
        <v>3992834523707850</v>
      </c>
      <c r="AH613" s="5">
        <f>AG613*$AF$1</f>
        <v>3.9928345237078496E+16</v>
      </c>
      <c r="AI613" s="5">
        <f>SUM($AF$9:AF612)</f>
        <v>7.7612783469098272E+16</v>
      </c>
      <c r="AK613" s="5">
        <f t="shared" si="76"/>
        <v>605</v>
      </c>
      <c r="AL613" s="5">
        <f t="shared" si="77"/>
        <v>87</v>
      </c>
      <c r="AM613" s="5">
        <f t="shared" si="78"/>
        <v>3.0657218350181402E+17</v>
      </c>
      <c r="AN613" s="5">
        <f>$AL$4*$AL$3^AL613*$AL$2</f>
        <v>3.0657218350181357E+17</v>
      </c>
      <c r="AO613" s="5">
        <f>IF(AL613=AL614,1,LOOKUP(MOD(AL613,$AL$1),$AN$1:$AN$5,$AO$1:$AO$5))</f>
        <v>1</v>
      </c>
      <c r="AP613" s="5">
        <f t="shared" si="79"/>
        <v>1.2089163102754899E+17</v>
      </c>
      <c r="AQ613" s="5">
        <f>AM613*$AR$3</f>
        <v>4.08762911335752E+16</v>
      </c>
      <c r="AR613" s="5">
        <f>AM613*AL613*$AR$4</f>
        <v>8.0015339893973456E+16</v>
      </c>
      <c r="AS613" s="5">
        <f>SUM($AP$9:AP612)</f>
        <v>2.5410536215800038E+18</v>
      </c>
    </row>
    <row r="614" spans="1:45" x14ac:dyDescent="0.15">
      <c r="A614" s="5">
        <v>606</v>
      </c>
      <c r="J614" s="5">
        <f t="shared" si="72"/>
        <v>606</v>
      </c>
      <c r="K614" s="5">
        <f>SUM($AP$9:AP613)</f>
        <v>2.661945252607553E+18</v>
      </c>
      <c r="L614" s="5">
        <f>LOOKUP(K614,AI:AI,AE:AE)</f>
        <v>675</v>
      </c>
      <c r="M614" s="5">
        <f>LOOKUP(L614,AE:AE,AG:AG)</f>
        <v>1.35544108363764E+17</v>
      </c>
      <c r="N614" s="5">
        <f>AM614/M614/$K$1</f>
        <v>1.5078593834515555</v>
      </c>
      <c r="O614" s="5">
        <f>SUM($N$9:N614)</f>
        <v>1943.0326798845192</v>
      </c>
      <c r="AE614" s="5">
        <f t="shared" si="73"/>
        <v>606</v>
      </c>
      <c r="AF614" s="5">
        <f t="shared" si="74"/>
        <v>4227124813941940</v>
      </c>
      <c r="AG614" s="5">
        <f t="shared" si="75"/>
        <v>4199405962702980</v>
      </c>
      <c r="AH614" s="5">
        <f>AG614*$AF$1</f>
        <v>4.19940596270298E+16</v>
      </c>
      <c r="AI614" s="5">
        <f>SUM($AF$9:AF613)</f>
        <v>8.1632016898748E+16</v>
      </c>
      <c r="AK614" s="5">
        <f t="shared" si="76"/>
        <v>606</v>
      </c>
      <c r="AL614" s="5">
        <f t="shared" si="77"/>
        <v>87</v>
      </c>
      <c r="AM614" s="5">
        <f t="shared" si="78"/>
        <v>3.0657218350181402E+17</v>
      </c>
      <c r="AN614" s="5">
        <f>$AL$4*$AL$3^AL614*$AL$2</f>
        <v>3.0657218350181357E+17</v>
      </c>
      <c r="AO614" s="5">
        <f>IF(AL614=AL615,1,LOOKUP(MOD(AL614,$AL$1),$AN$1:$AN$5,$AO$1:$AO$5))</f>
        <v>1</v>
      </c>
      <c r="AP614" s="5">
        <f t="shared" si="79"/>
        <v>1.2089163102754899E+17</v>
      </c>
      <c r="AQ614" s="5">
        <f>AM614*$AR$3</f>
        <v>4.08762911335752E+16</v>
      </c>
      <c r="AR614" s="5">
        <f>AM614*AL614*$AR$4</f>
        <v>8.0015339893973456E+16</v>
      </c>
      <c r="AS614" s="5">
        <f>SUM($AP$9:AP613)</f>
        <v>2.661945252607553E+18</v>
      </c>
    </row>
    <row r="615" spans="1:45" x14ac:dyDescent="0.15">
      <c r="A615" s="5">
        <v>607</v>
      </c>
      <c r="J615" s="5">
        <f t="shared" si="72"/>
        <v>607</v>
      </c>
      <c r="K615" s="5">
        <f>SUM($AP$9:AP614)</f>
        <v>2.7828368836351022E+18</v>
      </c>
      <c r="L615" s="5">
        <f>LOOKUP(K615,AI:AI,AE:AE)</f>
        <v>676</v>
      </c>
      <c r="M615" s="5">
        <f>LOOKUP(L615,AE:AE,AG:AG)</f>
        <v>1.4253216017274099E+17</v>
      </c>
      <c r="N615" s="5">
        <f>AM615/M615/$K$1</f>
        <v>1.4339322116508804</v>
      </c>
      <c r="O615" s="5">
        <f>SUM($N$9:N615)</f>
        <v>1944.4666120961701</v>
      </c>
      <c r="AE615" s="5">
        <f t="shared" si="73"/>
        <v>607</v>
      </c>
      <c r="AF615" s="5">
        <f t="shared" si="74"/>
        <v>4445757253089270</v>
      </c>
      <c r="AG615" s="5">
        <f t="shared" si="75"/>
        <v>4416652459288360</v>
      </c>
      <c r="AH615" s="5">
        <f>AG615*$AF$1</f>
        <v>4.41665245928836E+16</v>
      </c>
      <c r="AI615" s="5">
        <f>SUM($AF$9:AF614)</f>
        <v>8.5859141712689936E+16</v>
      </c>
      <c r="AK615" s="5">
        <f t="shared" si="76"/>
        <v>607</v>
      </c>
      <c r="AL615" s="5">
        <f t="shared" si="77"/>
        <v>87</v>
      </c>
      <c r="AM615" s="5">
        <f t="shared" si="78"/>
        <v>3.0657218350181402E+17</v>
      </c>
      <c r="AN615" s="5">
        <f>$AL$4*$AL$3^AL615*$AL$2</f>
        <v>3.0657218350181357E+17</v>
      </c>
      <c r="AO615" s="5">
        <f>IF(AL615=AL616,1,LOOKUP(MOD(AL615,$AL$1),$AN$1:$AN$5,$AO$1:$AO$5))</f>
        <v>1</v>
      </c>
      <c r="AP615" s="5">
        <f t="shared" si="79"/>
        <v>1.2089163102754899E+17</v>
      </c>
      <c r="AQ615" s="5">
        <f>AM615*$AR$3</f>
        <v>4.08762911335752E+16</v>
      </c>
      <c r="AR615" s="5">
        <f>AM615*AL615*$AR$4</f>
        <v>8.0015339893973456E+16</v>
      </c>
      <c r="AS615" s="5">
        <f>SUM($AP$9:AP614)</f>
        <v>2.7828368836351022E+18</v>
      </c>
    </row>
    <row r="616" spans="1:45" x14ac:dyDescent="0.15">
      <c r="A616" s="5">
        <v>608</v>
      </c>
      <c r="J616" s="5">
        <f t="shared" si="72"/>
        <v>608</v>
      </c>
      <c r="K616" s="5">
        <f>SUM($AP$9:AP615)</f>
        <v>2.9037285146626514E+18</v>
      </c>
      <c r="L616" s="5">
        <f>LOOKUP(K616,AI:AI,AE:AE)</f>
        <v>676</v>
      </c>
      <c r="M616" s="5">
        <f>LOOKUP(L616,AE:AE,AG:AG)</f>
        <v>1.4253216017274099E+17</v>
      </c>
      <c r="N616" s="5">
        <f>AM616/M616/$K$1</f>
        <v>1.4339322116508804</v>
      </c>
      <c r="O616" s="5">
        <f>SUM($N$9:N616)</f>
        <v>1945.9005443078211</v>
      </c>
      <c r="AE616" s="5">
        <f t="shared" si="73"/>
        <v>608</v>
      </c>
      <c r="AF616" s="5">
        <f t="shared" si="74"/>
        <v>4675685124116470</v>
      </c>
      <c r="AG616" s="5">
        <f t="shared" si="75"/>
        <v>4645125090625510</v>
      </c>
      <c r="AH616" s="5">
        <f>AG616*$AF$1</f>
        <v>4.6451250906255104E+16</v>
      </c>
      <c r="AI616" s="5">
        <f>SUM($AF$9:AF615)</f>
        <v>9.03048989657792E+16</v>
      </c>
      <c r="AK616" s="5">
        <f t="shared" si="76"/>
        <v>608</v>
      </c>
      <c r="AL616" s="5">
        <f t="shared" si="77"/>
        <v>87</v>
      </c>
      <c r="AM616" s="5">
        <f t="shared" si="78"/>
        <v>3.0657218350181402E+17</v>
      </c>
      <c r="AN616" s="5">
        <f>$AL$4*$AL$3^AL616*$AL$2</f>
        <v>3.0657218350181357E+17</v>
      </c>
      <c r="AO616" s="5">
        <f>IF(AL616=AL617,1,LOOKUP(MOD(AL616,$AL$1),$AN$1:$AN$5,$AO$1:$AO$5))</f>
        <v>1</v>
      </c>
      <c r="AP616" s="5">
        <f t="shared" si="79"/>
        <v>1.2089163102754899E+17</v>
      </c>
      <c r="AQ616" s="5">
        <f>AM616*$AR$3</f>
        <v>4.08762911335752E+16</v>
      </c>
      <c r="AR616" s="5">
        <f>AM616*AL616*$AR$4</f>
        <v>8.0015339893973456E+16</v>
      </c>
      <c r="AS616" s="5">
        <f>SUM($AP$9:AP615)</f>
        <v>2.9037285146626514E+18</v>
      </c>
    </row>
    <row r="617" spans="1:45" x14ac:dyDescent="0.15">
      <c r="A617" s="5">
        <v>609</v>
      </c>
      <c r="J617" s="5">
        <f t="shared" si="72"/>
        <v>609</v>
      </c>
      <c r="K617" s="5">
        <f>SUM($AP$9:AP616)</f>
        <v>3.0246201456902006E+18</v>
      </c>
      <c r="L617" s="5">
        <f>LOOKUP(K617,AI:AI,AE:AE)</f>
        <v>677</v>
      </c>
      <c r="M617" s="5">
        <f>LOOKUP(L617,AE:AE,AG:AG)</f>
        <v>1.4988015689170499E+17</v>
      </c>
      <c r="N617" s="5">
        <f>AM617/M617/$K$1</f>
        <v>8.1817951050938706</v>
      </c>
      <c r="O617" s="5">
        <f>SUM($N$9:N617)</f>
        <v>1954.082339412915</v>
      </c>
      <c r="AE617" s="5">
        <f t="shared" si="73"/>
        <v>609</v>
      </c>
      <c r="AF617" s="5">
        <f t="shared" si="74"/>
        <v>4917491389113670</v>
      </c>
      <c r="AG617" s="5">
        <f t="shared" si="75"/>
        <v>4885403353948170</v>
      </c>
      <c r="AH617" s="5">
        <f>AG617*$AF$1</f>
        <v>4.8854033539481696E+16</v>
      </c>
      <c r="AI617" s="5">
        <f>SUM($AF$9:AF616)</f>
        <v>9.4980584089895664E+16</v>
      </c>
      <c r="AK617" s="5">
        <f t="shared" si="76"/>
        <v>609</v>
      </c>
      <c r="AL617" s="5">
        <f t="shared" si="77"/>
        <v>87</v>
      </c>
      <c r="AM617" s="5">
        <f t="shared" si="78"/>
        <v>1.83943310101088E+18</v>
      </c>
      <c r="AN617" s="5">
        <f>$AL$4*$AL$3^AL617*$AL$2</f>
        <v>3.0657218350181357E+17</v>
      </c>
      <c r="AO617" s="5">
        <f>IF(AL617=AL618,1,LOOKUP(MOD(AL617,$AL$1),$AN$1:$AN$5,$AO$1:$AO$5))</f>
        <v>6</v>
      </c>
      <c r="AP617" s="5">
        <f t="shared" si="79"/>
        <v>7.2534978616528998E+17</v>
      </c>
      <c r="AQ617" s="5">
        <f>AM617*$AR$3</f>
        <v>2.4525774680145066E+17</v>
      </c>
      <c r="AR617" s="5">
        <f>AM617*AL617*$AR$4</f>
        <v>4.8009203936383974E+17</v>
      </c>
      <c r="AS617" s="5">
        <f>SUM($AP$9:AP616)</f>
        <v>3.0246201456902006E+18</v>
      </c>
    </row>
    <row r="618" spans="1:45" x14ac:dyDescent="0.15">
      <c r="A618" s="5">
        <v>610</v>
      </c>
      <c r="J618" s="5">
        <f t="shared" si="72"/>
        <v>610</v>
      </c>
      <c r="K618" s="5">
        <f>SUM($AP$9:AP617)</f>
        <v>3.7499699318554906E+18</v>
      </c>
      <c r="L618" s="5">
        <f>LOOKUP(K618,AI:AI,AE:AE)</f>
        <v>681</v>
      </c>
      <c r="M618" s="5">
        <f>LOOKUP(L618,AE:AE,AG:AG)</f>
        <v>1.8325666489717798E+17</v>
      </c>
      <c r="N618" s="5">
        <f>AM618/M618/$K$1</f>
        <v>1.7509807110077225</v>
      </c>
      <c r="O618" s="5">
        <f>SUM($N$9:N618)</f>
        <v>1955.8333201239227</v>
      </c>
      <c r="AE618" s="5">
        <f t="shared" si="73"/>
        <v>610</v>
      </c>
      <c r="AF618" s="5">
        <f t="shared" si="74"/>
        <v>5171789067800300</v>
      </c>
      <c r="AG618" s="5">
        <f t="shared" si="75"/>
        <v>5138096630876520</v>
      </c>
      <c r="AH618" s="5">
        <f>AG618*$AF$1</f>
        <v>5.13809663087652E+16</v>
      </c>
      <c r="AI618" s="5">
        <f>SUM($AF$9:AF617)</f>
        <v>9.9898075479009328E+16</v>
      </c>
      <c r="AK618" s="5">
        <f t="shared" si="76"/>
        <v>610</v>
      </c>
      <c r="AL618" s="5">
        <f t="shared" si="77"/>
        <v>88</v>
      </c>
      <c r="AM618" s="5">
        <f t="shared" si="78"/>
        <v>4.8131832809784698E+17</v>
      </c>
      <c r="AN618" s="5">
        <f>$AL$4*$AL$3^AL618*$AL$2</f>
        <v>4.8131832809784736E+17</v>
      </c>
      <c r="AO618" s="5">
        <f>IF(AL618=AL619,1,LOOKUP(MOD(AL618,$AL$1),$AN$1:$AN$5,$AO$1:$AO$5))</f>
        <v>1</v>
      </c>
      <c r="AP618" s="5">
        <f t="shared" si="79"/>
        <v>1.9124381569754499E+17</v>
      </c>
      <c r="AQ618" s="5">
        <f>AM618*$AR$3</f>
        <v>6.4175777079712928E+16</v>
      </c>
      <c r="AR618" s="5">
        <f>AM618*AL618*$AR$4</f>
        <v>1.2706803861783162E+17</v>
      </c>
      <c r="AS618" s="5">
        <f>SUM($AP$9:AP617)</f>
        <v>3.7499699318554906E+18</v>
      </c>
    </row>
    <row r="619" spans="1:45" x14ac:dyDescent="0.15">
      <c r="A619" s="5">
        <v>611</v>
      </c>
      <c r="J619" s="5">
        <f t="shared" si="72"/>
        <v>611</v>
      </c>
      <c r="K619" s="5">
        <f>SUM($AP$9:AP618)</f>
        <v>3.9412137475530358E+18</v>
      </c>
      <c r="L619" s="5">
        <f>LOOKUP(K619,AI:AI,AE:AE)</f>
        <v>682</v>
      </c>
      <c r="M619" s="5">
        <f>LOOKUP(L619,AE:AE,AG:AG)</f>
        <v>1.9270205247117402E+17</v>
      </c>
      <c r="N619" s="5">
        <f>AM619/M619/$K$1</f>
        <v>1.6651555148669959</v>
      </c>
      <c r="O619" s="5">
        <f>SUM($N$9:N619)</f>
        <v>1957.4984756387896</v>
      </c>
      <c r="AE619" s="5">
        <f t="shared" si="73"/>
        <v>611</v>
      </c>
      <c r="AF619" s="5">
        <f t="shared" si="74"/>
        <v>5439222785882810</v>
      </c>
      <c r="AG619" s="5">
        <f t="shared" si="75"/>
        <v>5403845727112840</v>
      </c>
      <c r="AH619" s="5">
        <f>AG619*$AF$1</f>
        <v>5.40384572711284E+16</v>
      </c>
      <c r="AI619" s="5">
        <f>SUM($AF$9:AF618)</f>
        <v>1.0506986454680963E+17</v>
      </c>
      <c r="AK619" s="5">
        <f t="shared" si="76"/>
        <v>611</v>
      </c>
      <c r="AL619" s="5">
        <f t="shared" si="77"/>
        <v>88</v>
      </c>
      <c r="AM619" s="5">
        <f t="shared" si="78"/>
        <v>4.8131832809784698E+17</v>
      </c>
      <c r="AN619" s="5">
        <f>$AL$4*$AL$3^AL619*$AL$2</f>
        <v>4.8131832809784736E+17</v>
      </c>
      <c r="AO619" s="5">
        <f>IF(AL619=AL620,1,LOOKUP(MOD(AL619,$AL$1),$AN$1:$AN$5,$AO$1:$AO$5))</f>
        <v>1</v>
      </c>
      <c r="AP619" s="5">
        <f t="shared" si="79"/>
        <v>1.9124381569754499E+17</v>
      </c>
      <c r="AQ619" s="5">
        <f>AM619*$AR$3</f>
        <v>6.4175777079712928E+16</v>
      </c>
      <c r="AR619" s="5">
        <f>AM619*AL619*$AR$4</f>
        <v>1.2706803861783162E+17</v>
      </c>
      <c r="AS619" s="5">
        <f>SUM($AP$9:AP618)</f>
        <v>3.9412137475530358E+18</v>
      </c>
    </row>
    <row r="620" spans="1:45" x14ac:dyDescent="0.15">
      <c r="A620" s="5">
        <v>612</v>
      </c>
      <c r="J620" s="5">
        <f t="shared" si="72"/>
        <v>612</v>
      </c>
      <c r="K620" s="5">
        <f>SUM($AP$9:AP619)</f>
        <v>4.132457563250581E+18</v>
      </c>
      <c r="L620" s="5">
        <f>LOOKUP(K620,AI:AI,AE:AE)</f>
        <v>683</v>
      </c>
      <c r="M620" s="5">
        <f>LOOKUP(L620,AE:AE,AG:AG)</f>
        <v>2.0263383714032602E+17</v>
      </c>
      <c r="N620" s="5">
        <f>AM620/M620/$K$1</f>
        <v>1.583540488237178</v>
      </c>
      <c r="O620" s="5">
        <f>SUM($N$9:N620)</f>
        <v>1959.0820161270267</v>
      </c>
      <c r="AE620" s="5">
        <f t="shared" si="73"/>
        <v>612</v>
      </c>
      <c r="AF620" s="5">
        <f t="shared" si="74"/>
        <v>5720470403104060</v>
      </c>
      <c r="AG620" s="5">
        <f t="shared" si="75"/>
        <v>5683324491395600</v>
      </c>
      <c r="AH620" s="5">
        <f>AG620*$AF$1</f>
        <v>5.6833244913956E+16</v>
      </c>
      <c r="AI620" s="5">
        <f>SUM($AF$9:AF619)</f>
        <v>1.1050908733269245E+17</v>
      </c>
      <c r="AK620" s="5">
        <f t="shared" si="76"/>
        <v>612</v>
      </c>
      <c r="AL620" s="5">
        <f t="shared" si="77"/>
        <v>88</v>
      </c>
      <c r="AM620" s="5">
        <f t="shared" si="78"/>
        <v>4.8131832809784698E+17</v>
      </c>
      <c r="AN620" s="5">
        <f>$AL$4*$AL$3^AL620*$AL$2</f>
        <v>4.8131832809784736E+17</v>
      </c>
      <c r="AO620" s="5">
        <f>IF(AL620=AL621,1,LOOKUP(MOD(AL620,$AL$1),$AN$1:$AN$5,$AO$1:$AO$5))</f>
        <v>1</v>
      </c>
      <c r="AP620" s="5">
        <f t="shared" si="79"/>
        <v>1.9124381569754499E+17</v>
      </c>
      <c r="AQ620" s="5">
        <f>AM620*$AR$3</f>
        <v>6.4175777079712928E+16</v>
      </c>
      <c r="AR620" s="5">
        <f>AM620*AL620*$AR$4</f>
        <v>1.2706803861783162E+17</v>
      </c>
      <c r="AS620" s="5">
        <f>SUM($AP$9:AP619)</f>
        <v>4.132457563250581E+18</v>
      </c>
    </row>
    <row r="621" spans="1:45" x14ac:dyDescent="0.15">
      <c r="A621" s="5">
        <v>613</v>
      </c>
      <c r="J621" s="5">
        <f t="shared" si="72"/>
        <v>613</v>
      </c>
      <c r="K621" s="5">
        <f>SUM($AP$9:AP620)</f>
        <v>4.3237013789481262E+18</v>
      </c>
      <c r="L621" s="5">
        <f>LOOKUP(K621,AI:AI,AE:AE)</f>
        <v>684</v>
      </c>
      <c r="M621" s="5">
        <f>LOOKUP(L621,AE:AE,AG:AG)</f>
        <v>2.1307704514521501E+17</v>
      </c>
      <c r="N621" s="5">
        <f>AM621/M621/$K$1</f>
        <v>1.5059289243469711</v>
      </c>
      <c r="O621" s="5">
        <f>SUM($N$9:N621)</f>
        <v>1960.5879450513737</v>
      </c>
      <c r="AE621" s="5">
        <f t="shared" si="73"/>
        <v>613</v>
      </c>
      <c r="AF621" s="5">
        <f t="shared" si="74"/>
        <v>6016244725082740</v>
      </c>
      <c r="AG621" s="5">
        <f t="shared" si="75"/>
        <v>5977241517788850</v>
      </c>
      <c r="AH621" s="5">
        <f>AG621*$AF$1</f>
        <v>5.9772415177888496E+16</v>
      </c>
      <c r="AI621" s="5">
        <f>SUM($AF$9:AF620)</f>
        <v>1.1622955773579651E+17</v>
      </c>
      <c r="AK621" s="5">
        <f t="shared" si="76"/>
        <v>613</v>
      </c>
      <c r="AL621" s="5">
        <f t="shared" si="77"/>
        <v>88</v>
      </c>
      <c r="AM621" s="5">
        <f t="shared" si="78"/>
        <v>4.8131832809784698E+17</v>
      </c>
      <c r="AN621" s="5">
        <f>$AL$4*$AL$3^AL621*$AL$2</f>
        <v>4.8131832809784736E+17</v>
      </c>
      <c r="AO621" s="5">
        <f>IF(AL621=AL622,1,LOOKUP(MOD(AL621,$AL$1),$AN$1:$AN$5,$AO$1:$AO$5))</f>
        <v>1</v>
      </c>
      <c r="AP621" s="5">
        <f t="shared" si="79"/>
        <v>1.9124381569754499E+17</v>
      </c>
      <c r="AQ621" s="5">
        <f>AM621*$AR$3</f>
        <v>6.4175777079712928E+16</v>
      </c>
      <c r="AR621" s="5">
        <f>AM621*AL621*$AR$4</f>
        <v>1.2706803861783162E+17</v>
      </c>
      <c r="AS621" s="5">
        <f>SUM($AP$9:AP620)</f>
        <v>4.3237013789481262E+18</v>
      </c>
    </row>
    <row r="622" spans="1:45" x14ac:dyDescent="0.15">
      <c r="A622" s="5">
        <v>614</v>
      </c>
      <c r="J622" s="5">
        <f t="shared" si="72"/>
        <v>614</v>
      </c>
      <c r="K622" s="5">
        <f>SUM($AP$9:AP621)</f>
        <v>4.5149451946456714E+18</v>
      </c>
      <c r="L622" s="5">
        <f>LOOKUP(K622,AI:AI,AE:AE)</f>
        <v>685</v>
      </c>
      <c r="M622" s="5">
        <f>LOOKUP(L622,AE:AE,AG:AG)</f>
        <v>2.2405798935774301E+17</v>
      </c>
      <c r="N622" s="5">
        <f>AM622/M622/$K$1</f>
        <v>1.4321242742486284</v>
      </c>
      <c r="O622" s="5">
        <f>SUM($N$9:N622)</f>
        <v>1962.0200693256224</v>
      </c>
      <c r="AE622" s="5">
        <f t="shared" si="73"/>
        <v>614</v>
      </c>
      <c r="AF622" s="5">
        <f t="shared" si="74"/>
        <v>6327295303251520</v>
      </c>
      <c r="AG622" s="5">
        <f t="shared" si="75"/>
        <v>6286341935592940</v>
      </c>
      <c r="AH622" s="5">
        <f>AG622*$AF$1</f>
        <v>6.28634193559294E+16</v>
      </c>
      <c r="AI622" s="5">
        <f>SUM($AF$9:AF621)</f>
        <v>1.2224580246087925E+17</v>
      </c>
      <c r="AK622" s="5">
        <f t="shared" si="76"/>
        <v>614</v>
      </c>
      <c r="AL622" s="5">
        <f t="shared" si="77"/>
        <v>88</v>
      </c>
      <c r="AM622" s="5">
        <f t="shared" si="78"/>
        <v>4.8131832809784698E+17</v>
      </c>
      <c r="AN622" s="5">
        <f>$AL$4*$AL$3^AL622*$AL$2</f>
        <v>4.8131832809784736E+17</v>
      </c>
      <c r="AO622" s="5">
        <f>IF(AL622=AL623,1,LOOKUP(MOD(AL622,$AL$1),$AN$1:$AN$5,$AO$1:$AO$5))</f>
        <v>1</v>
      </c>
      <c r="AP622" s="5">
        <f t="shared" si="79"/>
        <v>1.9124381569754499E+17</v>
      </c>
      <c r="AQ622" s="5">
        <f>AM622*$AR$3</f>
        <v>6.4175777079712928E+16</v>
      </c>
      <c r="AR622" s="5">
        <f>AM622*AL622*$AR$4</f>
        <v>1.2706803861783162E+17</v>
      </c>
      <c r="AS622" s="5">
        <f>SUM($AP$9:AP621)</f>
        <v>4.5149451946456714E+18</v>
      </c>
    </row>
    <row r="623" spans="1:45" x14ac:dyDescent="0.15">
      <c r="A623" s="5">
        <v>615</v>
      </c>
      <c r="J623" s="5">
        <f t="shared" si="72"/>
        <v>615</v>
      </c>
      <c r="K623" s="5">
        <f>SUM($AP$9:AP622)</f>
        <v>4.7061890103432161E+18</v>
      </c>
      <c r="L623" s="5">
        <f>LOOKUP(K623,AI:AI,AE:AE)</f>
        <v>686</v>
      </c>
      <c r="M623" s="5">
        <f>LOOKUP(L623,AE:AE,AG:AG)</f>
        <v>2.3560433537866E+17</v>
      </c>
      <c r="N623" s="5">
        <f>AM623/M623/$K$1</f>
        <v>1.3619396471752212</v>
      </c>
      <c r="O623" s="5">
        <f>SUM($N$9:N623)</f>
        <v>1963.3820089727976</v>
      </c>
      <c r="AE623" s="5">
        <f t="shared" si="73"/>
        <v>615</v>
      </c>
      <c r="AF623" s="5">
        <f t="shared" si="74"/>
        <v>6654410327424480</v>
      </c>
      <c r="AG623" s="5">
        <f t="shared" si="75"/>
        <v>6611409291382960</v>
      </c>
      <c r="AH623" s="5">
        <f>AG623*$AF$1</f>
        <v>6.61140929138296E+16</v>
      </c>
      <c r="AI623" s="5">
        <f>SUM($AF$9:AF622)</f>
        <v>1.2857309776413077E+17</v>
      </c>
      <c r="AK623" s="5">
        <f t="shared" si="76"/>
        <v>615</v>
      </c>
      <c r="AL623" s="5">
        <f t="shared" si="77"/>
        <v>88</v>
      </c>
      <c r="AM623" s="5">
        <f t="shared" si="78"/>
        <v>4.8131832809784698E+17</v>
      </c>
      <c r="AN623" s="5">
        <f>$AL$4*$AL$3^AL623*$AL$2</f>
        <v>4.8131832809784736E+17</v>
      </c>
      <c r="AO623" s="5">
        <f>IF(AL623=AL624,1,LOOKUP(MOD(AL623,$AL$1),$AN$1:$AN$5,$AO$1:$AO$5))</f>
        <v>1</v>
      </c>
      <c r="AP623" s="5">
        <f t="shared" si="79"/>
        <v>1.9124381569754499E+17</v>
      </c>
      <c r="AQ623" s="5">
        <f>AM623*$AR$3</f>
        <v>6.4175777079712928E+16</v>
      </c>
      <c r="AR623" s="5">
        <f>AM623*AL623*$AR$4</f>
        <v>1.2706803861783162E+17</v>
      </c>
      <c r="AS623" s="5">
        <f>SUM($AP$9:AP622)</f>
        <v>4.7061890103432161E+18</v>
      </c>
    </row>
    <row r="624" spans="1:45" x14ac:dyDescent="0.15">
      <c r="A624" s="5">
        <v>616</v>
      </c>
      <c r="J624" s="5">
        <f t="shared" si="72"/>
        <v>616</v>
      </c>
      <c r="K624" s="5">
        <f>SUM($AP$9:AP623)</f>
        <v>4.8974328260407613E+18</v>
      </c>
      <c r="L624" s="5">
        <f>LOOKUP(K624,AI:AI,AE:AE)</f>
        <v>687</v>
      </c>
      <c r="M624" s="5">
        <f>LOOKUP(L624,AE:AE,AG:AG)</f>
        <v>2.4774517102827501E+17</v>
      </c>
      <c r="N624" s="5">
        <f>AM624/M624/$K$1</f>
        <v>9.0663813484929694</v>
      </c>
      <c r="O624" s="5">
        <f>SUM($N$9:N624)</f>
        <v>1972.4483903212906</v>
      </c>
      <c r="AE624" s="5">
        <f t="shared" si="73"/>
        <v>616</v>
      </c>
      <c r="AF624" s="5">
        <f t="shared" si="74"/>
        <v>6998418615756600</v>
      </c>
      <c r="AG624" s="5">
        <f t="shared" si="75"/>
        <v>6953267527913010</v>
      </c>
      <c r="AH624" s="5">
        <f>AG624*$AF$1</f>
        <v>6.9532675279130096E+16</v>
      </c>
      <c r="AI624" s="5">
        <f>SUM($AF$9:AF623)</f>
        <v>1.3522750809155525E+17</v>
      </c>
      <c r="AK624" s="5">
        <f t="shared" si="76"/>
        <v>616</v>
      </c>
      <c r="AL624" s="5">
        <f t="shared" si="77"/>
        <v>88</v>
      </c>
      <c r="AM624" s="5">
        <f t="shared" si="78"/>
        <v>3.36922829668493E+18</v>
      </c>
      <c r="AN624" s="5">
        <f>$AL$4*$AL$3^AL624*$AL$2</f>
        <v>4.8131832809784736E+17</v>
      </c>
      <c r="AO624" s="5">
        <f>IF(AL624=AL625,1,LOOKUP(MOD(AL624,$AL$1),$AN$1:$AN$5,$AO$1:$AO$5))</f>
        <v>7</v>
      </c>
      <c r="AP624" s="5">
        <f t="shared" si="79"/>
        <v>1.3387067098828101E+18</v>
      </c>
      <c r="AQ624" s="5">
        <f>AM624*$AR$3</f>
        <v>4.4923043955799066E+17</v>
      </c>
      <c r="AR624" s="5">
        <f>AM624*AL624*$AR$4</f>
        <v>8.894762703248215E+17</v>
      </c>
      <c r="AS624" s="5">
        <f>SUM($AP$9:AP623)</f>
        <v>4.8974328260407613E+18</v>
      </c>
    </row>
    <row r="625" spans="1:45" x14ac:dyDescent="0.15">
      <c r="A625" s="5">
        <v>617</v>
      </c>
      <c r="J625" s="5">
        <f t="shared" si="72"/>
        <v>617</v>
      </c>
      <c r="K625" s="5">
        <f>SUM($AP$9:AP624)</f>
        <v>6.2361395359235717E+18</v>
      </c>
      <c r="L625" s="5">
        <f>LOOKUP(K625,AI:AI,AE:AE)</f>
        <v>692</v>
      </c>
      <c r="M625" s="5">
        <f>LOOKUP(L625,AE:AE,AG:AG)</f>
        <v>3.1849385012431302E+17</v>
      </c>
      <c r="N625" s="5">
        <f>AM625/M625/$K$1</f>
        <v>1.5817569158057954</v>
      </c>
      <c r="O625" s="5">
        <f>SUM($N$9:N625)</f>
        <v>1974.0301472370963</v>
      </c>
      <c r="AE625" s="5">
        <f t="shared" si="73"/>
        <v>617</v>
      </c>
      <c r="AF625" s="5">
        <f t="shared" si="74"/>
        <v>7360191707103370</v>
      </c>
      <c r="AG625" s="5">
        <f t="shared" si="75"/>
        <v>7312783064867600</v>
      </c>
      <c r="AH625" s="5">
        <f>AG625*$AF$1</f>
        <v>7.3127830648676E+16</v>
      </c>
      <c r="AI625" s="5">
        <f>SUM($AF$9:AF624)</f>
        <v>1.4222592670731184E+17</v>
      </c>
      <c r="AK625" s="5">
        <f t="shared" si="76"/>
        <v>617</v>
      </c>
      <c r="AL625" s="5">
        <f t="shared" si="77"/>
        <v>89</v>
      </c>
      <c r="AM625" s="5">
        <f t="shared" si="78"/>
        <v>7.5566977511361997E+17</v>
      </c>
      <c r="AN625" s="5">
        <f>$AL$4*$AL$3^AL625*$AL$2</f>
        <v>7.5566977511362035E+17</v>
      </c>
      <c r="AO625" s="5">
        <f>IF(AL625=AL626,1,LOOKUP(MOD(AL625,$AL$1),$AN$1:$AN$5,$AO$1:$AO$5))</f>
        <v>1</v>
      </c>
      <c r="AP625" s="5">
        <f t="shared" si="79"/>
        <v>3.0251979997048602E+17</v>
      </c>
      <c r="AQ625" s="5">
        <f>AM625*$AR$3</f>
        <v>1.0075597001514933E+17</v>
      </c>
      <c r="AR625" s="5">
        <f>AM625*AL625*$AR$4</f>
        <v>2.0176382995533654E+17</v>
      </c>
      <c r="AS625" s="5">
        <f>SUM($AP$9:AP624)</f>
        <v>6.2361395359235717E+18</v>
      </c>
    </row>
    <row r="626" spans="1:45" x14ac:dyDescent="0.15">
      <c r="A626" s="5">
        <v>618</v>
      </c>
      <c r="J626" s="5">
        <f t="shared" si="72"/>
        <v>618</v>
      </c>
      <c r="K626" s="5">
        <f>SUM($AP$9:AP625)</f>
        <v>6.538659335894058E+18</v>
      </c>
      <c r="L626" s="5">
        <f>LOOKUP(K626,AI:AI,AE:AE)</f>
        <v>693</v>
      </c>
      <c r="M626" s="5">
        <f>LOOKUP(L626,AE:AE,AG:AG)</f>
        <v>3.3490180642045702E+17</v>
      </c>
      <c r="N626" s="5">
        <f>AM626/M626/$K$1</f>
        <v>1.5042613698036293</v>
      </c>
      <c r="O626" s="5">
        <f>SUM($N$9:N626)</f>
        <v>1975.5344086068999</v>
      </c>
      <c r="AE626" s="5">
        <f t="shared" si="73"/>
        <v>618</v>
      </c>
      <c r="AF626" s="5">
        <f t="shared" si="74"/>
        <v>7740646061045430</v>
      </c>
      <c r="AG626" s="5">
        <f t="shared" si="75"/>
        <v>7690866986697870</v>
      </c>
      <c r="AH626" s="5">
        <f>AG626*$AF$1</f>
        <v>7.6908669866978704E+16</v>
      </c>
      <c r="AI626" s="5">
        <f>SUM($AF$9:AF625)</f>
        <v>1.495861184144152E+17</v>
      </c>
      <c r="AK626" s="5">
        <f t="shared" si="76"/>
        <v>618</v>
      </c>
      <c r="AL626" s="5">
        <f t="shared" si="77"/>
        <v>89</v>
      </c>
      <c r="AM626" s="5">
        <f t="shared" si="78"/>
        <v>7.5566977511361997E+17</v>
      </c>
      <c r="AN626" s="5">
        <f>$AL$4*$AL$3^AL626*$AL$2</f>
        <v>7.5566977511362035E+17</v>
      </c>
      <c r="AO626" s="5">
        <f>IF(AL626=AL627,1,LOOKUP(MOD(AL626,$AL$1),$AN$1:$AN$5,$AO$1:$AO$5))</f>
        <v>1</v>
      </c>
      <c r="AP626" s="5">
        <f t="shared" si="79"/>
        <v>3.0251979997048602E+17</v>
      </c>
      <c r="AQ626" s="5">
        <f>AM626*$AR$3</f>
        <v>1.0075597001514933E+17</v>
      </c>
      <c r="AR626" s="5">
        <f>AM626*AL626*$AR$4</f>
        <v>2.0176382995533654E+17</v>
      </c>
      <c r="AS626" s="5">
        <f>SUM($AP$9:AP625)</f>
        <v>6.538659335894058E+18</v>
      </c>
    </row>
    <row r="627" spans="1:45" x14ac:dyDescent="0.15">
      <c r="A627" s="5">
        <v>619</v>
      </c>
      <c r="J627" s="5">
        <f t="shared" si="72"/>
        <v>619</v>
      </c>
      <c r="K627" s="5">
        <f>SUM($AP$9:AP626)</f>
        <v>6.8411791358645443E+18</v>
      </c>
      <c r="L627" s="5">
        <f>LOOKUP(K627,AI:AI,AE:AE)</f>
        <v>693</v>
      </c>
      <c r="M627" s="5">
        <f>LOOKUP(L627,AE:AE,AG:AG)</f>
        <v>3.3490180642045702E+17</v>
      </c>
      <c r="N627" s="5">
        <f>AM627/M627/$K$1</f>
        <v>1.5042613698036293</v>
      </c>
      <c r="O627" s="5">
        <f>SUM($N$9:N627)</f>
        <v>1977.0386699767034</v>
      </c>
      <c r="AE627" s="5">
        <f t="shared" si="73"/>
        <v>619</v>
      </c>
      <c r="AF627" s="5">
        <f t="shared" si="74"/>
        <v>8140745371113940</v>
      </c>
      <c r="AG627" s="5">
        <f t="shared" si="75"/>
        <v>8088477343049000</v>
      </c>
      <c r="AH627" s="5">
        <f>AG627*$AF$1</f>
        <v>8.088477343049E+16</v>
      </c>
      <c r="AI627" s="5">
        <f>SUM($AF$9:AF626)</f>
        <v>1.5732676447546064E+17</v>
      </c>
      <c r="AK627" s="5">
        <f t="shared" si="76"/>
        <v>619</v>
      </c>
      <c r="AL627" s="5">
        <f t="shared" si="77"/>
        <v>89</v>
      </c>
      <c r="AM627" s="5">
        <f t="shared" si="78"/>
        <v>7.5566977511361997E+17</v>
      </c>
      <c r="AN627" s="5">
        <f>$AL$4*$AL$3^AL627*$AL$2</f>
        <v>7.5566977511362035E+17</v>
      </c>
      <c r="AO627" s="5">
        <f>IF(AL627=AL628,1,LOOKUP(MOD(AL627,$AL$1),$AN$1:$AN$5,$AO$1:$AO$5))</f>
        <v>1</v>
      </c>
      <c r="AP627" s="5">
        <f t="shared" si="79"/>
        <v>3.0251979997048602E+17</v>
      </c>
      <c r="AQ627" s="5">
        <f>AM627*$AR$3</f>
        <v>1.0075597001514933E+17</v>
      </c>
      <c r="AR627" s="5">
        <f>AM627*AL627*$AR$4</f>
        <v>2.0176382995533654E+17</v>
      </c>
      <c r="AS627" s="5">
        <f>SUM($AP$9:AP626)</f>
        <v>6.8411791358645443E+18</v>
      </c>
    </row>
    <row r="628" spans="1:45" x14ac:dyDescent="0.15">
      <c r="A628" s="5">
        <v>620</v>
      </c>
      <c r="J628" s="5">
        <f t="shared" si="72"/>
        <v>620</v>
      </c>
      <c r="K628" s="5">
        <f>SUM($AP$9:AP627)</f>
        <v>7.1436989358350305E+18</v>
      </c>
      <c r="L628" s="5">
        <f>LOOKUP(K628,AI:AI,AE:AE)</f>
        <v>694</v>
      </c>
      <c r="M628" s="5">
        <f>LOOKUP(L628,AE:AE,AG:AG)</f>
        <v>3.5215432372090502E+17</v>
      </c>
      <c r="N628" s="5">
        <f>AM628/M628/$K$1</f>
        <v>1.4305655678247764</v>
      </c>
      <c r="O628" s="5">
        <f>SUM($N$9:N628)</f>
        <v>1978.4692355445281</v>
      </c>
      <c r="AE628" s="5">
        <f t="shared" si="73"/>
        <v>620</v>
      </c>
      <c r="AF628" s="5">
        <f t="shared" si="74"/>
        <v>8561502997036680</v>
      </c>
      <c r="AG628" s="5">
        <f t="shared" si="75"/>
        <v>8506621567568500</v>
      </c>
      <c r="AH628" s="5">
        <f>AG628*$AF$1</f>
        <v>8.5066215675684992E+16</v>
      </c>
      <c r="AI628" s="5">
        <f>SUM($AF$9:AF627)</f>
        <v>1.6546750984657459E+17</v>
      </c>
      <c r="AK628" s="5">
        <f t="shared" si="76"/>
        <v>620</v>
      </c>
      <c r="AL628" s="5">
        <f t="shared" si="77"/>
        <v>89</v>
      </c>
      <c r="AM628" s="5">
        <f t="shared" si="78"/>
        <v>7.5566977511361997E+17</v>
      </c>
      <c r="AN628" s="5">
        <f>$AL$4*$AL$3^AL628*$AL$2</f>
        <v>7.5566977511362035E+17</v>
      </c>
      <c r="AO628" s="5">
        <f>IF(AL628=AL629,1,LOOKUP(MOD(AL628,$AL$1),$AN$1:$AN$5,$AO$1:$AO$5))</f>
        <v>1</v>
      </c>
      <c r="AP628" s="5">
        <f t="shared" si="79"/>
        <v>3.0251979997048602E+17</v>
      </c>
      <c r="AQ628" s="5">
        <f>AM628*$AR$3</f>
        <v>1.0075597001514933E+17</v>
      </c>
      <c r="AR628" s="5">
        <f>AM628*AL628*$AR$4</f>
        <v>2.0176382995533654E+17</v>
      </c>
      <c r="AS628" s="5">
        <f>SUM($AP$9:AP627)</f>
        <v>7.1436989358350305E+18</v>
      </c>
    </row>
    <row r="629" spans="1:45" x14ac:dyDescent="0.15">
      <c r="A629" s="5">
        <v>621</v>
      </c>
      <c r="J629" s="5">
        <f t="shared" si="72"/>
        <v>621</v>
      </c>
      <c r="K629" s="5">
        <f>SUM($AP$9:AP628)</f>
        <v>7.4462187358055168E+18</v>
      </c>
      <c r="L629" s="5">
        <f>LOOKUP(K629,AI:AI,AE:AE)</f>
        <v>695</v>
      </c>
      <c r="M629" s="5">
        <f>LOOKUP(L629,AE:AE,AG:AG)</f>
        <v>3.7029483823534598E+17</v>
      </c>
      <c r="N629" s="5">
        <f>AM629/M629/$K$1</f>
        <v>1.3604830477155136</v>
      </c>
      <c r="O629" s="5">
        <f>SUM($N$9:N629)</f>
        <v>1979.8297185922436</v>
      </c>
      <c r="AE629" s="5">
        <f t="shared" si="73"/>
        <v>621</v>
      </c>
      <c r="AF629" s="5">
        <f t="shared" si="74"/>
        <v>9003984522123910</v>
      </c>
      <c r="AG629" s="5">
        <f t="shared" si="75"/>
        <v>8946359021182320</v>
      </c>
      <c r="AH629" s="5">
        <f>AG629*$AF$1</f>
        <v>8.94635902118232E+16</v>
      </c>
      <c r="AI629" s="5">
        <f>SUM($AF$9:AF628)</f>
        <v>1.7402901284361126E+17</v>
      </c>
      <c r="AK629" s="5">
        <f t="shared" si="76"/>
        <v>621</v>
      </c>
      <c r="AL629" s="5">
        <f t="shared" si="77"/>
        <v>89</v>
      </c>
      <c r="AM629" s="5">
        <f t="shared" si="78"/>
        <v>7.5566977511361997E+17</v>
      </c>
      <c r="AN629" s="5">
        <f>$AL$4*$AL$3^AL629*$AL$2</f>
        <v>7.5566977511362035E+17</v>
      </c>
      <c r="AO629" s="5">
        <f>IF(AL629=AL630,1,LOOKUP(MOD(AL629,$AL$1),$AN$1:$AN$5,$AO$1:$AO$5))</f>
        <v>1</v>
      </c>
      <c r="AP629" s="5">
        <f t="shared" si="79"/>
        <v>3.0251979997048602E+17</v>
      </c>
      <c r="AQ629" s="5">
        <f>AM629*$AR$3</f>
        <v>1.0075597001514933E+17</v>
      </c>
      <c r="AR629" s="5">
        <f>AM629*AL629*$AR$4</f>
        <v>2.0176382995533654E+17</v>
      </c>
      <c r="AS629" s="5">
        <f>SUM($AP$9:AP628)</f>
        <v>7.4462187358055168E+18</v>
      </c>
    </row>
    <row r="630" spans="1:45" x14ac:dyDescent="0.15">
      <c r="A630" s="5">
        <v>622</v>
      </c>
      <c r="J630" s="5">
        <f t="shared" si="72"/>
        <v>622</v>
      </c>
      <c r="K630" s="5">
        <f>SUM($AP$9:AP629)</f>
        <v>7.7487385357760031E+18</v>
      </c>
      <c r="L630" s="5">
        <f>LOOKUP(K630,AI:AI,AE:AE)</f>
        <v>696</v>
      </c>
      <c r="M630" s="5">
        <f>LOOKUP(L630,AE:AE,AG:AG)</f>
        <v>3.8936901839192902E+17</v>
      </c>
      <c r="N630" s="5">
        <f>AM630/M630/$K$1</f>
        <v>1.2938365054218426</v>
      </c>
      <c r="O630" s="5">
        <f>SUM($N$9:N630)</f>
        <v>1981.1235550976655</v>
      </c>
      <c r="AE630" s="5">
        <f t="shared" si="73"/>
        <v>622</v>
      </c>
      <c r="AF630" s="5">
        <f t="shared" si="74"/>
        <v>9469310442227280</v>
      </c>
      <c r="AG630" s="5">
        <f t="shared" si="75"/>
        <v>9408803666238600</v>
      </c>
      <c r="AH630" s="5">
        <f>AG630*$AF$1</f>
        <v>9.4088036662386E+16</v>
      </c>
      <c r="AI630" s="5">
        <f>SUM($AF$9:AF629)</f>
        <v>1.8303299736573517E+17</v>
      </c>
      <c r="AK630" s="5">
        <f t="shared" si="76"/>
        <v>622</v>
      </c>
      <c r="AL630" s="5">
        <f t="shared" si="77"/>
        <v>89</v>
      </c>
      <c r="AM630" s="5">
        <f t="shared" si="78"/>
        <v>7.5566977511361997E+17</v>
      </c>
      <c r="AN630" s="5">
        <f>$AL$4*$AL$3^AL630*$AL$2</f>
        <v>7.5566977511362035E+17</v>
      </c>
      <c r="AO630" s="5">
        <f>IF(AL630=AL631,1,LOOKUP(MOD(AL630,$AL$1),$AN$1:$AN$5,$AO$1:$AO$5))</f>
        <v>1</v>
      </c>
      <c r="AP630" s="5">
        <f t="shared" si="79"/>
        <v>3.0251979997048602E+17</v>
      </c>
      <c r="AQ630" s="5">
        <f>AM630*$AR$3</f>
        <v>1.0075597001514933E+17</v>
      </c>
      <c r="AR630" s="5">
        <f>AM630*AL630*$AR$4</f>
        <v>2.0176382995533654E+17</v>
      </c>
      <c r="AS630" s="5">
        <f>SUM($AP$9:AP629)</f>
        <v>7.7487385357760031E+18</v>
      </c>
    </row>
    <row r="631" spans="1:45" x14ac:dyDescent="0.15">
      <c r="A631" s="5">
        <v>623</v>
      </c>
      <c r="J631" s="5">
        <f t="shared" si="72"/>
        <v>623</v>
      </c>
      <c r="K631" s="5">
        <f>SUM($AP$9:AP630)</f>
        <v>8.0512583357464893E+18</v>
      </c>
      <c r="L631" s="5">
        <f>LOOKUP(K631,AI:AI,AE:AE)</f>
        <v>697</v>
      </c>
      <c r="M631" s="5">
        <f>LOOKUP(L631,AE:AE,AG:AG)</f>
        <v>4.0942487946858298E+17</v>
      </c>
      <c r="N631" s="5">
        <f>AM631/M631/$K$1</f>
        <v>8.6132014134251644</v>
      </c>
      <c r="O631" s="5">
        <f>SUM($N$9:N631)</f>
        <v>1989.7367565110908</v>
      </c>
      <c r="AE631" s="5">
        <f t="shared" si="73"/>
        <v>623</v>
      </c>
      <c r="AF631" s="5">
        <f t="shared" si="74"/>
        <v>9958658993035670</v>
      </c>
      <c r="AG631" s="5">
        <f t="shared" si="75"/>
        <v>9895126878247560</v>
      </c>
      <c r="AH631" s="5">
        <f>AG631*$AF$1</f>
        <v>9.89512687824756E+16</v>
      </c>
      <c r="AI631" s="5">
        <f>SUM($AF$9:AF630)</f>
        <v>1.9250230780796243E+17</v>
      </c>
      <c r="AK631" s="5">
        <f t="shared" si="76"/>
        <v>623</v>
      </c>
      <c r="AL631" s="5">
        <f t="shared" si="77"/>
        <v>89</v>
      </c>
      <c r="AM631" s="5">
        <f t="shared" si="78"/>
        <v>5.2896884257953403E+18</v>
      </c>
      <c r="AN631" s="5">
        <f>$AL$4*$AL$3^AL631*$AL$2</f>
        <v>7.5566977511362035E+17</v>
      </c>
      <c r="AO631" s="5">
        <f>IF(AL631=AL632,1,LOOKUP(MOD(AL631,$AL$1),$AN$1:$AN$5,$AO$1:$AO$5))</f>
        <v>7</v>
      </c>
      <c r="AP631" s="5">
        <f t="shared" si="79"/>
        <v>2.1176385997934001E+18</v>
      </c>
      <c r="AQ631" s="5">
        <f>AM631*$AR$3</f>
        <v>7.0529179010604531E+17</v>
      </c>
      <c r="AR631" s="5">
        <f>AM631*AL631*$AR$4</f>
        <v>1.4123468096873559E+18</v>
      </c>
      <c r="AS631" s="5">
        <f>SUM($AP$9:AP630)</f>
        <v>8.0512583357464893E+18</v>
      </c>
    </row>
    <row r="632" spans="1:45" x14ac:dyDescent="0.15">
      <c r="A632" s="5">
        <v>624</v>
      </c>
      <c r="J632" s="5">
        <f t="shared" si="72"/>
        <v>624</v>
      </c>
      <c r="K632" s="5">
        <f>SUM($AP$9:AP631)</f>
        <v>1.016889693553989E+19</v>
      </c>
      <c r="L632" s="5">
        <f>LOOKUP(K632,AI:AI,AE:AE)</f>
        <v>701</v>
      </c>
      <c r="M632" s="5">
        <f>LOOKUP(L632,AE:AE,AG:AG)</f>
        <v>5.0051450276842298E+17</v>
      </c>
      <c r="N632" s="5">
        <f>AM632/M632/$K$1</f>
        <v>1.5802426508006058</v>
      </c>
      <c r="O632" s="5">
        <f>SUM($N$9:N632)</f>
        <v>1991.3169991618913</v>
      </c>
      <c r="AE632" s="5">
        <f t="shared" si="73"/>
        <v>624</v>
      </c>
      <c r="AF632" s="5">
        <f t="shared" si="74"/>
        <v>1.04732691228193E+16</v>
      </c>
      <c r="AG632" s="5">
        <f t="shared" si="75"/>
        <v>1.04065604022918E+16</v>
      </c>
      <c r="AH632" s="5">
        <f>AG632*$AF$1</f>
        <v>1.04065604022918E+17</v>
      </c>
      <c r="AI632" s="5">
        <f>SUM($AF$9:AF631)</f>
        <v>2.0246096680099811E+17</v>
      </c>
      <c r="AK632" s="5">
        <f t="shared" si="76"/>
        <v>624</v>
      </c>
      <c r="AL632" s="5">
        <f t="shared" si="77"/>
        <v>90</v>
      </c>
      <c r="AM632" s="5">
        <f t="shared" si="78"/>
        <v>1.1864015469283799E+18</v>
      </c>
      <c r="AN632" s="5">
        <f>$AL$4*$AL$3^AL632*$AL$2</f>
        <v>1.186401546928384E+18</v>
      </c>
      <c r="AO632" s="5">
        <f>IF(AL632=AL633,1,LOOKUP(MOD(AL632,$AL$1),$AN$1:$AN$5,$AO$1:$AO$5))</f>
        <v>1</v>
      </c>
      <c r="AP632" s="5">
        <f t="shared" si="79"/>
        <v>4.7851529059444698E+17</v>
      </c>
      <c r="AQ632" s="5">
        <f>AM632*$AR$3</f>
        <v>1.58186872923784E+17</v>
      </c>
      <c r="AR632" s="5">
        <f>AM632*AL632*$AR$4</f>
        <v>3.2032841767066259E+17</v>
      </c>
      <c r="AS632" s="5">
        <f>SUM($AP$9:AP631)</f>
        <v>1.016889693553989E+19</v>
      </c>
    </row>
    <row r="633" spans="1:45" x14ac:dyDescent="0.15">
      <c r="A633" s="5">
        <v>625</v>
      </c>
      <c r="J633" s="5">
        <f t="shared" si="72"/>
        <v>625</v>
      </c>
      <c r="K633" s="5">
        <f>SUM($AP$9:AP632)</f>
        <v>1.0647412226134338E+19</v>
      </c>
      <c r="L633" s="5">
        <f>LOOKUP(K633,AI:AI,AE:AE)</f>
        <v>702</v>
      </c>
      <c r="M633" s="5">
        <f>LOOKUP(L633,AE:AE,AG:AG)</f>
        <v>5.2628992865992102E+17</v>
      </c>
      <c r="N633" s="5">
        <f>AM633/M633/$K$1</f>
        <v>1.5028491360890308</v>
      </c>
      <c r="O633" s="5">
        <f>SUM($N$9:N633)</f>
        <v>1992.8198482979803</v>
      </c>
      <c r="AE633" s="5">
        <f t="shared" si="73"/>
        <v>625</v>
      </c>
      <c r="AF633" s="5">
        <f t="shared" si="74"/>
        <v>1.10144436180988E+16</v>
      </c>
      <c r="AG633" s="5">
        <f t="shared" si="75"/>
        <v>1.09443994615449E+16</v>
      </c>
      <c r="AH633" s="5">
        <f>AG633*$AF$1</f>
        <v>1.0944399461544899E+17</v>
      </c>
      <c r="AI633" s="5">
        <f>SUM($AF$9:AF632)</f>
        <v>2.1293423592381741E+17</v>
      </c>
      <c r="AK633" s="5">
        <f t="shared" si="76"/>
        <v>625</v>
      </c>
      <c r="AL633" s="5">
        <f t="shared" si="77"/>
        <v>90</v>
      </c>
      <c r="AM633" s="5">
        <f t="shared" si="78"/>
        <v>1.1864015469283799E+18</v>
      </c>
      <c r="AN633" s="5">
        <f>$AL$4*$AL$3^AL633*$AL$2</f>
        <v>1.186401546928384E+18</v>
      </c>
      <c r="AO633" s="5">
        <f>IF(AL633=AL634,1,LOOKUP(MOD(AL633,$AL$1),$AN$1:$AN$5,$AO$1:$AO$5))</f>
        <v>1</v>
      </c>
      <c r="AP633" s="5">
        <f t="shared" si="79"/>
        <v>4.7851529059444698E+17</v>
      </c>
      <c r="AQ633" s="5">
        <f>AM633*$AR$3</f>
        <v>1.58186872923784E+17</v>
      </c>
      <c r="AR633" s="5">
        <f>AM633*AL633*$AR$4</f>
        <v>3.2032841767066259E+17</v>
      </c>
      <c r="AS633" s="5">
        <f>SUM($AP$9:AP632)</f>
        <v>1.0647412226134338E+19</v>
      </c>
    </row>
    <row r="634" spans="1:45" x14ac:dyDescent="0.15">
      <c r="A634" s="5">
        <v>626</v>
      </c>
      <c r="J634" s="5">
        <f t="shared" si="72"/>
        <v>626</v>
      </c>
      <c r="K634" s="5">
        <f>SUM($AP$9:AP633)</f>
        <v>1.1125927516728785E+19</v>
      </c>
      <c r="L634" s="5">
        <f>LOOKUP(K634,AI:AI,AE:AE)</f>
        <v>703</v>
      </c>
      <c r="M634" s="5">
        <f>LOOKUP(L634,AE:AE,AG:AG)</f>
        <v>5.53391610883648E+17</v>
      </c>
      <c r="N634" s="5">
        <f>AM634/M634/$K$1</f>
        <v>1.4292489243846089</v>
      </c>
      <c r="O634" s="5">
        <f>SUM($N$9:N634)</f>
        <v>1994.249097222365</v>
      </c>
      <c r="AE634" s="5">
        <f t="shared" si="73"/>
        <v>626</v>
      </c>
      <c r="AF634" s="5">
        <f t="shared" si="74"/>
        <v>1.15835523900991E+16</v>
      </c>
      <c r="AG634" s="5">
        <f t="shared" si="75"/>
        <v>1.15100060257175E+16</v>
      </c>
      <c r="AH634" s="5">
        <f>AG634*$AF$1</f>
        <v>1.1510006025717501E+17</v>
      </c>
      <c r="AI634" s="5">
        <f>SUM($AF$9:AF633)</f>
        <v>2.2394867954191622E+17</v>
      </c>
      <c r="AK634" s="5">
        <f t="shared" si="76"/>
        <v>626</v>
      </c>
      <c r="AL634" s="5">
        <f t="shared" si="77"/>
        <v>90</v>
      </c>
      <c r="AM634" s="5">
        <f t="shared" si="78"/>
        <v>1.1864015469283799E+18</v>
      </c>
      <c r="AN634" s="5">
        <f>$AL$4*$AL$3^AL634*$AL$2</f>
        <v>1.186401546928384E+18</v>
      </c>
      <c r="AO634" s="5">
        <f>IF(AL634=AL635,1,LOOKUP(MOD(AL634,$AL$1),$AN$1:$AN$5,$AO$1:$AO$5))</f>
        <v>1</v>
      </c>
      <c r="AP634" s="5">
        <f t="shared" si="79"/>
        <v>4.7851529059444698E+17</v>
      </c>
      <c r="AQ634" s="5">
        <f>AM634*$AR$3</f>
        <v>1.58186872923784E+17</v>
      </c>
      <c r="AR634" s="5">
        <f>AM634*AL634*$AR$4</f>
        <v>3.2032841767066259E+17</v>
      </c>
      <c r="AS634" s="5">
        <f>SUM($AP$9:AP633)</f>
        <v>1.1125927516728785E+19</v>
      </c>
    </row>
    <row r="635" spans="1:45" x14ac:dyDescent="0.15">
      <c r="A635" s="5">
        <v>627</v>
      </c>
      <c r="J635" s="5">
        <f t="shared" si="72"/>
        <v>627</v>
      </c>
      <c r="K635" s="5">
        <f>SUM($AP$9:AP634)</f>
        <v>1.1604442807323232E+19</v>
      </c>
      <c r="L635" s="5">
        <f>LOOKUP(K635,AI:AI,AE:AE)</f>
        <v>704</v>
      </c>
      <c r="M635" s="5">
        <f>LOOKUP(L635,AE:AE,AG:AG)</f>
        <v>5.8188773650809702E+17</v>
      </c>
      <c r="N635" s="5">
        <f>AM635/M635/$K$1</f>
        <v>1.3592559440508403</v>
      </c>
      <c r="O635" s="5">
        <f>SUM($N$9:N635)</f>
        <v>1995.6083531664158</v>
      </c>
      <c r="AE635" s="5">
        <f t="shared" si="73"/>
        <v>627</v>
      </c>
      <c r="AF635" s="5">
        <f t="shared" si="74"/>
        <v>1.21820359302542E+16</v>
      </c>
      <c r="AG635" s="5">
        <f t="shared" si="75"/>
        <v>1.21048122476536E+16</v>
      </c>
      <c r="AH635" s="5">
        <f>AG635*$AF$1</f>
        <v>1.21048122476536E+17</v>
      </c>
      <c r="AI635" s="5">
        <f>SUM($AF$9:AF634)</f>
        <v>2.3553223193201533E+17</v>
      </c>
      <c r="AK635" s="5">
        <f t="shared" si="76"/>
        <v>627</v>
      </c>
      <c r="AL635" s="5">
        <f t="shared" si="77"/>
        <v>90</v>
      </c>
      <c r="AM635" s="5">
        <f t="shared" si="78"/>
        <v>1.1864015469283799E+18</v>
      </c>
      <c r="AN635" s="5">
        <f>$AL$4*$AL$3^AL635*$AL$2</f>
        <v>1.186401546928384E+18</v>
      </c>
      <c r="AO635" s="5">
        <f>IF(AL635=AL636,1,LOOKUP(MOD(AL635,$AL$1),$AN$1:$AN$5,$AO$1:$AO$5))</f>
        <v>1</v>
      </c>
      <c r="AP635" s="5">
        <f t="shared" si="79"/>
        <v>4.7851529059444698E+17</v>
      </c>
      <c r="AQ635" s="5">
        <f>AM635*$AR$3</f>
        <v>1.58186872923784E+17</v>
      </c>
      <c r="AR635" s="5">
        <f>AM635*AL635*$AR$4</f>
        <v>3.2032841767066259E+17</v>
      </c>
      <c r="AS635" s="5">
        <f>SUM($AP$9:AP634)</f>
        <v>1.1604442807323232E+19</v>
      </c>
    </row>
    <row r="636" spans="1:45" x14ac:dyDescent="0.15">
      <c r="A636" s="5">
        <v>628</v>
      </c>
      <c r="J636" s="5">
        <f t="shared" si="72"/>
        <v>628</v>
      </c>
      <c r="K636" s="5">
        <f>SUM($AP$9:AP635)</f>
        <v>1.208295809791768E+19</v>
      </c>
      <c r="L636" s="5">
        <f>LOOKUP(K636,AI:AI,AE:AE)</f>
        <v>705</v>
      </c>
      <c r="M636" s="5">
        <f>LOOKUP(L636,AE:AE,AG:AG)</f>
        <v>6.1184999566778304E+17</v>
      </c>
      <c r="N636" s="5">
        <f>AM636/M636/$K$1</f>
        <v>1.2926932585096798</v>
      </c>
      <c r="O636" s="5">
        <f>SUM($N$9:N636)</f>
        <v>1996.9010464249254</v>
      </c>
      <c r="AE636" s="5">
        <f t="shared" si="73"/>
        <v>628</v>
      </c>
      <c r="AF636" s="5">
        <f t="shared" si="74"/>
        <v>1.28114089434496E+16</v>
      </c>
      <c r="AG636" s="5">
        <f t="shared" si="75"/>
        <v>1.27303240767189E+16</v>
      </c>
      <c r="AH636" s="5">
        <f>AG636*$AF$1</f>
        <v>1.2730324076718899E+17</v>
      </c>
      <c r="AI636" s="5">
        <f>SUM($AF$9:AF635)</f>
        <v>2.4771426786226954E+17</v>
      </c>
      <c r="AK636" s="5">
        <f t="shared" si="76"/>
        <v>628</v>
      </c>
      <c r="AL636" s="5">
        <f t="shared" si="77"/>
        <v>90</v>
      </c>
      <c r="AM636" s="5">
        <f t="shared" si="78"/>
        <v>1.1864015469283799E+18</v>
      </c>
      <c r="AN636" s="5">
        <f>$AL$4*$AL$3^AL636*$AL$2</f>
        <v>1.186401546928384E+18</v>
      </c>
      <c r="AO636" s="5">
        <f>IF(AL636=AL637,1,LOOKUP(MOD(AL636,$AL$1),$AN$1:$AN$5,$AO$1:$AO$5))</f>
        <v>1</v>
      </c>
      <c r="AP636" s="5">
        <f t="shared" si="79"/>
        <v>4.7851529059444698E+17</v>
      </c>
      <c r="AQ636" s="5">
        <f>AM636*$AR$3</f>
        <v>1.58186872923784E+17</v>
      </c>
      <c r="AR636" s="5">
        <f>AM636*AL636*$AR$4</f>
        <v>3.2032841767066259E+17</v>
      </c>
      <c r="AS636" s="5">
        <f>SUM($AP$9:AP635)</f>
        <v>1.208295809791768E+19</v>
      </c>
    </row>
    <row r="637" spans="1:45" x14ac:dyDescent="0.15">
      <c r="A637" s="5">
        <v>629</v>
      </c>
      <c r="J637" s="5">
        <f t="shared" si="72"/>
        <v>629</v>
      </c>
      <c r="K637" s="5">
        <f>SUM($AP$9:AP636)</f>
        <v>1.2561473388512127E+19</v>
      </c>
      <c r="L637" s="5">
        <f>LOOKUP(K637,AI:AI,AE:AE)</f>
        <v>706</v>
      </c>
      <c r="M637" s="5">
        <f>LOOKUP(L637,AE:AE,AG:AG)</f>
        <v>6.4335376140216704E+17</v>
      </c>
      <c r="N637" s="5">
        <f>AM637/M637/$K$1</f>
        <v>1.2293926173604801</v>
      </c>
      <c r="O637" s="5">
        <f>SUM($N$9:N637)</f>
        <v>1998.1304390422858</v>
      </c>
      <c r="AE637" s="5">
        <f t="shared" si="73"/>
        <v>629</v>
      </c>
      <c r="AF637" s="5">
        <f t="shared" si="74"/>
        <v>1.34732641681389E+16</v>
      </c>
      <c r="AG637" s="5">
        <f t="shared" si="75"/>
        <v>1.33881250580717E+16</v>
      </c>
      <c r="AH637" s="5">
        <f>AG637*$AF$1</f>
        <v>1.3388125058071699E+17</v>
      </c>
      <c r="AI637" s="5">
        <f>SUM($AF$9:AF636)</f>
        <v>2.6052567680571914E+17</v>
      </c>
      <c r="AK637" s="5">
        <f t="shared" si="76"/>
        <v>629</v>
      </c>
      <c r="AL637" s="5">
        <f t="shared" si="77"/>
        <v>90</v>
      </c>
      <c r="AM637" s="5">
        <f t="shared" si="78"/>
        <v>1.1864015469283799E+18</v>
      </c>
      <c r="AN637" s="5">
        <f>$AL$4*$AL$3^AL637*$AL$2</f>
        <v>1.186401546928384E+18</v>
      </c>
      <c r="AO637" s="5">
        <f>IF(AL637=AL638,1,LOOKUP(MOD(AL637,$AL$1),$AN$1:$AN$5,$AO$1:$AO$5))</f>
        <v>1</v>
      </c>
      <c r="AP637" s="5">
        <f t="shared" si="79"/>
        <v>4.7851529059444698E+17</v>
      </c>
      <c r="AQ637" s="5">
        <f>AM637*$AR$3</f>
        <v>1.58186872923784E+17</v>
      </c>
      <c r="AR637" s="5">
        <f>AM637*AL637*$AR$4</f>
        <v>3.2032841767066259E+17</v>
      </c>
      <c r="AS637" s="5">
        <f>SUM($AP$9:AP636)</f>
        <v>1.2561473388512127E+19</v>
      </c>
    </row>
    <row r="638" spans="1:45" x14ac:dyDescent="0.15">
      <c r="A638" s="5">
        <v>630</v>
      </c>
      <c r="J638" s="5">
        <f t="shared" si="72"/>
        <v>630</v>
      </c>
      <c r="K638" s="5">
        <f>SUM($AP$9:AP637)</f>
        <v>1.3039988679106574E+19</v>
      </c>
      <c r="L638" s="5">
        <f>LOOKUP(K638,AI:AI,AE:AE)</f>
        <v>706</v>
      </c>
      <c r="M638" s="5">
        <f>LOOKUP(L638,AE:AE,AG:AG)</f>
        <v>6.4335376140216704E+17</v>
      </c>
      <c r="N638" s="5">
        <f>AM638/M638/$K$1</f>
        <v>8.6057483215233912</v>
      </c>
      <c r="O638" s="5">
        <f>SUM($N$9:N638)</f>
        <v>2006.7361873638092</v>
      </c>
      <c r="AE638" s="5">
        <f t="shared" si="73"/>
        <v>630</v>
      </c>
      <c r="AF638" s="5">
        <f t="shared" si="74"/>
        <v>1.41692763929385E+16</v>
      </c>
      <c r="AG638" s="5">
        <f t="shared" si="75"/>
        <v>1.40798803273679E+16</v>
      </c>
      <c r="AH638" s="5">
        <f>AG638*$AF$1</f>
        <v>1.4079880327367901E+17</v>
      </c>
      <c r="AI638" s="5">
        <f>SUM($AF$9:AF637)</f>
        <v>2.7399894097385805E+17</v>
      </c>
      <c r="AK638" s="5">
        <f t="shared" si="76"/>
        <v>630</v>
      </c>
      <c r="AL638" s="5">
        <f t="shared" si="77"/>
        <v>90</v>
      </c>
      <c r="AM638" s="5">
        <f t="shared" si="78"/>
        <v>8.30481082849869E+18</v>
      </c>
      <c r="AN638" s="5">
        <f>$AL$4*$AL$3^AL638*$AL$2</f>
        <v>1.186401546928384E+18</v>
      </c>
      <c r="AO638" s="5">
        <f>IF(AL638=AL639,1,LOOKUP(MOD(AL638,$AL$1),$AN$1:$AN$5,$AO$1:$AO$5))</f>
        <v>7</v>
      </c>
      <c r="AP638" s="5">
        <f t="shared" si="79"/>
        <v>3.3496070341611402E+18</v>
      </c>
      <c r="AQ638" s="5">
        <f>AM638*$AR$3</f>
        <v>1.107308110466492E+18</v>
      </c>
      <c r="AR638" s="5">
        <f>AM638*AL638*$AR$4</f>
        <v>2.2422989236946465E+18</v>
      </c>
      <c r="AS638" s="5">
        <f>SUM($AP$9:AP637)</f>
        <v>1.3039988679106574E+19</v>
      </c>
    </row>
    <row r="639" spans="1:45" x14ac:dyDescent="0.15">
      <c r="A639" s="5">
        <v>631</v>
      </c>
      <c r="J639" s="5">
        <f t="shared" si="72"/>
        <v>631</v>
      </c>
      <c r="K639" s="5">
        <f>SUM($AP$9:AP638)</f>
        <v>1.6389595713267714E+19</v>
      </c>
      <c r="L639" s="5">
        <f>LOOKUP(K639,AI:AI,AE:AE)</f>
        <v>711</v>
      </c>
      <c r="M639" s="5">
        <f>LOOKUP(L639,AE:AE,AG:AG)</f>
        <v>8.2691570350155098E+17</v>
      </c>
      <c r="N639" s="5">
        <f>AM639/M639/$K$1</f>
        <v>1.5016850534987787</v>
      </c>
      <c r="O639" s="5">
        <f>SUM($N$9:N639)</f>
        <v>2008.2378724173079</v>
      </c>
      <c r="AE639" s="5">
        <f t="shared" si="73"/>
        <v>631</v>
      </c>
      <c r="AF639" s="5">
        <f t="shared" si="74"/>
        <v>1.49012066797977E+16</v>
      </c>
      <c r="AG639" s="5">
        <f t="shared" si="75"/>
        <v>1.48073408109486E+16</v>
      </c>
      <c r="AH639" s="5">
        <f>AG639*$AF$1</f>
        <v>1.4807340810948602E+17</v>
      </c>
      <c r="AI639" s="5">
        <f>SUM($AF$9:AF638)</f>
        <v>2.8816821736679654E+17</v>
      </c>
      <c r="AK639" s="5">
        <f t="shared" si="76"/>
        <v>631</v>
      </c>
      <c r="AL639" s="5">
        <f t="shared" si="77"/>
        <v>91</v>
      </c>
      <c r="AM639" s="5">
        <f t="shared" si="78"/>
        <v>1.8626504286775601E+18</v>
      </c>
      <c r="AN639" s="5">
        <f>$AL$4*$AL$3^AL639*$AL$2</f>
        <v>1.8626504286775631E+18</v>
      </c>
      <c r="AO639" s="5">
        <f>IF(AL639=AL640,1,LOOKUP(MOD(AL639,$AL$1),$AN$1:$AN$5,$AO$1:$AO$5))</f>
        <v>1</v>
      </c>
      <c r="AP639" s="5">
        <f t="shared" si="79"/>
        <v>7.5685695751931494E+17</v>
      </c>
      <c r="AQ639" s="5">
        <f>AM639*$AR$3</f>
        <v>2.4835339049034134E+17</v>
      </c>
      <c r="AR639" s="5">
        <f>AM639*AL639*$AR$4</f>
        <v>5.0850356702897389E+17</v>
      </c>
      <c r="AS639" s="5">
        <f>SUM($AP$9:AP638)</f>
        <v>1.6389595713267714E+19</v>
      </c>
    </row>
    <row r="640" spans="1:45" x14ac:dyDescent="0.15">
      <c r="A640" s="5">
        <v>632</v>
      </c>
      <c r="J640" s="5">
        <f t="shared" si="72"/>
        <v>632</v>
      </c>
      <c r="K640" s="5">
        <f>SUM($AP$9:AP639)</f>
        <v>1.7146452670787029E+19</v>
      </c>
      <c r="L640" s="5">
        <f>LOOKUP(K640,AI:AI,AE:AE)</f>
        <v>712</v>
      </c>
      <c r="M640" s="5">
        <f>LOOKUP(L640,AE:AE,AG:AG)</f>
        <v>8.6948267220500698E+17</v>
      </c>
      <c r="N640" s="5">
        <f>AM640/M640/$K$1</f>
        <v>1.4281675669310203</v>
      </c>
      <c r="O640" s="5">
        <f>SUM($N$9:N640)</f>
        <v>2009.666039984239</v>
      </c>
      <c r="AE640" s="5">
        <f t="shared" si="73"/>
        <v>632</v>
      </c>
      <c r="AF640" s="5">
        <f t="shared" si="74"/>
        <v>1.56709068043605E+16</v>
      </c>
      <c r="AG640" s="5">
        <f t="shared" si="75"/>
        <v>1.55723476420689E+16</v>
      </c>
      <c r="AH640" s="5">
        <f>AG640*$AF$1</f>
        <v>1.5572347642068899E+17</v>
      </c>
      <c r="AI640" s="5">
        <f>SUM($AF$9:AF639)</f>
        <v>3.0306942404659424E+17</v>
      </c>
      <c r="AK640" s="5">
        <f t="shared" si="76"/>
        <v>632</v>
      </c>
      <c r="AL640" s="5">
        <f t="shared" si="77"/>
        <v>91</v>
      </c>
      <c r="AM640" s="5">
        <f t="shared" si="78"/>
        <v>1.8626504286775601E+18</v>
      </c>
      <c r="AN640" s="5">
        <f>$AL$4*$AL$3^AL640*$AL$2</f>
        <v>1.8626504286775631E+18</v>
      </c>
      <c r="AO640" s="5">
        <f>IF(AL640=AL641,1,LOOKUP(MOD(AL640,$AL$1),$AN$1:$AN$5,$AO$1:$AO$5))</f>
        <v>1</v>
      </c>
      <c r="AP640" s="5">
        <f t="shared" si="79"/>
        <v>7.5685695751931494E+17</v>
      </c>
      <c r="AQ640" s="5">
        <f>AM640*$AR$3</f>
        <v>2.4835339049034134E+17</v>
      </c>
      <c r="AR640" s="5">
        <f>AM640*AL640*$AR$4</f>
        <v>5.0850356702897389E+17</v>
      </c>
      <c r="AS640" s="5">
        <f>SUM($AP$9:AP639)</f>
        <v>1.7146452670787029E+19</v>
      </c>
    </row>
    <row r="641" spans="1:45" x14ac:dyDescent="0.15">
      <c r="A641" s="5">
        <v>633</v>
      </c>
      <c r="J641" s="5">
        <f t="shared" si="72"/>
        <v>633</v>
      </c>
      <c r="K641" s="5">
        <f>SUM($AP$9:AP640)</f>
        <v>1.7903309628306344E+19</v>
      </c>
      <c r="L641" s="5">
        <f>LOOKUP(K641,AI:AI,AE:AE)</f>
        <v>713</v>
      </c>
      <c r="M641" s="5">
        <f>LOOKUP(L641,AE:AE,AG:AG)</f>
        <v>9.1423904852005402E+17</v>
      </c>
      <c r="N641" s="5">
        <f>AM641/M641/$K$1</f>
        <v>1.358251930347808</v>
      </c>
      <c r="O641" s="5">
        <f>SUM($N$9:N641)</f>
        <v>2011.0242919145867</v>
      </c>
      <c r="AE641" s="5">
        <f t="shared" si="73"/>
        <v>633</v>
      </c>
      <c r="AF641" s="5">
        <f t="shared" si="74"/>
        <v>1.648032392468E+16</v>
      </c>
      <c r="AG641" s="5">
        <f t="shared" si="75"/>
        <v>1.63768368042739E+16</v>
      </c>
      <c r="AH641" s="5">
        <f>AG641*$AF$1</f>
        <v>1.6376836804273901E+17</v>
      </c>
      <c r="AI641" s="5">
        <f>SUM($AF$9:AF640)</f>
        <v>3.1874033085095475E+17</v>
      </c>
      <c r="AK641" s="5">
        <f t="shared" si="76"/>
        <v>633</v>
      </c>
      <c r="AL641" s="5">
        <f t="shared" si="77"/>
        <v>91</v>
      </c>
      <c r="AM641" s="5">
        <f t="shared" si="78"/>
        <v>1.8626504286775601E+18</v>
      </c>
      <c r="AN641" s="5">
        <f>$AL$4*$AL$3^AL641*$AL$2</f>
        <v>1.8626504286775631E+18</v>
      </c>
      <c r="AO641" s="5">
        <f>IF(AL641=AL642,1,LOOKUP(MOD(AL641,$AL$1),$AN$1:$AN$5,$AO$1:$AO$5))</f>
        <v>1</v>
      </c>
      <c r="AP641" s="5">
        <f t="shared" si="79"/>
        <v>7.5685695751931494E+17</v>
      </c>
      <c r="AQ641" s="5">
        <f>AM641*$AR$3</f>
        <v>2.4835339049034134E+17</v>
      </c>
      <c r="AR641" s="5">
        <f>AM641*AL641*$AR$4</f>
        <v>5.0850356702897389E+17</v>
      </c>
      <c r="AS641" s="5">
        <f>SUM($AP$9:AP640)</f>
        <v>1.7903309628306344E+19</v>
      </c>
    </row>
    <row r="642" spans="1:45" x14ac:dyDescent="0.15">
      <c r="A642" s="5">
        <v>634</v>
      </c>
      <c r="J642" s="5">
        <f t="shared" si="72"/>
        <v>634</v>
      </c>
      <c r="K642" s="5">
        <f>SUM($AP$9:AP641)</f>
        <v>1.8660166585825657E+19</v>
      </c>
      <c r="L642" s="5">
        <f>LOOKUP(K642,AI:AI,AE:AE)</f>
        <v>713</v>
      </c>
      <c r="M642" s="5">
        <f>LOOKUP(L642,AE:AE,AG:AG)</f>
        <v>9.1423904852005402E+17</v>
      </c>
      <c r="N642" s="5">
        <f>AM642/M642/$K$1</f>
        <v>1.358251930347808</v>
      </c>
      <c r="O642" s="5">
        <f>SUM($N$9:N642)</f>
        <v>2012.3825438449344</v>
      </c>
      <c r="AE642" s="5">
        <f t="shared" si="73"/>
        <v>634</v>
      </c>
      <c r="AF642" s="5">
        <f t="shared" si="74"/>
        <v>1.73315054900207E+16</v>
      </c>
      <c r="AG642" s="5">
        <f t="shared" si="75"/>
        <v>1.72228440135942E+16</v>
      </c>
      <c r="AH642" s="5">
        <f>AG642*$AF$1</f>
        <v>1.7222844013594202E+17</v>
      </c>
      <c r="AI642" s="5">
        <f>SUM($AF$9:AF641)</f>
        <v>3.3522065477563475E+17</v>
      </c>
      <c r="AK642" s="5">
        <f t="shared" si="76"/>
        <v>634</v>
      </c>
      <c r="AL642" s="5">
        <f t="shared" si="77"/>
        <v>91</v>
      </c>
      <c r="AM642" s="5">
        <f t="shared" si="78"/>
        <v>1.8626504286775601E+18</v>
      </c>
      <c r="AN642" s="5">
        <f>$AL$4*$AL$3^AL642*$AL$2</f>
        <v>1.8626504286775631E+18</v>
      </c>
      <c r="AO642" s="5">
        <f>IF(AL642=AL643,1,LOOKUP(MOD(AL642,$AL$1),$AN$1:$AN$5,$AO$1:$AO$5))</f>
        <v>1</v>
      </c>
      <c r="AP642" s="5">
        <f t="shared" si="79"/>
        <v>7.5685695751931494E+17</v>
      </c>
      <c r="AQ642" s="5">
        <f>AM642*$AR$3</f>
        <v>2.4835339049034134E+17</v>
      </c>
      <c r="AR642" s="5">
        <f>AM642*AL642*$AR$4</f>
        <v>5.0850356702897389E+17</v>
      </c>
      <c r="AS642" s="5">
        <f>SUM($AP$9:AP641)</f>
        <v>1.8660166585825657E+19</v>
      </c>
    </row>
    <row r="643" spans="1:45" x14ac:dyDescent="0.15">
      <c r="A643" s="5">
        <v>635</v>
      </c>
      <c r="J643" s="5">
        <f t="shared" si="72"/>
        <v>635</v>
      </c>
      <c r="K643" s="5">
        <f>SUM($AP$9:AP642)</f>
        <v>1.9417023543344972E+19</v>
      </c>
      <c r="L643" s="5">
        <f>LOOKUP(K643,AI:AI,AE:AE)</f>
        <v>714</v>
      </c>
      <c r="M643" s="5">
        <f>LOOKUP(L643,AE:AE,AG:AG)</f>
        <v>9.6129735578609306E+17</v>
      </c>
      <c r="N643" s="5">
        <f>AM643/M643/$K$1</f>
        <v>1.2917615397332096</v>
      </c>
      <c r="O643" s="5">
        <f>SUM($N$9:N643)</f>
        <v>2013.6743053846676</v>
      </c>
      <c r="AE643" s="5">
        <f t="shared" si="73"/>
        <v>635</v>
      </c>
      <c r="AF643" s="5">
        <f t="shared" si="74"/>
        <v>1.82266044020836E+16</v>
      </c>
      <c r="AG643" s="5">
        <f t="shared" si="75"/>
        <v>1.81125098518358E+16</v>
      </c>
      <c r="AH643" s="5">
        <f>AG643*$AF$1</f>
        <v>1.8112509851835802E+17</v>
      </c>
      <c r="AI643" s="5">
        <f>SUM($AF$9:AF642)</f>
        <v>3.5255216026565542E+17</v>
      </c>
      <c r="AK643" s="5">
        <f t="shared" si="76"/>
        <v>635</v>
      </c>
      <c r="AL643" s="5">
        <f t="shared" si="77"/>
        <v>91</v>
      </c>
      <c r="AM643" s="5">
        <f t="shared" si="78"/>
        <v>1.8626504286775601E+18</v>
      </c>
      <c r="AN643" s="5">
        <f>$AL$4*$AL$3^AL643*$AL$2</f>
        <v>1.8626504286775631E+18</v>
      </c>
      <c r="AO643" s="5">
        <f>IF(AL643=AL644,1,LOOKUP(MOD(AL643,$AL$1),$AN$1:$AN$5,$AO$1:$AO$5))</f>
        <v>1</v>
      </c>
      <c r="AP643" s="5">
        <f t="shared" si="79"/>
        <v>7.5685695751931494E+17</v>
      </c>
      <c r="AQ643" s="5">
        <f>AM643*$AR$3</f>
        <v>2.4835339049034134E+17</v>
      </c>
      <c r="AR643" s="5">
        <f>AM643*AL643*$AR$4</f>
        <v>5.0850356702897389E+17</v>
      </c>
      <c r="AS643" s="5">
        <f>SUM($AP$9:AP642)</f>
        <v>1.9417023543344972E+19</v>
      </c>
    </row>
    <row r="644" spans="1:45" x14ac:dyDescent="0.15">
      <c r="A644" s="5">
        <v>636</v>
      </c>
      <c r="J644" s="5">
        <f t="shared" si="72"/>
        <v>636</v>
      </c>
      <c r="K644" s="5">
        <f>SUM($AP$9:AP643)</f>
        <v>2.0173880500864287E+19</v>
      </c>
      <c r="L644" s="5">
        <f>LOOKUP(K644,AI:AI,AE:AE)</f>
        <v>715</v>
      </c>
      <c r="M644" s="5">
        <f>LOOKUP(L644,AE:AE,AG:AG)</f>
        <v>1.01077589615744E+18</v>
      </c>
      <c r="N644" s="5">
        <f>AM644/M644/$K$1</f>
        <v>1.2285284573686421</v>
      </c>
      <c r="O644" s="5">
        <f>SUM($N$9:N644)</f>
        <v>2014.9028338420362</v>
      </c>
      <c r="AE644" s="5">
        <f t="shared" si="73"/>
        <v>636</v>
      </c>
      <c r="AF644" s="5">
        <f t="shared" si="74"/>
        <v>1.91678844416279E+16</v>
      </c>
      <c r="AG644" s="5">
        <f t="shared" si="75"/>
        <v>1.90480851638677E+16</v>
      </c>
      <c r="AH644" s="5">
        <f>AG644*$AF$1</f>
        <v>1.9048085163867699E+17</v>
      </c>
      <c r="AI644" s="5">
        <f>SUM($AF$9:AF643)</f>
        <v>3.7077876466773901E+17</v>
      </c>
      <c r="AK644" s="5">
        <f t="shared" si="76"/>
        <v>636</v>
      </c>
      <c r="AL644" s="5">
        <f t="shared" si="77"/>
        <v>91</v>
      </c>
      <c r="AM644" s="5">
        <f t="shared" si="78"/>
        <v>1.8626504286775601E+18</v>
      </c>
      <c r="AN644" s="5">
        <f>$AL$4*$AL$3^AL644*$AL$2</f>
        <v>1.8626504286775631E+18</v>
      </c>
      <c r="AO644" s="5">
        <f>IF(AL644=AL645,1,LOOKUP(MOD(AL644,$AL$1),$AN$1:$AN$5,$AO$1:$AO$5))</f>
        <v>1</v>
      </c>
      <c r="AP644" s="5">
        <f t="shared" si="79"/>
        <v>7.5685695751931494E+17</v>
      </c>
      <c r="AQ644" s="5">
        <f>AM644*$AR$3</f>
        <v>2.4835339049034134E+17</v>
      </c>
      <c r="AR644" s="5">
        <f>AM644*AL644*$AR$4</f>
        <v>5.0850356702897389E+17</v>
      </c>
      <c r="AS644" s="5">
        <f>SUM($AP$9:AP643)</f>
        <v>2.0173880500864287E+19</v>
      </c>
    </row>
    <row r="645" spans="1:45" x14ac:dyDescent="0.15">
      <c r="A645" s="5">
        <v>637</v>
      </c>
      <c r="J645" s="5">
        <f t="shared" si="72"/>
        <v>637</v>
      </c>
      <c r="K645" s="5">
        <f>SUM($AP$9:AP644)</f>
        <v>2.0930737458383602E+19</v>
      </c>
      <c r="L645" s="5">
        <f>LOOKUP(K645,AI:AI,AE:AE)</f>
        <v>716</v>
      </c>
      <c r="M645" s="5">
        <f>LOOKUP(L645,AE:AE,AG:AG)</f>
        <v>1.06279904717645E+18</v>
      </c>
      <c r="N645" s="5">
        <f>AM645/M645/$K$1</f>
        <v>11.683929861912489</v>
      </c>
      <c r="O645" s="5">
        <f>SUM($N$9:N645)</f>
        <v>2026.5867637039487</v>
      </c>
      <c r="AE645" s="5">
        <f t="shared" si="73"/>
        <v>637</v>
      </c>
      <c r="AF645" s="5">
        <f t="shared" si="74"/>
        <v>2.01577259741213E+16</v>
      </c>
      <c r="AG645" s="5">
        <f t="shared" si="75"/>
        <v>2.00319367324731E+16</v>
      </c>
      <c r="AH645" s="5">
        <f>AG645*$AF$1</f>
        <v>2.0031936732473101E+17</v>
      </c>
      <c r="AI645" s="5">
        <f>SUM($AF$9:AF644)</f>
        <v>3.8994664910936691E+17</v>
      </c>
      <c r="AK645" s="5">
        <f t="shared" si="76"/>
        <v>637</v>
      </c>
      <c r="AL645" s="5">
        <f t="shared" si="77"/>
        <v>91</v>
      </c>
      <c r="AM645" s="5">
        <f t="shared" si="78"/>
        <v>1.8626504286775599E+19</v>
      </c>
      <c r="AN645" s="5">
        <f>$AL$4*$AL$3^AL645*$AL$2</f>
        <v>1.8626504286775631E+18</v>
      </c>
      <c r="AO645" s="5">
        <f>IF(AL645=AL646,1,LOOKUP(MOD(AL645,$AL$1),$AN$1:$AN$5,$AO$1:$AO$5))</f>
        <v>10</v>
      </c>
      <c r="AP645" s="5">
        <f t="shared" si="79"/>
        <v>7.5685695751931505E+18</v>
      </c>
      <c r="AQ645" s="5">
        <f>AM645*$AR$3</f>
        <v>2.4835339049034132E+18</v>
      </c>
      <c r="AR645" s="5">
        <f>AM645*AL645*$AR$4</f>
        <v>5.0850356702897388E+18</v>
      </c>
      <c r="AS645" s="5">
        <f>SUM($AP$9:AP644)</f>
        <v>2.0930737458383602E+19</v>
      </c>
    </row>
    <row r="646" spans="1:45" x14ac:dyDescent="0.15">
      <c r="A646" s="5">
        <v>638</v>
      </c>
      <c r="J646" s="5">
        <f t="shared" si="72"/>
        <v>638</v>
      </c>
      <c r="K646" s="5">
        <f>SUM($AP$9:AP645)</f>
        <v>2.8499307033576751E+19</v>
      </c>
      <c r="L646" s="5">
        <f>LOOKUP(K646,AI:AI,AE:AE)</f>
        <v>722</v>
      </c>
      <c r="M646" s="5">
        <f>LOOKUP(L646,AE:AE,AG:AG)</f>
        <v>1.43618744570766E+18</v>
      </c>
      <c r="N646" s="5">
        <f>AM646/M646/$K$1</f>
        <v>1.3574649473339162</v>
      </c>
      <c r="O646" s="5">
        <f>SUM($N$9:N646)</f>
        <v>2027.9442286512826</v>
      </c>
      <c r="AE646" s="5">
        <f t="shared" si="73"/>
        <v>638</v>
      </c>
      <c r="AF646" s="5">
        <f t="shared" si="74"/>
        <v>2.119863194876E+16</v>
      </c>
      <c r="AG646" s="5">
        <f t="shared" si="75"/>
        <v>2.10665532450294E+16</v>
      </c>
      <c r="AH646" s="5">
        <f>AG646*$AF$1</f>
        <v>2.1066553245029402E+17</v>
      </c>
      <c r="AI646" s="5">
        <f>SUM($AF$9:AF645)</f>
        <v>4.1010437508348819E+17</v>
      </c>
      <c r="AK646" s="5">
        <f t="shared" si="76"/>
        <v>638</v>
      </c>
      <c r="AL646" s="5">
        <f t="shared" si="77"/>
        <v>92</v>
      </c>
      <c r="AM646" s="5">
        <f t="shared" si="78"/>
        <v>2.9243611730237701E+18</v>
      </c>
      <c r="AN646" s="5">
        <f>$AL$4*$AL$3^AL646*$AL$2</f>
        <v>2.9243611730237737E+18</v>
      </c>
      <c r="AO646" s="5">
        <f>IF(AL646=AL647,1,LOOKUP(MOD(AL646,$AL$1),$AN$1:$AN$5,$AO$1:$AO$5))</f>
        <v>1</v>
      </c>
      <c r="AP646" s="5">
        <f t="shared" si="79"/>
        <v>1.1970385068243999E+18</v>
      </c>
      <c r="AQ646" s="5">
        <f>AM646*$AR$3</f>
        <v>3.8991482306983603E+17</v>
      </c>
      <c r="AR646" s="5">
        <f>AM646*AL646*$AR$4</f>
        <v>8.0712368375456051E+17</v>
      </c>
      <c r="AS646" s="5">
        <f>SUM($AP$9:AP645)</f>
        <v>2.8499307033576751E+19</v>
      </c>
    </row>
    <row r="647" spans="1:45" x14ac:dyDescent="0.15">
      <c r="A647" s="5">
        <v>639</v>
      </c>
      <c r="J647" s="5">
        <f t="shared" si="72"/>
        <v>639</v>
      </c>
      <c r="K647" s="5">
        <f>SUM($AP$9:AP646)</f>
        <v>2.9696345540401152E+19</v>
      </c>
      <c r="L647" s="5">
        <f>LOOKUP(K647,AI:AI,AE:AE)</f>
        <v>723</v>
      </c>
      <c r="M647" s="5">
        <f>LOOKUP(L647,AE:AE,AG:AG)</f>
        <v>1.51008545624512E+18</v>
      </c>
      <c r="N647" s="5">
        <f>AM647/M647/$K$1</f>
        <v>1.2910356213858678</v>
      </c>
      <c r="O647" s="5">
        <f>SUM($N$9:N647)</f>
        <v>2029.2352642726685</v>
      </c>
      <c r="AE647" s="5">
        <f t="shared" si="73"/>
        <v>639</v>
      </c>
      <c r="AF647" s="5">
        <f t="shared" si="74"/>
        <v>2.22932342059273E+16</v>
      </c>
      <c r="AG647" s="5">
        <f t="shared" si="75"/>
        <v>2.21545515670102E+16</v>
      </c>
      <c r="AH647" s="5">
        <f>AG647*$AF$1</f>
        <v>2.2154551567010202E+17</v>
      </c>
      <c r="AI647" s="5">
        <f>SUM($AF$9:AF646)</f>
        <v>4.3130300703224819E+17</v>
      </c>
      <c r="AK647" s="5">
        <f t="shared" si="76"/>
        <v>639</v>
      </c>
      <c r="AL647" s="5">
        <f t="shared" si="77"/>
        <v>92</v>
      </c>
      <c r="AM647" s="5">
        <f t="shared" si="78"/>
        <v>2.9243611730237701E+18</v>
      </c>
      <c r="AN647" s="5">
        <f>$AL$4*$AL$3^AL647*$AL$2</f>
        <v>2.9243611730237737E+18</v>
      </c>
      <c r="AO647" s="5">
        <f>IF(AL647=AL648,1,LOOKUP(MOD(AL647,$AL$1),$AN$1:$AN$5,$AO$1:$AO$5))</f>
        <v>1</v>
      </c>
      <c r="AP647" s="5">
        <f t="shared" si="79"/>
        <v>1.1970385068243999E+18</v>
      </c>
      <c r="AQ647" s="5">
        <f>AM647*$AR$3</f>
        <v>3.8991482306983603E+17</v>
      </c>
      <c r="AR647" s="5">
        <f>AM647*AL647*$AR$4</f>
        <v>8.0712368375456051E+17</v>
      </c>
      <c r="AS647" s="5">
        <f>SUM($AP$9:AP646)</f>
        <v>2.9696345540401152E+19</v>
      </c>
    </row>
    <row r="648" spans="1:45" x14ac:dyDescent="0.15">
      <c r="A648" s="5">
        <v>640</v>
      </c>
      <c r="J648" s="5">
        <f t="shared" si="72"/>
        <v>640</v>
      </c>
      <c r="K648" s="5">
        <f>SUM($AP$9:AP647)</f>
        <v>3.0893384047225553E+19</v>
      </c>
      <c r="L648" s="5">
        <f>LOOKUP(K648,AI:AI,AE:AE)</f>
        <v>723</v>
      </c>
      <c r="M648" s="5">
        <f>LOOKUP(L648,AE:AE,AG:AG)</f>
        <v>1.51008545624512E+18</v>
      </c>
      <c r="N648" s="5">
        <f>AM648/M648/$K$1</f>
        <v>1.2910356213858678</v>
      </c>
      <c r="O648" s="5">
        <f>SUM($N$9:N648)</f>
        <v>2030.5262998940543</v>
      </c>
      <c r="AE648" s="5">
        <f t="shared" si="73"/>
        <v>640</v>
      </c>
      <c r="AF648" s="5">
        <f t="shared" si="74"/>
        <v>2.34443001089394E+16</v>
      </c>
      <c r="AG648" s="5">
        <f t="shared" si="75"/>
        <v>2.32986833380764E+16</v>
      </c>
      <c r="AH648" s="5">
        <f>AG648*$AF$1</f>
        <v>2.32986833380764E+17</v>
      </c>
      <c r="AI648" s="5">
        <f>SUM($AF$9:AF647)</f>
        <v>4.5359624123817549E+17</v>
      </c>
      <c r="AK648" s="5">
        <f t="shared" si="76"/>
        <v>640</v>
      </c>
      <c r="AL648" s="5">
        <f t="shared" si="77"/>
        <v>92</v>
      </c>
      <c r="AM648" s="5">
        <f t="shared" si="78"/>
        <v>2.9243611730237701E+18</v>
      </c>
      <c r="AN648" s="5">
        <f>$AL$4*$AL$3^AL648*$AL$2</f>
        <v>2.9243611730237737E+18</v>
      </c>
      <c r="AO648" s="5">
        <f>IF(AL648=AL649,1,LOOKUP(MOD(AL648,$AL$1),$AN$1:$AN$5,$AO$1:$AO$5))</f>
        <v>1</v>
      </c>
      <c r="AP648" s="5">
        <f t="shared" si="79"/>
        <v>1.1970385068243999E+18</v>
      </c>
      <c r="AQ648" s="5">
        <f>AM648*$AR$3</f>
        <v>3.8991482306983603E+17</v>
      </c>
      <c r="AR648" s="5">
        <f>AM648*AL648*$AR$4</f>
        <v>8.0712368375456051E+17</v>
      </c>
      <c r="AS648" s="5">
        <f>SUM($AP$9:AP647)</f>
        <v>3.0893384047225553E+19</v>
      </c>
    </row>
    <row r="649" spans="1:45" x14ac:dyDescent="0.15">
      <c r="A649" s="5">
        <v>641</v>
      </c>
      <c r="J649" s="5">
        <f t="shared" si="72"/>
        <v>641</v>
      </c>
      <c r="K649" s="5">
        <f>SUM($AP$9:AP648)</f>
        <v>3.2090422554049954E+19</v>
      </c>
      <c r="L649" s="5">
        <f>LOOKUP(K649,AI:AI,AE:AE)</f>
        <v>724</v>
      </c>
      <c r="M649" s="5">
        <f>LOOKUP(L649,AE:AE,AG:AG)</f>
        <v>1.5877827992220401E+18</v>
      </c>
      <c r="N649" s="5">
        <f>AM649/M649/$K$1</f>
        <v>1.2278594504893274</v>
      </c>
      <c r="O649" s="5">
        <f>SUM($N$9:N649)</f>
        <v>2031.7541593445437</v>
      </c>
      <c r="AE649" s="5">
        <f t="shared" si="73"/>
        <v>641</v>
      </c>
      <c r="AF649" s="5">
        <f t="shared" si="74"/>
        <v>2.46547395167379E+16</v>
      </c>
      <c r="AG649" s="5">
        <f t="shared" si="75"/>
        <v>2.45018419073318E+16</v>
      </c>
      <c r="AH649" s="5">
        <f>AG649*$AF$1</f>
        <v>2.4501841907331802E+17</v>
      </c>
      <c r="AI649" s="5">
        <f>SUM($AF$9:AF648)</f>
        <v>4.7704054134711488E+17</v>
      </c>
      <c r="AK649" s="5">
        <f t="shared" si="76"/>
        <v>641</v>
      </c>
      <c r="AL649" s="5">
        <f t="shared" si="77"/>
        <v>92</v>
      </c>
      <c r="AM649" s="5">
        <f t="shared" si="78"/>
        <v>2.9243611730237701E+18</v>
      </c>
      <c r="AN649" s="5">
        <f>$AL$4*$AL$3^AL649*$AL$2</f>
        <v>2.9243611730237737E+18</v>
      </c>
      <c r="AO649" s="5">
        <f>IF(AL649=AL650,1,LOOKUP(MOD(AL649,$AL$1),$AN$1:$AN$5,$AO$1:$AO$5))</f>
        <v>1</v>
      </c>
      <c r="AP649" s="5">
        <f t="shared" si="79"/>
        <v>1.1970385068243999E+18</v>
      </c>
      <c r="AQ649" s="5">
        <f>AM649*$AR$3</f>
        <v>3.8991482306983603E+17</v>
      </c>
      <c r="AR649" s="5">
        <f>AM649*AL649*$AR$4</f>
        <v>8.0712368375456051E+17</v>
      </c>
      <c r="AS649" s="5">
        <f>SUM($AP$9:AP648)</f>
        <v>3.2090422554049954E+19</v>
      </c>
    </row>
    <row r="650" spans="1:45" x14ac:dyDescent="0.15">
      <c r="A650" s="5">
        <v>642</v>
      </c>
      <c r="J650" s="5">
        <f t="shared" ref="J650:J713" si="80">A650</f>
        <v>642</v>
      </c>
      <c r="K650" s="5">
        <f>SUM($AP$9:AP649)</f>
        <v>3.3287461060874355E+19</v>
      </c>
      <c r="L650" s="5">
        <f>LOOKUP(K650,AI:AI,AE:AE)</f>
        <v>725</v>
      </c>
      <c r="M650" s="5">
        <f>LOOKUP(L650,AE:AE,AG:AG)</f>
        <v>1.6694746628560499E+18</v>
      </c>
      <c r="N650" s="5">
        <f>AM650/M650/$K$1</f>
        <v>1.1677770011878772</v>
      </c>
      <c r="O650" s="5">
        <f>SUM($N$9:N650)</f>
        <v>2032.9219363457316</v>
      </c>
      <c r="AE650" s="5">
        <f t="shared" ref="AE650:AE713" si="81">A650</f>
        <v>642</v>
      </c>
      <c r="AF650" s="5">
        <f t="shared" ref="AF650:AF713" si="82">ROUND(1.05^AE650*(AE650+4),0)</f>
        <v>2.59276121150439E+16</v>
      </c>
      <c r="AG650" s="5">
        <f t="shared" ref="AG650:AG713" si="83">ROUND(1.05^AE650*AE650,0)</f>
        <v>2.57670696251675E+16</v>
      </c>
      <c r="AH650" s="5">
        <f>AG650*$AF$1</f>
        <v>2.5767069625167501E+17</v>
      </c>
      <c r="AI650" s="5">
        <f>SUM($AF$9:AF649)</f>
        <v>5.016952808638528E+17</v>
      </c>
      <c r="AK650" s="5">
        <f t="shared" ref="AK650:AK713" si="84">A650</f>
        <v>642</v>
      </c>
      <c r="AL650" s="5">
        <f t="shared" ref="AL650:AL713" si="85">ROUNDUP(AK650/$AL$1,0)</f>
        <v>92</v>
      </c>
      <c r="AM650" s="5">
        <f t="shared" ref="AM650:AM713" si="86">ROUND(AN650*AO650,0)</f>
        <v>2.9243611730237701E+18</v>
      </c>
      <c r="AN650" s="5">
        <f>$AL$4*$AL$3^AL650*$AL$2</f>
        <v>2.9243611730237737E+18</v>
      </c>
      <c r="AO650" s="5">
        <f>IF(AL650=AL651,1,LOOKUP(MOD(AL650,$AL$1),$AN$1:$AN$5,$AO$1:$AO$5))</f>
        <v>1</v>
      </c>
      <c r="AP650" s="5">
        <f t="shared" ref="AP650:AP713" si="87">ROUND(AQ650+AR650,0)</f>
        <v>1.1970385068243999E+18</v>
      </c>
      <c r="AQ650" s="5">
        <f>AM650*$AR$3</f>
        <v>3.8991482306983603E+17</v>
      </c>
      <c r="AR650" s="5">
        <f>AM650*AL650*$AR$4</f>
        <v>8.0712368375456051E+17</v>
      </c>
      <c r="AS650" s="5">
        <f>SUM($AP$9:AP649)</f>
        <v>3.3287461060874355E+19</v>
      </c>
    </row>
    <row r="651" spans="1:45" x14ac:dyDescent="0.15">
      <c r="A651" s="5">
        <v>643</v>
      </c>
      <c r="J651" s="5">
        <f t="shared" si="80"/>
        <v>643</v>
      </c>
      <c r="K651" s="5">
        <f>SUM($AP$9:AP650)</f>
        <v>3.4484499567698756E+19</v>
      </c>
      <c r="L651" s="5">
        <f>LOOKUP(K651,AI:AI,AE:AE)</f>
        <v>726</v>
      </c>
      <c r="M651" s="5">
        <f>LOOKUP(L651,AE:AE,AG:AG)</f>
        <v>1.7553662558553999E+18</v>
      </c>
      <c r="N651" s="5">
        <f>AM651/M651/$K$1</f>
        <v>1.1106366599255046</v>
      </c>
      <c r="O651" s="5">
        <f>SUM($N$9:N651)</f>
        <v>2034.0325730056572</v>
      </c>
      <c r="AE651" s="5">
        <f t="shared" si="81"/>
        <v>643</v>
      </c>
      <c r="AF651" s="5">
        <f t="shared" si="82"/>
        <v>2.72661351243887E+16</v>
      </c>
      <c r="AG651" s="5">
        <f t="shared" si="83"/>
        <v>2.70975655100184E+16</v>
      </c>
      <c r="AH651" s="5">
        <f>AG651*$AF$1</f>
        <v>2.70975655100184E+17</v>
      </c>
      <c r="AI651" s="5">
        <f>SUM($AF$9:AF650)</f>
        <v>5.276228929788967E+17</v>
      </c>
      <c r="AK651" s="5">
        <f t="shared" si="84"/>
        <v>643</v>
      </c>
      <c r="AL651" s="5">
        <f t="shared" si="85"/>
        <v>92</v>
      </c>
      <c r="AM651" s="5">
        <f t="shared" si="86"/>
        <v>2.9243611730237701E+18</v>
      </c>
      <c r="AN651" s="5">
        <f>$AL$4*$AL$3^AL651*$AL$2</f>
        <v>2.9243611730237737E+18</v>
      </c>
      <c r="AO651" s="5">
        <f>IF(AL651=AL652,1,LOOKUP(MOD(AL651,$AL$1),$AN$1:$AN$5,$AO$1:$AO$5))</f>
        <v>1</v>
      </c>
      <c r="AP651" s="5">
        <f t="shared" si="87"/>
        <v>1.1970385068243999E+18</v>
      </c>
      <c r="AQ651" s="5">
        <f>AM651*$AR$3</f>
        <v>3.8991482306983603E+17</v>
      </c>
      <c r="AR651" s="5">
        <f>AM651*AL651*$AR$4</f>
        <v>8.0712368375456051E+17</v>
      </c>
      <c r="AS651" s="5">
        <f>SUM($AP$9:AP650)</f>
        <v>3.4484499567698756E+19</v>
      </c>
    </row>
    <row r="652" spans="1:45" x14ac:dyDescent="0.15">
      <c r="A652" s="5">
        <v>644</v>
      </c>
      <c r="J652" s="5">
        <f t="shared" si="80"/>
        <v>644</v>
      </c>
      <c r="K652" s="5">
        <f>SUM($AP$9:AP651)</f>
        <v>3.5681538074523156E+19</v>
      </c>
      <c r="L652" s="5">
        <f>LOOKUP(K652,AI:AI,AE:AE)</f>
        <v>726</v>
      </c>
      <c r="M652" s="5">
        <f>LOOKUP(L652,AE:AE,AG:AG)</f>
        <v>1.7553662558553999E+18</v>
      </c>
      <c r="N652" s="5">
        <f>AM652/M652/$K$1</f>
        <v>2.2212733198510128</v>
      </c>
      <c r="O652" s="5">
        <f>SUM($N$9:N652)</f>
        <v>2036.2538463255082</v>
      </c>
      <c r="AE652" s="5">
        <f t="shared" si="81"/>
        <v>644</v>
      </c>
      <c r="AF652" s="5">
        <f t="shared" si="82"/>
        <v>2.86736914043803E+16</v>
      </c>
      <c r="AG652" s="5">
        <f t="shared" si="83"/>
        <v>2.84966933092915E+16</v>
      </c>
      <c r="AH652" s="5">
        <f>AG652*$AF$1</f>
        <v>2.8496693309291501E+17</v>
      </c>
      <c r="AI652" s="5">
        <f>SUM($AF$9:AF651)</f>
        <v>5.5488902810328538E+17</v>
      </c>
      <c r="AK652" s="5">
        <f t="shared" si="84"/>
        <v>644</v>
      </c>
      <c r="AL652" s="5">
        <f t="shared" si="85"/>
        <v>92</v>
      </c>
      <c r="AM652" s="5">
        <f t="shared" si="86"/>
        <v>5.8487223460475505E+18</v>
      </c>
      <c r="AN652" s="5">
        <f>$AL$4*$AL$3^AL652*$AL$2</f>
        <v>2.9243611730237737E+18</v>
      </c>
      <c r="AO652" s="5">
        <f>IF(AL652=AL653,1,LOOKUP(MOD(AL652,$AL$1),$AN$1:$AN$5,$AO$1:$AO$5))</f>
        <v>2</v>
      </c>
      <c r="AP652" s="5">
        <f t="shared" si="87"/>
        <v>2.3940770136487997E+18</v>
      </c>
      <c r="AQ652" s="5">
        <f>AM652*$AR$3</f>
        <v>7.7982964613967334E+17</v>
      </c>
      <c r="AR652" s="5">
        <f>AM652*AL652*$AR$4</f>
        <v>1.6142473675091241E+18</v>
      </c>
      <c r="AS652" s="5">
        <f>SUM($AP$9:AP651)</f>
        <v>3.5681538074523156E+19</v>
      </c>
    </row>
    <row r="653" spans="1:45" x14ac:dyDescent="0.15">
      <c r="A653" s="5">
        <v>645</v>
      </c>
      <c r="J653" s="5">
        <f t="shared" si="80"/>
        <v>645</v>
      </c>
      <c r="K653" s="5">
        <f>SUM($AP$9:AP652)</f>
        <v>3.8075615088171958E+19</v>
      </c>
      <c r="L653" s="5">
        <f>LOOKUP(K653,AI:AI,AE:AE)</f>
        <v>728</v>
      </c>
      <c r="M653" s="5">
        <f>LOOKUP(L653,AE:AE,AG:AG)</f>
        <v>1.9406226780642701E+18</v>
      </c>
      <c r="N653" s="5">
        <f>AM653/M653/$K$1</f>
        <v>1.5772418799884003</v>
      </c>
      <c r="O653" s="5">
        <f>SUM($N$9:N653)</f>
        <v>2037.8310882054966</v>
      </c>
      <c r="AE653" s="5">
        <f t="shared" si="81"/>
        <v>645</v>
      </c>
      <c r="AF653" s="5">
        <f t="shared" si="82"/>
        <v>3.01538379745601E+16</v>
      </c>
      <c r="AG653" s="5">
        <f t="shared" si="83"/>
        <v>2.99679899747169E+16</v>
      </c>
      <c r="AH653" s="5">
        <f>AG653*$AF$1</f>
        <v>2.9967989974716902E+17</v>
      </c>
      <c r="AI653" s="5">
        <f>SUM($AF$9:AF652)</f>
        <v>5.8356271950766566E+17</v>
      </c>
      <c r="AK653" s="5">
        <f t="shared" si="84"/>
        <v>645</v>
      </c>
      <c r="AL653" s="5">
        <f t="shared" si="85"/>
        <v>93</v>
      </c>
      <c r="AM653" s="5">
        <f t="shared" si="86"/>
        <v>4.5912470416473201E+18</v>
      </c>
      <c r="AN653" s="5">
        <f>$AL$4*$AL$3^AL653*$AL$2</f>
        <v>4.5912470416473242E+18</v>
      </c>
      <c r="AO653" s="5">
        <f>IF(AL653=AL654,1,LOOKUP(MOD(AL653,$AL$1),$AN$1:$AN$5,$AO$1:$AO$5))</f>
        <v>1</v>
      </c>
      <c r="AP653" s="5">
        <f t="shared" si="87"/>
        <v>1.8931241968392499E+18</v>
      </c>
      <c r="AQ653" s="5">
        <f>AM653*$AR$3</f>
        <v>6.1216627221964262E+17</v>
      </c>
      <c r="AR653" s="5">
        <f>AM653*AL653*$AR$4</f>
        <v>1.2809579246196024E+18</v>
      </c>
      <c r="AS653" s="5">
        <f>SUM($AP$9:AP652)</f>
        <v>3.8075615088171958E+19</v>
      </c>
    </row>
    <row r="654" spans="1:45" x14ac:dyDescent="0.15">
      <c r="A654" s="5">
        <v>646</v>
      </c>
      <c r="J654" s="5">
        <f t="shared" si="80"/>
        <v>646</v>
      </c>
      <c r="K654" s="5">
        <f>SUM($AP$9:AP653)</f>
        <v>3.996873928501121E+19</v>
      </c>
      <c r="L654" s="5">
        <f>LOOKUP(K654,AI:AI,AE:AE)</f>
        <v>729</v>
      </c>
      <c r="M654" s="5">
        <f>LOOKUP(L654,AE:AE,AG:AG)</f>
        <v>2.0404527869839301E+18</v>
      </c>
      <c r="N654" s="5">
        <f>AM654/M654/$K$1</f>
        <v>1.5000745817905168</v>
      </c>
      <c r="O654" s="5">
        <f>SUM($N$9:N654)</f>
        <v>2039.3311627872872</v>
      </c>
      <c r="AE654" s="5">
        <f t="shared" si="81"/>
        <v>646</v>
      </c>
      <c r="AF654" s="5">
        <f t="shared" si="82"/>
        <v>3.17103149732469E+16</v>
      </c>
      <c r="AG654" s="5">
        <f t="shared" si="83"/>
        <v>3.15151745734116E+16</v>
      </c>
      <c r="AH654" s="5">
        <f>AG654*$AF$1</f>
        <v>3.1515174573411597E+17</v>
      </c>
      <c r="AI654" s="5">
        <f>SUM($AF$9:AF653)</f>
        <v>6.1371655748222579E+17</v>
      </c>
      <c r="AK654" s="5">
        <f t="shared" si="84"/>
        <v>646</v>
      </c>
      <c r="AL654" s="5">
        <f t="shared" si="85"/>
        <v>93</v>
      </c>
      <c r="AM654" s="5">
        <f t="shared" si="86"/>
        <v>4.5912470416473201E+18</v>
      </c>
      <c r="AN654" s="5">
        <f>$AL$4*$AL$3^AL654*$AL$2</f>
        <v>4.5912470416473242E+18</v>
      </c>
      <c r="AO654" s="5">
        <f>IF(AL654=AL655,1,LOOKUP(MOD(AL654,$AL$1),$AN$1:$AN$5,$AO$1:$AO$5))</f>
        <v>1</v>
      </c>
      <c r="AP654" s="5">
        <f t="shared" si="87"/>
        <v>1.8931241968392499E+18</v>
      </c>
      <c r="AQ654" s="5">
        <f>AM654*$AR$3</f>
        <v>6.1216627221964262E+17</v>
      </c>
      <c r="AR654" s="5">
        <f>AM654*AL654*$AR$4</f>
        <v>1.2809579246196024E+18</v>
      </c>
      <c r="AS654" s="5">
        <f>SUM($AP$9:AP653)</f>
        <v>3.996873928501121E+19</v>
      </c>
    </row>
    <row r="655" spans="1:45" x14ac:dyDescent="0.15">
      <c r="A655" s="5">
        <v>647</v>
      </c>
      <c r="J655" s="5">
        <f t="shared" si="80"/>
        <v>647</v>
      </c>
      <c r="K655" s="5">
        <f>SUM($AP$9:AP654)</f>
        <v>4.1861863481850462E+19</v>
      </c>
      <c r="L655" s="5">
        <f>LOOKUP(K655,AI:AI,AE:AE)</f>
        <v>729</v>
      </c>
      <c r="M655" s="5">
        <f>LOOKUP(L655,AE:AE,AG:AG)</f>
        <v>2.0404527869839301E+18</v>
      </c>
      <c r="N655" s="5">
        <f>AM655/M655/$K$1</f>
        <v>1.5000745817905168</v>
      </c>
      <c r="O655" s="5">
        <f>SUM($N$9:N655)</f>
        <v>2040.8312373690778</v>
      </c>
      <c r="AE655" s="5">
        <f t="shared" si="81"/>
        <v>647</v>
      </c>
      <c r="AF655" s="5">
        <f t="shared" si="82"/>
        <v>3.33470550768661E+16</v>
      </c>
      <c r="AG655" s="5">
        <f t="shared" si="83"/>
        <v>3.31421576570389E+16</v>
      </c>
      <c r="AH655" s="5">
        <f>AG655*$AF$1</f>
        <v>3.3142157657038899E+17</v>
      </c>
      <c r="AI655" s="5">
        <f>SUM($AF$9:AF654)</f>
        <v>6.4542687245547264E+17</v>
      </c>
      <c r="AK655" s="5">
        <f t="shared" si="84"/>
        <v>647</v>
      </c>
      <c r="AL655" s="5">
        <f t="shared" si="85"/>
        <v>93</v>
      </c>
      <c r="AM655" s="5">
        <f t="shared" si="86"/>
        <v>4.5912470416473201E+18</v>
      </c>
      <c r="AN655" s="5">
        <f>$AL$4*$AL$3^AL655*$AL$2</f>
        <v>4.5912470416473242E+18</v>
      </c>
      <c r="AO655" s="5">
        <f>IF(AL655=AL656,1,LOOKUP(MOD(AL655,$AL$1),$AN$1:$AN$5,$AO$1:$AO$5))</f>
        <v>1</v>
      </c>
      <c r="AP655" s="5">
        <f t="shared" si="87"/>
        <v>1.8931241968392499E+18</v>
      </c>
      <c r="AQ655" s="5">
        <f>AM655*$AR$3</f>
        <v>6.1216627221964262E+17</v>
      </c>
      <c r="AR655" s="5">
        <f>AM655*AL655*$AR$4</f>
        <v>1.2809579246196024E+18</v>
      </c>
      <c r="AS655" s="5">
        <f>SUM($AP$9:AP654)</f>
        <v>4.1861863481850462E+19</v>
      </c>
    </row>
    <row r="656" spans="1:45" x14ac:dyDescent="0.15">
      <c r="A656" s="5">
        <v>648</v>
      </c>
      <c r="J656" s="5">
        <f t="shared" si="80"/>
        <v>648</v>
      </c>
      <c r="K656" s="5">
        <f>SUM($AP$9:AP655)</f>
        <v>4.3754987678689714E+19</v>
      </c>
      <c r="L656" s="5">
        <f>LOOKUP(K656,AI:AI,AE:AE)</f>
        <v>730</v>
      </c>
      <c r="M656" s="5">
        <f>LOOKUP(L656,AE:AE,AG:AG)</f>
        <v>2.1454143501003799E+18</v>
      </c>
      <c r="N656" s="5">
        <f>AM656/M656/$K$1</f>
        <v>1.4266854143839407</v>
      </c>
      <c r="O656" s="5">
        <f>SUM($N$9:N656)</f>
        <v>2042.2579227834617</v>
      </c>
      <c r="AE656" s="5">
        <f t="shared" si="81"/>
        <v>648</v>
      </c>
      <c r="AF656" s="5">
        <f t="shared" si="82"/>
        <v>3.5068193403414E+16</v>
      </c>
      <c r="AG656" s="5">
        <f t="shared" si="83"/>
        <v>3.48530511125955E+16</v>
      </c>
      <c r="AH656" s="5">
        <f>AG656*$AF$1</f>
        <v>3.4853051112595501E+17</v>
      </c>
      <c r="AI656" s="5">
        <f>SUM($AF$9:AF655)</f>
        <v>6.7877392753233869E+17</v>
      </c>
      <c r="AK656" s="5">
        <f t="shared" si="84"/>
        <v>648</v>
      </c>
      <c r="AL656" s="5">
        <f t="shared" si="85"/>
        <v>93</v>
      </c>
      <c r="AM656" s="5">
        <f t="shared" si="86"/>
        <v>4.5912470416473201E+18</v>
      </c>
      <c r="AN656" s="5">
        <f>$AL$4*$AL$3^AL656*$AL$2</f>
        <v>4.5912470416473242E+18</v>
      </c>
      <c r="AO656" s="5">
        <f>IF(AL656=AL657,1,LOOKUP(MOD(AL656,$AL$1),$AN$1:$AN$5,$AO$1:$AO$5))</f>
        <v>1</v>
      </c>
      <c r="AP656" s="5">
        <f t="shared" si="87"/>
        <v>1.8931241968392499E+18</v>
      </c>
      <c r="AQ656" s="5">
        <f>AM656*$AR$3</f>
        <v>6.1216627221964262E+17</v>
      </c>
      <c r="AR656" s="5">
        <f>AM656*AL656*$AR$4</f>
        <v>1.2809579246196024E+18</v>
      </c>
      <c r="AS656" s="5">
        <f>SUM($AP$9:AP655)</f>
        <v>4.3754987678689714E+19</v>
      </c>
    </row>
    <row r="657" spans="1:45" x14ac:dyDescent="0.15">
      <c r="A657" s="5">
        <v>649</v>
      </c>
      <c r="J657" s="5">
        <f t="shared" si="80"/>
        <v>649</v>
      </c>
      <c r="K657" s="5">
        <f>SUM($AP$9:AP656)</f>
        <v>4.5648111875528966E+19</v>
      </c>
      <c r="L657" s="5">
        <f>LOOKUP(K657,AI:AI,AE:AE)</f>
        <v>731</v>
      </c>
      <c r="M657" s="5">
        <f>LOOKUP(L657,AE:AE,AG:AG)</f>
        <v>2.2557709375610299E+18</v>
      </c>
      <c r="N657" s="5">
        <f>AM657/M657/$K$1</f>
        <v>1.356889261286266</v>
      </c>
      <c r="O657" s="5">
        <f>SUM($N$9:N657)</f>
        <v>2043.6148120447481</v>
      </c>
      <c r="AE657" s="5">
        <f t="shared" si="81"/>
        <v>649</v>
      </c>
      <c r="AF657" s="5">
        <f t="shared" si="82"/>
        <v>3.68780779249246E+16</v>
      </c>
      <c r="AG657" s="5">
        <f t="shared" si="83"/>
        <v>3.66521785195652E+16</v>
      </c>
      <c r="AH657" s="5">
        <f>AG657*$AF$1</f>
        <v>3.6652178519565197E+17</v>
      </c>
      <c r="AI657" s="5">
        <f>SUM($AF$9:AF656)</f>
        <v>7.138421209357527E+17</v>
      </c>
      <c r="AK657" s="5">
        <f t="shared" si="84"/>
        <v>649</v>
      </c>
      <c r="AL657" s="5">
        <f t="shared" si="85"/>
        <v>93</v>
      </c>
      <c r="AM657" s="5">
        <f t="shared" si="86"/>
        <v>4.5912470416473201E+18</v>
      </c>
      <c r="AN657" s="5">
        <f>$AL$4*$AL$3^AL657*$AL$2</f>
        <v>4.5912470416473242E+18</v>
      </c>
      <c r="AO657" s="5">
        <f>IF(AL657=AL658,1,LOOKUP(MOD(AL657,$AL$1),$AN$1:$AN$5,$AO$1:$AO$5))</f>
        <v>1</v>
      </c>
      <c r="AP657" s="5">
        <f t="shared" si="87"/>
        <v>1.8931241968392499E+18</v>
      </c>
      <c r="AQ657" s="5">
        <f>AM657*$AR$3</f>
        <v>6.1216627221964262E+17</v>
      </c>
      <c r="AR657" s="5">
        <f>AM657*AL657*$AR$4</f>
        <v>1.2809579246196024E+18</v>
      </c>
      <c r="AS657" s="5">
        <f>SUM($AP$9:AP656)</f>
        <v>4.5648111875528966E+19</v>
      </c>
    </row>
    <row r="658" spans="1:45" x14ac:dyDescent="0.15">
      <c r="A658" s="5">
        <v>650</v>
      </c>
      <c r="J658" s="5">
        <f t="shared" si="80"/>
        <v>650</v>
      </c>
      <c r="K658" s="5">
        <f>SUM($AP$9:AP657)</f>
        <v>4.7541236072368218E+19</v>
      </c>
      <c r="L658" s="5">
        <f>LOOKUP(K658,AI:AI,AE:AE)</f>
        <v>732</v>
      </c>
      <c r="M658" s="5">
        <f>LOOKUP(L658,AE:AE,AG:AG)</f>
        <v>2.37179964789248E+18</v>
      </c>
      <c r="N658" s="5">
        <f>AM658/M658/$K$1</f>
        <v>1.2905100832686223</v>
      </c>
      <c r="O658" s="5">
        <f>SUM($N$9:N658)</f>
        <v>2044.9053221280167</v>
      </c>
      <c r="AE658" s="5">
        <f t="shared" si="81"/>
        <v>650</v>
      </c>
      <c r="AF658" s="5">
        <f t="shared" si="82"/>
        <v>3.87812804150776E+16</v>
      </c>
      <c r="AG658" s="5">
        <f t="shared" si="83"/>
        <v>3.8544086039450304E+16</v>
      </c>
      <c r="AH658" s="5">
        <f>AG658*$AF$1</f>
        <v>3.8544086039450304E+17</v>
      </c>
      <c r="AI658" s="5">
        <f>SUM($AF$9:AF657)</f>
        <v>7.5072019886067725E+17</v>
      </c>
      <c r="AK658" s="5">
        <f t="shared" si="84"/>
        <v>650</v>
      </c>
      <c r="AL658" s="5">
        <f t="shared" si="85"/>
        <v>93</v>
      </c>
      <c r="AM658" s="5">
        <f t="shared" si="86"/>
        <v>4.5912470416473201E+18</v>
      </c>
      <c r="AN658" s="5">
        <f>$AL$4*$AL$3^AL658*$AL$2</f>
        <v>4.5912470416473242E+18</v>
      </c>
      <c r="AO658" s="5">
        <f>IF(AL658=AL659,1,LOOKUP(MOD(AL658,$AL$1),$AN$1:$AN$5,$AO$1:$AO$5))</f>
        <v>1</v>
      </c>
      <c r="AP658" s="5">
        <f t="shared" si="87"/>
        <v>1.8931241968392499E+18</v>
      </c>
      <c r="AQ658" s="5">
        <f>AM658*$AR$3</f>
        <v>6.1216627221964262E+17</v>
      </c>
      <c r="AR658" s="5">
        <f>AM658*AL658*$AR$4</f>
        <v>1.2809579246196024E+18</v>
      </c>
      <c r="AS658" s="5">
        <f>SUM($AP$9:AP657)</f>
        <v>4.7541236072368218E+19</v>
      </c>
    </row>
    <row r="659" spans="1:45" x14ac:dyDescent="0.15">
      <c r="A659" s="5">
        <v>651</v>
      </c>
      <c r="J659" s="5">
        <f t="shared" si="80"/>
        <v>651</v>
      </c>
      <c r="K659" s="5">
        <f>SUM($AP$9:AP658)</f>
        <v>4.943436026920747E+19</v>
      </c>
      <c r="L659" s="5">
        <f>LOOKUP(K659,AI:AI,AE:AE)</f>
        <v>733</v>
      </c>
      <c r="M659" s="5">
        <f>LOOKUP(L659,AE:AE,AG:AG)</f>
        <v>2.4937918019131802E+18</v>
      </c>
      <c r="N659" s="5">
        <f>AM659/M659/$K$1</f>
        <v>4.9095218915228074</v>
      </c>
      <c r="O659" s="5">
        <f>SUM($N$9:N659)</f>
        <v>2049.8148440195396</v>
      </c>
      <c r="AE659" s="5">
        <f t="shared" si="81"/>
        <v>651</v>
      </c>
      <c r="AF659" s="5">
        <f t="shared" si="82"/>
        <v>4.0782607959433696E+16</v>
      </c>
      <c r="AG659" s="5">
        <f t="shared" si="83"/>
        <v>4.0533553865025E+16</v>
      </c>
      <c r="AH659" s="5">
        <f>AG659*$AF$1</f>
        <v>4.0533553865024998E+17</v>
      </c>
      <c r="AI659" s="5">
        <f>SUM($AF$9:AF658)</f>
        <v>7.8950147927575488E+17</v>
      </c>
      <c r="AK659" s="5">
        <f t="shared" si="84"/>
        <v>651</v>
      </c>
      <c r="AL659" s="5">
        <f t="shared" si="85"/>
        <v>93</v>
      </c>
      <c r="AM659" s="5">
        <f t="shared" si="86"/>
        <v>1.8364988166589301E+19</v>
      </c>
      <c r="AN659" s="5">
        <f>$AL$4*$AL$3^AL659*$AL$2</f>
        <v>4.5912470416473242E+18</v>
      </c>
      <c r="AO659" s="5">
        <f>IF(AL659=AL660,1,LOOKUP(MOD(AL659,$AL$1),$AN$1:$AN$5,$AO$1:$AO$5))</f>
        <v>4</v>
      </c>
      <c r="AP659" s="5">
        <f t="shared" si="87"/>
        <v>7.5724967873569905E+18</v>
      </c>
      <c r="AQ659" s="5">
        <f>AM659*$AR$3</f>
        <v>2.4486650888785736E+18</v>
      </c>
      <c r="AR659" s="5">
        <f>AM659*AL659*$AR$4</f>
        <v>5.1238316984784148E+18</v>
      </c>
      <c r="AS659" s="5">
        <f>SUM($AP$9:AP658)</f>
        <v>4.943436026920747E+19</v>
      </c>
    </row>
    <row r="660" spans="1:45" x14ac:dyDescent="0.15">
      <c r="A660" s="5">
        <v>652</v>
      </c>
      <c r="J660" s="5">
        <f t="shared" si="80"/>
        <v>652</v>
      </c>
      <c r="K660" s="5">
        <f>SUM($AP$9:AP659)</f>
        <v>5.7006857056564462E+19</v>
      </c>
      <c r="L660" s="5">
        <f>LOOKUP(K660,AI:AI,AE:AE)</f>
        <v>736</v>
      </c>
      <c r="M660" s="5">
        <f>LOOKUP(L660,AE:AE,AG:AG)</f>
        <v>2.8986910514756598E+18</v>
      </c>
      <c r="N660" s="5">
        <f>AM660/M660/$K$1</f>
        <v>1.6578190471446839</v>
      </c>
      <c r="O660" s="5">
        <f>SUM($N$9:N660)</f>
        <v>2051.4726630666842</v>
      </c>
      <c r="AE660" s="5">
        <f t="shared" si="81"/>
        <v>652</v>
      </c>
      <c r="AF660" s="5">
        <f t="shared" si="82"/>
        <v>4.2887115057187696E+16</v>
      </c>
      <c r="AG660" s="5">
        <f t="shared" si="83"/>
        <v>4.2625608258058496E+16</v>
      </c>
      <c r="AH660" s="5">
        <f>AG660*$AF$1</f>
        <v>4.2625608258058496E+17</v>
      </c>
      <c r="AI660" s="5">
        <f>SUM($AF$9:AF659)</f>
        <v>8.3028408723518861E+17</v>
      </c>
      <c r="AK660" s="5">
        <f t="shared" si="84"/>
        <v>652</v>
      </c>
      <c r="AL660" s="5">
        <f t="shared" si="85"/>
        <v>94</v>
      </c>
      <c r="AM660" s="5">
        <f t="shared" si="86"/>
        <v>7.2082578553863004E+18</v>
      </c>
      <c r="AN660" s="5">
        <f>$AL$4*$AL$3^AL660*$AL$2</f>
        <v>7.2082578553863014E+18</v>
      </c>
      <c r="AO660" s="5">
        <f>IF(AL660=AL661,1,LOOKUP(MOD(AL660,$AL$1),$AN$1:$AN$5,$AO$1:$AO$5))</f>
        <v>1</v>
      </c>
      <c r="AP660" s="5">
        <f t="shared" si="87"/>
        <v>2.9938297626037801E+18</v>
      </c>
      <c r="AQ660" s="5">
        <f>AM660*$AR$3</f>
        <v>9.6110104738484006E+17</v>
      </c>
      <c r="AR660" s="5">
        <f>AM660*AL660*$AR$4</f>
        <v>2.0327287152189368E+18</v>
      </c>
      <c r="AS660" s="5">
        <f>SUM($AP$9:AP659)</f>
        <v>5.7006857056564462E+19</v>
      </c>
    </row>
    <row r="661" spans="1:45" x14ac:dyDescent="0.15">
      <c r="A661" s="5">
        <v>653</v>
      </c>
      <c r="J661" s="5">
        <f t="shared" si="80"/>
        <v>653</v>
      </c>
      <c r="K661" s="5">
        <f>SUM($AP$9:AP660)</f>
        <v>6.000068681916824E+19</v>
      </c>
      <c r="L661" s="5">
        <f>LOOKUP(K661,AI:AI,AE:AE)</f>
        <v>737</v>
      </c>
      <c r="M661" s="5">
        <f>LOOKUP(L661,AE:AE,AG:AG)</f>
        <v>3.0477609649245102E+18</v>
      </c>
      <c r="N661" s="5">
        <f>AM661/M661/$K$1</f>
        <v>1.5767329827466401</v>
      </c>
      <c r="O661" s="5">
        <f>SUM($N$9:N661)</f>
        <v>2053.0493960494309</v>
      </c>
      <c r="AE661" s="5">
        <f t="shared" si="81"/>
        <v>653</v>
      </c>
      <c r="AF661" s="5">
        <f t="shared" si="82"/>
        <v>4.5100116344818496E+16</v>
      </c>
      <c r="AG661" s="5">
        <f t="shared" si="83"/>
        <v>4.48255342057328E+16</v>
      </c>
      <c r="AH661" s="5">
        <f>AG661*$AF$1</f>
        <v>4.48255342057328E+17</v>
      </c>
      <c r="AI661" s="5">
        <f>SUM($AF$9:AF660)</f>
        <v>8.7317120229237632E+17</v>
      </c>
      <c r="AK661" s="5">
        <f t="shared" si="84"/>
        <v>653</v>
      </c>
      <c r="AL661" s="5">
        <f t="shared" si="85"/>
        <v>94</v>
      </c>
      <c r="AM661" s="5">
        <f t="shared" si="86"/>
        <v>7.2082578553863004E+18</v>
      </c>
      <c r="AN661" s="5">
        <f>$AL$4*$AL$3^AL661*$AL$2</f>
        <v>7.2082578553863014E+18</v>
      </c>
      <c r="AO661" s="5">
        <f>IF(AL661=AL662,1,LOOKUP(MOD(AL661,$AL$1),$AN$1:$AN$5,$AO$1:$AO$5))</f>
        <v>1</v>
      </c>
      <c r="AP661" s="5">
        <f t="shared" si="87"/>
        <v>2.9938297626037801E+18</v>
      </c>
      <c r="AQ661" s="5">
        <f>AM661*$AR$3</f>
        <v>9.6110104738484006E+17</v>
      </c>
      <c r="AR661" s="5">
        <f>AM661*AL661*$AR$4</f>
        <v>2.0327287152189368E+18</v>
      </c>
      <c r="AS661" s="5">
        <f>SUM($AP$9:AP660)</f>
        <v>6.000068681916824E+19</v>
      </c>
    </row>
    <row r="662" spans="1:45" x14ac:dyDescent="0.15">
      <c r="A662" s="5">
        <v>654</v>
      </c>
      <c r="J662" s="5">
        <f t="shared" si="80"/>
        <v>654</v>
      </c>
      <c r="K662" s="5">
        <f>SUM($AP$9:AP661)</f>
        <v>6.2994516581772018E+19</v>
      </c>
      <c r="L662" s="5">
        <f>LOOKUP(K662,AI:AI,AE:AE)</f>
        <v>738</v>
      </c>
      <c r="M662" s="5">
        <f>LOOKUP(L662,AE:AE,AG:AG)</f>
        <v>3.2044911420895498E+18</v>
      </c>
      <c r="N662" s="5">
        <f>AM662/M662/$K$1</f>
        <v>1.4996157030381674</v>
      </c>
      <c r="O662" s="5">
        <f>SUM($N$9:N662)</f>
        <v>2054.5490117524691</v>
      </c>
      <c r="AE662" s="5">
        <f t="shared" si="81"/>
        <v>654</v>
      </c>
      <c r="AF662" s="5">
        <f t="shared" si="82"/>
        <v>4.74271999735694E+16</v>
      </c>
      <c r="AG662" s="5">
        <f t="shared" si="83"/>
        <v>4.7138888727529504E+16</v>
      </c>
      <c r="AH662" s="5">
        <f>AG662*$AF$1</f>
        <v>4.7138888727529504E+17</v>
      </c>
      <c r="AI662" s="5">
        <f>SUM($AF$9:AF661)</f>
        <v>9.1827131863719475E+17</v>
      </c>
      <c r="AK662" s="5">
        <f t="shared" si="84"/>
        <v>654</v>
      </c>
      <c r="AL662" s="5">
        <f t="shared" si="85"/>
        <v>94</v>
      </c>
      <c r="AM662" s="5">
        <f t="shared" si="86"/>
        <v>7.2082578553863004E+18</v>
      </c>
      <c r="AN662" s="5">
        <f>$AL$4*$AL$3^AL662*$AL$2</f>
        <v>7.2082578553863014E+18</v>
      </c>
      <c r="AO662" s="5">
        <f>IF(AL662=AL663,1,LOOKUP(MOD(AL662,$AL$1),$AN$1:$AN$5,$AO$1:$AO$5))</f>
        <v>1</v>
      </c>
      <c r="AP662" s="5">
        <f t="shared" si="87"/>
        <v>2.9938297626037801E+18</v>
      </c>
      <c r="AQ662" s="5">
        <f>AM662*$AR$3</f>
        <v>9.6110104738484006E+17</v>
      </c>
      <c r="AR662" s="5">
        <f>AM662*AL662*$AR$4</f>
        <v>2.0327287152189368E+18</v>
      </c>
      <c r="AS662" s="5">
        <f>SUM($AP$9:AP661)</f>
        <v>6.2994516581772018E+19</v>
      </c>
    </row>
    <row r="663" spans="1:45" x14ac:dyDescent="0.15">
      <c r="A663" s="5">
        <v>655</v>
      </c>
      <c r="J663" s="5">
        <f t="shared" si="80"/>
        <v>655</v>
      </c>
      <c r="K663" s="5">
        <f>SUM($AP$9:AP662)</f>
        <v>6.5988346344375796E+19</v>
      </c>
      <c r="L663" s="5">
        <f>LOOKUP(K663,AI:AI,AE:AE)</f>
        <v>739</v>
      </c>
      <c r="M663" s="5">
        <f>LOOKUP(L663,AE:AE,AG:AG)</f>
        <v>3.3692749345587901E+18</v>
      </c>
      <c r="N663" s="5">
        <f>AM663/M663/$K$1</f>
        <v>1.4262728124778234</v>
      </c>
      <c r="O663" s="5">
        <f>SUM($N$9:N663)</f>
        <v>2055.9752845649468</v>
      </c>
      <c r="AE663" s="5">
        <f t="shared" si="81"/>
        <v>655</v>
      </c>
      <c r="AF663" s="5">
        <f t="shared" si="82"/>
        <v>4.98742416743334E+16</v>
      </c>
      <c r="AG663" s="5">
        <f t="shared" si="83"/>
        <v>4.95715148659914E+16</v>
      </c>
      <c r="AH663" s="5">
        <f>AG663*$AF$1</f>
        <v>4.9571514865991398E+17</v>
      </c>
      <c r="AI663" s="5">
        <f>SUM($AF$9:AF662)</f>
        <v>9.6569851861076416E+17</v>
      </c>
      <c r="AK663" s="5">
        <f t="shared" si="84"/>
        <v>655</v>
      </c>
      <c r="AL663" s="5">
        <f t="shared" si="85"/>
        <v>94</v>
      </c>
      <c r="AM663" s="5">
        <f t="shared" si="86"/>
        <v>7.2082578553863004E+18</v>
      </c>
      <c r="AN663" s="5">
        <f>$AL$4*$AL$3^AL663*$AL$2</f>
        <v>7.2082578553863014E+18</v>
      </c>
      <c r="AO663" s="5">
        <f>IF(AL663=AL664,1,LOOKUP(MOD(AL663,$AL$1),$AN$1:$AN$5,$AO$1:$AO$5))</f>
        <v>1</v>
      </c>
      <c r="AP663" s="5">
        <f t="shared" si="87"/>
        <v>2.9938297626037801E+18</v>
      </c>
      <c r="AQ663" s="5">
        <f>AM663*$AR$3</f>
        <v>9.6110104738484006E+17</v>
      </c>
      <c r="AR663" s="5">
        <f>AM663*AL663*$AR$4</f>
        <v>2.0327287152189368E+18</v>
      </c>
      <c r="AS663" s="5">
        <f>SUM($AP$9:AP662)</f>
        <v>6.5988346344375796E+19</v>
      </c>
    </row>
    <row r="664" spans="1:45" x14ac:dyDescent="0.15">
      <c r="A664" s="5">
        <v>656</v>
      </c>
      <c r="J664" s="5">
        <f t="shared" si="80"/>
        <v>656</v>
      </c>
      <c r="K664" s="5">
        <f>SUM($AP$9:AP663)</f>
        <v>6.8982176106979574E+19</v>
      </c>
      <c r="L664" s="5">
        <f>LOOKUP(K664,AI:AI,AE:AE)</f>
        <v>739</v>
      </c>
      <c r="M664" s="5">
        <f>LOOKUP(L664,AE:AE,AG:AG)</f>
        <v>3.3692749345587901E+18</v>
      </c>
      <c r="N664" s="5">
        <f>AM664/M664/$K$1</f>
        <v>1.4262728124778234</v>
      </c>
      <c r="O664" s="5">
        <f>SUM($N$9:N664)</f>
        <v>2057.4015573774245</v>
      </c>
      <c r="AE664" s="5">
        <f t="shared" si="81"/>
        <v>656</v>
      </c>
      <c r="AF664" s="5">
        <f t="shared" si="82"/>
        <v>5.24474195452398E+16</v>
      </c>
      <c r="AG664" s="5">
        <f t="shared" si="83"/>
        <v>5.21295563964808E+16</v>
      </c>
      <c r="AH664" s="5">
        <f>AG664*$AF$1</f>
        <v>5.21295563964808E+17</v>
      </c>
      <c r="AI664" s="5">
        <f>SUM($AF$9:AF663)</f>
        <v>1.0155727602850976E+18</v>
      </c>
      <c r="AK664" s="5">
        <f t="shared" si="84"/>
        <v>656</v>
      </c>
      <c r="AL664" s="5">
        <f t="shared" si="85"/>
        <v>94</v>
      </c>
      <c r="AM664" s="5">
        <f t="shared" si="86"/>
        <v>7.2082578553863004E+18</v>
      </c>
      <c r="AN664" s="5">
        <f>$AL$4*$AL$3^AL664*$AL$2</f>
        <v>7.2082578553863014E+18</v>
      </c>
      <c r="AO664" s="5">
        <f>IF(AL664=AL665,1,LOOKUP(MOD(AL664,$AL$1),$AN$1:$AN$5,$AO$1:$AO$5))</f>
        <v>1</v>
      </c>
      <c r="AP664" s="5">
        <f t="shared" si="87"/>
        <v>2.9938297626037801E+18</v>
      </c>
      <c r="AQ664" s="5">
        <f>AM664*$AR$3</f>
        <v>9.6110104738484006E+17</v>
      </c>
      <c r="AR664" s="5">
        <f>AM664*AL664*$AR$4</f>
        <v>2.0327287152189368E+18</v>
      </c>
      <c r="AS664" s="5">
        <f>SUM($AP$9:AP663)</f>
        <v>6.8982176106979574E+19</v>
      </c>
    </row>
    <row r="665" spans="1:45" x14ac:dyDescent="0.15">
      <c r="A665" s="5">
        <v>657</v>
      </c>
      <c r="J665" s="5">
        <f t="shared" si="80"/>
        <v>657</v>
      </c>
      <c r="K665" s="5">
        <f>SUM($AP$9:AP664)</f>
        <v>7.1976005869583352E+19</v>
      </c>
      <c r="L665" s="5">
        <f>LOOKUP(K665,AI:AI,AE:AE)</f>
        <v>740</v>
      </c>
      <c r="M665" s="5">
        <f>LOOKUP(L665,AE:AE,AG:AG)</f>
        <v>3.5425258784197299E+18</v>
      </c>
      <c r="N665" s="5">
        <f>AM665/M665/$K$1</f>
        <v>1.3565194445574147</v>
      </c>
      <c r="O665" s="5">
        <f>SUM($N$9:N665)</f>
        <v>2058.7580768219818</v>
      </c>
      <c r="AE665" s="5">
        <f t="shared" si="81"/>
        <v>657</v>
      </c>
      <c r="AF665" s="5">
        <f t="shared" si="82"/>
        <v>5.5153229599051E+16</v>
      </c>
      <c r="AG665" s="5">
        <f t="shared" si="83"/>
        <v>5.4819473292854E+16</v>
      </c>
      <c r="AH665" s="5">
        <f>AG665*$AF$1</f>
        <v>5.4819473292854003E+17</v>
      </c>
      <c r="AI665" s="5">
        <f>SUM($AF$9:AF664)</f>
        <v>1.0680201798303374E+18</v>
      </c>
      <c r="AK665" s="5">
        <f t="shared" si="84"/>
        <v>657</v>
      </c>
      <c r="AL665" s="5">
        <f t="shared" si="85"/>
        <v>94</v>
      </c>
      <c r="AM665" s="5">
        <f t="shared" si="86"/>
        <v>7.2082578553863004E+18</v>
      </c>
      <c r="AN665" s="5">
        <f>$AL$4*$AL$3^AL665*$AL$2</f>
        <v>7.2082578553863014E+18</v>
      </c>
      <c r="AO665" s="5">
        <f>IF(AL665=AL666,1,LOOKUP(MOD(AL665,$AL$1),$AN$1:$AN$5,$AO$1:$AO$5))</f>
        <v>1</v>
      </c>
      <c r="AP665" s="5">
        <f t="shared" si="87"/>
        <v>2.9938297626037801E+18</v>
      </c>
      <c r="AQ665" s="5">
        <f>AM665*$AR$3</f>
        <v>9.6110104738484006E+17</v>
      </c>
      <c r="AR665" s="5">
        <f>AM665*AL665*$AR$4</f>
        <v>2.0327287152189368E+18</v>
      </c>
      <c r="AS665" s="5">
        <f>SUM($AP$9:AP664)</f>
        <v>7.1976005869583352E+19</v>
      </c>
    </row>
    <row r="666" spans="1:45" x14ac:dyDescent="0.15">
      <c r="A666" s="5">
        <v>658</v>
      </c>
      <c r="J666" s="5">
        <f t="shared" si="80"/>
        <v>658</v>
      </c>
      <c r="K666" s="5">
        <f>SUM($AP$9:AP665)</f>
        <v>7.496983563218713E+19</v>
      </c>
      <c r="L666" s="5">
        <f>LOOKUP(K666,AI:AI,AE:AE)</f>
        <v>741</v>
      </c>
      <c r="M666" s="5">
        <f>LOOKUP(L666,AE:AE,AG:AG)</f>
        <v>3.7246787293303598E+18</v>
      </c>
      <c r="N666" s="5">
        <f>AM666/M666/$K$1</f>
        <v>7.7410787659339784</v>
      </c>
      <c r="O666" s="5">
        <f>SUM($N$9:N666)</f>
        <v>2066.499155587916</v>
      </c>
      <c r="AE666" s="5">
        <f t="shared" si="81"/>
        <v>658</v>
      </c>
      <c r="AF666" s="5">
        <f t="shared" si="82"/>
        <v>5.7998502109380304E+16</v>
      </c>
      <c r="AG666" s="5">
        <f t="shared" si="83"/>
        <v>5.7648057987873504E+16</v>
      </c>
      <c r="AH666" s="5">
        <f>AG666*$AF$1</f>
        <v>5.764805798787351E+17</v>
      </c>
      <c r="AI666" s="5">
        <f>SUM($AF$9:AF665)</f>
        <v>1.1231734094293884E+18</v>
      </c>
      <c r="AK666" s="5">
        <f t="shared" si="84"/>
        <v>658</v>
      </c>
      <c r="AL666" s="5">
        <f t="shared" si="85"/>
        <v>94</v>
      </c>
      <c r="AM666" s="5">
        <f t="shared" si="86"/>
        <v>4.3249547132317802E+19</v>
      </c>
      <c r="AN666" s="5">
        <f>$AL$4*$AL$3^AL666*$AL$2</f>
        <v>7.2082578553863014E+18</v>
      </c>
      <c r="AO666" s="5">
        <f>IF(AL666=AL667,1,LOOKUP(MOD(AL666,$AL$1),$AN$1:$AN$5,$AO$1:$AO$5))</f>
        <v>6</v>
      </c>
      <c r="AP666" s="5">
        <f t="shared" si="87"/>
        <v>1.7962978575622699E+19</v>
      </c>
      <c r="AQ666" s="5">
        <f>AM666*$AR$3</f>
        <v>5.7666062843090401E+18</v>
      </c>
      <c r="AR666" s="5">
        <f>AM666*AL666*$AR$4</f>
        <v>1.2196372291313621E+19</v>
      </c>
      <c r="AS666" s="5">
        <f>SUM($AP$9:AP665)</f>
        <v>7.496983563218713E+19</v>
      </c>
    </row>
    <row r="667" spans="1:45" x14ac:dyDescent="0.15">
      <c r="A667" s="5">
        <v>659</v>
      </c>
      <c r="J667" s="5">
        <f t="shared" si="80"/>
        <v>659</v>
      </c>
      <c r="K667" s="5">
        <f>SUM($AP$9:AP666)</f>
        <v>9.2932814207809831E+19</v>
      </c>
      <c r="L667" s="5">
        <f>LOOKUP(K667,AI:AI,AE:AE)</f>
        <v>745</v>
      </c>
      <c r="M667" s="5">
        <f>LOOKUP(L667,AE:AE,AG:AG)</f>
        <v>4.5518095204907203E+18</v>
      </c>
      <c r="N667" s="5">
        <f>AM667/M667/$K$1</f>
        <v>1.6575041613686921</v>
      </c>
      <c r="O667" s="5">
        <f>SUM($N$9:N667)</f>
        <v>2068.1566597492847</v>
      </c>
      <c r="AE667" s="5">
        <f t="shared" si="81"/>
        <v>659</v>
      </c>
      <c r="AF667" s="5">
        <f t="shared" si="82"/>
        <v>6.09904187967448E+16</v>
      </c>
      <c r="AG667" s="5">
        <f t="shared" si="83"/>
        <v>6.0622452469162704E+16</v>
      </c>
      <c r="AH667" s="5">
        <f>AG667*$AF$1</f>
        <v>6.0622452469162701E+17</v>
      </c>
      <c r="AI667" s="5">
        <f>SUM($AF$9:AF666)</f>
        <v>1.1811719115387686E+18</v>
      </c>
      <c r="AK667" s="5">
        <f t="shared" si="84"/>
        <v>659</v>
      </c>
      <c r="AL667" s="5">
        <f t="shared" si="85"/>
        <v>95</v>
      </c>
      <c r="AM667" s="5">
        <f t="shared" si="86"/>
        <v>1.13169648329565E+19</v>
      </c>
      <c r="AN667" s="5">
        <f>$AL$4*$AL$3^AL667*$AL$2</f>
        <v>1.1316964832956492E+19</v>
      </c>
      <c r="AO667" s="5">
        <f>IF(AL667=AL668,1,LOOKUP(MOD(AL667,$AL$1),$AN$1:$AN$5,$AO$1:$AO$5))</f>
        <v>1</v>
      </c>
      <c r="AP667" s="5">
        <f t="shared" si="87"/>
        <v>4.7342636217868001E+18</v>
      </c>
      <c r="AQ667" s="5">
        <f>AM667*$AR$3</f>
        <v>1.5089286443942001E+18</v>
      </c>
      <c r="AR667" s="5">
        <f>AM667*AL667*$AR$4</f>
        <v>3.2253349773926026E+18</v>
      </c>
      <c r="AS667" s="5">
        <f>SUM($AP$9:AP666)</f>
        <v>9.2932814207809831E+19</v>
      </c>
    </row>
    <row r="668" spans="1:45" x14ac:dyDescent="0.15">
      <c r="A668" s="5">
        <v>660</v>
      </c>
      <c r="J668" s="5">
        <f t="shared" si="80"/>
        <v>660</v>
      </c>
      <c r="K668" s="5">
        <f>SUM($AP$9:AP667)</f>
        <v>9.7667077829596627E+19</v>
      </c>
      <c r="L668" s="5">
        <f>LOOKUP(K668,AI:AI,AE:AE)</f>
        <v>746</v>
      </c>
      <c r="M668" s="5">
        <f>LOOKUP(L668,AE:AE,AG:AG)</f>
        <v>4.7858152985240003E+18</v>
      </c>
      <c r="N668" s="5">
        <f>AM668/M668/$K$1</f>
        <v>1.5764593389757131</v>
      </c>
      <c r="O668" s="5">
        <f>SUM($N$9:N668)</f>
        <v>2069.7331190882605</v>
      </c>
      <c r="AE668" s="5">
        <f t="shared" si="81"/>
        <v>660</v>
      </c>
      <c r="AF668" s="5">
        <f t="shared" si="82"/>
        <v>6.41365308975724E+16</v>
      </c>
      <c r="AG668" s="5">
        <f t="shared" si="83"/>
        <v>6.3750166253611104E+16</v>
      </c>
      <c r="AH668" s="5">
        <f>AG668*$AF$1</f>
        <v>6.375016625361111E+17</v>
      </c>
      <c r="AI668" s="5">
        <f>SUM($AF$9:AF667)</f>
        <v>1.2421623303355133E+18</v>
      </c>
      <c r="AK668" s="5">
        <f t="shared" si="84"/>
        <v>660</v>
      </c>
      <c r="AL668" s="5">
        <f t="shared" si="85"/>
        <v>95</v>
      </c>
      <c r="AM668" s="5">
        <f t="shared" si="86"/>
        <v>1.13169648329565E+19</v>
      </c>
      <c r="AN668" s="5">
        <f>$AL$4*$AL$3^AL668*$AL$2</f>
        <v>1.1316964832956492E+19</v>
      </c>
      <c r="AO668" s="5">
        <f>IF(AL668=AL669,1,LOOKUP(MOD(AL668,$AL$1),$AN$1:$AN$5,$AO$1:$AO$5))</f>
        <v>1</v>
      </c>
      <c r="AP668" s="5">
        <f t="shared" si="87"/>
        <v>4.7342636217868001E+18</v>
      </c>
      <c r="AQ668" s="5">
        <f>AM668*$AR$3</f>
        <v>1.5089286443942001E+18</v>
      </c>
      <c r="AR668" s="5">
        <f>AM668*AL668*$AR$4</f>
        <v>3.2253349773926026E+18</v>
      </c>
      <c r="AS668" s="5">
        <f>SUM($AP$9:AP667)</f>
        <v>9.7667077829596627E+19</v>
      </c>
    </row>
    <row r="669" spans="1:45" x14ac:dyDescent="0.15">
      <c r="A669" s="5">
        <v>661</v>
      </c>
      <c r="J669" s="5">
        <f t="shared" si="80"/>
        <v>661</v>
      </c>
      <c r="K669" s="5">
        <f>SUM($AP$9:AP668)</f>
        <v>1.0240134145138342E+20</v>
      </c>
      <c r="L669" s="5">
        <f>LOOKUP(K669,AI:AI,AE:AE)</f>
        <v>747</v>
      </c>
      <c r="M669" s="5">
        <f>LOOKUP(L669,AE:AE,AG:AG)</f>
        <v>5.0318421305593805E+18</v>
      </c>
      <c r="N669" s="5">
        <f>AM669/M669/$K$1</f>
        <v>1.4993799539438804</v>
      </c>
      <c r="O669" s="5">
        <f>SUM($N$9:N669)</f>
        <v>2071.2324990422044</v>
      </c>
      <c r="AE669" s="5">
        <f t="shared" si="81"/>
        <v>661</v>
      </c>
      <c r="AF669" s="5">
        <f t="shared" si="82"/>
        <v>6.7444778161490896E+16</v>
      </c>
      <c r="AG669" s="5">
        <f t="shared" si="83"/>
        <v>6.7039095285331504E+16</v>
      </c>
      <c r="AH669" s="5">
        <f>AG669*$AF$1</f>
        <v>6.7039095285331507E+17</v>
      </c>
      <c r="AI669" s="5">
        <f>SUM($AF$9:AF668)</f>
        <v>1.3062988612330857E+18</v>
      </c>
      <c r="AK669" s="5">
        <f t="shared" si="84"/>
        <v>661</v>
      </c>
      <c r="AL669" s="5">
        <f t="shared" si="85"/>
        <v>95</v>
      </c>
      <c r="AM669" s="5">
        <f t="shared" si="86"/>
        <v>1.13169648329565E+19</v>
      </c>
      <c r="AN669" s="5">
        <f>$AL$4*$AL$3^AL669*$AL$2</f>
        <v>1.1316964832956492E+19</v>
      </c>
      <c r="AO669" s="5">
        <f>IF(AL669=AL670,1,LOOKUP(MOD(AL669,$AL$1),$AN$1:$AN$5,$AO$1:$AO$5))</f>
        <v>1</v>
      </c>
      <c r="AP669" s="5">
        <f t="shared" si="87"/>
        <v>4.7342636217868001E+18</v>
      </c>
      <c r="AQ669" s="5">
        <f>AM669*$AR$3</f>
        <v>1.5089286443942001E+18</v>
      </c>
      <c r="AR669" s="5">
        <f>AM669*AL669*$AR$4</f>
        <v>3.2253349773926026E+18</v>
      </c>
      <c r="AS669" s="5">
        <f>SUM($AP$9:AP668)</f>
        <v>1.0240134145138342E+20</v>
      </c>
    </row>
    <row r="670" spans="1:45" x14ac:dyDescent="0.15">
      <c r="A670" s="5">
        <v>662</v>
      </c>
      <c r="J670" s="5">
        <f t="shared" si="80"/>
        <v>662</v>
      </c>
      <c r="K670" s="5">
        <f>SUM($AP$9:AP669)</f>
        <v>1.0713560507317022E+20</v>
      </c>
      <c r="L670" s="5">
        <f>LOOKUP(K670,AI:AI,AE:AE)</f>
        <v>748</v>
      </c>
      <c r="M670" s="5">
        <f>LOOKUP(L670,AE:AE,AG:AG)</f>
        <v>5.2905071075519898E+18</v>
      </c>
      <c r="N670" s="5">
        <f>AM670/M670/$K$1</f>
        <v>1.4260718431322623</v>
      </c>
      <c r="O670" s="5">
        <f>SUM($N$9:N670)</f>
        <v>2072.6585708853368</v>
      </c>
      <c r="AE670" s="5">
        <f t="shared" si="81"/>
        <v>662</v>
      </c>
      <c r="AF670" s="5">
        <f t="shared" si="82"/>
        <v>7.09235088245572E+16</v>
      </c>
      <c r="AG670" s="5">
        <f t="shared" si="83"/>
        <v>7.0497541804589904E+16</v>
      </c>
      <c r="AH670" s="5">
        <f>AG670*$AF$1</f>
        <v>7.0497541804589901E+17</v>
      </c>
      <c r="AI670" s="5">
        <f>SUM($AF$9:AF669)</f>
        <v>1.3737436393945766E+18</v>
      </c>
      <c r="AK670" s="5">
        <f t="shared" si="84"/>
        <v>662</v>
      </c>
      <c r="AL670" s="5">
        <f t="shared" si="85"/>
        <v>95</v>
      </c>
      <c r="AM670" s="5">
        <f t="shared" si="86"/>
        <v>1.13169648329565E+19</v>
      </c>
      <c r="AN670" s="5">
        <f>$AL$4*$AL$3^AL670*$AL$2</f>
        <v>1.1316964832956492E+19</v>
      </c>
      <c r="AO670" s="5">
        <f>IF(AL670=AL671,1,LOOKUP(MOD(AL670,$AL$1),$AN$1:$AN$5,$AO$1:$AO$5))</f>
        <v>1</v>
      </c>
      <c r="AP670" s="5">
        <f t="shared" si="87"/>
        <v>4.7342636217868001E+18</v>
      </c>
      <c r="AQ670" s="5">
        <f>AM670*$AR$3</f>
        <v>1.5089286443942001E+18</v>
      </c>
      <c r="AR670" s="5">
        <f>AM670*AL670*$AR$4</f>
        <v>3.2253349773926026E+18</v>
      </c>
      <c r="AS670" s="5">
        <f>SUM($AP$9:AP669)</f>
        <v>1.0713560507317022E+20</v>
      </c>
    </row>
    <row r="671" spans="1:45" x14ac:dyDescent="0.15">
      <c r="A671" s="5">
        <v>663</v>
      </c>
      <c r="J671" s="5">
        <f t="shared" si="80"/>
        <v>663</v>
      </c>
      <c r="K671" s="5">
        <f>SUM($AP$9:AP670)</f>
        <v>1.1186986869495702E+20</v>
      </c>
      <c r="L671" s="5">
        <f>LOOKUP(K671,AI:AI,AE:AE)</f>
        <v>749</v>
      </c>
      <c r="M671" s="5">
        <f>LOOKUP(L671,AE:AE,AG:AG)</f>
        <v>5.5624589769174702E+18</v>
      </c>
      <c r="N671" s="5">
        <f>AM671/M671/$K$1</f>
        <v>1.3563503575089717</v>
      </c>
      <c r="O671" s="5">
        <f>SUM($N$9:N671)</f>
        <v>2074.0149212428455</v>
      </c>
      <c r="AE671" s="5">
        <f t="shared" si="81"/>
        <v>663</v>
      </c>
      <c r="AF671" s="5">
        <f t="shared" si="82"/>
        <v>7.4581500608526496E+16</v>
      </c>
      <c r="AG671" s="5">
        <f t="shared" si="83"/>
        <v>7.41342352375608E+16</v>
      </c>
      <c r="AH671" s="5">
        <f>AG671*$AF$1</f>
        <v>7.4134235237560806E+17</v>
      </c>
      <c r="AI671" s="5">
        <f>SUM($AF$9:AF670)</f>
        <v>1.444667148219134E+18</v>
      </c>
      <c r="AK671" s="5">
        <f t="shared" si="84"/>
        <v>663</v>
      </c>
      <c r="AL671" s="5">
        <f t="shared" si="85"/>
        <v>95</v>
      </c>
      <c r="AM671" s="5">
        <f t="shared" si="86"/>
        <v>1.13169648329565E+19</v>
      </c>
      <c r="AN671" s="5">
        <f>$AL$4*$AL$3^AL671*$AL$2</f>
        <v>1.1316964832956492E+19</v>
      </c>
      <c r="AO671" s="5">
        <f>IF(AL671=AL672,1,LOOKUP(MOD(AL671,$AL$1),$AN$1:$AN$5,$AO$1:$AO$5))</f>
        <v>1</v>
      </c>
      <c r="AP671" s="5">
        <f t="shared" si="87"/>
        <v>4.7342636217868001E+18</v>
      </c>
      <c r="AQ671" s="5">
        <f>AM671*$AR$3</f>
        <v>1.5089286443942001E+18</v>
      </c>
      <c r="AR671" s="5">
        <f>AM671*AL671*$AR$4</f>
        <v>3.2253349773926026E+18</v>
      </c>
      <c r="AS671" s="5">
        <f>SUM($AP$9:AP670)</f>
        <v>1.1186986869495702E+20</v>
      </c>
    </row>
    <row r="672" spans="1:45" x14ac:dyDescent="0.15">
      <c r="A672" s="5">
        <v>664</v>
      </c>
      <c r="J672" s="5">
        <f t="shared" si="80"/>
        <v>664</v>
      </c>
      <c r="K672" s="5">
        <f>SUM($AP$9:AP671)</f>
        <v>1.1660413231674381E+20</v>
      </c>
      <c r="L672" s="5">
        <f>LOOKUP(K672,AI:AI,AE:AE)</f>
        <v>750</v>
      </c>
      <c r="M672" s="5">
        <f>LOOKUP(L672,AE:AE,AG:AG)</f>
        <v>5.8483797654506097E+18</v>
      </c>
      <c r="N672" s="5">
        <f>AM672/M672/$K$1</f>
        <v>1.2900398955863113</v>
      </c>
      <c r="O672" s="5">
        <f>SUM($N$9:N672)</f>
        <v>2075.3049611384317</v>
      </c>
      <c r="AE672" s="5">
        <f t="shared" si="81"/>
        <v>664</v>
      </c>
      <c r="AF672" s="5">
        <f t="shared" si="82"/>
        <v>7.8427982798831296E+16</v>
      </c>
      <c r="AG672" s="5">
        <f t="shared" si="83"/>
        <v>7.7958354159317408E+16</v>
      </c>
      <c r="AH672" s="5">
        <f>AG672*$AF$1</f>
        <v>7.7958354159317402E+17</v>
      </c>
      <c r="AI672" s="5">
        <f>SUM($AF$9:AF671)</f>
        <v>1.5192486488276605E+18</v>
      </c>
      <c r="AK672" s="5">
        <f t="shared" si="84"/>
        <v>664</v>
      </c>
      <c r="AL672" s="5">
        <f t="shared" si="85"/>
        <v>95</v>
      </c>
      <c r="AM672" s="5">
        <f t="shared" si="86"/>
        <v>1.13169648329565E+19</v>
      </c>
      <c r="AN672" s="5">
        <f>$AL$4*$AL$3^AL672*$AL$2</f>
        <v>1.1316964832956492E+19</v>
      </c>
      <c r="AO672" s="5">
        <f>IF(AL672=AL673,1,LOOKUP(MOD(AL672,$AL$1),$AN$1:$AN$5,$AO$1:$AO$5))</f>
        <v>1</v>
      </c>
      <c r="AP672" s="5">
        <f t="shared" si="87"/>
        <v>4.7342636217868001E+18</v>
      </c>
      <c r="AQ672" s="5">
        <f>AM672*$AR$3</f>
        <v>1.5089286443942001E+18</v>
      </c>
      <c r="AR672" s="5">
        <f>AM672*AL672*$AR$4</f>
        <v>3.2253349773926026E+18</v>
      </c>
      <c r="AS672" s="5">
        <f>SUM($AP$9:AP671)</f>
        <v>1.1660413231674381E+20</v>
      </c>
    </row>
    <row r="673" spans="1:45" x14ac:dyDescent="0.15">
      <c r="A673" s="5">
        <v>665</v>
      </c>
      <c r="J673" s="5">
        <f t="shared" si="80"/>
        <v>665</v>
      </c>
      <c r="K673" s="5">
        <f>SUM($AP$9:AP672)</f>
        <v>1.2133839593853061E+20</v>
      </c>
      <c r="L673" s="5">
        <f>LOOKUP(K673,AI:AI,AE:AE)</f>
        <v>751</v>
      </c>
      <c r="M673" s="5">
        <f>LOOKUP(L673,AE:AE,AG:AG)</f>
        <v>6.1489864853947699E+18</v>
      </c>
      <c r="N673" s="5">
        <f>AM673/M673/$K$1</f>
        <v>8.5888142182843534</v>
      </c>
      <c r="O673" s="5">
        <f>SUM($N$9:N673)</f>
        <v>2083.8937753567161</v>
      </c>
      <c r="AE673" s="5">
        <f t="shared" si="81"/>
        <v>665</v>
      </c>
      <c r="AF673" s="5">
        <f t="shared" si="82"/>
        <v>8.2472659456645296E+16</v>
      </c>
      <c r="AG673" s="5">
        <f t="shared" si="83"/>
        <v>8.19795493851556E+16</v>
      </c>
      <c r="AH673" s="5">
        <f>AG673*$AF$1</f>
        <v>8.1979549385155597E+17</v>
      </c>
      <c r="AI673" s="5">
        <f>SUM($AF$9:AF672)</f>
        <v>1.5976766316264919E+18</v>
      </c>
      <c r="AK673" s="5">
        <f t="shared" si="84"/>
        <v>665</v>
      </c>
      <c r="AL673" s="5">
        <f t="shared" si="85"/>
        <v>95</v>
      </c>
      <c r="AM673" s="5">
        <f t="shared" si="86"/>
        <v>7.9218753830695404E+19</v>
      </c>
      <c r="AN673" s="5">
        <f>$AL$4*$AL$3^AL673*$AL$2</f>
        <v>1.1316964832956492E+19</v>
      </c>
      <c r="AO673" s="5">
        <f>IF(AL673=AL674,1,LOOKUP(MOD(AL673,$AL$1),$AN$1:$AN$5,$AO$1:$AO$5))</f>
        <v>7</v>
      </c>
      <c r="AP673" s="5">
        <f t="shared" si="87"/>
        <v>3.3139845352507601E+19</v>
      </c>
      <c r="AQ673" s="5">
        <f>AM673*$AR$3</f>
        <v>1.0562500510759387E+19</v>
      </c>
      <c r="AR673" s="5">
        <f>AM673*AL673*$AR$4</f>
        <v>2.2577344841748193E+19</v>
      </c>
      <c r="AS673" s="5">
        <f>SUM($AP$9:AP672)</f>
        <v>1.2133839593853061E+20</v>
      </c>
    </row>
    <row r="674" spans="1:45" x14ac:dyDescent="0.15">
      <c r="A674" s="5">
        <v>666</v>
      </c>
      <c r="J674" s="5">
        <f t="shared" si="80"/>
        <v>666</v>
      </c>
      <c r="K674" s="5">
        <f>SUM($AP$9:AP673)</f>
        <v>1.544782412910382E+20</v>
      </c>
      <c r="L674" s="5">
        <f>LOOKUP(K674,AI:AI,AE:AE)</f>
        <v>756</v>
      </c>
      <c r="M674" s="5">
        <f>LOOKUP(L674,AE:AE,AG:AG)</f>
        <v>7.9000873342270198E+18</v>
      </c>
      <c r="N674" s="5">
        <f>AM674/M674/$K$1</f>
        <v>1.4993618877067065</v>
      </c>
      <c r="O674" s="5">
        <f>SUM($N$9:N674)</f>
        <v>2085.3931372444226</v>
      </c>
      <c r="AE674" s="5">
        <f t="shared" si="81"/>
        <v>666</v>
      </c>
      <c r="AF674" s="5">
        <f t="shared" si="82"/>
        <v>8.67257338232436E+16</v>
      </c>
      <c r="AG674" s="5">
        <f t="shared" si="83"/>
        <v>8.6207968248179504E+16</v>
      </c>
      <c r="AH674" s="5">
        <f>AG674*$AF$1</f>
        <v>8.6207968248179507E+17</v>
      </c>
      <c r="AI674" s="5">
        <f>SUM($AF$9:AF673)</f>
        <v>1.6801492910831373E+18</v>
      </c>
      <c r="AK674" s="5">
        <f t="shared" si="84"/>
        <v>666</v>
      </c>
      <c r="AL674" s="5">
        <f t="shared" si="85"/>
        <v>96</v>
      </c>
      <c r="AM674" s="5">
        <f t="shared" si="86"/>
        <v>1.77676347877417E+19</v>
      </c>
      <c r="AN674" s="5">
        <f>$AL$4*$AL$3^AL674*$AL$2</f>
        <v>1.7767634787741688E+19</v>
      </c>
      <c r="AO674" s="5">
        <f>IF(AL674=AL675,1,LOOKUP(MOD(AL674,$AL$1),$AN$1:$AN$5,$AO$1:$AO$5))</f>
        <v>1</v>
      </c>
      <c r="AP674" s="5">
        <f t="shared" si="87"/>
        <v>7.4860967905685002E+18</v>
      </c>
      <c r="AQ674" s="5">
        <f>AM674*$AR$3</f>
        <v>2.3690179716988933E+18</v>
      </c>
      <c r="AR674" s="5">
        <f>AM674*AL674*$AR$4</f>
        <v>5.1170788188696105E+18</v>
      </c>
      <c r="AS674" s="5">
        <f>SUM($AP$9:AP673)</f>
        <v>1.544782412910382E+20</v>
      </c>
    </row>
    <row r="675" spans="1:45" x14ac:dyDescent="0.15">
      <c r="A675" s="5">
        <v>667</v>
      </c>
      <c r="J675" s="5">
        <f t="shared" si="80"/>
        <v>667</v>
      </c>
      <c r="K675" s="5">
        <f>SUM($AP$9:AP674)</f>
        <v>1.619643380816067E+20</v>
      </c>
      <c r="L675" s="5">
        <f>LOOKUP(K675,AI:AI,AE:AE)</f>
        <v>756</v>
      </c>
      <c r="M675" s="5">
        <f>LOOKUP(L675,AE:AE,AG:AG)</f>
        <v>7.9000873342270198E+18</v>
      </c>
      <c r="N675" s="5">
        <f>AM675/M675/$K$1</f>
        <v>1.4993618877067065</v>
      </c>
      <c r="O675" s="5">
        <f>SUM($N$9:N675)</f>
        <v>2086.8924991321292</v>
      </c>
      <c r="AE675" s="5">
        <f t="shared" si="81"/>
        <v>667</v>
      </c>
      <c r="AF675" s="5">
        <f t="shared" si="82"/>
        <v>9.1197933977860096E+16</v>
      </c>
      <c r="AG675" s="5">
        <f t="shared" si="83"/>
        <v>9.06542801240428E+16</v>
      </c>
      <c r="AH675" s="5">
        <f>AG675*$AF$1</f>
        <v>9.0654280124042803E+17</v>
      </c>
      <c r="AI675" s="5">
        <f>SUM($AF$9:AF674)</f>
        <v>1.7668750249063808E+18</v>
      </c>
      <c r="AK675" s="5">
        <f t="shared" si="84"/>
        <v>667</v>
      </c>
      <c r="AL675" s="5">
        <f t="shared" si="85"/>
        <v>96</v>
      </c>
      <c r="AM675" s="5">
        <f t="shared" si="86"/>
        <v>1.77676347877417E+19</v>
      </c>
      <c r="AN675" s="5">
        <f>$AL$4*$AL$3^AL675*$AL$2</f>
        <v>1.7767634787741688E+19</v>
      </c>
      <c r="AO675" s="5">
        <f>IF(AL675=AL676,1,LOOKUP(MOD(AL675,$AL$1),$AN$1:$AN$5,$AO$1:$AO$5))</f>
        <v>1</v>
      </c>
      <c r="AP675" s="5">
        <f t="shared" si="87"/>
        <v>7.4860967905685002E+18</v>
      </c>
      <c r="AQ675" s="5">
        <f>AM675*$AR$3</f>
        <v>2.3690179716988933E+18</v>
      </c>
      <c r="AR675" s="5">
        <f>AM675*AL675*$AR$4</f>
        <v>5.1170788188696105E+18</v>
      </c>
      <c r="AS675" s="5">
        <f>SUM($AP$9:AP674)</f>
        <v>1.619643380816067E+20</v>
      </c>
    </row>
    <row r="676" spans="1:45" x14ac:dyDescent="0.15">
      <c r="A676" s="5">
        <v>668</v>
      </c>
      <c r="J676" s="5">
        <f t="shared" si="80"/>
        <v>668</v>
      </c>
      <c r="K676" s="5">
        <f>SUM($AP$9:AP675)</f>
        <v>1.694504348721752E+20</v>
      </c>
      <c r="L676" s="5">
        <f>LOOKUP(K676,AI:AI,AE:AE)</f>
        <v>757</v>
      </c>
      <c r="M676" s="5">
        <f>LOOKUP(L676,AE:AE,AG:AG)</f>
        <v>8.3060640444581304E+18</v>
      </c>
      <c r="N676" s="5">
        <f>AM676/M676/$K$1</f>
        <v>1.4260773568676732</v>
      </c>
      <c r="O676" s="5">
        <f>SUM($N$9:N676)</f>
        <v>2088.3185764889968</v>
      </c>
      <c r="AE676" s="5">
        <f t="shared" si="81"/>
        <v>668</v>
      </c>
      <c r="AF676" s="5">
        <f t="shared" si="82"/>
        <v>9.5900539813380192E+16</v>
      </c>
      <c r="AG676" s="5">
        <f t="shared" si="83"/>
        <v>9.5329703266872E+16</v>
      </c>
      <c r="AH676" s="5">
        <f>AG676*$AF$1</f>
        <v>9.5329703266872E+17</v>
      </c>
      <c r="AI676" s="5">
        <f>SUM($AF$9:AF675)</f>
        <v>1.8580729588842409E+18</v>
      </c>
      <c r="AK676" s="5">
        <f t="shared" si="84"/>
        <v>668</v>
      </c>
      <c r="AL676" s="5">
        <f t="shared" si="85"/>
        <v>96</v>
      </c>
      <c r="AM676" s="5">
        <f t="shared" si="86"/>
        <v>1.77676347877417E+19</v>
      </c>
      <c r="AN676" s="5">
        <f>$AL$4*$AL$3^AL676*$AL$2</f>
        <v>1.7767634787741688E+19</v>
      </c>
      <c r="AO676" s="5">
        <f>IF(AL676=AL677,1,LOOKUP(MOD(AL676,$AL$1),$AN$1:$AN$5,$AO$1:$AO$5))</f>
        <v>1</v>
      </c>
      <c r="AP676" s="5">
        <f t="shared" si="87"/>
        <v>7.4860967905685002E+18</v>
      </c>
      <c r="AQ676" s="5">
        <f>AM676*$AR$3</f>
        <v>2.3690179716988933E+18</v>
      </c>
      <c r="AR676" s="5">
        <f>AM676*AL676*$AR$4</f>
        <v>5.1170788188696105E+18</v>
      </c>
      <c r="AS676" s="5">
        <f>SUM($AP$9:AP675)</f>
        <v>1.694504348721752E+20</v>
      </c>
    </row>
    <row r="677" spans="1:45" x14ac:dyDescent="0.15">
      <c r="A677" s="5">
        <v>669</v>
      </c>
      <c r="J677" s="5">
        <f t="shared" si="80"/>
        <v>669</v>
      </c>
      <c r="K677" s="5">
        <f>SUM($AP$9:AP676)</f>
        <v>1.769365316627437E+20</v>
      </c>
      <c r="L677" s="5">
        <f>LOOKUP(K677,AI:AI,AE:AE)</f>
        <v>758</v>
      </c>
      <c r="M677" s="5">
        <f>LOOKUP(L677,AE:AE,AG:AG)</f>
        <v>8.7328882073767803E+18</v>
      </c>
      <c r="N677" s="5">
        <f>AM677/M677/$K$1</f>
        <v>1.3563771317361846</v>
      </c>
      <c r="O677" s="5">
        <f>SUM($N$9:N677)</f>
        <v>2089.674953620733</v>
      </c>
      <c r="AE677" s="5">
        <f t="shared" si="81"/>
        <v>669</v>
      </c>
      <c r="AF677" s="5">
        <f t="shared" si="82"/>
        <v>1.00845411397508E+17</v>
      </c>
      <c r="AG677" s="5">
        <f t="shared" si="83"/>
        <v>1.00246033023674E+17</v>
      </c>
      <c r="AH677" s="5">
        <f>AG677*$AF$1</f>
        <v>1.00246033023674E+18</v>
      </c>
      <c r="AI677" s="5">
        <f>SUM($AF$9:AF676)</f>
        <v>1.953973498697621E+18</v>
      </c>
      <c r="AK677" s="5">
        <f t="shared" si="84"/>
        <v>669</v>
      </c>
      <c r="AL677" s="5">
        <f t="shared" si="85"/>
        <v>96</v>
      </c>
      <c r="AM677" s="5">
        <f t="shared" si="86"/>
        <v>1.77676347877417E+19</v>
      </c>
      <c r="AN677" s="5">
        <f>$AL$4*$AL$3^AL677*$AL$2</f>
        <v>1.7767634787741688E+19</v>
      </c>
      <c r="AO677" s="5">
        <f>IF(AL677=AL678,1,LOOKUP(MOD(AL677,$AL$1),$AN$1:$AN$5,$AO$1:$AO$5))</f>
        <v>1</v>
      </c>
      <c r="AP677" s="5">
        <f t="shared" si="87"/>
        <v>7.4860967905685002E+18</v>
      </c>
      <c r="AQ677" s="5">
        <f>AM677*$AR$3</f>
        <v>2.3690179716988933E+18</v>
      </c>
      <c r="AR677" s="5">
        <f>AM677*AL677*$AR$4</f>
        <v>5.1170788188696105E+18</v>
      </c>
      <c r="AS677" s="5">
        <f>SUM($AP$9:AP676)</f>
        <v>1.769365316627437E+20</v>
      </c>
    </row>
    <row r="678" spans="1:45" x14ac:dyDescent="0.15">
      <c r="A678" s="5">
        <v>670</v>
      </c>
      <c r="J678" s="5">
        <f t="shared" si="80"/>
        <v>670</v>
      </c>
      <c r="K678" s="5">
        <f>SUM($AP$9:AP677)</f>
        <v>1.844226284533122E+20</v>
      </c>
      <c r="L678" s="5">
        <f>LOOKUP(K678,AI:AI,AE:AE)</f>
        <v>759</v>
      </c>
      <c r="M678" s="5">
        <f>LOOKUP(L678,AE:AE,AG:AG)</f>
        <v>9.18162962647616E+18</v>
      </c>
      <c r="N678" s="5">
        <f>AM678/M678/$K$1</f>
        <v>1.2900857843729558</v>
      </c>
      <c r="O678" s="5">
        <f>SUM($N$9:N678)</f>
        <v>2090.9650394051059</v>
      </c>
      <c r="AE678" s="5">
        <f t="shared" si="81"/>
        <v>670</v>
      </c>
      <c r="AF678" s="5">
        <f t="shared" si="82"/>
        <v>1.06045018790514E+17</v>
      </c>
      <c r="AG678" s="5">
        <f t="shared" si="83"/>
        <v>1.0541567149798899E+17</v>
      </c>
      <c r="AH678" s="5">
        <f>AG678*$AF$1</f>
        <v>1.0541567149798899E+18</v>
      </c>
      <c r="AI678" s="5">
        <f>SUM($AF$9:AF677)</f>
        <v>2.0548189100951291E+18</v>
      </c>
      <c r="AK678" s="5">
        <f t="shared" si="84"/>
        <v>670</v>
      </c>
      <c r="AL678" s="5">
        <f t="shared" si="85"/>
        <v>96</v>
      </c>
      <c r="AM678" s="5">
        <f t="shared" si="86"/>
        <v>1.77676347877417E+19</v>
      </c>
      <c r="AN678" s="5">
        <f>$AL$4*$AL$3^AL678*$AL$2</f>
        <v>1.7767634787741688E+19</v>
      </c>
      <c r="AO678" s="5">
        <f>IF(AL678=AL679,1,LOOKUP(MOD(AL678,$AL$1),$AN$1:$AN$5,$AO$1:$AO$5))</f>
        <v>1</v>
      </c>
      <c r="AP678" s="5">
        <f t="shared" si="87"/>
        <v>7.4860967905685002E+18</v>
      </c>
      <c r="AQ678" s="5">
        <f>AM678*$AR$3</f>
        <v>2.3690179716988933E+18</v>
      </c>
      <c r="AR678" s="5">
        <f>AM678*AL678*$AR$4</f>
        <v>5.1170788188696105E+18</v>
      </c>
      <c r="AS678" s="5">
        <f>SUM($AP$9:AP677)</f>
        <v>1.844226284533122E+20</v>
      </c>
    </row>
    <row r="679" spans="1:45" x14ac:dyDescent="0.15">
      <c r="A679" s="5">
        <v>671</v>
      </c>
      <c r="J679" s="5">
        <f t="shared" si="80"/>
        <v>671</v>
      </c>
      <c r="K679" s="5">
        <f>SUM($AP$9:AP678)</f>
        <v>1.919087252438807E+20</v>
      </c>
      <c r="L679" s="5">
        <f>LOOKUP(K679,AI:AI,AE:AE)</f>
        <v>760</v>
      </c>
      <c r="M679" s="5">
        <f>LOOKUP(L679,AE:AE,AG:AG)</f>
        <v>9.6534129669670298E+18</v>
      </c>
      <c r="N679" s="5">
        <f>AM679/M679/$K$1</f>
        <v>1.2270364791216462</v>
      </c>
      <c r="O679" s="5">
        <f>SUM($N$9:N679)</f>
        <v>2092.1920758842275</v>
      </c>
      <c r="AE679" s="5">
        <f t="shared" si="81"/>
        <v>671</v>
      </c>
      <c r="AF679" s="5">
        <f t="shared" si="82"/>
        <v>1.11512473394328E+17</v>
      </c>
      <c r="AG679" s="5">
        <f t="shared" si="83"/>
        <v>1.10851658737176E+17</v>
      </c>
      <c r="AH679" s="5">
        <f>AG679*$AF$1</f>
        <v>1.10851658737176E+18</v>
      </c>
      <c r="AI679" s="5">
        <f>SUM($AF$9:AF678)</f>
        <v>2.160863928885643E+18</v>
      </c>
      <c r="AK679" s="5">
        <f t="shared" si="84"/>
        <v>671</v>
      </c>
      <c r="AL679" s="5">
        <f t="shared" si="85"/>
        <v>96</v>
      </c>
      <c r="AM679" s="5">
        <f t="shared" si="86"/>
        <v>1.77676347877417E+19</v>
      </c>
      <c r="AN679" s="5">
        <f>$AL$4*$AL$3^AL679*$AL$2</f>
        <v>1.7767634787741688E+19</v>
      </c>
      <c r="AO679" s="5">
        <f>IF(AL679=AL680,1,LOOKUP(MOD(AL679,$AL$1),$AN$1:$AN$5,$AO$1:$AO$5))</f>
        <v>1</v>
      </c>
      <c r="AP679" s="5">
        <f t="shared" si="87"/>
        <v>7.4860967905685002E+18</v>
      </c>
      <c r="AQ679" s="5">
        <f>AM679*$AR$3</f>
        <v>2.3690179716988933E+18</v>
      </c>
      <c r="AR679" s="5">
        <f>AM679*AL679*$AR$4</f>
        <v>5.1170788188696105E+18</v>
      </c>
      <c r="AS679" s="5">
        <f>SUM($AP$9:AP678)</f>
        <v>1.919087252438807E+20</v>
      </c>
    </row>
    <row r="680" spans="1:45" x14ac:dyDescent="0.15">
      <c r="A680" s="5">
        <v>672</v>
      </c>
      <c r="J680" s="5">
        <f t="shared" si="80"/>
        <v>672</v>
      </c>
      <c r="K680" s="5">
        <f>SUM($AP$9:AP679)</f>
        <v>1.993948220344492E+20</v>
      </c>
      <c r="L680" s="5">
        <f>LOOKUP(K680,AI:AI,AE:AE)</f>
        <v>761</v>
      </c>
      <c r="M680" s="5">
        <f>LOOKUP(L680,AE:AE,AG:AG)</f>
        <v>1.01494205674408E+19</v>
      </c>
      <c r="N680" s="5">
        <f>AM680/M680/$K$1</f>
        <v>8.1694938601178393</v>
      </c>
      <c r="O680" s="5">
        <f>SUM($N$9:N680)</f>
        <v>2100.3615697443452</v>
      </c>
      <c r="AE680" s="5">
        <f t="shared" si="81"/>
        <v>672</v>
      </c>
      <c r="AF680" s="5">
        <f t="shared" si="82"/>
        <v>1.1726156091154701E+17</v>
      </c>
      <c r="AG680" s="5">
        <f t="shared" si="83"/>
        <v>1.1656770552153699E+17</v>
      </c>
      <c r="AH680" s="5">
        <f>AG680*$AF$1</f>
        <v>1.16567705521537E+18</v>
      </c>
      <c r="AI680" s="5">
        <f>SUM($AF$9:AF679)</f>
        <v>2.2723764022799711E+18</v>
      </c>
      <c r="AK680" s="5">
        <f t="shared" si="84"/>
        <v>672</v>
      </c>
      <c r="AL680" s="5">
        <f t="shared" si="85"/>
        <v>96</v>
      </c>
      <c r="AM680" s="5">
        <f t="shared" si="86"/>
        <v>1.24373443514192E+20</v>
      </c>
      <c r="AN680" s="5">
        <f>$AL$4*$AL$3^AL680*$AL$2</f>
        <v>1.7767634787741688E+19</v>
      </c>
      <c r="AO680" s="5">
        <f>IF(AL680=AL681,1,LOOKUP(MOD(AL680,$AL$1),$AN$1:$AN$5,$AO$1:$AO$5))</f>
        <v>7</v>
      </c>
      <c r="AP680" s="5">
        <f t="shared" si="87"/>
        <v>5.2402677533979599E+19</v>
      </c>
      <c r="AQ680" s="5">
        <f>AM680*$AR$3</f>
        <v>1.6583125801892266E+19</v>
      </c>
      <c r="AR680" s="5">
        <f>AM680*AL680*$AR$4</f>
        <v>3.58195517320873E+19</v>
      </c>
      <c r="AS680" s="5">
        <f>SUM($AP$9:AP679)</f>
        <v>1.993948220344492E+20</v>
      </c>
    </row>
    <row r="681" spans="1:45" x14ac:dyDescent="0.15">
      <c r="A681" s="5">
        <v>673</v>
      </c>
      <c r="J681" s="5">
        <f t="shared" si="80"/>
        <v>673</v>
      </c>
      <c r="K681" s="5">
        <f>SUM($AP$9:AP680)</f>
        <v>2.5179749956842881E+20</v>
      </c>
      <c r="L681" s="5">
        <f>LOOKUP(K681,AI:AI,AE:AE)</f>
        <v>765</v>
      </c>
      <c r="M681" s="5">
        <f>LOOKUP(L681,AE:AE,AG:AG)</f>
        <v>1.2401528728260399E+19</v>
      </c>
      <c r="N681" s="5">
        <f>AM681/M681/$K$1</f>
        <v>1.4995563438447934</v>
      </c>
      <c r="O681" s="5">
        <f>SUM($N$9:N681)</f>
        <v>2101.8611260881898</v>
      </c>
      <c r="AE681" s="5">
        <f t="shared" si="81"/>
        <v>673</v>
      </c>
      <c r="AF681" s="5">
        <f t="shared" si="82"/>
        <v>1.2330677599700099E+17</v>
      </c>
      <c r="AG681" s="5">
        <f t="shared" si="83"/>
        <v>1.22578227837492E+17</v>
      </c>
      <c r="AH681" s="5">
        <f>AG681*$AF$1</f>
        <v>1.2257822783749199E+18</v>
      </c>
      <c r="AI681" s="5">
        <f>SUM($AF$9:AF680)</f>
        <v>2.3896379631915182E+18</v>
      </c>
      <c r="AK681" s="5">
        <f t="shared" si="84"/>
        <v>673</v>
      </c>
      <c r="AL681" s="5">
        <f t="shared" si="85"/>
        <v>97</v>
      </c>
      <c r="AM681" s="5">
        <f t="shared" si="86"/>
        <v>2.78951866167545E+19</v>
      </c>
      <c r="AN681" s="5">
        <f>$AL$4*$AL$3^AL681*$AL$2</f>
        <v>2.789518661675445E+19</v>
      </c>
      <c r="AO681" s="5">
        <f>IF(AL681=AL682,1,LOOKUP(MOD(AL681,$AL$1),$AN$1:$AN$5,$AO$1:$AO$5))</f>
        <v>1</v>
      </c>
      <c r="AP681" s="5">
        <f t="shared" si="87"/>
        <v>1.1836857521042801E+19</v>
      </c>
      <c r="AQ681" s="5">
        <f>AM681*$AR$3</f>
        <v>3.7193582155672663E+18</v>
      </c>
      <c r="AR681" s="5">
        <f>AM681*AL681*$AR$4</f>
        <v>8.1174993054755584E+18</v>
      </c>
      <c r="AS681" s="5">
        <f>SUM($AP$9:AP680)</f>
        <v>2.5179749956842881E+20</v>
      </c>
    </row>
    <row r="682" spans="1:45" x14ac:dyDescent="0.15">
      <c r="A682" s="5">
        <v>674</v>
      </c>
      <c r="J682" s="5">
        <f t="shared" si="80"/>
        <v>674</v>
      </c>
      <c r="K682" s="5">
        <f>SUM($AP$9:AP681)</f>
        <v>2.6363435708947163E+20</v>
      </c>
      <c r="L682" s="5">
        <f>LOOKUP(K682,AI:AI,AE:AE)</f>
        <v>766</v>
      </c>
      <c r="M682" s="5">
        <f>LOOKUP(L682,AE:AE,AG:AG)</f>
        <v>1.3038626870770999E+19</v>
      </c>
      <c r="N682" s="5">
        <f>AM682/M682/$K$1</f>
        <v>1.4262844747498067</v>
      </c>
      <c r="O682" s="5">
        <f>SUM($N$9:N682)</f>
        <v>2103.2874105629398</v>
      </c>
      <c r="AE682" s="5">
        <f t="shared" si="81"/>
        <v>674</v>
      </c>
      <c r="AF682" s="5">
        <f t="shared" si="82"/>
        <v>1.2966335868872301E+17</v>
      </c>
      <c r="AG682" s="5">
        <f t="shared" si="83"/>
        <v>1.28898383121238E+17</v>
      </c>
      <c r="AH682" s="5">
        <f>AG682*$AF$1</f>
        <v>1.2889838312123799E+18</v>
      </c>
      <c r="AI682" s="5">
        <f>SUM($AF$9:AF681)</f>
        <v>2.5129447391885194E+18</v>
      </c>
      <c r="AK682" s="5">
        <f t="shared" si="84"/>
        <v>674</v>
      </c>
      <c r="AL682" s="5">
        <f t="shared" si="85"/>
        <v>97</v>
      </c>
      <c r="AM682" s="5">
        <f t="shared" si="86"/>
        <v>2.78951866167545E+19</v>
      </c>
      <c r="AN682" s="5">
        <f>$AL$4*$AL$3^AL682*$AL$2</f>
        <v>2.789518661675445E+19</v>
      </c>
      <c r="AO682" s="5">
        <f>IF(AL682=AL683,1,LOOKUP(MOD(AL682,$AL$1),$AN$1:$AN$5,$AO$1:$AO$5))</f>
        <v>1</v>
      </c>
      <c r="AP682" s="5">
        <f t="shared" si="87"/>
        <v>1.1836857521042801E+19</v>
      </c>
      <c r="AQ682" s="5">
        <f>AM682*$AR$3</f>
        <v>3.7193582155672663E+18</v>
      </c>
      <c r="AR682" s="5">
        <f>AM682*AL682*$AR$4</f>
        <v>8.1174993054755584E+18</v>
      </c>
      <c r="AS682" s="5">
        <f>SUM($AP$9:AP681)</f>
        <v>2.6363435708947163E+20</v>
      </c>
    </row>
    <row r="683" spans="1:45" x14ac:dyDescent="0.15">
      <c r="A683" s="5">
        <v>675</v>
      </c>
      <c r="J683" s="5">
        <f t="shared" si="80"/>
        <v>675</v>
      </c>
      <c r="K683" s="5">
        <f>SUM($AP$9:AP682)</f>
        <v>2.7547121461051444E+20</v>
      </c>
      <c r="L683" s="5">
        <f>LOOKUP(K683,AI:AI,AE:AE)</f>
        <v>767</v>
      </c>
      <c r="M683" s="5">
        <f>LOOKUP(L683,AE:AE,AG:AG)</f>
        <v>1.3708431005712099E+19</v>
      </c>
      <c r="N683" s="5">
        <f>AM683/M683/$K$1</f>
        <v>1.3565951544773671</v>
      </c>
      <c r="O683" s="5">
        <f>SUM($N$9:N683)</f>
        <v>2104.6440057174173</v>
      </c>
      <c r="AE683" s="5">
        <f t="shared" si="81"/>
        <v>675</v>
      </c>
      <c r="AF683" s="5">
        <f t="shared" si="82"/>
        <v>1.36347332709624E+17</v>
      </c>
      <c r="AG683" s="5">
        <f t="shared" si="83"/>
        <v>1.35544108363764E+17</v>
      </c>
      <c r="AH683" s="5">
        <f>AG683*$AF$1</f>
        <v>1.3554410836376399E+18</v>
      </c>
      <c r="AI683" s="5">
        <f>SUM($AF$9:AF682)</f>
        <v>2.6426080978772424E+18</v>
      </c>
      <c r="AK683" s="5">
        <f t="shared" si="84"/>
        <v>675</v>
      </c>
      <c r="AL683" s="5">
        <f t="shared" si="85"/>
        <v>97</v>
      </c>
      <c r="AM683" s="5">
        <f t="shared" si="86"/>
        <v>2.78951866167545E+19</v>
      </c>
      <c r="AN683" s="5">
        <f>$AL$4*$AL$3^AL683*$AL$2</f>
        <v>2.789518661675445E+19</v>
      </c>
      <c r="AO683" s="5">
        <f>IF(AL683=AL684,1,LOOKUP(MOD(AL683,$AL$1),$AN$1:$AN$5,$AO$1:$AO$5))</f>
        <v>1</v>
      </c>
      <c r="AP683" s="5">
        <f t="shared" si="87"/>
        <v>1.1836857521042801E+19</v>
      </c>
      <c r="AQ683" s="5">
        <f>AM683*$AR$3</f>
        <v>3.7193582155672663E+18</v>
      </c>
      <c r="AR683" s="5">
        <f>AM683*AL683*$AR$4</f>
        <v>8.1174993054755584E+18</v>
      </c>
      <c r="AS683" s="5">
        <f>SUM($AP$9:AP682)</f>
        <v>2.7547121461051444E+20</v>
      </c>
    </row>
    <row r="684" spans="1:45" x14ac:dyDescent="0.15">
      <c r="A684" s="5">
        <v>676</v>
      </c>
      <c r="J684" s="5">
        <f t="shared" si="80"/>
        <v>676</v>
      </c>
      <c r="K684" s="5">
        <f>SUM($AP$9:AP683)</f>
        <v>2.8730807213155726E+20</v>
      </c>
      <c r="L684" s="5">
        <f>LOOKUP(K684,AI:AI,AE:AE)</f>
        <v>768</v>
      </c>
      <c r="M684" s="5">
        <f>LOOKUP(L684,AE:AE,AG:AG)</f>
        <v>1.44126189869703E+19</v>
      </c>
      <c r="N684" s="5">
        <f>AM684/M684/$K$1</f>
        <v>1.290313099558708</v>
      </c>
      <c r="O684" s="5">
        <f>SUM($N$9:N684)</f>
        <v>2105.934318816976</v>
      </c>
      <c r="AE684" s="5">
        <f t="shared" si="81"/>
        <v>676</v>
      </c>
      <c r="AF684" s="5">
        <f t="shared" si="82"/>
        <v>1.4337554573589299E+17</v>
      </c>
      <c r="AG684" s="5">
        <f t="shared" si="83"/>
        <v>1.4253216017274099E+17</v>
      </c>
      <c r="AH684" s="5">
        <f>AG684*$AF$1</f>
        <v>1.4253216017274099E+18</v>
      </c>
      <c r="AI684" s="5">
        <f>SUM($AF$9:AF683)</f>
        <v>2.7789554305868662E+18</v>
      </c>
      <c r="AK684" s="5">
        <f t="shared" si="84"/>
        <v>676</v>
      </c>
      <c r="AL684" s="5">
        <f t="shared" si="85"/>
        <v>97</v>
      </c>
      <c r="AM684" s="5">
        <f t="shared" si="86"/>
        <v>2.78951866167545E+19</v>
      </c>
      <c r="AN684" s="5">
        <f>$AL$4*$AL$3^AL684*$AL$2</f>
        <v>2.789518661675445E+19</v>
      </c>
      <c r="AO684" s="5">
        <f>IF(AL684=AL685,1,LOOKUP(MOD(AL684,$AL$1),$AN$1:$AN$5,$AO$1:$AO$5))</f>
        <v>1</v>
      </c>
      <c r="AP684" s="5">
        <f t="shared" si="87"/>
        <v>1.1836857521042801E+19</v>
      </c>
      <c r="AQ684" s="5">
        <f>AM684*$AR$3</f>
        <v>3.7193582155672663E+18</v>
      </c>
      <c r="AR684" s="5">
        <f>AM684*AL684*$AR$4</f>
        <v>8.1174993054755584E+18</v>
      </c>
      <c r="AS684" s="5">
        <f>SUM($AP$9:AP683)</f>
        <v>2.8730807213155726E+20</v>
      </c>
    </row>
    <row r="685" spans="1:45" x14ac:dyDescent="0.15">
      <c r="A685" s="5">
        <v>677</v>
      </c>
      <c r="J685" s="5">
        <f t="shared" si="80"/>
        <v>677</v>
      </c>
      <c r="K685" s="5">
        <f>SUM($AP$9:AP684)</f>
        <v>2.9914492965260008E+20</v>
      </c>
      <c r="L685" s="5">
        <f>LOOKUP(K685,AI:AI,AE:AE)</f>
        <v>769</v>
      </c>
      <c r="M685" s="5">
        <f>LOOKUP(L685,AE:AE,AG:AG)</f>
        <v>1.51529546888401E+19</v>
      </c>
      <c r="N685" s="5">
        <f>AM685/M685/$K$1</f>
        <v>1.2272716087201503</v>
      </c>
      <c r="O685" s="5">
        <f>SUM($N$9:N685)</f>
        <v>2107.161590425696</v>
      </c>
      <c r="AE685" s="5">
        <f t="shared" si="81"/>
        <v>677</v>
      </c>
      <c r="AF685" s="5">
        <f t="shared" si="82"/>
        <v>1.5076571173301501E+17</v>
      </c>
      <c r="AG685" s="5">
        <f t="shared" si="83"/>
        <v>1.4988015689170499E+17</v>
      </c>
      <c r="AH685" s="5">
        <f>AG685*$AF$1</f>
        <v>1.4988015689170499E+18</v>
      </c>
      <c r="AI685" s="5">
        <f>SUM($AF$9:AF684)</f>
        <v>2.9223309763227592E+18</v>
      </c>
      <c r="AK685" s="5">
        <f t="shared" si="84"/>
        <v>677</v>
      </c>
      <c r="AL685" s="5">
        <f t="shared" si="85"/>
        <v>97</v>
      </c>
      <c r="AM685" s="5">
        <f t="shared" si="86"/>
        <v>2.78951866167545E+19</v>
      </c>
      <c r="AN685" s="5">
        <f>$AL$4*$AL$3^AL685*$AL$2</f>
        <v>2.789518661675445E+19</v>
      </c>
      <c r="AO685" s="5">
        <f>IF(AL685=AL686,1,LOOKUP(MOD(AL685,$AL$1),$AN$1:$AN$5,$AO$1:$AO$5))</f>
        <v>1</v>
      </c>
      <c r="AP685" s="5">
        <f t="shared" si="87"/>
        <v>1.1836857521042801E+19</v>
      </c>
      <c r="AQ685" s="5">
        <f>AM685*$AR$3</f>
        <v>3.7193582155672663E+18</v>
      </c>
      <c r="AR685" s="5">
        <f>AM685*AL685*$AR$4</f>
        <v>8.1174993054755584E+18</v>
      </c>
      <c r="AS685" s="5">
        <f>SUM($AP$9:AP684)</f>
        <v>2.9914492965260008E+20</v>
      </c>
    </row>
    <row r="686" spans="1:45" x14ac:dyDescent="0.15">
      <c r="A686" s="5">
        <v>678</v>
      </c>
      <c r="J686" s="5">
        <f t="shared" si="80"/>
        <v>678</v>
      </c>
      <c r="K686" s="5">
        <f>SUM($AP$9:AP685)</f>
        <v>3.109817871736429E+20</v>
      </c>
      <c r="L686" s="5">
        <f>LOOKUP(K686,AI:AI,AE:AE)</f>
        <v>769</v>
      </c>
      <c r="M686" s="5">
        <f>LOOKUP(L686,AE:AE,AG:AG)</f>
        <v>1.51529546888401E+19</v>
      </c>
      <c r="N686" s="5">
        <f>AM686/M686/$K$1</f>
        <v>1.2272716087201503</v>
      </c>
      <c r="O686" s="5">
        <f>SUM($N$9:N686)</f>
        <v>2108.388862034416</v>
      </c>
      <c r="AE686" s="5">
        <f t="shared" si="81"/>
        <v>678</v>
      </c>
      <c r="AF686" s="5">
        <f t="shared" si="82"/>
        <v>1.5853645546551002E+17</v>
      </c>
      <c r="AG686" s="5">
        <f t="shared" si="83"/>
        <v>1.5760662288213402E+17</v>
      </c>
      <c r="AH686" s="5">
        <f>AG686*$AF$1</f>
        <v>1.5760662288213402E+18</v>
      </c>
      <c r="AI686" s="5">
        <f>SUM($AF$9:AF685)</f>
        <v>3.0730966880557742E+18</v>
      </c>
      <c r="AK686" s="5">
        <f t="shared" si="84"/>
        <v>678</v>
      </c>
      <c r="AL686" s="5">
        <f t="shared" si="85"/>
        <v>97</v>
      </c>
      <c r="AM686" s="5">
        <f t="shared" si="86"/>
        <v>2.78951866167545E+19</v>
      </c>
      <c r="AN686" s="5">
        <f>$AL$4*$AL$3^AL686*$AL$2</f>
        <v>2.789518661675445E+19</v>
      </c>
      <c r="AO686" s="5">
        <f>IF(AL686=AL687,1,LOOKUP(MOD(AL686,$AL$1),$AN$1:$AN$5,$AO$1:$AO$5))</f>
        <v>1</v>
      </c>
      <c r="AP686" s="5">
        <f t="shared" si="87"/>
        <v>1.1836857521042801E+19</v>
      </c>
      <c r="AQ686" s="5">
        <f>AM686*$AR$3</f>
        <v>3.7193582155672663E+18</v>
      </c>
      <c r="AR686" s="5">
        <f>AM686*AL686*$AR$4</f>
        <v>8.1174993054755584E+18</v>
      </c>
      <c r="AS686" s="5">
        <f>SUM($AP$9:AP685)</f>
        <v>3.109817871736429E+20</v>
      </c>
    </row>
    <row r="687" spans="1:45" x14ac:dyDescent="0.15">
      <c r="A687" s="5">
        <v>679</v>
      </c>
      <c r="J687" s="5">
        <f t="shared" si="80"/>
        <v>679</v>
      </c>
      <c r="K687" s="5">
        <f>SUM($AP$9:AP686)</f>
        <v>3.2281864469468571E+20</v>
      </c>
      <c r="L687" s="5">
        <f>LOOKUP(K687,AI:AI,AE:AE)</f>
        <v>770</v>
      </c>
      <c r="M687" s="5">
        <f>LOOKUP(L687,AE:AE,AG:AG)</f>
        <v>1.59312924134294E+19</v>
      </c>
      <c r="N687" s="5">
        <f>AM687/M687/$K$1</f>
        <v>8.1711849965869625</v>
      </c>
      <c r="O687" s="5">
        <f>SUM($N$9:N687)</f>
        <v>2116.5600470310028</v>
      </c>
      <c r="AE687" s="5">
        <f t="shared" si="81"/>
        <v>679</v>
      </c>
      <c r="AF687" s="5">
        <f t="shared" si="82"/>
        <v>1.6670735929192099E+17</v>
      </c>
      <c r="AG687" s="5">
        <f t="shared" si="83"/>
        <v>1.6573103507937699E+17</v>
      </c>
      <c r="AH687" s="5">
        <f>AG687*$AF$1</f>
        <v>1.65731035079377E+18</v>
      </c>
      <c r="AI687" s="5">
        <f>SUM($AF$9:AF686)</f>
        <v>3.2316331435212841E+18</v>
      </c>
      <c r="AK687" s="5">
        <f t="shared" si="84"/>
        <v>679</v>
      </c>
      <c r="AL687" s="5">
        <f t="shared" si="85"/>
        <v>97</v>
      </c>
      <c r="AM687" s="5">
        <f t="shared" si="86"/>
        <v>1.95266306317281E+20</v>
      </c>
      <c r="AN687" s="5">
        <f>$AL$4*$AL$3^AL687*$AL$2</f>
        <v>2.789518661675445E+19</v>
      </c>
      <c r="AO687" s="5">
        <f>IF(AL687=AL688,1,LOOKUP(MOD(AL687,$AL$1),$AN$1:$AN$5,$AO$1:$AO$5))</f>
        <v>7</v>
      </c>
      <c r="AP687" s="5">
        <f t="shared" si="87"/>
        <v>8.2858002647299604E+19</v>
      </c>
      <c r="AQ687" s="5">
        <f>AM687*$AR$3</f>
        <v>2.6035507508970799E+19</v>
      </c>
      <c r="AR687" s="5">
        <f>AM687*AL687*$AR$4</f>
        <v>5.6822495138328781E+19</v>
      </c>
      <c r="AS687" s="5">
        <f>SUM($AP$9:AP686)</f>
        <v>3.2281864469468571E+20</v>
      </c>
    </row>
    <row r="688" spans="1:45" x14ac:dyDescent="0.15">
      <c r="A688" s="5">
        <v>680</v>
      </c>
      <c r="J688" s="5">
        <f t="shared" si="80"/>
        <v>680</v>
      </c>
      <c r="K688" s="5">
        <f>SUM($AP$9:AP687)</f>
        <v>4.056766473419853E+20</v>
      </c>
      <c r="L688" s="5">
        <f>LOOKUP(K688,AI:AI,AE:AE)</f>
        <v>775</v>
      </c>
      <c r="M688" s="5">
        <f>LOOKUP(L688,AE:AE,AG:AG)</f>
        <v>2.0464846038822601E+19</v>
      </c>
      <c r="N688" s="5">
        <f>AM688/M688/$K$1</f>
        <v>1.4266885730200578</v>
      </c>
      <c r="O688" s="5">
        <f>SUM($N$9:N688)</f>
        <v>2117.9867356040227</v>
      </c>
      <c r="AE688" s="5">
        <f t="shared" si="81"/>
        <v>680</v>
      </c>
      <c r="AF688" s="5">
        <f t="shared" si="82"/>
        <v>1.7529901236231002E+17</v>
      </c>
      <c r="AG688" s="5">
        <f t="shared" si="83"/>
        <v>1.7427387193913901E+17</v>
      </c>
      <c r="AH688" s="5">
        <f>AG688*$AF$1</f>
        <v>1.7427387193913902E+18</v>
      </c>
      <c r="AI688" s="5">
        <f>SUM($AF$9:AF687)</f>
        <v>3.398340502813205E+18</v>
      </c>
      <c r="AK688" s="5">
        <f t="shared" si="84"/>
        <v>680</v>
      </c>
      <c r="AL688" s="5">
        <f t="shared" si="85"/>
        <v>98</v>
      </c>
      <c r="AM688" s="5">
        <f t="shared" si="86"/>
        <v>4.3795442988304499E+19</v>
      </c>
      <c r="AN688" s="5">
        <f>$AL$4*$AL$3^AL688*$AL$2</f>
        <v>4.379544298830449E+19</v>
      </c>
      <c r="AO688" s="5">
        <f>IF(AL688=AL689,1,LOOKUP(MOD(AL688,$AL$1),$AN$1:$AN$5,$AO$1:$AO$5))</f>
        <v>1</v>
      </c>
      <c r="AP688" s="5">
        <f t="shared" si="87"/>
        <v>1.8715252637002101E+19</v>
      </c>
      <c r="AQ688" s="5">
        <f>AM688*$AR$3</f>
        <v>5.8393923984405996E+18</v>
      </c>
      <c r="AR688" s="5">
        <f>AM688*AL688*$AR$4</f>
        <v>1.2875860238561524E+19</v>
      </c>
      <c r="AS688" s="5">
        <f>SUM($AP$9:AP687)</f>
        <v>4.056766473419853E+20</v>
      </c>
    </row>
    <row r="689" spans="1:45" x14ac:dyDescent="0.15">
      <c r="A689" s="5">
        <v>681</v>
      </c>
      <c r="J689" s="5">
        <f t="shared" si="80"/>
        <v>681</v>
      </c>
      <c r="K689" s="5">
        <f>SUM($AP$9:AP688)</f>
        <v>4.2439189997898741E+20</v>
      </c>
      <c r="L689" s="5">
        <f>LOOKUP(K689,AI:AI,AE:AE)</f>
        <v>776</v>
      </c>
      <c r="M689" s="5">
        <f>LOOKUP(L689,AE:AE,AG:AG)</f>
        <v>2.1515814906364801E+19</v>
      </c>
      <c r="N689" s="5">
        <f>AM689/M689/$K$1</f>
        <v>1.3570000541121017</v>
      </c>
      <c r="O689" s="5">
        <f>SUM($N$9:N689)</f>
        <v>2119.3437356581348</v>
      </c>
      <c r="AE689" s="5">
        <f t="shared" si="81"/>
        <v>681</v>
      </c>
      <c r="AF689" s="5">
        <f t="shared" si="82"/>
        <v>1.84333062341508E+17</v>
      </c>
      <c r="AG689" s="5">
        <f t="shared" si="83"/>
        <v>1.8325666489717798E+17</v>
      </c>
      <c r="AH689" s="5">
        <f>AG689*$AF$1</f>
        <v>1.8325666489717798E+18</v>
      </c>
      <c r="AI689" s="5">
        <f>SUM($AF$9:AF688)</f>
        <v>3.5736395151755151E+18</v>
      </c>
      <c r="AK689" s="5">
        <f t="shared" si="84"/>
        <v>681</v>
      </c>
      <c r="AL689" s="5">
        <f t="shared" si="85"/>
        <v>98</v>
      </c>
      <c r="AM689" s="5">
        <f t="shared" si="86"/>
        <v>4.3795442988304499E+19</v>
      </c>
      <c r="AN689" s="5">
        <f>$AL$4*$AL$3^AL689*$AL$2</f>
        <v>4.379544298830449E+19</v>
      </c>
      <c r="AO689" s="5">
        <f>IF(AL689=AL690,1,LOOKUP(MOD(AL689,$AL$1),$AN$1:$AN$5,$AO$1:$AO$5))</f>
        <v>1</v>
      </c>
      <c r="AP689" s="5">
        <f t="shared" si="87"/>
        <v>1.8715252637002101E+19</v>
      </c>
      <c r="AQ689" s="5">
        <f>AM689*$AR$3</f>
        <v>5.8393923984405996E+18</v>
      </c>
      <c r="AR689" s="5">
        <f>AM689*AL689*$AR$4</f>
        <v>1.2875860238561524E+19</v>
      </c>
      <c r="AS689" s="5">
        <f>SUM($AP$9:AP688)</f>
        <v>4.2439189997898741E+20</v>
      </c>
    </row>
    <row r="690" spans="1:45" x14ac:dyDescent="0.15">
      <c r="A690" s="5">
        <v>682</v>
      </c>
      <c r="J690" s="5">
        <f t="shared" si="80"/>
        <v>682</v>
      </c>
      <c r="K690" s="5">
        <f>SUM($AP$9:AP689)</f>
        <v>4.4310715261598951E+20</v>
      </c>
      <c r="L690" s="5">
        <f>LOOKUP(K690,AI:AI,AE:AE)</f>
        <v>777</v>
      </c>
      <c r="M690" s="5">
        <f>LOOKUP(L690,AE:AE,AG:AG)</f>
        <v>2.2620718545564E+19</v>
      </c>
      <c r="N690" s="5">
        <f>AM690/M690/$K$1</f>
        <v>1.2907177079009553</v>
      </c>
      <c r="O690" s="5">
        <f>SUM($N$9:N690)</f>
        <v>2120.6344533660358</v>
      </c>
      <c r="AE690" s="5">
        <f t="shared" si="81"/>
        <v>682</v>
      </c>
      <c r="AF690" s="5">
        <f t="shared" si="82"/>
        <v>1.9383226978772E+17</v>
      </c>
      <c r="AG690" s="5">
        <f t="shared" si="83"/>
        <v>1.9270205247117402E+17</v>
      </c>
      <c r="AH690" s="5">
        <f>AG690*$AF$1</f>
        <v>1.9270205247117402E+18</v>
      </c>
      <c r="AI690" s="5">
        <f>SUM($AF$9:AF689)</f>
        <v>3.7579725775170232E+18</v>
      </c>
      <c r="AK690" s="5">
        <f t="shared" si="84"/>
        <v>682</v>
      </c>
      <c r="AL690" s="5">
        <f t="shared" si="85"/>
        <v>98</v>
      </c>
      <c r="AM690" s="5">
        <f t="shared" si="86"/>
        <v>4.3795442988304499E+19</v>
      </c>
      <c r="AN690" s="5">
        <f>$AL$4*$AL$3^AL690*$AL$2</f>
        <v>4.379544298830449E+19</v>
      </c>
      <c r="AO690" s="5">
        <f>IF(AL690=AL691,1,LOOKUP(MOD(AL690,$AL$1),$AN$1:$AN$5,$AO$1:$AO$5))</f>
        <v>1</v>
      </c>
      <c r="AP690" s="5">
        <f t="shared" si="87"/>
        <v>1.8715252637002101E+19</v>
      </c>
      <c r="AQ690" s="5">
        <f>AM690*$AR$3</f>
        <v>5.8393923984405996E+18</v>
      </c>
      <c r="AR690" s="5">
        <f>AM690*AL690*$AR$4</f>
        <v>1.2875860238561524E+19</v>
      </c>
      <c r="AS690" s="5">
        <f>SUM($AP$9:AP689)</f>
        <v>4.4310715261598951E+20</v>
      </c>
    </row>
    <row r="691" spans="1:45" x14ac:dyDescent="0.15">
      <c r="A691" s="5">
        <v>683</v>
      </c>
      <c r="J691" s="5">
        <f t="shared" si="80"/>
        <v>683</v>
      </c>
      <c r="K691" s="5">
        <f>SUM($AP$9:AP690)</f>
        <v>4.6182240525299161E+20</v>
      </c>
      <c r="L691" s="5">
        <f>LOOKUP(K691,AI:AI,AE:AE)</f>
        <v>777</v>
      </c>
      <c r="M691" s="5">
        <f>LOOKUP(L691,AE:AE,AG:AG)</f>
        <v>2.2620718545564E+19</v>
      </c>
      <c r="N691" s="5">
        <f>AM691/M691/$K$1</f>
        <v>1.2907177079009553</v>
      </c>
      <c r="O691" s="5">
        <f>SUM($N$9:N691)</f>
        <v>2121.9251710739368</v>
      </c>
      <c r="AE691" s="5">
        <f t="shared" si="81"/>
        <v>683</v>
      </c>
      <c r="AF691" s="5">
        <f t="shared" si="82"/>
        <v>2.038205653227E+17</v>
      </c>
      <c r="AG691" s="5">
        <f t="shared" si="83"/>
        <v>2.0263383714032602E+17</v>
      </c>
      <c r="AH691" s="5">
        <f>AG691*$AF$1</f>
        <v>2.0263383714032602E+18</v>
      </c>
      <c r="AI691" s="5">
        <f>SUM($AF$9:AF690)</f>
        <v>3.9518048473047434E+18</v>
      </c>
      <c r="AK691" s="5">
        <f t="shared" si="84"/>
        <v>683</v>
      </c>
      <c r="AL691" s="5">
        <f t="shared" si="85"/>
        <v>98</v>
      </c>
      <c r="AM691" s="5">
        <f t="shared" si="86"/>
        <v>4.3795442988304499E+19</v>
      </c>
      <c r="AN691" s="5">
        <f>$AL$4*$AL$3^AL691*$AL$2</f>
        <v>4.379544298830449E+19</v>
      </c>
      <c r="AO691" s="5">
        <f>IF(AL691=AL692,1,LOOKUP(MOD(AL691,$AL$1),$AN$1:$AN$5,$AO$1:$AO$5))</f>
        <v>1</v>
      </c>
      <c r="AP691" s="5">
        <f t="shared" si="87"/>
        <v>1.8715252637002101E+19</v>
      </c>
      <c r="AQ691" s="5">
        <f>AM691*$AR$3</f>
        <v>5.8393923984405996E+18</v>
      </c>
      <c r="AR691" s="5">
        <f>AM691*AL691*$AR$4</f>
        <v>1.2875860238561524E+19</v>
      </c>
      <c r="AS691" s="5">
        <f>SUM($AP$9:AP690)</f>
        <v>4.6182240525299161E+20</v>
      </c>
    </row>
    <row r="692" spans="1:45" x14ac:dyDescent="0.15">
      <c r="A692" s="5">
        <v>684</v>
      </c>
      <c r="J692" s="5">
        <f t="shared" si="80"/>
        <v>684</v>
      </c>
      <c r="K692" s="5">
        <f>SUM($AP$9:AP691)</f>
        <v>4.8053765788999372E+20</v>
      </c>
      <c r="L692" s="5">
        <f>LOOKUP(K692,AI:AI,AE:AE)</f>
        <v>778</v>
      </c>
      <c r="M692" s="5">
        <f>LOOKUP(L692,AE:AE,AG:AG)</f>
        <v>2.3782323011417301E+19</v>
      </c>
      <c r="N692" s="5">
        <f>AM692/M692/$K$1</f>
        <v>1.2276749406770004</v>
      </c>
      <c r="O692" s="5">
        <f>SUM($N$9:N692)</f>
        <v>2123.1528460146137</v>
      </c>
      <c r="AE692" s="5">
        <f t="shared" si="81"/>
        <v>684</v>
      </c>
      <c r="AF692" s="5">
        <f t="shared" si="82"/>
        <v>2.14323109736708E+17</v>
      </c>
      <c r="AG692" s="5">
        <f t="shared" si="83"/>
        <v>2.1307704514521501E+17</v>
      </c>
      <c r="AH692" s="5">
        <f>AG692*$AF$1</f>
        <v>2.13077045145215E+18</v>
      </c>
      <c r="AI692" s="5">
        <f>SUM($AF$9:AF691)</f>
        <v>4.1556254126274432E+18</v>
      </c>
      <c r="AK692" s="5">
        <f t="shared" si="84"/>
        <v>684</v>
      </c>
      <c r="AL692" s="5">
        <f t="shared" si="85"/>
        <v>98</v>
      </c>
      <c r="AM692" s="5">
        <f t="shared" si="86"/>
        <v>4.3795442988304499E+19</v>
      </c>
      <c r="AN692" s="5">
        <f>$AL$4*$AL$3^AL692*$AL$2</f>
        <v>4.379544298830449E+19</v>
      </c>
      <c r="AO692" s="5">
        <f>IF(AL692=AL693,1,LOOKUP(MOD(AL692,$AL$1),$AN$1:$AN$5,$AO$1:$AO$5))</f>
        <v>1</v>
      </c>
      <c r="AP692" s="5">
        <f t="shared" si="87"/>
        <v>1.8715252637002101E+19</v>
      </c>
      <c r="AQ692" s="5">
        <f>AM692*$AR$3</f>
        <v>5.8393923984405996E+18</v>
      </c>
      <c r="AR692" s="5">
        <f>AM692*AL692*$AR$4</f>
        <v>1.2875860238561524E+19</v>
      </c>
      <c r="AS692" s="5">
        <f>SUM($AP$9:AP691)</f>
        <v>4.8053765788999372E+20</v>
      </c>
    </row>
    <row r="693" spans="1:45" x14ac:dyDescent="0.15">
      <c r="A693" s="5">
        <v>685</v>
      </c>
      <c r="J693" s="5">
        <f t="shared" si="80"/>
        <v>685</v>
      </c>
      <c r="K693" s="5">
        <f>SUM($AP$9:AP692)</f>
        <v>4.9925291052699582E+20</v>
      </c>
      <c r="L693" s="5">
        <f>LOOKUP(K693,AI:AI,AE:AE)</f>
        <v>779</v>
      </c>
      <c r="M693" s="5">
        <f>LOOKUP(L693,AE:AE,AG:AG)</f>
        <v>2.5003536127492002E+19</v>
      </c>
      <c r="N693" s="5">
        <f>AM693/M693/$K$1</f>
        <v>1.1677133123622552</v>
      </c>
      <c r="O693" s="5">
        <f>SUM($N$9:N693)</f>
        <v>2124.3205593269759</v>
      </c>
      <c r="AE693" s="5">
        <f t="shared" si="81"/>
        <v>685</v>
      </c>
      <c r="AF693" s="5">
        <f t="shared" si="82"/>
        <v>2.2536635717880998E+17</v>
      </c>
      <c r="AG693" s="5">
        <f t="shared" si="83"/>
        <v>2.2405798935774301E+17</v>
      </c>
      <c r="AH693" s="5">
        <f>AG693*$AF$1</f>
        <v>2.24057989357743E+18</v>
      </c>
      <c r="AI693" s="5">
        <f>SUM($AF$9:AF692)</f>
        <v>4.3699485223641513E+18</v>
      </c>
      <c r="AK693" s="5">
        <f t="shared" si="84"/>
        <v>685</v>
      </c>
      <c r="AL693" s="5">
        <f t="shared" si="85"/>
        <v>98</v>
      </c>
      <c r="AM693" s="5">
        <f t="shared" si="86"/>
        <v>4.3795442988304499E+19</v>
      </c>
      <c r="AN693" s="5">
        <f>$AL$4*$AL$3^AL693*$AL$2</f>
        <v>4.379544298830449E+19</v>
      </c>
      <c r="AO693" s="5">
        <f>IF(AL693=AL694,1,LOOKUP(MOD(AL693,$AL$1),$AN$1:$AN$5,$AO$1:$AO$5))</f>
        <v>1</v>
      </c>
      <c r="AP693" s="5">
        <f t="shared" si="87"/>
        <v>1.8715252637002101E+19</v>
      </c>
      <c r="AQ693" s="5">
        <f>AM693*$AR$3</f>
        <v>5.8393923984405996E+18</v>
      </c>
      <c r="AR693" s="5">
        <f>AM693*AL693*$AR$4</f>
        <v>1.2875860238561524E+19</v>
      </c>
      <c r="AS693" s="5">
        <f>SUM($AP$9:AP692)</f>
        <v>4.9925291052699582E+20</v>
      </c>
    </row>
    <row r="694" spans="1:45" x14ac:dyDescent="0.15">
      <c r="A694" s="5">
        <v>686</v>
      </c>
      <c r="J694" s="5">
        <f t="shared" si="80"/>
        <v>686</v>
      </c>
      <c r="K694" s="5">
        <f>SUM($AP$9:AP693)</f>
        <v>5.1796816316399793E+20</v>
      </c>
      <c r="L694" s="5">
        <f>LOOKUP(K694,AI:AI,AE:AE)</f>
        <v>780</v>
      </c>
      <c r="M694" s="5">
        <f>LOOKUP(L694,AE:AE,AG:AG)</f>
        <v>2.6287414747645698E+19</v>
      </c>
      <c r="N694" s="5">
        <f>AM694/M694/$K$1</f>
        <v>11.106821371553046</v>
      </c>
      <c r="O694" s="5">
        <f>SUM($N$9:N694)</f>
        <v>2135.4273806985289</v>
      </c>
      <c r="AE694" s="5">
        <f t="shared" si="81"/>
        <v>686</v>
      </c>
      <c r="AF694" s="5">
        <f t="shared" si="82"/>
        <v>2.3697812159078E+17</v>
      </c>
      <c r="AG694" s="5">
        <f t="shared" si="83"/>
        <v>2.3560433537866E+17</v>
      </c>
      <c r="AH694" s="5">
        <f>AG694*$AF$1</f>
        <v>2.3560433537865999E+18</v>
      </c>
      <c r="AI694" s="5">
        <f>SUM($AF$9:AF693)</f>
        <v>4.5953148795429612E+18</v>
      </c>
      <c r="AK694" s="5">
        <f t="shared" si="84"/>
        <v>686</v>
      </c>
      <c r="AL694" s="5">
        <f t="shared" si="85"/>
        <v>98</v>
      </c>
      <c r="AM694" s="5">
        <f t="shared" si="86"/>
        <v>4.3795442988304499E+20</v>
      </c>
      <c r="AN694" s="5">
        <f>$AL$4*$AL$3^AL694*$AL$2</f>
        <v>4.379544298830449E+19</v>
      </c>
      <c r="AO694" s="5">
        <f>IF(AL694=AL695,1,LOOKUP(MOD(AL694,$AL$1),$AN$1:$AN$5,$AO$1:$AO$5))</f>
        <v>10</v>
      </c>
      <c r="AP694" s="5">
        <f t="shared" si="87"/>
        <v>1.8715252637002102E+20</v>
      </c>
      <c r="AQ694" s="5">
        <f>AM694*$AR$3</f>
        <v>5.8393923984405996E+19</v>
      </c>
      <c r="AR694" s="5">
        <f>AM694*AL694*$AR$4</f>
        <v>1.2875860238561522E+20</v>
      </c>
      <c r="AS694" s="5">
        <f>SUM($AP$9:AP693)</f>
        <v>5.1796816316399793E+20</v>
      </c>
    </row>
    <row r="695" spans="1:45" x14ac:dyDescent="0.15">
      <c r="A695" s="5">
        <v>687</v>
      </c>
      <c r="J695" s="5">
        <f t="shared" si="80"/>
        <v>687</v>
      </c>
      <c r="K695" s="5">
        <f>SUM($AP$9:AP694)</f>
        <v>7.0512068953401891E+20</v>
      </c>
      <c r="L695" s="5">
        <f>LOOKUP(K695,AI:AI,AE:AE)</f>
        <v>786</v>
      </c>
      <c r="M695" s="5">
        <f>LOOKUP(L695,AE:AE,AG:AG)</f>
        <v>3.54986318289799E+19</v>
      </c>
      <c r="N695" s="5">
        <f>AM695/M695/$K$1</f>
        <v>1.2912956912986464</v>
      </c>
      <c r="O695" s="5">
        <f>SUM($N$9:N695)</f>
        <v>2136.7186763898276</v>
      </c>
      <c r="AE695" s="5">
        <f t="shared" si="81"/>
        <v>687</v>
      </c>
      <c r="AF695" s="5">
        <f t="shared" si="82"/>
        <v>2.4918764655100099E+17</v>
      </c>
      <c r="AG695" s="5">
        <f t="shared" si="83"/>
        <v>2.4774517102827501E+17</v>
      </c>
      <c r="AH695" s="5">
        <f>AG695*$AF$1</f>
        <v>2.47745171028275E+18</v>
      </c>
      <c r="AI695" s="5">
        <f>SUM($AF$9:AF694)</f>
        <v>4.8322930011337411E+18</v>
      </c>
      <c r="AK695" s="5">
        <f t="shared" si="84"/>
        <v>687</v>
      </c>
      <c r="AL695" s="5">
        <f t="shared" si="85"/>
        <v>99</v>
      </c>
      <c r="AM695" s="5">
        <f t="shared" si="86"/>
        <v>6.87588454916381E+19</v>
      </c>
      <c r="AN695" s="5">
        <f>$AL$4*$AL$3^AL695*$AL$2</f>
        <v>6.8758845491638059E+19</v>
      </c>
      <c r="AO695" s="5">
        <f>IF(AL695=AL696,1,LOOKUP(MOD(AL695,$AL$1),$AN$1:$AN$5,$AO$1:$AO$5))</f>
        <v>1</v>
      </c>
      <c r="AP695" s="5">
        <f t="shared" si="87"/>
        <v>2.95892231765683E+19</v>
      </c>
      <c r="AQ695" s="5">
        <f>AM695*$AR$3</f>
        <v>9.167846065551746E+18</v>
      </c>
      <c r="AR695" s="5">
        <f>AM695*AL695*$AR$4</f>
        <v>2.0421377111016518E+19</v>
      </c>
      <c r="AS695" s="5">
        <f>SUM($AP$9:AP694)</f>
        <v>7.0512068953401891E+20</v>
      </c>
    </row>
    <row r="696" spans="1:45" x14ac:dyDescent="0.15">
      <c r="A696" s="5">
        <v>688</v>
      </c>
      <c r="J696" s="5">
        <f t="shared" si="80"/>
        <v>688</v>
      </c>
      <c r="K696" s="5">
        <f>SUM($AP$9:AP695)</f>
        <v>7.3470991271058722E+20</v>
      </c>
      <c r="L696" s="5">
        <f>LOOKUP(K696,AI:AI,AE:AE)</f>
        <v>787</v>
      </c>
      <c r="M696" s="5">
        <f>LOOKUP(L696,AE:AE,AG:AG)</f>
        <v>3.7320985256841699E+19</v>
      </c>
      <c r="N696" s="5">
        <f>AM696/M696/$K$1</f>
        <v>1.2282427704492465</v>
      </c>
      <c r="O696" s="5">
        <f>SUM($N$9:N696)</f>
        <v>2137.946919160277</v>
      </c>
      <c r="AE696" s="5">
        <f t="shared" si="81"/>
        <v>688</v>
      </c>
      <c r="AF696" s="5">
        <f t="shared" si="82"/>
        <v>2.6202567870326701E+17</v>
      </c>
      <c r="AG696" s="5">
        <f t="shared" si="83"/>
        <v>2.60511079404404E+17</v>
      </c>
      <c r="AH696" s="5">
        <f>AG696*$AF$1</f>
        <v>2.6051107940440402E+18</v>
      </c>
      <c r="AI696" s="5">
        <f>SUM($AF$9:AF695)</f>
        <v>5.0814806476847421E+18</v>
      </c>
      <c r="AK696" s="5">
        <f t="shared" si="84"/>
        <v>688</v>
      </c>
      <c r="AL696" s="5">
        <f t="shared" si="85"/>
        <v>99</v>
      </c>
      <c r="AM696" s="5">
        <f t="shared" si="86"/>
        <v>6.87588454916381E+19</v>
      </c>
      <c r="AN696" s="5">
        <f>$AL$4*$AL$3^AL696*$AL$2</f>
        <v>6.8758845491638059E+19</v>
      </c>
      <c r="AO696" s="5">
        <f>IF(AL696=AL697,1,LOOKUP(MOD(AL696,$AL$1),$AN$1:$AN$5,$AO$1:$AO$5))</f>
        <v>1</v>
      </c>
      <c r="AP696" s="5">
        <f t="shared" si="87"/>
        <v>2.95892231765683E+19</v>
      </c>
      <c r="AQ696" s="5">
        <f>AM696*$AR$3</f>
        <v>9.167846065551746E+18</v>
      </c>
      <c r="AR696" s="5">
        <f>AM696*AL696*$AR$4</f>
        <v>2.0421377111016518E+19</v>
      </c>
      <c r="AS696" s="5">
        <f>SUM($AP$9:AP695)</f>
        <v>7.3470991271058722E+20</v>
      </c>
    </row>
    <row r="697" spans="1:45" x14ac:dyDescent="0.15">
      <c r="A697" s="5">
        <v>689</v>
      </c>
      <c r="J697" s="5">
        <f t="shared" si="80"/>
        <v>689</v>
      </c>
      <c r="K697" s="5">
        <f>SUM($AP$9:AP696)</f>
        <v>7.6429913588715553E+20</v>
      </c>
      <c r="L697" s="5">
        <f>LOOKUP(K697,AI:AI,AE:AE)</f>
        <v>787</v>
      </c>
      <c r="M697" s="5">
        <f>LOOKUP(L697,AE:AE,AG:AG)</f>
        <v>3.7320985256841699E+19</v>
      </c>
      <c r="N697" s="5">
        <f>AM697/M697/$K$1</f>
        <v>1.2282427704492465</v>
      </c>
      <c r="O697" s="5">
        <f>SUM($N$9:N697)</f>
        <v>2139.1751619307265</v>
      </c>
      <c r="AE697" s="5">
        <f t="shared" si="81"/>
        <v>689</v>
      </c>
      <c r="AF697" s="5">
        <f t="shared" si="82"/>
        <v>2.7552454495438202E+17</v>
      </c>
      <c r="AG697" s="5">
        <f t="shared" si="83"/>
        <v>2.73934215690576E+17</v>
      </c>
      <c r="AH697" s="5">
        <f>AG697*$AF$1</f>
        <v>2.7393421569057597E+18</v>
      </c>
      <c r="AI697" s="5">
        <f>SUM($AF$9:AF696)</f>
        <v>5.343506326388009E+18</v>
      </c>
      <c r="AK697" s="5">
        <f t="shared" si="84"/>
        <v>689</v>
      </c>
      <c r="AL697" s="5">
        <f t="shared" si="85"/>
        <v>99</v>
      </c>
      <c r="AM697" s="5">
        <f t="shared" si="86"/>
        <v>6.87588454916381E+19</v>
      </c>
      <c r="AN697" s="5">
        <f>$AL$4*$AL$3^AL697*$AL$2</f>
        <v>6.8758845491638059E+19</v>
      </c>
      <c r="AO697" s="5">
        <f>IF(AL697=AL698,1,LOOKUP(MOD(AL697,$AL$1),$AN$1:$AN$5,$AO$1:$AO$5))</f>
        <v>1</v>
      </c>
      <c r="AP697" s="5">
        <f t="shared" si="87"/>
        <v>2.95892231765683E+19</v>
      </c>
      <c r="AQ697" s="5">
        <f>AM697*$AR$3</f>
        <v>9.167846065551746E+18</v>
      </c>
      <c r="AR697" s="5">
        <f>AM697*AL697*$AR$4</f>
        <v>2.0421377111016518E+19</v>
      </c>
      <c r="AS697" s="5">
        <f>SUM($AP$9:AP696)</f>
        <v>7.6429913588715553E+20</v>
      </c>
    </row>
    <row r="698" spans="1:45" x14ac:dyDescent="0.15">
      <c r="A698" s="5">
        <v>690</v>
      </c>
      <c r="J698" s="5">
        <f t="shared" si="80"/>
        <v>690</v>
      </c>
      <c r="K698" s="5">
        <f>SUM($AP$9:AP697)</f>
        <v>7.9388835906372384E+20</v>
      </c>
      <c r="L698" s="5">
        <f>LOOKUP(K698,AI:AI,AE:AE)</f>
        <v>788</v>
      </c>
      <c r="M698" s="5">
        <f>LOOKUP(L698,AE:AE,AG:AG)</f>
        <v>3.9236827447917199E+19</v>
      </c>
      <c r="N698" s="5">
        <f>AM698/M698/$K$1</f>
        <v>1.1682705587908588</v>
      </c>
      <c r="O698" s="5">
        <f>SUM($N$9:N698)</f>
        <v>2140.3434324895175</v>
      </c>
      <c r="AE698" s="5">
        <f t="shared" si="81"/>
        <v>690</v>
      </c>
      <c r="AF698" s="5">
        <f t="shared" si="82"/>
        <v>2.8971823363384998E+17</v>
      </c>
      <c r="AG698" s="5">
        <f t="shared" si="83"/>
        <v>2.8804838790685402E+17</v>
      </c>
      <c r="AH698" s="5">
        <f>AG698*$AF$1</f>
        <v>2.8804838790685399E+18</v>
      </c>
      <c r="AI698" s="5">
        <f>SUM($AF$9:AF697)</f>
        <v>5.6190308713423913E+18</v>
      </c>
      <c r="AK698" s="5">
        <f t="shared" si="84"/>
        <v>690</v>
      </c>
      <c r="AL698" s="5">
        <f t="shared" si="85"/>
        <v>99</v>
      </c>
      <c r="AM698" s="5">
        <f t="shared" si="86"/>
        <v>6.87588454916381E+19</v>
      </c>
      <c r="AN698" s="5">
        <f>$AL$4*$AL$3^AL698*$AL$2</f>
        <v>6.8758845491638059E+19</v>
      </c>
      <c r="AO698" s="5">
        <f>IF(AL698=AL699,1,LOOKUP(MOD(AL698,$AL$1),$AN$1:$AN$5,$AO$1:$AO$5))</f>
        <v>1</v>
      </c>
      <c r="AP698" s="5">
        <f t="shared" si="87"/>
        <v>2.95892231765683E+19</v>
      </c>
      <c r="AQ698" s="5">
        <f>AM698*$AR$3</f>
        <v>9.167846065551746E+18</v>
      </c>
      <c r="AR698" s="5">
        <f>AM698*AL698*$AR$4</f>
        <v>2.0421377111016518E+19</v>
      </c>
      <c r="AS698" s="5">
        <f>SUM($AP$9:AP697)</f>
        <v>7.9388835906372384E+20</v>
      </c>
    </row>
    <row r="699" spans="1:45" x14ac:dyDescent="0.15">
      <c r="A699" s="5">
        <v>691</v>
      </c>
      <c r="J699" s="5">
        <f t="shared" si="80"/>
        <v>691</v>
      </c>
      <c r="K699" s="5">
        <f>SUM($AP$9:AP698)</f>
        <v>8.2347758224029214E+20</v>
      </c>
      <c r="L699" s="5">
        <f>LOOKUP(K699,AI:AI,AE:AE)</f>
        <v>789</v>
      </c>
      <c r="M699" s="5">
        <f>LOOKUP(L699,AE:AE,AG:AG)</f>
        <v>4.1250951394958098E+19</v>
      </c>
      <c r="N699" s="5">
        <f>AM699/M699/$K$1</f>
        <v>1.1112284390454432</v>
      </c>
      <c r="O699" s="5">
        <f>SUM($N$9:N699)</f>
        <v>2141.454660928563</v>
      </c>
      <c r="AE699" s="5">
        <f t="shared" si="81"/>
        <v>691</v>
      </c>
      <c r="AF699" s="5">
        <f t="shared" si="82"/>
        <v>3.0464247981887898E+17</v>
      </c>
      <c r="AG699" s="5">
        <f t="shared" si="83"/>
        <v>3.0288914180553299E+17</v>
      </c>
      <c r="AH699" s="5">
        <f>AG699*$AF$1</f>
        <v>3.0288914180553298E+18</v>
      </c>
      <c r="AI699" s="5">
        <f>SUM($AF$9:AF698)</f>
        <v>5.9087491049762417E+18</v>
      </c>
      <c r="AK699" s="5">
        <f t="shared" si="84"/>
        <v>691</v>
      </c>
      <c r="AL699" s="5">
        <f t="shared" si="85"/>
        <v>99</v>
      </c>
      <c r="AM699" s="5">
        <f t="shared" si="86"/>
        <v>6.87588454916381E+19</v>
      </c>
      <c r="AN699" s="5">
        <f>$AL$4*$AL$3^AL699*$AL$2</f>
        <v>6.8758845491638059E+19</v>
      </c>
      <c r="AO699" s="5">
        <f>IF(AL699=AL700,1,LOOKUP(MOD(AL699,$AL$1),$AN$1:$AN$5,$AO$1:$AO$5))</f>
        <v>1</v>
      </c>
      <c r="AP699" s="5">
        <f t="shared" si="87"/>
        <v>2.95892231765683E+19</v>
      </c>
      <c r="AQ699" s="5">
        <f>AM699*$AR$3</f>
        <v>9.167846065551746E+18</v>
      </c>
      <c r="AR699" s="5">
        <f>AM699*AL699*$AR$4</f>
        <v>2.0421377111016518E+19</v>
      </c>
      <c r="AS699" s="5">
        <f>SUM($AP$9:AP698)</f>
        <v>8.2347758224029214E+20</v>
      </c>
    </row>
    <row r="700" spans="1:45" x14ac:dyDescent="0.15">
      <c r="A700" s="5">
        <v>692</v>
      </c>
      <c r="J700" s="5">
        <f t="shared" si="80"/>
        <v>692</v>
      </c>
      <c r="K700" s="5">
        <f>SUM($AP$9:AP699)</f>
        <v>8.5306680541686045E+20</v>
      </c>
      <c r="L700" s="5">
        <f>LOOKUP(K700,AI:AI,AE:AE)</f>
        <v>790</v>
      </c>
      <c r="M700" s="5">
        <f>LOOKUP(L700,AE:AE,AG:AG)</f>
        <v>4.3368395668083302E+19</v>
      </c>
      <c r="N700" s="5">
        <f>AM700/M700/$K$1</f>
        <v>1.0569731626363532</v>
      </c>
      <c r="O700" s="5">
        <f>SUM($N$9:N700)</f>
        <v>2142.5116340911995</v>
      </c>
      <c r="AE700" s="5">
        <f t="shared" si="81"/>
        <v>692</v>
      </c>
      <c r="AF700" s="5">
        <f t="shared" si="82"/>
        <v>3.2033485503832602E+17</v>
      </c>
      <c r="AG700" s="5">
        <f t="shared" si="83"/>
        <v>3.1849385012431302E+17</v>
      </c>
      <c r="AH700" s="5">
        <f>AG700*$AF$1</f>
        <v>3.1849385012431304E+18</v>
      </c>
      <c r="AI700" s="5">
        <f>SUM($AF$9:AF699)</f>
        <v>6.2133915847951206E+18</v>
      </c>
      <c r="AK700" s="5">
        <f t="shared" si="84"/>
        <v>692</v>
      </c>
      <c r="AL700" s="5">
        <f t="shared" si="85"/>
        <v>99</v>
      </c>
      <c r="AM700" s="5">
        <f t="shared" si="86"/>
        <v>6.87588454916381E+19</v>
      </c>
      <c r="AN700" s="5">
        <f>$AL$4*$AL$3^AL700*$AL$2</f>
        <v>6.8758845491638059E+19</v>
      </c>
      <c r="AO700" s="5">
        <f>IF(AL700=AL701,1,LOOKUP(MOD(AL700,$AL$1),$AN$1:$AN$5,$AO$1:$AO$5))</f>
        <v>1</v>
      </c>
      <c r="AP700" s="5">
        <f t="shared" si="87"/>
        <v>2.95892231765683E+19</v>
      </c>
      <c r="AQ700" s="5">
        <f>AM700*$AR$3</f>
        <v>9.167846065551746E+18</v>
      </c>
      <c r="AR700" s="5">
        <f>AM700*AL700*$AR$4</f>
        <v>2.0421377111016518E+19</v>
      </c>
      <c r="AS700" s="5">
        <f>SUM($AP$9:AP699)</f>
        <v>8.5306680541686045E+20</v>
      </c>
    </row>
    <row r="701" spans="1:45" x14ac:dyDescent="0.15">
      <c r="A701" s="5">
        <v>693</v>
      </c>
      <c r="J701" s="5">
        <f t="shared" si="80"/>
        <v>693</v>
      </c>
      <c r="K701" s="5">
        <f>SUM($AP$9:AP700)</f>
        <v>8.8265602859342876E+20</v>
      </c>
      <c r="L701" s="5">
        <f>LOOKUP(K701,AI:AI,AE:AE)</f>
        <v>790</v>
      </c>
      <c r="M701" s="5">
        <f>LOOKUP(L701,AE:AE,AG:AG)</f>
        <v>4.3368395668083302E+19</v>
      </c>
      <c r="N701" s="5">
        <f>AM701/M701/$K$1</f>
        <v>2.1139463252727038</v>
      </c>
      <c r="O701" s="5">
        <f>SUM($N$9:N701)</f>
        <v>2144.6255804164721</v>
      </c>
      <c r="AE701" s="5">
        <f t="shared" si="81"/>
        <v>693</v>
      </c>
      <c r="AF701" s="5">
        <f t="shared" si="82"/>
        <v>3.3683486158017101E+17</v>
      </c>
      <c r="AG701" s="5">
        <f t="shared" si="83"/>
        <v>3.3490180642045702E+17</v>
      </c>
      <c r="AH701" s="5">
        <f>AG701*$AF$1</f>
        <v>3.3490180642045701E+18</v>
      </c>
      <c r="AI701" s="5">
        <f>SUM($AF$9:AF700)</f>
        <v>6.5337264398334464E+18</v>
      </c>
      <c r="AK701" s="5">
        <f t="shared" si="84"/>
        <v>693</v>
      </c>
      <c r="AL701" s="5">
        <f t="shared" si="85"/>
        <v>99</v>
      </c>
      <c r="AM701" s="5">
        <f t="shared" si="86"/>
        <v>1.37517690983276E+20</v>
      </c>
      <c r="AN701" s="5">
        <f>$AL$4*$AL$3^AL701*$AL$2</f>
        <v>6.8758845491638059E+19</v>
      </c>
      <c r="AO701" s="5">
        <f>IF(AL701=AL702,1,LOOKUP(MOD(AL701,$AL$1),$AN$1:$AN$5,$AO$1:$AO$5))</f>
        <v>2</v>
      </c>
      <c r="AP701" s="5">
        <f t="shared" si="87"/>
        <v>5.9178446353136402E+19</v>
      </c>
      <c r="AQ701" s="5">
        <f>AM701*$AR$3</f>
        <v>1.8335692131103468E+19</v>
      </c>
      <c r="AR701" s="5">
        <f>AM701*AL701*$AR$4</f>
        <v>4.0842754222032978E+19</v>
      </c>
      <c r="AS701" s="5">
        <f>SUM($AP$9:AP700)</f>
        <v>8.8265602859342876E+20</v>
      </c>
    </row>
    <row r="702" spans="1:45" x14ac:dyDescent="0.15">
      <c r="A702" s="5">
        <v>694</v>
      </c>
      <c r="J702" s="5">
        <f t="shared" si="80"/>
        <v>694</v>
      </c>
      <c r="K702" s="5">
        <f>SUM($AP$9:AP701)</f>
        <v>9.4183447494656511E+20</v>
      </c>
      <c r="L702" s="5">
        <f>LOOKUP(K702,AI:AI,AE:AE)</f>
        <v>792</v>
      </c>
      <c r="M702" s="5">
        <f>LOOKUP(L702,AE:AE,AG:AG)</f>
        <v>4.7934703455008801E+19</v>
      </c>
      <c r="N702" s="5">
        <f>AM702/M702/$K$1</f>
        <v>1.5013672022010034</v>
      </c>
      <c r="O702" s="5">
        <f>SUM($N$9:N702)</f>
        <v>2146.1269476186731</v>
      </c>
      <c r="AE702" s="5">
        <f t="shared" si="81"/>
        <v>694</v>
      </c>
      <c r="AF702" s="5">
        <f t="shared" si="82"/>
        <v>3.5418403163860403E+17</v>
      </c>
      <c r="AG702" s="5">
        <f t="shared" si="83"/>
        <v>3.5215432372090502E+17</v>
      </c>
      <c r="AH702" s="5">
        <f>AG702*$AF$1</f>
        <v>3.5215432372090501E+18</v>
      </c>
      <c r="AI702" s="5">
        <f>SUM($AF$9:AF701)</f>
        <v>6.8705613014136177E+18</v>
      </c>
      <c r="AK702" s="5">
        <f t="shared" si="84"/>
        <v>694</v>
      </c>
      <c r="AL702" s="5">
        <f t="shared" si="85"/>
        <v>100</v>
      </c>
      <c r="AM702" s="5">
        <f t="shared" si="86"/>
        <v>1.07951387421872E+20</v>
      </c>
      <c r="AN702" s="5">
        <f>$AL$4*$AL$3^AL702*$AL$2</f>
        <v>1.0795138742187175E+20</v>
      </c>
      <c r="AO702" s="5">
        <f>IF(AL702=AL703,1,LOOKUP(MOD(AL702,$AL$1),$AN$1:$AN$5,$AO$1:$AO$5))</f>
        <v>1</v>
      </c>
      <c r="AP702" s="5">
        <f t="shared" si="87"/>
        <v>4.67789345494779E+19</v>
      </c>
      <c r="AQ702" s="5">
        <f>AM702*$AR$3</f>
        <v>1.4393518322916266E+19</v>
      </c>
      <c r="AR702" s="5">
        <f>AM702*AL702*$AR$4</f>
        <v>3.2385416226561602E+19</v>
      </c>
      <c r="AS702" s="5">
        <f>SUM($AP$9:AP701)</f>
        <v>9.4183447494656511E+20</v>
      </c>
    </row>
    <row r="703" spans="1:45" x14ac:dyDescent="0.15">
      <c r="A703" s="5">
        <v>695</v>
      </c>
      <c r="J703" s="5">
        <f t="shared" si="80"/>
        <v>695</v>
      </c>
      <c r="K703" s="5">
        <f>SUM($AP$9:AP702)</f>
        <v>9.8861340949604296E+20</v>
      </c>
      <c r="L703" s="5">
        <f>LOOKUP(K703,AI:AI,AE:AE)</f>
        <v>793</v>
      </c>
      <c r="M703" s="5">
        <f>LOOKUP(L703,AE:AE,AG:AG)</f>
        <v>5.03949884240065E+19</v>
      </c>
      <c r="N703" s="5">
        <f>AM703/M703/$K$1</f>
        <v>1.4280704067053296</v>
      </c>
      <c r="O703" s="5">
        <f>SUM($N$9:N703)</f>
        <v>2147.5550180253786</v>
      </c>
      <c r="AE703" s="5">
        <f t="shared" si="81"/>
        <v>695</v>
      </c>
      <c r="AF703" s="5">
        <f t="shared" si="82"/>
        <v>3.7242603154893101E+17</v>
      </c>
      <c r="AG703" s="5">
        <f t="shared" si="83"/>
        <v>3.7029483823534598E+17</v>
      </c>
      <c r="AH703" s="5">
        <f>AG703*$AF$1</f>
        <v>3.7029483823534597E+18</v>
      </c>
      <c r="AI703" s="5">
        <f>SUM($AF$9:AF702)</f>
        <v>7.2247453330522214E+18</v>
      </c>
      <c r="AK703" s="5">
        <f t="shared" si="84"/>
        <v>695</v>
      </c>
      <c r="AL703" s="5">
        <f t="shared" si="85"/>
        <v>100</v>
      </c>
      <c r="AM703" s="5">
        <f t="shared" si="86"/>
        <v>1.07951387421872E+20</v>
      </c>
      <c r="AN703" s="5">
        <f>$AL$4*$AL$3^AL703*$AL$2</f>
        <v>1.0795138742187175E+20</v>
      </c>
      <c r="AO703" s="5">
        <f>IF(AL703=AL704,1,LOOKUP(MOD(AL703,$AL$1),$AN$1:$AN$5,$AO$1:$AO$5))</f>
        <v>1</v>
      </c>
      <c r="AP703" s="5">
        <f t="shared" si="87"/>
        <v>4.67789345494779E+19</v>
      </c>
      <c r="AQ703" s="5">
        <f>AM703*$AR$3</f>
        <v>1.4393518322916266E+19</v>
      </c>
      <c r="AR703" s="5">
        <f>AM703*AL703*$AR$4</f>
        <v>3.2385416226561602E+19</v>
      </c>
      <c r="AS703" s="5">
        <f>SUM($AP$9:AP702)</f>
        <v>9.8861340949604296E+20</v>
      </c>
    </row>
    <row r="704" spans="1:45" x14ac:dyDescent="0.15">
      <c r="A704" s="5">
        <v>696</v>
      </c>
      <c r="J704" s="5">
        <f t="shared" si="80"/>
        <v>696</v>
      </c>
      <c r="K704" s="5">
        <f>SUM($AP$9:AP703)</f>
        <v>1.0353923440455208E+21</v>
      </c>
      <c r="L704" s="5">
        <f>LOOKUP(K704,AI:AI,AE:AE)</f>
        <v>793</v>
      </c>
      <c r="M704" s="5">
        <f>LOOKUP(L704,AE:AE,AG:AG)</f>
        <v>5.03949884240065E+19</v>
      </c>
      <c r="N704" s="5">
        <f>AM704/M704/$K$1</f>
        <v>1.4280704067053296</v>
      </c>
      <c r="O704" s="5">
        <f>SUM($N$9:N704)</f>
        <v>2148.9830884320841</v>
      </c>
      <c r="AE704" s="5">
        <f t="shared" si="81"/>
        <v>696</v>
      </c>
      <c r="AF704" s="5">
        <f t="shared" si="82"/>
        <v>3.9160677137119302E+17</v>
      </c>
      <c r="AG704" s="5">
        <f t="shared" si="83"/>
        <v>3.8936901839192902E+17</v>
      </c>
      <c r="AH704" s="5">
        <f>AG704*$AF$1</f>
        <v>3.8936901839192904E+18</v>
      </c>
      <c r="AI704" s="5">
        <f>SUM($AF$9:AF703)</f>
        <v>7.5971713646011525E+18</v>
      </c>
      <c r="AK704" s="5">
        <f t="shared" si="84"/>
        <v>696</v>
      </c>
      <c r="AL704" s="5">
        <f t="shared" si="85"/>
        <v>100</v>
      </c>
      <c r="AM704" s="5">
        <f t="shared" si="86"/>
        <v>1.07951387421872E+20</v>
      </c>
      <c r="AN704" s="5">
        <f>$AL$4*$AL$3^AL704*$AL$2</f>
        <v>1.0795138742187175E+20</v>
      </c>
      <c r="AO704" s="5">
        <f>IF(AL704=AL705,1,LOOKUP(MOD(AL704,$AL$1),$AN$1:$AN$5,$AO$1:$AO$5))</f>
        <v>1</v>
      </c>
      <c r="AP704" s="5">
        <f t="shared" si="87"/>
        <v>4.67789345494779E+19</v>
      </c>
      <c r="AQ704" s="5">
        <f>AM704*$AR$3</f>
        <v>1.4393518322916266E+19</v>
      </c>
      <c r="AR704" s="5">
        <f>AM704*AL704*$AR$4</f>
        <v>3.2385416226561602E+19</v>
      </c>
      <c r="AS704" s="5">
        <f>SUM($AP$9:AP703)</f>
        <v>1.0353923440455208E+21</v>
      </c>
    </row>
    <row r="705" spans="1:45" x14ac:dyDescent="0.15">
      <c r="A705" s="5">
        <v>697</v>
      </c>
      <c r="J705" s="5">
        <f t="shared" si="80"/>
        <v>697</v>
      </c>
      <c r="K705" s="5">
        <f>SUM($AP$9:AP704)</f>
        <v>1.0821712785949987E+21</v>
      </c>
      <c r="L705" s="5">
        <f>LOOKUP(K705,AI:AI,AE:AE)</f>
        <v>794</v>
      </c>
      <c r="M705" s="5">
        <f>LOOKUP(L705,AE:AE,AG:AG)</f>
        <v>5.2981465131266302E+19</v>
      </c>
      <c r="N705" s="5">
        <f>AM705/M705/$K$1</f>
        <v>1.3583541232065819</v>
      </c>
      <c r="O705" s="5">
        <f>SUM($N$9:N705)</f>
        <v>2150.3414425552905</v>
      </c>
      <c r="AE705" s="5">
        <f t="shared" si="81"/>
        <v>697</v>
      </c>
      <c r="AF705" s="5">
        <f t="shared" si="82"/>
        <v>4.1177452009680998E+17</v>
      </c>
      <c r="AG705" s="5">
        <f t="shared" si="83"/>
        <v>4.0942487946858298E+17</v>
      </c>
      <c r="AH705" s="5">
        <f>AG705*$AF$1</f>
        <v>4.0942487946858296E+18</v>
      </c>
      <c r="AI705" s="5">
        <f>SUM($AF$9:AF704)</f>
        <v>7.9887781359723459E+18</v>
      </c>
      <c r="AK705" s="5">
        <f t="shared" si="84"/>
        <v>697</v>
      </c>
      <c r="AL705" s="5">
        <f t="shared" si="85"/>
        <v>100</v>
      </c>
      <c r="AM705" s="5">
        <f t="shared" si="86"/>
        <v>1.07951387421872E+20</v>
      </c>
      <c r="AN705" s="5">
        <f>$AL$4*$AL$3^AL705*$AL$2</f>
        <v>1.0795138742187175E+20</v>
      </c>
      <c r="AO705" s="5">
        <f>IF(AL705=AL706,1,LOOKUP(MOD(AL705,$AL$1),$AN$1:$AN$5,$AO$1:$AO$5))</f>
        <v>1</v>
      </c>
      <c r="AP705" s="5">
        <f t="shared" si="87"/>
        <v>4.67789345494779E+19</v>
      </c>
      <c r="AQ705" s="5">
        <f>AM705*$AR$3</f>
        <v>1.4393518322916266E+19</v>
      </c>
      <c r="AR705" s="5">
        <f>AM705*AL705*$AR$4</f>
        <v>3.2385416226561602E+19</v>
      </c>
      <c r="AS705" s="5">
        <f>SUM($AP$9:AP704)</f>
        <v>1.0821712785949987E+21</v>
      </c>
    </row>
    <row r="706" spans="1:45" x14ac:dyDescent="0.15">
      <c r="A706" s="5">
        <v>698</v>
      </c>
      <c r="J706" s="5">
        <f t="shared" si="80"/>
        <v>698</v>
      </c>
      <c r="K706" s="5">
        <f>SUM($AP$9:AP705)</f>
        <v>1.1289502131444765E+21</v>
      </c>
      <c r="L706" s="5">
        <f>LOOKUP(K706,AI:AI,AE:AE)</f>
        <v>795</v>
      </c>
      <c r="M706" s="5">
        <f>LOOKUP(L706,AE:AE,AG:AG)</f>
        <v>5.5700602038192103E+19</v>
      </c>
      <c r="N706" s="5">
        <f>AM706/M706/$K$1</f>
        <v>1.2920433349218645</v>
      </c>
      <c r="O706" s="5">
        <f>SUM($N$9:N706)</f>
        <v>2151.6334858902123</v>
      </c>
      <c r="AE706" s="5">
        <f t="shared" si="81"/>
        <v>698</v>
      </c>
      <c r="AF706" s="5">
        <f t="shared" si="82"/>
        <v>4.3298002676656E+17</v>
      </c>
      <c r="AG706" s="5">
        <f t="shared" si="83"/>
        <v>4.3051290410692198E+17</v>
      </c>
      <c r="AH706" s="5">
        <f>AG706*$AF$1</f>
        <v>4.3051290410692198E+18</v>
      </c>
      <c r="AI706" s="5">
        <f>SUM($AF$9:AF705)</f>
        <v>8.4005526560691558E+18</v>
      </c>
      <c r="AK706" s="5">
        <f t="shared" si="84"/>
        <v>698</v>
      </c>
      <c r="AL706" s="5">
        <f t="shared" si="85"/>
        <v>100</v>
      </c>
      <c r="AM706" s="5">
        <f t="shared" si="86"/>
        <v>1.07951387421872E+20</v>
      </c>
      <c r="AN706" s="5">
        <f>$AL$4*$AL$3^AL706*$AL$2</f>
        <v>1.0795138742187175E+20</v>
      </c>
      <c r="AO706" s="5">
        <f>IF(AL706=AL707,1,LOOKUP(MOD(AL706,$AL$1),$AN$1:$AN$5,$AO$1:$AO$5))</f>
        <v>1</v>
      </c>
      <c r="AP706" s="5">
        <f t="shared" si="87"/>
        <v>4.67789345494779E+19</v>
      </c>
      <c r="AQ706" s="5">
        <f>AM706*$AR$3</f>
        <v>1.4393518322916266E+19</v>
      </c>
      <c r="AR706" s="5">
        <f>AM706*AL706*$AR$4</f>
        <v>3.2385416226561602E+19</v>
      </c>
      <c r="AS706" s="5">
        <f>SUM($AP$9:AP705)</f>
        <v>1.1289502131444765E+21</v>
      </c>
    </row>
    <row r="707" spans="1:45" x14ac:dyDescent="0.15">
      <c r="A707" s="5">
        <v>699</v>
      </c>
      <c r="J707" s="5">
        <f t="shared" si="80"/>
        <v>699</v>
      </c>
      <c r="K707" s="5">
        <f>SUM($AP$9:AP706)</f>
        <v>1.1757291476939544E+21</v>
      </c>
      <c r="L707" s="5">
        <f>LOOKUP(K707,AI:AI,AE:AE)</f>
        <v>796</v>
      </c>
      <c r="M707" s="5">
        <f>LOOKUP(L707,AE:AE,AG:AG)</f>
        <v>5.8559198972982403E+19</v>
      </c>
      <c r="N707" s="5">
        <f>AM707/M707/$K$1</f>
        <v>1.2289715856220162</v>
      </c>
      <c r="O707" s="5">
        <f>SUM($N$9:N707)</f>
        <v>2152.8624574758342</v>
      </c>
      <c r="AE707" s="5">
        <f t="shared" si="81"/>
        <v>699</v>
      </c>
      <c r="AF707" s="5">
        <f t="shared" si="82"/>
        <v>4.5527664780304301E+17</v>
      </c>
      <c r="AG707" s="5">
        <f t="shared" si="83"/>
        <v>4.5268616901042298E+17</v>
      </c>
      <c r="AH707" s="5">
        <f>AG707*$AF$1</f>
        <v>4.5268616901042299E+18</v>
      </c>
      <c r="AI707" s="5">
        <f>SUM($AF$9:AF706)</f>
        <v>8.8335326828357161E+18</v>
      </c>
      <c r="AK707" s="5">
        <f t="shared" si="84"/>
        <v>699</v>
      </c>
      <c r="AL707" s="5">
        <f t="shared" si="85"/>
        <v>100</v>
      </c>
      <c r="AM707" s="5">
        <f t="shared" si="86"/>
        <v>1.07951387421872E+20</v>
      </c>
      <c r="AN707" s="5">
        <f>$AL$4*$AL$3^AL707*$AL$2</f>
        <v>1.0795138742187175E+20</v>
      </c>
      <c r="AO707" s="5">
        <f>IF(AL707=AL708,1,LOOKUP(MOD(AL707,$AL$1),$AN$1:$AN$5,$AO$1:$AO$5))</f>
        <v>1</v>
      </c>
      <c r="AP707" s="5">
        <f t="shared" si="87"/>
        <v>4.67789345494779E+19</v>
      </c>
      <c r="AQ707" s="5">
        <f>AM707*$AR$3</f>
        <v>1.4393518322916266E+19</v>
      </c>
      <c r="AR707" s="5">
        <f>AM707*AL707*$AR$4</f>
        <v>3.2385416226561602E+19</v>
      </c>
      <c r="AS707" s="5">
        <f>SUM($AP$9:AP706)</f>
        <v>1.1757291476939544E+21</v>
      </c>
    </row>
    <row r="708" spans="1:45" x14ac:dyDescent="0.15">
      <c r="A708" s="5">
        <v>700</v>
      </c>
      <c r="J708" s="5">
        <f t="shared" si="80"/>
        <v>700</v>
      </c>
      <c r="K708" s="5">
        <f>SUM($AP$9:AP707)</f>
        <v>1.2225080822434323E+21</v>
      </c>
      <c r="L708" s="5">
        <f>LOOKUP(K708,AI:AI,AE:AE)</f>
        <v>797</v>
      </c>
      <c r="M708" s="5">
        <f>LOOKUP(L708,AE:AE,AG:AG)</f>
        <v>6.1564404096156197E+19</v>
      </c>
      <c r="N708" s="5">
        <f>AM708/M708/$K$1</f>
        <v>4.6759222424813176</v>
      </c>
      <c r="O708" s="5">
        <f>SUM($N$9:N708)</f>
        <v>2157.5383797183154</v>
      </c>
      <c r="AE708" s="5">
        <f t="shared" si="81"/>
        <v>700</v>
      </c>
      <c r="AF708" s="5">
        <f t="shared" si="82"/>
        <v>4.7872048087625798E+17</v>
      </c>
      <c r="AG708" s="5">
        <f t="shared" si="83"/>
        <v>4.7600047814400698E+17</v>
      </c>
      <c r="AH708" s="5">
        <f>AG708*$AF$1</f>
        <v>4.7600047814400696E+18</v>
      </c>
      <c r="AI708" s="5">
        <f>SUM($AF$9:AF707)</f>
        <v>9.2888093306387599E+18</v>
      </c>
      <c r="AK708" s="5">
        <f t="shared" si="84"/>
        <v>700</v>
      </c>
      <c r="AL708" s="5">
        <f t="shared" si="85"/>
        <v>100</v>
      </c>
      <c r="AM708" s="5">
        <f t="shared" si="86"/>
        <v>4.31805549687487E+20</v>
      </c>
      <c r="AN708" s="5">
        <f>$AL$4*$AL$3^AL708*$AL$2</f>
        <v>1.0795138742187175E+20</v>
      </c>
      <c r="AO708" s="5">
        <f>IF(AL708=AL709,1,LOOKUP(MOD(AL708,$AL$1),$AN$1:$AN$5,$AO$1:$AO$5))</f>
        <v>4</v>
      </c>
      <c r="AP708" s="5">
        <f t="shared" si="87"/>
        <v>1.8711573819791101E+20</v>
      </c>
      <c r="AQ708" s="5">
        <f>AM708*$AR$3</f>
        <v>5.7574073291664933E+19</v>
      </c>
      <c r="AR708" s="5">
        <f>AM708*AL708*$AR$4</f>
        <v>1.2954166490624611E+20</v>
      </c>
      <c r="AS708" s="5">
        <f>SUM($AP$9:AP707)</f>
        <v>1.2225080822434323E+21</v>
      </c>
    </row>
    <row r="709" spans="1:45" x14ac:dyDescent="0.15">
      <c r="A709" s="5">
        <v>701</v>
      </c>
      <c r="J709" s="5">
        <f t="shared" si="80"/>
        <v>701</v>
      </c>
      <c r="K709" s="5">
        <f>SUM($AP$9:AP708)</f>
        <v>1.4096238204413432E+21</v>
      </c>
      <c r="L709" s="5">
        <f>LOOKUP(K709,AI:AI,AE:AE)</f>
        <v>800</v>
      </c>
      <c r="M709" s="5">
        <f>LOOKUP(L709,AE:AE,AG:AG)</f>
        <v>7.1536756127290098E+19</v>
      </c>
      <c r="N709" s="5">
        <f>AM709/M709/$K$1</f>
        <v>1.5794554429312342</v>
      </c>
      <c r="O709" s="5">
        <f>SUM($N$9:N709)</f>
        <v>2159.1178351612466</v>
      </c>
      <c r="AE709" s="5">
        <f t="shared" si="81"/>
        <v>701</v>
      </c>
      <c r="AF709" s="5">
        <f t="shared" si="82"/>
        <v>5.0337050563728698E+17</v>
      </c>
      <c r="AG709" s="5">
        <f t="shared" si="83"/>
        <v>5.0051450276842298E+17</v>
      </c>
      <c r="AH709" s="5">
        <f>AG709*$AF$1</f>
        <v>5.0051450276842301E+18</v>
      </c>
      <c r="AI709" s="5">
        <f>SUM($AF$9:AF708)</f>
        <v>9.7675298115150172E+18</v>
      </c>
      <c r="AK709" s="5">
        <f t="shared" si="84"/>
        <v>701</v>
      </c>
      <c r="AL709" s="5">
        <f t="shared" si="85"/>
        <v>101</v>
      </c>
      <c r="AM709" s="5">
        <f t="shared" si="86"/>
        <v>1.69483678252339E+20</v>
      </c>
      <c r="AN709" s="5">
        <f>$AL$4*$AL$3^AL709*$AL$2</f>
        <v>1.6948367825233864E+20</v>
      </c>
      <c r="AO709" s="5">
        <f>IF(AL709=AL710,1,LOOKUP(MOD(AL709,$AL$1),$AN$1:$AN$5,$AO$1:$AO$5))</f>
        <v>1</v>
      </c>
      <c r="AP709" s="5">
        <f t="shared" si="87"/>
        <v>7.3951378277437194E+19</v>
      </c>
      <c r="AQ709" s="5">
        <f>AM709*$AR$3</f>
        <v>2.2597823766978535E+19</v>
      </c>
      <c r="AR709" s="5">
        <f>AM709*AL709*$AR$4</f>
        <v>5.1353554510458716E+19</v>
      </c>
      <c r="AS709" s="5">
        <f>SUM($AP$9:AP708)</f>
        <v>1.4096238204413432E+21</v>
      </c>
    </row>
    <row r="710" spans="1:45" x14ac:dyDescent="0.15">
      <c r="A710" s="5">
        <v>702</v>
      </c>
      <c r="J710" s="5">
        <f t="shared" si="80"/>
        <v>702</v>
      </c>
      <c r="K710" s="5">
        <f>SUM($AP$9:AP709)</f>
        <v>1.4835751987187805E+21</v>
      </c>
      <c r="L710" s="5">
        <f>LOOKUP(K710,AI:AI,AE:AE)</f>
        <v>801</v>
      </c>
      <c r="M710" s="5">
        <f>LOOKUP(L710,AE:AE,AG:AG)</f>
        <v>7.5207485926071697E+19</v>
      </c>
      <c r="N710" s="5">
        <f>AM710/M710/$K$1</f>
        <v>1.5023653223292159</v>
      </c>
      <c r="O710" s="5">
        <f>SUM($N$9:N710)</f>
        <v>2160.6202004835759</v>
      </c>
      <c r="AE710" s="5">
        <f t="shared" si="81"/>
        <v>702</v>
      </c>
      <c r="AF710" s="5">
        <f t="shared" si="82"/>
        <v>5.2928873167222797E+17</v>
      </c>
      <c r="AG710" s="5">
        <f t="shared" si="83"/>
        <v>5.2628992865992102E+17</v>
      </c>
      <c r="AH710" s="5">
        <f>AG710*$AF$1</f>
        <v>5.26289928659921E+18</v>
      </c>
      <c r="AI710" s="5">
        <f>SUM($AF$9:AF709)</f>
        <v>1.0270900317152305E+19</v>
      </c>
      <c r="AK710" s="5">
        <f t="shared" si="84"/>
        <v>702</v>
      </c>
      <c r="AL710" s="5">
        <f t="shared" si="85"/>
        <v>101</v>
      </c>
      <c r="AM710" s="5">
        <f t="shared" si="86"/>
        <v>1.69483678252339E+20</v>
      </c>
      <c r="AN710" s="5">
        <f>$AL$4*$AL$3^AL710*$AL$2</f>
        <v>1.6948367825233864E+20</v>
      </c>
      <c r="AO710" s="5">
        <f>IF(AL710=AL711,1,LOOKUP(MOD(AL710,$AL$1),$AN$1:$AN$5,$AO$1:$AO$5))</f>
        <v>1</v>
      </c>
      <c r="AP710" s="5">
        <f t="shared" si="87"/>
        <v>7.3951378277437194E+19</v>
      </c>
      <c r="AQ710" s="5">
        <f>AM710*$AR$3</f>
        <v>2.2597823766978535E+19</v>
      </c>
      <c r="AR710" s="5">
        <f>AM710*AL710*$AR$4</f>
        <v>5.1353554510458716E+19</v>
      </c>
      <c r="AS710" s="5">
        <f>SUM($AP$9:AP709)</f>
        <v>1.4835751987187805E+21</v>
      </c>
    </row>
    <row r="711" spans="1:45" x14ac:dyDescent="0.15">
      <c r="A711" s="5">
        <v>703</v>
      </c>
      <c r="J711" s="5">
        <f t="shared" si="80"/>
        <v>703</v>
      </c>
      <c r="K711" s="5">
        <f>SUM($AP$9:AP710)</f>
        <v>1.5575265769962178E+21</v>
      </c>
      <c r="L711" s="5">
        <f>LOOKUP(K711,AI:AI,AE:AE)</f>
        <v>802</v>
      </c>
      <c r="M711" s="5">
        <f>LOOKUP(L711,AE:AE,AG:AG)</f>
        <v>7.9066446814413193E+19</v>
      </c>
      <c r="N711" s="5">
        <f>AM711/M711/$K$1</f>
        <v>1.429040046533312</v>
      </c>
      <c r="O711" s="5">
        <f>SUM($N$9:N711)</f>
        <v>2162.0492405301093</v>
      </c>
      <c r="AE711" s="5">
        <f t="shared" si="81"/>
        <v>703</v>
      </c>
      <c r="AF711" s="5">
        <f t="shared" si="82"/>
        <v>5.5654035404656998E+17</v>
      </c>
      <c r="AG711" s="5">
        <f t="shared" si="83"/>
        <v>5.53391610883648E+17</v>
      </c>
      <c r="AH711" s="5">
        <f>AG711*$AF$1</f>
        <v>5.53391610883648E+18</v>
      </c>
      <c r="AI711" s="5">
        <f>SUM($AF$9:AF710)</f>
        <v>1.0800189048824533E+19</v>
      </c>
      <c r="AK711" s="5">
        <f t="shared" si="84"/>
        <v>703</v>
      </c>
      <c r="AL711" s="5">
        <f t="shared" si="85"/>
        <v>101</v>
      </c>
      <c r="AM711" s="5">
        <f t="shared" si="86"/>
        <v>1.69483678252339E+20</v>
      </c>
      <c r="AN711" s="5">
        <f>$AL$4*$AL$3^AL711*$AL$2</f>
        <v>1.6948367825233864E+20</v>
      </c>
      <c r="AO711" s="5">
        <f>IF(AL711=AL712,1,LOOKUP(MOD(AL711,$AL$1),$AN$1:$AN$5,$AO$1:$AO$5))</f>
        <v>1</v>
      </c>
      <c r="AP711" s="5">
        <f t="shared" si="87"/>
        <v>7.3951378277437194E+19</v>
      </c>
      <c r="AQ711" s="5">
        <f>AM711*$AR$3</f>
        <v>2.2597823766978535E+19</v>
      </c>
      <c r="AR711" s="5">
        <f>AM711*AL711*$AR$4</f>
        <v>5.1353554510458716E+19</v>
      </c>
      <c r="AS711" s="5">
        <f>SUM($AP$9:AP710)</f>
        <v>1.5575265769962178E+21</v>
      </c>
    </row>
    <row r="712" spans="1:45" x14ac:dyDescent="0.15">
      <c r="A712" s="5">
        <v>704</v>
      </c>
      <c r="J712" s="5">
        <f t="shared" si="80"/>
        <v>704</v>
      </c>
      <c r="K712" s="5">
        <f>SUM($AP$9:AP711)</f>
        <v>1.6314779552736551E+21</v>
      </c>
      <c r="L712" s="5">
        <f>LOOKUP(K712,AI:AI,AE:AE)</f>
        <v>803</v>
      </c>
      <c r="M712" s="5">
        <f>LOOKUP(L712,AE:AE,AG:AG)</f>
        <v>8.31232850767737E+19</v>
      </c>
      <c r="N712" s="5">
        <f>AM712/M712/$K$1</f>
        <v>1.3592956381660628</v>
      </c>
      <c r="O712" s="5">
        <f>SUM($N$9:N712)</f>
        <v>2163.4085361682755</v>
      </c>
      <c r="AE712" s="5">
        <f t="shared" si="81"/>
        <v>704</v>
      </c>
      <c r="AF712" s="5">
        <f t="shared" si="82"/>
        <v>5.8519391682916595E+17</v>
      </c>
      <c r="AG712" s="5">
        <f t="shared" si="83"/>
        <v>5.8188773650809702E+17</v>
      </c>
      <c r="AH712" s="5">
        <f>AG712*$AF$1</f>
        <v>5.8188773650809702E+18</v>
      </c>
      <c r="AI712" s="5">
        <f>SUM($AF$9:AF711)</f>
        <v>1.1356729402871103E+19</v>
      </c>
      <c r="AK712" s="5">
        <f t="shared" si="84"/>
        <v>704</v>
      </c>
      <c r="AL712" s="5">
        <f t="shared" si="85"/>
        <v>101</v>
      </c>
      <c r="AM712" s="5">
        <f t="shared" si="86"/>
        <v>1.69483678252339E+20</v>
      </c>
      <c r="AN712" s="5">
        <f>$AL$4*$AL$3^AL712*$AL$2</f>
        <v>1.6948367825233864E+20</v>
      </c>
      <c r="AO712" s="5">
        <f>IF(AL712=AL713,1,LOOKUP(MOD(AL712,$AL$1),$AN$1:$AN$5,$AO$1:$AO$5))</f>
        <v>1</v>
      </c>
      <c r="AP712" s="5">
        <f t="shared" si="87"/>
        <v>7.3951378277437194E+19</v>
      </c>
      <c r="AQ712" s="5">
        <f>AM712*$AR$3</f>
        <v>2.2597823766978535E+19</v>
      </c>
      <c r="AR712" s="5">
        <f>AM712*AL712*$AR$4</f>
        <v>5.1353554510458716E+19</v>
      </c>
      <c r="AS712" s="5">
        <f>SUM($AP$9:AP711)</f>
        <v>1.6314779552736551E+21</v>
      </c>
    </row>
    <row r="713" spans="1:45" x14ac:dyDescent="0.15">
      <c r="A713" s="5">
        <v>705</v>
      </c>
      <c r="J713" s="5">
        <f t="shared" si="80"/>
        <v>705</v>
      </c>
      <c r="K713" s="5">
        <f>SUM($AP$9:AP712)</f>
        <v>1.7054293335510923E+21</v>
      </c>
      <c r="L713" s="5">
        <f>LOOKUP(K713,AI:AI,AE:AE)</f>
        <v>803</v>
      </c>
      <c r="M713" s="5">
        <f>LOOKUP(L713,AE:AE,AG:AG)</f>
        <v>8.31232850767737E+19</v>
      </c>
      <c r="N713" s="5">
        <f>AM713/M713/$K$1</f>
        <v>1.3592956381660628</v>
      </c>
      <c r="O713" s="5">
        <f>SUM($N$9:N713)</f>
        <v>2164.7678318064418</v>
      </c>
      <c r="AE713" s="5">
        <f t="shared" si="81"/>
        <v>705</v>
      </c>
      <c r="AF713" s="5">
        <f t="shared" si="82"/>
        <v>6.1532148500490496E+17</v>
      </c>
      <c r="AG713" s="5">
        <f t="shared" si="83"/>
        <v>6.1184999566778304E+17</v>
      </c>
      <c r="AH713" s="5">
        <f>AG713*$AF$1</f>
        <v>6.1184999566778307E+18</v>
      </c>
      <c r="AI713" s="5">
        <f>SUM($AF$9:AF712)</f>
        <v>1.1941923319700269E+19</v>
      </c>
      <c r="AK713" s="5">
        <f t="shared" si="84"/>
        <v>705</v>
      </c>
      <c r="AL713" s="5">
        <f t="shared" si="85"/>
        <v>101</v>
      </c>
      <c r="AM713" s="5">
        <f t="shared" si="86"/>
        <v>1.69483678252339E+20</v>
      </c>
      <c r="AN713" s="5">
        <f>$AL$4*$AL$3^AL713*$AL$2</f>
        <v>1.6948367825233864E+20</v>
      </c>
      <c r="AO713" s="5">
        <f>IF(AL713=AL714,1,LOOKUP(MOD(AL713,$AL$1),$AN$1:$AN$5,$AO$1:$AO$5))</f>
        <v>1</v>
      </c>
      <c r="AP713" s="5">
        <f t="shared" si="87"/>
        <v>7.3951378277437194E+19</v>
      </c>
      <c r="AQ713" s="5">
        <f>AM713*$AR$3</f>
        <v>2.2597823766978535E+19</v>
      </c>
      <c r="AR713" s="5">
        <f>AM713*AL713*$AR$4</f>
        <v>5.1353554510458716E+19</v>
      </c>
      <c r="AS713" s="5">
        <f>SUM($AP$9:AP712)</f>
        <v>1.7054293335510923E+21</v>
      </c>
    </row>
    <row r="714" spans="1:45" x14ac:dyDescent="0.15">
      <c r="A714" s="5">
        <v>706</v>
      </c>
      <c r="J714" s="5">
        <f t="shared" ref="J714:J777" si="88">A714</f>
        <v>706</v>
      </c>
      <c r="K714" s="5">
        <f>SUM($AP$9:AP713)</f>
        <v>1.7793807118285296E+21</v>
      </c>
      <c r="L714" s="5">
        <f>LOOKUP(K714,AI:AI,AE:AE)</f>
        <v>804</v>
      </c>
      <c r="M714" s="5">
        <f>LOOKUP(L714,AE:AE,AG:AG)</f>
        <v>8.7388141048334205E+19</v>
      </c>
      <c r="N714" s="5">
        <f>AM714/M714/$K$1</f>
        <v>1.2929571161423221</v>
      </c>
      <c r="O714" s="5">
        <f>SUM($N$9:N714)</f>
        <v>2166.0607889225839</v>
      </c>
      <c r="AE714" s="5">
        <f t="shared" ref="AE714:AE777" si="89">A714</f>
        <v>706</v>
      </c>
      <c r="AF714" s="5">
        <f t="shared" ref="AF714:AF777" si="90">ROUND(1.05^AE714*(AE714+4),0)</f>
        <v>6.4699882520614502E+17</v>
      </c>
      <c r="AG714" s="5">
        <f t="shared" ref="AG714:AG777" si="91">ROUND(1.05^AE714*AE714,0)</f>
        <v>6.4335376140216704E+17</v>
      </c>
      <c r="AH714" s="5">
        <f>AG714*$AF$1</f>
        <v>6.4335376140216709E+18</v>
      </c>
      <c r="AI714" s="5">
        <f>SUM($AF$9:AF713)</f>
        <v>1.2557244804705174E+19</v>
      </c>
      <c r="AK714" s="5">
        <f t="shared" ref="AK714:AK777" si="92">A714</f>
        <v>706</v>
      </c>
      <c r="AL714" s="5">
        <f t="shared" ref="AL714:AL777" si="93">ROUNDUP(AK714/$AL$1,0)</f>
        <v>101</v>
      </c>
      <c r="AM714" s="5">
        <f t="shared" ref="AM714:AM777" si="94">ROUND(AN714*AO714,0)</f>
        <v>1.69483678252339E+20</v>
      </c>
      <c r="AN714" s="5">
        <f>$AL$4*$AL$3^AL714*$AL$2</f>
        <v>1.6948367825233864E+20</v>
      </c>
      <c r="AO714" s="5">
        <f>IF(AL714=AL715,1,LOOKUP(MOD(AL714,$AL$1),$AN$1:$AN$5,$AO$1:$AO$5))</f>
        <v>1</v>
      </c>
      <c r="AP714" s="5">
        <f t="shared" ref="AP714:AP777" si="95">ROUND(AQ714+AR714,0)</f>
        <v>7.3951378277437194E+19</v>
      </c>
      <c r="AQ714" s="5">
        <f>AM714*$AR$3</f>
        <v>2.2597823766978535E+19</v>
      </c>
      <c r="AR714" s="5">
        <f>AM714*AL714*$AR$4</f>
        <v>5.1353554510458716E+19</v>
      </c>
      <c r="AS714" s="5">
        <f>SUM($AP$9:AP713)</f>
        <v>1.7793807118285296E+21</v>
      </c>
    </row>
    <row r="715" spans="1:45" x14ac:dyDescent="0.15">
      <c r="A715" s="5">
        <v>707</v>
      </c>
      <c r="J715" s="5">
        <f t="shared" si="88"/>
        <v>707</v>
      </c>
      <c r="K715" s="5">
        <f>SUM($AP$9:AP714)</f>
        <v>1.8533320901059669E+21</v>
      </c>
      <c r="L715" s="5">
        <f>LOOKUP(K715,AI:AI,AE:AE)</f>
        <v>805</v>
      </c>
      <c r="M715" s="5">
        <f>LOOKUP(L715,AE:AE,AG:AG)</f>
        <v>9.1871674404358799E+19</v>
      </c>
      <c r="N715" s="5">
        <f>AM715/M715/$K$1</f>
        <v>7.3791483327660901</v>
      </c>
      <c r="O715" s="5">
        <f>SUM($N$9:N715)</f>
        <v>2173.4399372553498</v>
      </c>
      <c r="AE715" s="5">
        <f t="shared" si="89"/>
        <v>707</v>
      </c>
      <c r="AF715" s="5">
        <f t="shared" si="90"/>
        <v>6.8030559571499597E+17</v>
      </c>
      <c r="AG715" s="5">
        <f t="shared" si="91"/>
        <v>6.7647827872081894E+17</v>
      </c>
      <c r="AH715" s="5">
        <f>AG715*$AF$1</f>
        <v>6.76478278720819E+18</v>
      </c>
      <c r="AI715" s="5">
        <f>SUM($AF$9:AF714)</f>
        <v>1.3204243629911319E+19</v>
      </c>
      <c r="AK715" s="5">
        <f t="shared" si="92"/>
        <v>707</v>
      </c>
      <c r="AL715" s="5">
        <f t="shared" si="93"/>
        <v>101</v>
      </c>
      <c r="AM715" s="5">
        <f t="shared" si="94"/>
        <v>1.01690206951403E+21</v>
      </c>
      <c r="AN715" s="5">
        <f>$AL$4*$AL$3^AL715*$AL$2</f>
        <v>1.6948367825233864E+20</v>
      </c>
      <c r="AO715" s="5">
        <f>IF(AL715=AL716,1,LOOKUP(MOD(AL715,$AL$1),$AN$1:$AN$5,$AO$1:$AO$5))</f>
        <v>6</v>
      </c>
      <c r="AP715" s="5">
        <f t="shared" si="95"/>
        <v>4.4370826966462202E+20</v>
      </c>
      <c r="AQ715" s="5">
        <f>AM715*$AR$3</f>
        <v>1.3558694260187067E+20</v>
      </c>
      <c r="AR715" s="5">
        <f>AM715*AL715*$AR$4</f>
        <v>3.0812132706275112E+20</v>
      </c>
      <c r="AS715" s="5">
        <f>SUM($AP$9:AP714)</f>
        <v>1.8533320901059669E+21</v>
      </c>
    </row>
    <row r="716" spans="1:45" x14ac:dyDescent="0.15">
      <c r="A716" s="5">
        <v>708</v>
      </c>
      <c r="J716" s="5">
        <f t="shared" si="88"/>
        <v>708</v>
      </c>
      <c r="K716" s="5">
        <f>SUM($AP$9:AP715)</f>
        <v>2.297040359770589E+21</v>
      </c>
      <c r="L716" s="5">
        <f>LOOKUP(K716,AI:AI,AE:AE)</f>
        <v>809</v>
      </c>
      <c r="M716" s="5">
        <f>LOOKUP(L716,AE:AE,AG:AG)</f>
        <v>1.1222547937776199E+20</v>
      </c>
      <c r="N716" s="5">
        <f>AM716/M716/$K$1</f>
        <v>1.5806830815456741</v>
      </c>
      <c r="O716" s="5">
        <f>SUM($N$9:N716)</f>
        <v>2175.0206203368957</v>
      </c>
      <c r="AE716" s="5">
        <f t="shared" si="89"/>
        <v>708</v>
      </c>
      <c r="AF716" s="5">
        <f t="shared" si="90"/>
        <v>7.1532554621171802E+17</v>
      </c>
      <c r="AG716" s="5">
        <f t="shared" si="91"/>
        <v>7.1130686336783206E+17</v>
      </c>
      <c r="AH716" s="5">
        <f>AG716*$AF$1</f>
        <v>7.1130686336783206E+18</v>
      </c>
      <c r="AI716" s="5">
        <f>SUM($AF$9:AF715)</f>
        <v>1.3884549225626315E+19</v>
      </c>
      <c r="AK716" s="5">
        <f t="shared" si="92"/>
        <v>708</v>
      </c>
      <c r="AL716" s="5">
        <f t="shared" si="93"/>
        <v>102</v>
      </c>
      <c r="AM716" s="5">
        <f t="shared" si="94"/>
        <v>2.6608937485617201E+20</v>
      </c>
      <c r="AN716" s="5">
        <f>$AL$4*$AL$3^AL716*$AL$2</f>
        <v>2.6608937485617168E+20</v>
      </c>
      <c r="AO716" s="5">
        <f>IF(AL716=AL717,1,LOOKUP(MOD(AL716,$AL$1),$AN$1:$AN$5,$AO$1:$AO$5))</f>
        <v>1</v>
      </c>
      <c r="AP716" s="5">
        <f t="shared" si="95"/>
        <v>1.16901932020145E+20</v>
      </c>
      <c r="AQ716" s="5">
        <f>AM716*$AR$3</f>
        <v>3.547858331415627E+19</v>
      </c>
      <c r="AR716" s="5">
        <f>AM716*AL716*$AR$4</f>
        <v>8.1423348705988624E+19</v>
      </c>
      <c r="AS716" s="5">
        <f>SUM($AP$9:AP715)</f>
        <v>2.297040359770589E+21</v>
      </c>
    </row>
    <row r="717" spans="1:45" x14ac:dyDescent="0.15">
      <c r="A717" s="5">
        <v>709</v>
      </c>
      <c r="J717" s="5">
        <f t="shared" si="88"/>
        <v>709</v>
      </c>
      <c r="K717" s="5">
        <f>SUM($AP$9:AP716)</f>
        <v>2.4139422917907338E+21</v>
      </c>
      <c r="L717" s="5">
        <f>LOOKUP(K717,AI:AI,AE:AE)</f>
        <v>810</v>
      </c>
      <c r="M717" s="5">
        <f>LOOKUP(L717,AE:AE,AG:AG)</f>
        <v>1.17982410643741E+20</v>
      </c>
      <c r="N717" s="5">
        <f>AM717/M717/$K$1</f>
        <v>1.5035539247154048</v>
      </c>
      <c r="O717" s="5">
        <f>SUM($N$9:N717)</f>
        <v>2176.5241742616113</v>
      </c>
      <c r="AE717" s="5">
        <f t="shared" si="89"/>
        <v>709</v>
      </c>
      <c r="AF717" s="5">
        <f t="shared" si="90"/>
        <v>7.5214672776882406E+17</v>
      </c>
      <c r="AG717" s="5">
        <f t="shared" si="91"/>
        <v>7.4792711078274304E+17</v>
      </c>
      <c r="AH717" s="5">
        <f>AG717*$AF$1</f>
        <v>7.4792711078274304E+18</v>
      </c>
      <c r="AI717" s="5">
        <f>SUM($AF$9:AF716)</f>
        <v>1.4599874771838032E+19</v>
      </c>
      <c r="AK717" s="5">
        <f t="shared" si="92"/>
        <v>709</v>
      </c>
      <c r="AL717" s="5">
        <f t="shared" si="93"/>
        <v>102</v>
      </c>
      <c r="AM717" s="5">
        <f t="shared" si="94"/>
        <v>2.6608937485617201E+20</v>
      </c>
      <c r="AN717" s="5">
        <f>$AL$4*$AL$3^AL717*$AL$2</f>
        <v>2.6608937485617168E+20</v>
      </c>
      <c r="AO717" s="5">
        <f>IF(AL717=AL718,1,LOOKUP(MOD(AL717,$AL$1),$AN$1:$AN$5,$AO$1:$AO$5))</f>
        <v>1</v>
      </c>
      <c r="AP717" s="5">
        <f t="shared" si="95"/>
        <v>1.16901932020145E+20</v>
      </c>
      <c r="AQ717" s="5">
        <f>AM717*$AR$3</f>
        <v>3.547858331415627E+19</v>
      </c>
      <c r="AR717" s="5">
        <f>AM717*AL717*$AR$4</f>
        <v>8.1423348705988624E+19</v>
      </c>
      <c r="AS717" s="5">
        <f>SUM($AP$9:AP716)</f>
        <v>2.4139422917907338E+21</v>
      </c>
    </row>
    <row r="718" spans="1:45" x14ac:dyDescent="0.15">
      <c r="A718" s="5">
        <v>710</v>
      </c>
      <c r="J718" s="5">
        <f t="shared" si="88"/>
        <v>710</v>
      </c>
      <c r="K718" s="5">
        <f>SUM($AP$9:AP717)</f>
        <v>2.5308442238108786E+21</v>
      </c>
      <c r="L718" s="5">
        <f>LOOKUP(K718,AI:AI,AE:AE)</f>
        <v>811</v>
      </c>
      <c r="M718" s="5">
        <f>LOOKUP(L718,AE:AE,AG:AG)</f>
        <v>1.24034471337874E+20</v>
      </c>
      <c r="N718" s="5">
        <f>AM718/M718/$K$1</f>
        <v>1.4301904515524333</v>
      </c>
      <c r="O718" s="5">
        <f>SUM($N$9:N718)</f>
        <v>2177.9543647131636</v>
      </c>
      <c r="AE718" s="5">
        <f t="shared" si="89"/>
        <v>710</v>
      </c>
      <c r="AF718" s="5">
        <f t="shared" si="90"/>
        <v>7.9086171361611098E+17</v>
      </c>
      <c r="AG718" s="5">
        <f t="shared" si="91"/>
        <v>7.8643111578072704E+17</v>
      </c>
      <c r="AH718" s="5">
        <f>AG718*$AF$1</f>
        <v>7.8643111578072699E+18</v>
      </c>
      <c r="AI718" s="5">
        <f>SUM($AF$9:AF717)</f>
        <v>1.5352021499606856E+19</v>
      </c>
      <c r="AK718" s="5">
        <f t="shared" si="92"/>
        <v>710</v>
      </c>
      <c r="AL718" s="5">
        <f t="shared" si="93"/>
        <v>102</v>
      </c>
      <c r="AM718" s="5">
        <f t="shared" si="94"/>
        <v>2.6608937485617201E+20</v>
      </c>
      <c r="AN718" s="5">
        <f>$AL$4*$AL$3^AL718*$AL$2</f>
        <v>2.6608937485617168E+20</v>
      </c>
      <c r="AO718" s="5">
        <f>IF(AL718=AL719,1,LOOKUP(MOD(AL718,$AL$1),$AN$1:$AN$5,$AO$1:$AO$5))</f>
        <v>1</v>
      </c>
      <c r="AP718" s="5">
        <f t="shared" si="95"/>
        <v>1.16901932020145E+20</v>
      </c>
      <c r="AQ718" s="5">
        <f>AM718*$AR$3</f>
        <v>3.547858331415627E+19</v>
      </c>
      <c r="AR718" s="5">
        <f>AM718*AL718*$AR$4</f>
        <v>8.1423348705988624E+19</v>
      </c>
      <c r="AS718" s="5">
        <f>SUM($AP$9:AP717)</f>
        <v>2.5308442238108786E+21</v>
      </c>
    </row>
    <row r="719" spans="1:45" x14ac:dyDescent="0.15">
      <c r="A719" s="5">
        <v>711</v>
      </c>
      <c r="J719" s="5">
        <f t="shared" si="88"/>
        <v>711</v>
      </c>
      <c r="K719" s="5">
        <f>SUM($AP$9:AP718)</f>
        <v>2.6477461558310234E+21</v>
      </c>
      <c r="L719" s="5">
        <f>LOOKUP(K719,AI:AI,AE:AE)</f>
        <v>812</v>
      </c>
      <c r="M719" s="5">
        <f>LOOKUP(L719,AE:AE,AG:AG)</f>
        <v>1.3039678207481101E+20</v>
      </c>
      <c r="N719" s="5">
        <f>AM719/M719/$K$1</f>
        <v>1.3604086983450847</v>
      </c>
      <c r="O719" s="5">
        <f>SUM($N$9:N719)</f>
        <v>2179.3147734115087</v>
      </c>
      <c r="AE719" s="5">
        <f t="shared" si="89"/>
        <v>711</v>
      </c>
      <c r="AF719" s="5">
        <f t="shared" si="90"/>
        <v>8.3156783122870502E+17</v>
      </c>
      <c r="AG719" s="5">
        <f t="shared" si="91"/>
        <v>8.2691570350155098E+17</v>
      </c>
      <c r="AH719" s="5">
        <f>AG719*$AF$1</f>
        <v>8.26915703501551E+18</v>
      </c>
      <c r="AI719" s="5">
        <f>SUM($AF$9:AF718)</f>
        <v>1.6142883213222967E+19</v>
      </c>
      <c r="AK719" s="5">
        <f t="shared" si="92"/>
        <v>711</v>
      </c>
      <c r="AL719" s="5">
        <f t="shared" si="93"/>
        <v>102</v>
      </c>
      <c r="AM719" s="5">
        <f t="shared" si="94"/>
        <v>2.6608937485617201E+20</v>
      </c>
      <c r="AN719" s="5">
        <f>$AL$4*$AL$3^AL719*$AL$2</f>
        <v>2.6608937485617168E+20</v>
      </c>
      <c r="AO719" s="5">
        <f>IF(AL719=AL720,1,LOOKUP(MOD(AL719,$AL$1),$AN$1:$AN$5,$AO$1:$AO$5))</f>
        <v>1</v>
      </c>
      <c r="AP719" s="5">
        <f t="shared" si="95"/>
        <v>1.16901932020145E+20</v>
      </c>
      <c r="AQ719" s="5">
        <f>AM719*$AR$3</f>
        <v>3.547858331415627E+19</v>
      </c>
      <c r="AR719" s="5">
        <f>AM719*AL719*$AR$4</f>
        <v>8.1423348705988624E+19</v>
      </c>
      <c r="AS719" s="5">
        <f>SUM($AP$9:AP718)</f>
        <v>2.6477461558310234E+21</v>
      </c>
    </row>
    <row r="720" spans="1:45" x14ac:dyDescent="0.15">
      <c r="A720" s="5">
        <v>712</v>
      </c>
      <c r="J720" s="5">
        <f t="shared" si="88"/>
        <v>712</v>
      </c>
      <c r="K720" s="5">
        <f>SUM($AP$9:AP719)</f>
        <v>2.7646480878511682E+21</v>
      </c>
      <c r="L720" s="5">
        <f>LOOKUP(K720,AI:AI,AE:AE)</f>
        <v>813</v>
      </c>
      <c r="M720" s="5">
        <f>LOOKUP(L720,AE:AE,AG:AG)</f>
        <v>1.37085237707096E+20</v>
      </c>
      <c r="N720" s="5">
        <f>AM720/M720/$K$1</f>
        <v>1.2940336942027921</v>
      </c>
      <c r="O720" s="5">
        <f>SUM($N$9:N720)</f>
        <v>2180.6088071057115</v>
      </c>
      <c r="AE720" s="5">
        <f t="shared" si="89"/>
        <v>712</v>
      </c>
      <c r="AF720" s="5">
        <f t="shared" si="90"/>
        <v>8.7436740631851802E+17</v>
      </c>
      <c r="AG720" s="5">
        <f t="shared" si="91"/>
        <v>8.6948267220500698E+17</v>
      </c>
      <c r="AH720" s="5">
        <f>AG720*$AF$1</f>
        <v>8.6948267220500695E+18</v>
      </c>
      <c r="AI720" s="5">
        <f>SUM($AF$9:AF719)</f>
        <v>1.6974451044451672E+19</v>
      </c>
      <c r="AK720" s="5">
        <f t="shared" si="92"/>
        <v>712</v>
      </c>
      <c r="AL720" s="5">
        <f t="shared" si="93"/>
        <v>102</v>
      </c>
      <c r="AM720" s="5">
        <f t="shared" si="94"/>
        <v>2.6608937485617201E+20</v>
      </c>
      <c r="AN720" s="5">
        <f>$AL$4*$AL$3^AL720*$AL$2</f>
        <v>2.6608937485617168E+20</v>
      </c>
      <c r="AO720" s="5">
        <f>IF(AL720=AL721,1,LOOKUP(MOD(AL720,$AL$1),$AN$1:$AN$5,$AO$1:$AO$5))</f>
        <v>1</v>
      </c>
      <c r="AP720" s="5">
        <f t="shared" si="95"/>
        <v>1.16901932020145E+20</v>
      </c>
      <c r="AQ720" s="5">
        <f>AM720*$AR$3</f>
        <v>3.547858331415627E+19</v>
      </c>
      <c r="AR720" s="5">
        <f>AM720*AL720*$AR$4</f>
        <v>8.1423348705988624E+19</v>
      </c>
      <c r="AS720" s="5">
        <f>SUM($AP$9:AP719)</f>
        <v>2.7646480878511682E+21</v>
      </c>
    </row>
    <row r="721" spans="1:45" x14ac:dyDescent="0.15">
      <c r="A721" s="5">
        <v>713</v>
      </c>
      <c r="J721" s="5">
        <f t="shared" si="88"/>
        <v>713</v>
      </c>
      <c r="K721" s="5">
        <f>SUM($AP$9:AP720)</f>
        <v>2.881550019871313E+21</v>
      </c>
      <c r="L721" s="5">
        <f>LOOKUP(K721,AI:AI,AE:AE)</f>
        <v>814</v>
      </c>
      <c r="M721" s="5">
        <f>LOOKUP(L721,AE:AE,AG:AG)</f>
        <v>1.4411654694742299E+20</v>
      </c>
      <c r="N721" s="5">
        <f>AM721/M721/$K$1</f>
        <v>1.2308990211616597</v>
      </c>
      <c r="O721" s="5">
        <f>SUM($N$9:N721)</f>
        <v>2181.8397061268734</v>
      </c>
      <c r="AE721" s="5">
        <f t="shared" si="89"/>
        <v>713</v>
      </c>
      <c r="AF721" s="5">
        <f t="shared" si="90"/>
        <v>9.1936801933924096E+17</v>
      </c>
      <c r="AG721" s="5">
        <f t="shared" si="91"/>
        <v>9.1423904852005402E+17</v>
      </c>
      <c r="AH721" s="5">
        <f>AG721*$AF$1</f>
        <v>9.1423904852005396E+18</v>
      </c>
      <c r="AI721" s="5">
        <f>SUM($AF$9:AF720)</f>
        <v>1.784881845077019E+19</v>
      </c>
      <c r="AK721" s="5">
        <f t="shared" si="92"/>
        <v>713</v>
      </c>
      <c r="AL721" s="5">
        <f t="shared" si="93"/>
        <v>102</v>
      </c>
      <c r="AM721" s="5">
        <f t="shared" si="94"/>
        <v>2.6608937485617201E+20</v>
      </c>
      <c r="AN721" s="5">
        <f>$AL$4*$AL$3^AL721*$AL$2</f>
        <v>2.6608937485617168E+20</v>
      </c>
      <c r="AO721" s="5">
        <f>IF(AL721=AL722,1,LOOKUP(MOD(AL721,$AL$1),$AN$1:$AN$5,$AO$1:$AO$5))</f>
        <v>1</v>
      </c>
      <c r="AP721" s="5">
        <f t="shared" si="95"/>
        <v>1.16901932020145E+20</v>
      </c>
      <c r="AQ721" s="5">
        <f>AM721*$AR$3</f>
        <v>3.547858331415627E+19</v>
      </c>
      <c r="AR721" s="5">
        <f>AM721*AL721*$AR$4</f>
        <v>8.1423348705988624E+19</v>
      </c>
      <c r="AS721" s="5">
        <f>SUM($AP$9:AP720)</f>
        <v>2.881550019871313E+21</v>
      </c>
    </row>
    <row r="722" spans="1:45" x14ac:dyDescent="0.15">
      <c r="A722" s="5">
        <v>714</v>
      </c>
      <c r="J722" s="5">
        <f t="shared" si="88"/>
        <v>714</v>
      </c>
      <c r="K722" s="5">
        <f>SUM($AP$9:AP721)</f>
        <v>2.9984519518914578E+21</v>
      </c>
      <c r="L722" s="5">
        <f>LOOKUP(K722,AI:AI,AE:AE)</f>
        <v>815</v>
      </c>
      <c r="M722" s="5">
        <f>LOOKUP(L722,AE:AE,AG:AG)</f>
        <v>1.5150827401751501E+20</v>
      </c>
      <c r="N722" s="5">
        <f>AM722/M722/$K$1</f>
        <v>8.1959247707614633</v>
      </c>
      <c r="O722" s="5">
        <f>SUM($N$9:N722)</f>
        <v>2190.0356308976347</v>
      </c>
      <c r="AE722" s="5">
        <f t="shared" si="89"/>
        <v>714</v>
      </c>
      <c r="AF722" s="5">
        <f t="shared" si="90"/>
        <v>9.6668277514623898E+17</v>
      </c>
      <c r="AG722" s="5">
        <f t="shared" si="91"/>
        <v>9.6129735578609306E+17</v>
      </c>
      <c r="AH722" s="5">
        <f>AG722*$AF$1</f>
        <v>9.6129735578609295E+18</v>
      </c>
      <c r="AI722" s="5">
        <f>SUM($AF$9:AF721)</f>
        <v>1.876818647010943E+19</v>
      </c>
      <c r="AK722" s="5">
        <f t="shared" si="92"/>
        <v>714</v>
      </c>
      <c r="AL722" s="5">
        <f t="shared" si="93"/>
        <v>102</v>
      </c>
      <c r="AM722" s="5">
        <f t="shared" si="94"/>
        <v>1.8626256239931999E+21</v>
      </c>
      <c r="AN722" s="5">
        <f>$AL$4*$AL$3^AL722*$AL$2</f>
        <v>2.6608937485617168E+20</v>
      </c>
      <c r="AO722" s="5">
        <f>IF(AL722=AL723,1,LOOKUP(MOD(AL722,$AL$1),$AN$1:$AN$5,$AO$1:$AO$5))</f>
        <v>7</v>
      </c>
      <c r="AP722" s="5">
        <f t="shared" si="95"/>
        <v>8.1831352414101294E+20</v>
      </c>
      <c r="AQ722" s="5">
        <f>AM722*$AR$3</f>
        <v>2.4835008319909331E+20</v>
      </c>
      <c r="AR722" s="5">
        <f>AM722*AL722*$AR$4</f>
        <v>5.6996344094191917E+20</v>
      </c>
      <c r="AS722" s="5">
        <f>SUM($AP$9:AP721)</f>
        <v>2.9984519518914578E+21</v>
      </c>
    </row>
    <row r="723" spans="1:45" x14ac:dyDescent="0.15">
      <c r="A723" s="5">
        <v>715</v>
      </c>
      <c r="J723" s="5">
        <f t="shared" si="88"/>
        <v>715</v>
      </c>
      <c r="K723" s="5">
        <f>SUM($AP$9:AP722)</f>
        <v>3.8167654760324708E+21</v>
      </c>
      <c r="L723" s="5">
        <f>LOOKUP(K723,AI:AI,AE:AE)</f>
        <v>820</v>
      </c>
      <c r="M723" s="5">
        <f>LOOKUP(L723,AE:AE,AG:AG)</f>
        <v>1.9455351863766499E+20</v>
      </c>
      <c r="N723" s="5">
        <f>AM723/M723/$K$1</f>
        <v>1.4315180777316898</v>
      </c>
      <c r="O723" s="5">
        <f>SUM($N$9:N723)</f>
        <v>2191.4671489753664</v>
      </c>
      <c r="AE723" s="5">
        <f t="shared" si="89"/>
        <v>715</v>
      </c>
      <c r="AF723" s="5">
        <f t="shared" si="90"/>
        <v>1.01643058648559E+18</v>
      </c>
      <c r="AG723" s="5">
        <f t="shared" si="91"/>
        <v>1.01077589615744E+18</v>
      </c>
      <c r="AH723" s="5">
        <f>AG723*$AF$1</f>
        <v>1.01077589615744E+19</v>
      </c>
      <c r="AI723" s="5">
        <f>SUM($AF$9:AF722)</f>
        <v>1.9734869245255668E+19</v>
      </c>
      <c r="AK723" s="5">
        <f t="shared" si="92"/>
        <v>715</v>
      </c>
      <c r="AL723" s="5">
        <f t="shared" si="93"/>
        <v>103</v>
      </c>
      <c r="AM723" s="5">
        <f t="shared" si="94"/>
        <v>4.1776031852419003E+20</v>
      </c>
      <c r="AN723" s="5">
        <f>$AL$4*$AL$3^AL723*$AL$2</f>
        <v>4.1776031852418951E+20</v>
      </c>
      <c r="AO723" s="5">
        <f>IF(AL723=AL724,1,LOOKUP(MOD(AL723,$AL$1),$AN$1:$AN$5,$AO$1:$AO$5))</f>
        <v>1</v>
      </c>
      <c r="AP723" s="5">
        <f t="shared" si="95"/>
        <v>1.847893142272E+20</v>
      </c>
      <c r="AQ723" s="5">
        <f>AM723*$AR$3</f>
        <v>5.5701375803225334E+19</v>
      </c>
      <c r="AR723" s="5">
        <f>AM723*AL723*$AR$4</f>
        <v>1.2908793842397472E+20</v>
      </c>
      <c r="AS723" s="5">
        <f>SUM($AP$9:AP722)</f>
        <v>3.8167654760324708E+21</v>
      </c>
    </row>
    <row r="724" spans="1:45" x14ac:dyDescent="0.15">
      <c r="A724" s="5">
        <v>716</v>
      </c>
      <c r="J724" s="5">
        <f t="shared" si="88"/>
        <v>716</v>
      </c>
      <c r="K724" s="5">
        <f>SUM($AP$9:AP723)</f>
        <v>4.0015547902596706E+21</v>
      </c>
      <c r="L724" s="5">
        <f>LOOKUP(K724,AI:AI,AE:AE)</f>
        <v>820</v>
      </c>
      <c r="M724" s="5">
        <f>LOOKUP(L724,AE:AE,AG:AG)</f>
        <v>1.9455351863766499E+20</v>
      </c>
      <c r="N724" s="5">
        <f>AM724/M724/$K$1</f>
        <v>1.4315180777316898</v>
      </c>
      <c r="O724" s="5">
        <f>SUM($N$9:N724)</f>
        <v>2192.8986670530981</v>
      </c>
      <c r="AE724" s="5">
        <f t="shared" si="89"/>
        <v>716</v>
      </c>
      <c r="AF724" s="5">
        <f t="shared" si="90"/>
        <v>1.06873647202101E+18</v>
      </c>
      <c r="AG724" s="5">
        <f t="shared" si="91"/>
        <v>1.06279904717645E+18</v>
      </c>
      <c r="AH724" s="5">
        <f>AG724*$AF$1</f>
        <v>1.06279904717645E+19</v>
      </c>
      <c r="AI724" s="5">
        <f>SUM($AF$9:AF723)</f>
        <v>2.075129983174126E+19</v>
      </c>
      <c r="AK724" s="5">
        <f t="shared" si="92"/>
        <v>716</v>
      </c>
      <c r="AL724" s="5">
        <f t="shared" si="93"/>
        <v>103</v>
      </c>
      <c r="AM724" s="5">
        <f t="shared" si="94"/>
        <v>4.1776031852419003E+20</v>
      </c>
      <c r="AN724" s="5">
        <f>$AL$4*$AL$3^AL724*$AL$2</f>
        <v>4.1776031852418951E+20</v>
      </c>
      <c r="AO724" s="5">
        <f>IF(AL724=AL725,1,LOOKUP(MOD(AL724,$AL$1),$AN$1:$AN$5,$AO$1:$AO$5))</f>
        <v>1</v>
      </c>
      <c r="AP724" s="5">
        <f t="shared" si="95"/>
        <v>1.847893142272E+20</v>
      </c>
      <c r="AQ724" s="5">
        <f>AM724*$AR$3</f>
        <v>5.5701375803225334E+19</v>
      </c>
      <c r="AR724" s="5">
        <f>AM724*AL724*$AR$4</f>
        <v>1.2908793842397472E+20</v>
      </c>
      <c r="AS724" s="5">
        <f>SUM($AP$9:AP723)</f>
        <v>4.0015547902596706E+21</v>
      </c>
    </row>
    <row r="725" spans="1:45" x14ac:dyDescent="0.15">
      <c r="A725" s="5">
        <v>717</v>
      </c>
      <c r="J725" s="5">
        <f t="shared" si="88"/>
        <v>717</v>
      </c>
      <c r="K725" s="5">
        <f>SUM($AP$9:AP724)</f>
        <v>4.1863441044868705E+21</v>
      </c>
      <c r="L725" s="5">
        <f>LOOKUP(K725,AI:AI,AE:AE)</f>
        <v>821</v>
      </c>
      <c r="M725" s="5">
        <f>LOOKUP(L725,AE:AE,AG:AG)</f>
        <v>2.0453031797755999E+20</v>
      </c>
      <c r="N725" s="5">
        <f>AM725/M725/$K$1</f>
        <v>1.3616899527173425</v>
      </c>
      <c r="O725" s="5">
        <f>SUM($N$9:N725)</f>
        <v>2194.2603570058154</v>
      </c>
      <c r="AE725" s="5">
        <f t="shared" si="89"/>
        <v>717</v>
      </c>
      <c r="AF725" s="5">
        <f t="shared" si="90"/>
        <v>1.12373186964376E+18</v>
      </c>
      <c r="AG725" s="5">
        <f t="shared" si="91"/>
        <v>1.11749757355697E+18</v>
      </c>
      <c r="AH725" s="5">
        <f>AG725*$AF$1</f>
        <v>1.1174975735569699E+19</v>
      </c>
      <c r="AI725" s="5">
        <f>SUM($AF$9:AF724)</f>
        <v>2.1820036303762268E+19</v>
      </c>
      <c r="AK725" s="5">
        <f t="shared" si="92"/>
        <v>717</v>
      </c>
      <c r="AL725" s="5">
        <f t="shared" si="93"/>
        <v>103</v>
      </c>
      <c r="AM725" s="5">
        <f t="shared" si="94"/>
        <v>4.1776031852419003E+20</v>
      </c>
      <c r="AN725" s="5">
        <f>$AL$4*$AL$3^AL725*$AL$2</f>
        <v>4.1776031852418951E+20</v>
      </c>
      <c r="AO725" s="5">
        <f>IF(AL725=AL726,1,LOOKUP(MOD(AL725,$AL$1),$AN$1:$AN$5,$AO$1:$AO$5))</f>
        <v>1</v>
      </c>
      <c r="AP725" s="5">
        <f t="shared" si="95"/>
        <v>1.847893142272E+20</v>
      </c>
      <c r="AQ725" s="5">
        <f>AM725*$AR$3</f>
        <v>5.5701375803225334E+19</v>
      </c>
      <c r="AR725" s="5">
        <f>AM725*AL725*$AR$4</f>
        <v>1.2908793842397472E+20</v>
      </c>
      <c r="AS725" s="5">
        <f>SUM($AP$9:AP724)</f>
        <v>4.1863441044868705E+21</v>
      </c>
    </row>
    <row r="726" spans="1:45" x14ac:dyDescent="0.15">
      <c r="A726" s="5">
        <v>718</v>
      </c>
      <c r="J726" s="5">
        <f t="shared" si="88"/>
        <v>718</v>
      </c>
      <c r="K726" s="5">
        <f>SUM($AP$9:AP725)</f>
        <v>4.3711334187140703E+21</v>
      </c>
      <c r="L726" s="5">
        <f>LOOKUP(K726,AI:AI,AE:AE)</f>
        <v>822</v>
      </c>
      <c r="M726" s="5">
        <f>LOOKUP(L726,AE:AE,AG:AG)</f>
        <v>2.1501841345485E+20</v>
      </c>
      <c r="N726" s="5">
        <f>AM726/M726/$K$1</f>
        <v>1.2952699005688093</v>
      </c>
      <c r="O726" s="5">
        <f>SUM($N$9:N726)</f>
        <v>2195.5556269063841</v>
      </c>
      <c r="AE726" s="5">
        <f t="shared" si="89"/>
        <v>718</v>
      </c>
      <c r="AF726" s="5">
        <f t="shared" si="90"/>
        <v>1.1815549658487301E+18</v>
      </c>
      <c r="AG726" s="5">
        <f t="shared" si="91"/>
        <v>1.1750089549576E+18</v>
      </c>
      <c r="AH726" s="5">
        <f>AG726*$AF$1</f>
        <v>1.1750089549575999E+19</v>
      </c>
      <c r="AI726" s="5">
        <f>SUM($AF$9:AF725)</f>
        <v>2.2943768173406028E+19</v>
      </c>
      <c r="AK726" s="5">
        <f t="shared" si="92"/>
        <v>718</v>
      </c>
      <c r="AL726" s="5">
        <f t="shared" si="93"/>
        <v>103</v>
      </c>
      <c r="AM726" s="5">
        <f t="shared" si="94"/>
        <v>4.1776031852419003E+20</v>
      </c>
      <c r="AN726" s="5">
        <f>$AL$4*$AL$3^AL726*$AL$2</f>
        <v>4.1776031852418951E+20</v>
      </c>
      <c r="AO726" s="5">
        <f>IF(AL726=AL727,1,LOOKUP(MOD(AL726,$AL$1),$AN$1:$AN$5,$AO$1:$AO$5))</f>
        <v>1</v>
      </c>
      <c r="AP726" s="5">
        <f t="shared" si="95"/>
        <v>1.847893142272E+20</v>
      </c>
      <c r="AQ726" s="5">
        <f>AM726*$AR$3</f>
        <v>5.5701375803225334E+19</v>
      </c>
      <c r="AR726" s="5">
        <f>AM726*AL726*$AR$4</f>
        <v>1.2908793842397472E+20</v>
      </c>
      <c r="AS726" s="5">
        <f>SUM($AP$9:AP725)</f>
        <v>4.3711334187140703E+21</v>
      </c>
    </row>
    <row r="727" spans="1:45" x14ac:dyDescent="0.15">
      <c r="A727" s="5">
        <v>719</v>
      </c>
      <c r="J727" s="5">
        <f t="shared" si="88"/>
        <v>719</v>
      </c>
      <c r="K727" s="5">
        <f>SUM($AP$9:AP726)</f>
        <v>4.5559227329412701E+21</v>
      </c>
      <c r="L727" s="5">
        <f>LOOKUP(K727,AI:AI,AE:AE)</f>
        <v>823</v>
      </c>
      <c r="M727" s="5">
        <f>LOOKUP(L727,AE:AE,AG:AG)</f>
        <v>2.2604399268492601E+20</v>
      </c>
      <c r="N727" s="5">
        <f>AM727/M727/$K$1</f>
        <v>1.2320914867413737</v>
      </c>
      <c r="O727" s="5">
        <f>SUM($N$9:N727)</f>
        <v>2196.7877183931255</v>
      </c>
      <c r="AE727" s="5">
        <f t="shared" si="89"/>
        <v>719</v>
      </c>
      <c r="AF727" s="5">
        <f t="shared" si="90"/>
        <v>1.2423510420000799E+18</v>
      </c>
      <c r="AG727" s="5">
        <f t="shared" si="91"/>
        <v>1.2354777305644001E+18</v>
      </c>
      <c r="AH727" s="5">
        <f>AG727*$AF$1</f>
        <v>1.2354777305644001E+19</v>
      </c>
      <c r="AI727" s="5">
        <f>SUM($AF$9:AF726)</f>
        <v>2.4125323139254759E+19</v>
      </c>
      <c r="AK727" s="5">
        <f t="shared" si="92"/>
        <v>719</v>
      </c>
      <c r="AL727" s="5">
        <f t="shared" si="93"/>
        <v>103</v>
      </c>
      <c r="AM727" s="5">
        <f t="shared" si="94"/>
        <v>4.1776031852419003E+20</v>
      </c>
      <c r="AN727" s="5">
        <f>$AL$4*$AL$3^AL727*$AL$2</f>
        <v>4.1776031852418951E+20</v>
      </c>
      <c r="AO727" s="5">
        <f>IF(AL727=AL728,1,LOOKUP(MOD(AL727,$AL$1),$AN$1:$AN$5,$AO$1:$AO$5))</f>
        <v>1</v>
      </c>
      <c r="AP727" s="5">
        <f t="shared" si="95"/>
        <v>1.847893142272E+20</v>
      </c>
      <c r="AQ727" s="5">
        <f>AM727*$AR$3</f>
        <v>5.5701375803225334E+19</v>
      </c>
      <c r="AR727" s="5">
        <f>AM727*AL727*$AR$4</f>
        <v>1.2908793842397472E+20</v>
      </c>
      <c r="AS727" s="5">
        <f>SUM($AP$9:AP726)</f>
        <v>4.5559227329412701E+21</v>
      </c>
    </row>
    <row r="728" spans="1:45" x14ac:dyDescent="0.15">
      <c r="A728" s="5">
        <v>720</v>
      </c>
      <c r="J728" s="5">
        <f t="shared" si="88"/>
        <v>720</v>
      </c>
      <c r="K728" s="5">
        <f>SUM($AP$9:AP727)</f>
        <v>4.7407120471684704E+21</v>
      </c>
      <c r="L728" s="5">
        <f>LOOKUP(K728,AI:AI,AE:AE)</f>
        <v>824</v>
      </c>
      <c r="M728" s="5">
        <f>LOOKUP(L728,AE:AE,AG:AG)</f>
        <v>2.3763458380437199E+20</v>
      </c>
      <c r="N728" s="5">
        <f>AM728/M728/$K$1</f>
        <v>1.171996409602577</v>
      </c>
      <c r="O728" s="5">
        <f>SUM($N$9:N728)</f>
        <v>2197.9597148027283</v>
      </c>
      <c r="AE728" s="5">
        <f t="shared" si="89"/>
        <v>720</v>
      </c>
      <c r="AF728" s="5">
        <f t="shared" si="90"/>
        <v>1.3062728383519601E+18</v>
      </c>
      <c r="AG728" s="5">
        <f t="shared" si="91"/>
        <v>1.29905586134449E+18</v>
      </c>
      <c r="AH728" s="5">
        <f>AG728*$AF$1</f>
        <v>1.2990558613444899E+19</v>
      </c>
      <c r="AI728" s="5">
        <f>SUM($AF$9:AF727)</f>
        <v>2.536767418125484E+19</v>
      </c>
      <c r="AK728" s="5">
        <f t="shared" si="92"/>
        <v>720</v>
      </c>
      <c r="AL728" s="5">
        <f t="shared" si="93"/>
        <v>103</v>
      </c>
      <c r="AM728" s="5">
        <f t="shared" si="94"/>
        <v>4.1776031852419003E+20</v>
      </c>
      <c r="AN728" s="5">
        <f>$AL$4*$AL$3^AL728*$AL$2</f>
        <v>4.1776031852418951E+20</v>
      </c>
      <c r="AO728" s="5">
        <f>IF(AL728=AL729,1,LOOKUP(MOD(AL728,$AL$1),$AN$1:$AN$5,$AO$1:$AO$5))</f>
        <v>1</v>
      </c>
      <c r="AP728" s="5">
        <f t="shared" si="95"/>
        <v>1.847893142272E+20</v>
      </c>
      <c r="AQ728" s="5">
        <f>AM728*$AR$3</f>
        <v>5.5701375803225334E+19</v>
      </c>
      <c r="AR728" s="5">
        <f>AM728*AL728*$AR$4</f>
        <v>1.2908793842397472E+20</v>
      </c>
      <c r="AS728" s="5">
        <f>SUM($AP$9:AP727)</f>
        <v>4.7407120471684704E+21</v>
      </c>
    </row>
    <row r="729" spans="1:45" x14ac:dyDescent="0.15">
      <c r="A729" s="5">
        <v>721</v>
      </c>
      <c r="J729" s="5">
        <f t="shared" si="88"/>
        <v>721</v>
      </c>
      <c r="K729" s="5">
        <f>SUM($AP$9:AP728)</f>
        <v>4.9255013613956707E+21</v>
      </c>
      <c r="L729" s="5">
        <f>LOOKUP(K729,AI:AI,AE:AE)</f>
        <v>825</v>
      </c>
      <c r="M729" s="5">
        <f>LOOKUP(L729,AE:AE,AG:AG)</f>
        <v>2.4981912405405001E+20</v>
      </c>
      <c r="N729" s="5">
        <f>AM729/M729/$K$1</f>
        <v>7.8038387192931191</v>
      </c>
      <c r="O729" s="5">
        <f>SUM($N$9:N729)</f>
        <v>2205.7635535220215</v>
      </c>
      <c r="AE729" s="5">
        <f t="shared" si="89"/>
        <v>721</v>
      </c>
      <c r="AF729" s="5">
        <f t="shared" si="90"/>
        <v>1.3734809367340201E+18</v>
      </c>
      <c r="AG729" s="5">
        <f t="shared" si="91"/>
        <v>1.36590311087617E+18</v>
      </c>
      <c r="AH729" s="5">
        <f>AG729*$AF$1</f>
        <v>1.36590311087617E+19</v>
      </c>
      <c r="AI729" s="5">
        <f>SUM($AF$9:AF728)</f>
        <v>2.6673947019606802E+19</v>
      </c>
      <c r="AK729" s="5">
        <f t="shared" si="92"/>
        <v>721</v>
      </c>
      <c r="AL729" s="5">
        <f t="shared" si="93"/>
        <v>103</v>
      </c>
      <c r="AM729" s="5">
        <f t="shared" si="94"/>
        <v>2.9243222296693299E+21</v>
      </c>
      <c r="AN729" s="5">
        <f>$AL$4*$AL$3^AL729*$AL$2</f>
        <v>4.1776031852418951E+20</v>
      </c>
      <c r="AO729" s="5">
        <f>IF(AL729=AL730,1,LOOKUP(MOD(AL729,$AL$1),$AN$1:$AN$5,$AO$1:$AO$5))</f>
        <v>7</v>
      </c>
      <c r="AP729" s="5">
        <f t="shared" si="95"/>
        <v>1.2935251995903999E+21</v>
      </c>
      <c r="AQ729" s="5">
        <f>AM729*$AR$3</f>
        <v>3.8990963062257733E+20</v>
      </c>
      <c r="AR729" s="5">
        <f>AM729*AL729*$AR$4</f>
        <v>9.0361556896782287E+20</v>
      </c>
      <c r="AS729" s="5">
        <f>SUM($AP$9:AP728)</f>
        <v>4.9255013613956707E+21</v>
      </c>
    </row>
    <row r="730" spans="1:45" x14ac:dyDescent="0.15">
      <c r="A730" s="5">
        <v>722</v>
      </c>
      <c r="J730" s="5">
        <f t="shared" si="88"/>
        <v>722</v>
      </c>
      <c r="K730" s="5">
        <f>SUM($AP$9:AP729)</f>
        <v>6.2190265609860709E+21</v>
      </c>
      <c r="L730" s="5">
        <f>LOOKUP(K730,AI:AI,AE:AE)</f>
        <v>829</v>
      </c>
      <c r="M730" s="5">
        <f>LOOKUP(L730,AE:AE,AG:AG)</f>
        <v>3.0512898159859099E+20</v>
      </c>
      <c r="N730" s="5">
        <f>AM730/M730/$K$1</f>
        <v>1.4330195636104657</v>
      </c>
      <c r="O730" s="5">
        <f>SUM($N$9:N730)</f>
        <v>2207.1965730856318</v>
      </c>
      <c r="AE730" s="5">
        <f t="shared" si="89"/>
        <v>722</v>
      </c>
      <c r="AF730" s="5">
        <f t="shared" si="90"/>
        <v>1.4441441628584E+18</v>
      </c>
      <c r="AG730" s="5">
        <f t="shared" si="91"/>
        <v>1.43618744570766E+18</v>
      </c>
      <c r="AH730" s="5">
        <f>AG730*$AF$1</f>
        <v>1.4361874457076601E+19</v>
      </c>
      <c r="AI730" s="5">
        <f>SUM($AF$9:AF729)</f>
        <v>2.8047427956340822E+19</v>
      </c>
      <c r="AK730" s="5">
        <f t="shared" si="92"/>
        <v>722</v>
      </c>
      <c r="AL730" s="5">
        <f t="shared" si="93"/>
        <v>104</v>
      </c>
      <c r="AM730" s="5">
        <f t="shared" si="94"/>
        <v>6.5588370008297806E+20</v>
      </c>
      <c r="AN730" s="5">
        <f>$AL$4*$AL$3^AL730*$AL$2</f>
        <v>6.5588370008297754E+20</v>
      </c>
      <c r="AO730" s="5">
        <f>IF(AL730=AL731,1,LOOKUP(MOD(AL730,$AL$1),$AN$1:$AN$5,$AO$1:$AO$5))</f>
        <v>1</v>
      </c>
      <c r="AP730" s="5">
        <f t="shared" si="95"/>
        <v>2.9208687443695301E+20</v>
      </c>
      <c r="AQ730" s="5">
        <f>AM730*$AR$3</f>
        <v>8.7451160011063738E+19</v>
      </c>
      <c r="AR730" s="5">
        <f>AM730*AL730*$AR$4</f>
        <v>2.0463571442588916E+20</v>
      </c>
      <c r="AS730" s="5">
        <f>SUM($AP$9:AP729)</f>
        <v>6.2190265609860709E+21</v>
      </c>
    </row>
    <row r="731" spans="1:45" x14ac:dyDescent="0.15">
      <c r="A731" s="5">
        <v>723</v>
      </c>
      <c r="J731" s="5">
        <f t="shared" si="88"/>
        <v>723</v>
      </c>
      <c r="K731" s="5">
        <f>SUM($AP$9:AP730)</f>
        <v>6.5111134354230236E+21</v>
      </c>
      <c r="L731" s="5">
        <f>LOOKUP(K731,AI:AI,AE:AE)</f>
        <v>830</v>
      </c>
      <c r="M731" s="5">
        <f>LOOKUP(L731,AE:AE,AG:AG)</f>
        <v>3.2077190285063003E+20</v>
      </c>
      <c r="N731" s="5">
        <f>AM731/M731/$K$1</f>
        <v>1.3631362228721458</v>
      </c>
      <c r="O731" s="5">
        <f>SUM($N$9:N731)</f>
        <v>2208.5597093085039</v>
      </c>
      <c r="AE731" s="5">
        <f t="shared" si="89"/>
        <v>723</v>
      </c>
      <c r="AF731" s="5">
        <f t="shared" si="90"/>
        <v>1.5184400092533901E+18</v>
      </c>
      <c r="AG731" s="5">
        <f t="shared" si="91"/>
        <v>1.51008545624512E+18</v>
      </c>
      <c r="AH731" s="5">
        <f>AG731*$AF$1</f>
        <v>1.51008545624512E+19</v>
      </c>
      <c r="AI731" s="5">
        <f>SUM($AF$9:AF730)</f>
        <v>2.9491572119199224E+19</v>
      </c>
      <c r="AK731" s="5">
        <f t="shared" si="92"/>
        <v>723</v>
      </c>
      <c r="AL731" s="5">
        <f t="shared" si="93"/>
        <v>104</v>
      </c>
      <c r="AM731" s="5">
        <f t="shared" si="94"/>
        <v>6.5588370008297806E+20</v>
      </c>
      <c r="AN731" s="5">
        <f>$AL$4*$AL$3^AL731*$AL$2</f>
        <v>6.5588370008297754E+20</v>
      </c>
      <c r="AO731" s="5">
        <f>IF(AL731=AL732,1,LOOKUP(MOD(AL731,$AL$1),$AN$1:$AN$5,$AO$1:$AO$5))</f>
        <v>1</v>
      </c>
      <c r="AP731" s="5">
        <f t="shared" si="95"/>
        <v>2.9208687443695301E+20</v>
      </c>
      <c r="AQ731" s="5">
        <f>AM731*$AR$3</f>
        <v>8.7451160011063738E+19</v>
      </c>
      <c r="AR731" s="5">
        <f>AM731*AL731*$AR$4</f>
        <v>2.0463571442588916E+20</v>
      </c>
      <c r="AS731" s="5">
        <f>SUM($AP$9:AP730)</f>
        <v>6.5111134354230236E+21</v>
      </c>
    </row>
    <row r="732" spans="1:45" x14ac:dyDescent="0.15">
      <c r="A732" s="5">
        <v>724</v>
      </c>
      <c r="J732" s="5">
        <f t="shared" si="88"/>
        <v>724</v>
      </c>
      <c r="K732" s="5">
        <f>SUM($AP$9:AP731)</f>
        <v>6.8032003098599762E+21</v>
      </c>
      <c r="L732" s="5">
        <f>LOOKUP(K732,AI:AI,AE:AE)</f>
        <v>831</v>
      </c>
      <c r="M732" s="5">
        <f>LOOKUP(L732,AE:AE,AG:AG)</f>
        <v>3.37216293773876E+20</v>
      </c>
      <c r="N732" s="5">
        <f>AM732/M732/$K$1</f>
        <v>1.2966627299110443</v>
      </c>
      <c r="O732" s="5">
        <f>SUM($N$9:N732)</f>
        <v>2209.856372038415</v>
      </c>
      <c r="AE732" s="5">
        <f t="shared" si="89"/>
        <v>724</v>
      </c>
      <c r="AF732" s="5">
        <f t="shared" si="90"/>
        <v>1.5965550798807301E+18</v>
      </c>
      <c r="AG732" s="5">
        <f t="shared" si="91"/>
        <v>1.5877827992220401E+18</v>
      </c>
      <c r="AH732" s="5">
        <f>AG732*$AF$1</f>
        <v>1.5877827992220402E+19</v>
      </c>
      <c r="AI732" s="5">
        <f>SUM($AF$9:AF731)</f>
        <v>3.1010012128452612E+19</v>
      </c>
      <c r="AK732" s="5">
        <f t="shared" si="92"/>
        <v>724</v>
      </c>
      <c r="AL732" s="5">
        <f t="shared" si="93"/>
        <v>104</v>
      </c>
      <c r="AM732" s="5">
        <f t="shared" si="94"/>
        <v>6.5588370008297806E+20</v>
      </c>
      <c r="AN732" s="5">
        <f>$AL$4*$AL$3^AL732*$AL$2</f>
        <v>6.5588370008297754E+20</v>
      </c>
      <c r="AO732" s="5">
        <f>IF(AL732=AL733,1,LOOKUP(MOD(AL732,$AL$1),$AN$1:$AN$5,$AO$1:$AO$5))</f>
        <v>1</v>
      </c>
      <c r="AP732" s="5">
        <f t="shared" si="95"/>
        <v>2.9208687443695301E+20</v>
      </c>
      <c r="AQ732" s="5">
        <f>AM732*$AR$3</f>
        <v>8.7451160011063738E+19</v>
      </c>
      <c r="AR732" s="5">
        <f>AM732*AL732*$AR$4</f>
        <v>2.0463571442588916E+20</v>
      </c>
      <c r="AS732" s="5">
        <f>SUM($AP$9:AP731)</f>
        <v>6.8032003098599762E+21</v>
      </c>
    </row>
    <row r="733" spans="1:45" x14ac:dyDescent="0.15">
      <c r="A733" s="5">
        <v>725</v>
      </c>
      <c r="J733" s="5">
        <f t="shared" si="88"/>
        <v>725</v>
      </c>
      <c r="K733" s="5">
        <f>SUM($AP$9:AP732)</f>
        <v>7.0952871842969289E+21</v>
      </c>
      <c r="L733" s="5">
        <f>LOOKUP(K733,AI:AI,AE:AE)</f>
        <v>832</v>
      </c>
      <c r="M733" s="5">
        <f>LOOKUP(L733,AE:AE,AG:AG)</f>
        <v>3.5450319403232002E+20</v>
      </c>
      <c r="N733" s="5">
        <f>AM733/M733/$K$1</f>
        <v>1.2334326105266464</v>
      </c>
      <c r="O733" s="5">
        <f>SUM($N$9:N733)</f>
        <v>2211.0898046489415</v>
      </c>
      <c r="AE733" s="5">
        <f t="shared" si="89"/>
        <v>725</v>
      </c>
      <c r="AF733" s="5">
        <f t="shared" si="90"/>
        <v>1.67868555754767E+18</v>
      </c>
      <c r="AG733" s="5">
        <f t="shared" si="91"/>
        <v>1.6694746628560499E+18</v>
      </c>
      <c r="AH733" s="5">
        <f>AG733*$AF$1</f>
        <v>1.6694746628560499E+19</v>
      </c>
      <c r="AI733" s="5">
        <f>SUM($AF$9:AF732)</f>
        <v>3.2606567208333341E+19</v>
      </c>
      <c r="AK733" s="5">
        <f t="shared" si="92"/>
        <v>725</v>
      </c>
      <c r="AL733" s="5">
        <f t="shared" si="93"/>
        <v>104</v>
      </c>
      <c r="AM733" s="5">
        <f t="shared" si="94"/>
        <v>6.5588370008297806E+20</v>
      </c>
      <c r="AN733" s="5">
        <f>$AL$4*$AL$3^AL733*$AL$2</f>
        <v>6.5588370008297754E+20</v>
      </c>
      <c r="AO733" s="5">
        <f>IF(AL733=AL734,1,LOOKUP(MOD(AL733,$AL$1),$AN$1:$AN$5,$AO$1:$AO$5))</f>
        <v>1</v>
      </c>
      <c r="AP733" s="5">
        <f t="shared" si="95"/>
        <v>2.9208687443695301E+20</v>
      </c>
      <c r="AQ733" s="5">
        <f>AM733*$AR$3</f>
        <v>8.7451160011063738E+19</v>
      </c>
      <c r="AR733" s="5">
        <f>AM733*AL733*$AR$4</f>
        <v>2.0463571442588916E+20</v>
      </c>
      <c r="AS733" s="5">
        <f>SUM($AP$9:AP732)</f>
        <v>7.0952871842969289E+21</v>
      </c>
    </row>
    <row r="734" spans="1:45" x14ac:dyDescent="0.15">
      <c r="A734" s="5">
        <v>726</v>
      </c>
      <c r="J734" s="5">
        <f t="shared" si="88"/>
        <v>726</v>
      </c>
      <c r="K734" s="5">
        <f>SUM($AP$9:AP733)</f>
        <v>7.3873740587338815E+21</v>
      </c>
      <c r="L734" s="5">
        <f>LOOKUP(K734,AI:AI,AE:AE)</f>
        <v>833</v>
      </c>
      <c r="M734" s="5">
        <f>LOOKUP(L734,AE:AE,AG:AG)</f>
        <v>3.7267574358217399E+20</v>
      </c>
      <c r="N734" s="5">
        <f>AM734/M734/$K$1</f>
        <v>1.1732875229613784</v>
      </c>
      <c r="O734" s="5">
        <f>SUM($N$9:N734)</f>
        <v>2212.2630921719028</v>
      </c>
      <c r="AE734" s="5">
        <f t="shared" si="89"/>
        <v>726</v>
      </c>
      <c r="AF734" s="5">
        <f t="shared" si="90"/>
        <v>1.7650376952816E+18</v>
      </c>
      <c r="AG734" s="5">
        <f t="shared" si="91"/>
        <v>1.7553662558553999E+18</v>
      </c>
      <c r="AH734" s="5">
        <f>AG734*$AF$1</f>
        <v>1.7553662558553999E+19</v>
      </c>
      <c r="AI734" s="5">
        <f>SUM($AF$9:AF733)</f>
        <v>3.4285252765881012E+19</v>
      </c>
      <c r="AK734" s="5">
        <f t="shared" si="92"/>
        <v>726</v>
      </c>
      <c r="AL734" s="5">
        <f t="shared" si="93"/>
        <v>104</v>
      </c>
      <c r="AM734" s="5">
        <f t="shared" si="94"/>
        <v>6.5588370008297806E+20</v>
      </c>
      <c r="AN734" s="5">
        <f>$AL$4*$AL$3^AL734*$AL$2</f>
        <v>6.5588370008297754E+20</v>
      </c>
      <c r="AO734" s="5">
        <f>IF(AL734=AL735,1,LOOKUP(MOD(AL734,$AL$1),$AN$1:$AN$5,$AO$1:$AO$5))</f>
        <v>1</v>
      </c>
      <c r="AP734" s="5">
        <f t="shared" si="95"/>
        <v>2.9208687443695301E+20</v>
      </c>
      <c r="AQ734" s="5">
        <f>AM734*$AR$3</f>
        <v>8.7451160011063738E+19</v>
      </c>
      <c r="AR734" s="5">
        <f>AM734*AL734*$AR$4</f>
        <v>2.0463571442588916E+20</v>
      </c>
      <c r="AS734" s="5">
        <f>SUM($AP$9:AP733)</f>
        <v>7.3873740587338815E+21</v>
      </c>
    </row>
    <row r="735" spans="1:45" x14ac:dyDescent="0.15">
      <c r="A735" s="5">
        <v>727</v>
      </c>
      <c r="J735" s="5">
        <f t="shared" si="88"/>
        <v>727</v>
      </c>
      <c r="K735" s="5">
        <f>SUM($AP$9:AP734)</f>
        <v>7.6794609331708342E+21</v>
      </c>
      <c r="L735" s="5">
        <f>LOOKUP(K735,AI:AI,AE:AE)</f>
        <v>834</v>
      </c>
      <c r="M735" s="5">
        <f>LOOKUP(L735,AE:AE,AG:AG)</f>
        <v>3.9177929010193302E+20</v>
      </c>
      <c r="N735" s="5">
        <f>AM735/M735/$K$1</f>
        <v>1.1160768603709339</v>
      </c>
      <c r="O735" s="5">
        <f>SUM($N$9:N735)</f>
        <v>2213.3791690322737</v>
      </c>
      <c r="AE735" s="5">
        <f t="shared" si="89"/>
        <v>727</v>
      </c>
      <c r="AF735" s="5">
        <f t="shared" si="90"/>
        <v>1.85582833289506E+18</v>
      </c>
      <c r="AG735" s="5">
        <f t="shared" si="91"/>
        <v>1.8456733214975501E+18</v>
      </c>
      <c r="AH735" s="5">
        <f>AG735*$AF$1</f>
        <v>1.84567332149755E+19</v>
      </c>
      <c r="AI735" s="5">
        <f>SUM($AF$9:AF734)</f>
        <v>3.6050290461162611E+19</v>
      </c>
      <c r="AK735" s="5">
        <f t="shared" si="92"/>
        <v>727</v>
      </c>
      <c r="AL735" s="5">
        <f t="shared" si="93"/>
        <v>104</v>
      </c>
      <c r="AM735" s="5">
        <f t="shared" si="94"/>
        <v>6.5588370008297806E+20</v>
      </c>
      <c r="AN735" s="5">
        <f>$AL$4*$AL$3^AL735*$AL$2</f>
        <v>6.5588370008297754E+20</v>
      </c>
      <c r="AO735" s="5">
        <f>IF(AL735=AL736,1,LOOKUP(MOD(AL735,$AL$1),$AN$1:$AN$5,$AO$1:$AO$5))</f>
        <v>1</v>
      </c>
      <c r="AP735" s="5">
        <f t="shared" si="95"/>
        <v>2.9208687443695301E+20</v>
      </c>
      <c r="AQ735" s="5">
        <f>AM735*$AR$3</f>
        <v>8.7451160011063738E+19</v>
      </c>
      <c r="AR735" s="5">
        <f>AM735*AL735*$AR$4</f>
        <v>2.0463571442588916E+20</v>
      </c>
      <c r="AS735" s="5">
        <f>SUM($AP$9:AP734)</f>
        <v>7.6794609331708342E+21</v>
      </c>
    </row>
    <row r="736" spans="1:45" x14ac:dyDescent="0.15">
      <c r="A736" s="5">
        <v>728</v>
      </c>
      <c r="J736" s="5">
        <f t="shared" si="88"/>
        <v>728</v>
      </c>
      <c r="K736" s="5">
        <f>SUM($AP$9:AP735)</f>
        <v>7.9715478076077868E+21</v>
      </c>
      <c r="L736" s="5">
        <f>LOOKUP(K736,AI:AI,AE:AE)</f>
        <v>834</v>
      </c>
      <c r="M736" s="5">
        <f>LOOKUP(L736,AE:AE,AG:AG)</f>
        <v>3.9177929010193302E+20</v>
      </c>
      <c r="N736" s="5">
        <f>AM736/M736/$K$1</f>
        <v>7.8125380225965273</v>
      </c>
      <c r="O736" s="5">
        <f>SUM($N$9:N736)</f>
        <v>2221.1917070548702</v>
      </c>
      <c r="AE736" s="5">
        <f t="shared" si="89"/>
        <v>728</v>
      </c>
      <c r="AF736" s="5">
        <f t="shared" si="90"/>
        <v>1.95128544003166E+18</v>
      </c>
      <c r="AG736" s="5">
        <f t="shared" si="91"/>
        <v>1.9406226780642701E+18</v>
      </c>
      <c r="AH736" s="5">
        <f>AG736*$AF$1</f>
        <v>1.9406226780642701E+19</v>
      </c>
      <c r="AI736" s="5">
        <f>SUM($AF$9:AF735)</f>
        <v>3.7906118794057671E+19</v>
      </c>
      <c r="AK736" s="5">
        <f t="shared" si="92"/>
        <v>728</v>
      </c>
      <c r="AL736" s="5">
        <f t="shared" si="93"/>
        <v>104</v>
      </c>
      <c r="AM736" s="5">
        <f t="shared" si="94"/>
        <v>4.5911859005808401E+21</v>
      </c>
      <c r="AN736" s="5">
        <f>$AL$4*$AL$3^AL736*$AL$2</f>
        <v>6.5588370008297754E+20</v>
      </c>
      <c r="AO736" s="5">
        <f>IF(AL736=AL737,1,LOOKUP(MOD(AL736,$AL$1),$AN$1:$AN$5,$AO$1:$AO$5))</f>
        <v>7</v>
      </c>
      <c r="AP736" s="5">
        <f t="shared" si="95"/>
        <v>2.0446081210586699E+21</v>
      </c>
      <c r="AQ736" s="5">
        <f>AM736*$AR$3</f>
        <v>6.121581200774453E+20</v>
      </c>
      <c r="AR736" s="5">
        <f>AM736*AL736*$AR$4</f>
        <v>1.4324500009812222E+21</v>
      </c>
      <c r="AS736" s="5">
        <f>SUM($AP$9:AP735)</f>
        <v>7.9715478076077868E+21</v>
      </c>
    </row>
    <row r="737" spans="1:45" x14ac:dyDescent="0.15">
      <c r="A737" s="5">
        <v>729</v>
      </c>
      <c r="J737" s="5">
        <f t="shared" si="88"/>
        <v>729</v>
      </c>
      <c r="K737" s="5">
        <f>SUM($AP$9:AP736)</f>
        <v>1.0016155928666458E+22</v>
      </c>
      <c r="L737" s="5">
        <f>LOOKUP(K737,AI:AI,AE:AE)</f>
        <v>839</v>
      </c>
      <c r="M737" s="5">
        <f>LOOKUP(L737,AE:AE,AG:AG)</f>
        <v>5.03018410452853E+20</v>
      </c>
      <c r="N737" s="5">
        <f>AM737/M737/$K$1</f>
        <v>1.3647444940808786</v>
      </c>
      <c r="O737" s="5">
        <f>SUM($N$9:N737)</f>
        <v>2222.5564515489509</v>
      </c>
      <c r="AE737" s="5">
        <f t="shared" si="89"/>
        <v>729</v>
      </c>
      <c r="AF737" s="5">
        <f t="shared" si="90"/>
        <v>2.0516486870496799E+18</v>
      </c>
      <c r="AG737" s="5">
        <f t="shared" si="91"/>
        <v>2.0404527869839301E+18</v>
      </c>
      <c r="AH737" s="5">
        <f>AG737*$AF$1</f>
        <v>2.0404527869839303E+19</v>
      </c>
      <c r="AI737" s="5">
        <f>SUM($AF$9:AF736)</f>
        <v>3.9857404234089333E+19</v>
      </c>
      <c r="AK737" s="5">
        <f t="shared" si="92"/>
        <v>729</v>
      </c>
      <c r="AL737" s="5">
        <f t="shared" si="93"/>
        <v>105</v>
      </c>
      <c r="AM737" s="5">
        <f t="shared" si="94"/>
        <v>1.02973740913027E+21</v>
      </c>
      <c r="AN737" s="5">
        <f>$AL$4*$AL$3^AL737*$AL$2</f>
        <v>1.0297374091302748E+21</v>
      </c>
      <c r="AO737" s="5">
        <f>IF(AL737=AL738,1,LOOKUP(MOD(AL737,$AL$1),$AN$1:$AN$5,$AO$1:$AO$5))</f>
        <v>1</v>
      </c>
      <c r="AP737" s="5">
        <f t="shared" si="95"/>
        <v>4.6166560509340398E+20</v>
      </c>
      <c r="AQ737" s="5">
        <f>AM737*$AR$3</f>
        <v>1.3729832121736934E+20</v>
      </c>
      <c r="AR737" s="5">
        <f>AM737*AL737*$AR$4</f>
        <v>3.243672838760351E+20</v>
      </c>
      <c r="AS737" s="5">
        <f>SUM($AP$9:AP736)</f>
        <v>1.0016155928666458E+22</v>
      </c>
    </row>
    <row r="738" spans="1:45" x14ac:dyDescent="0.15">
      <c r="A738" s="5">
        <v>730</v>
      </c>
      <c r="J738" s="5">
        <f t="shared" si="88"/>
        <v>730</v>
      </c>
      <c r="K738" s="5">
        <f>SUM($AP$9:AP737)</f>
        <v>1.0477821533759862E+22</v>
      </c>
      <c r="L738" s="5">
        <f>LOOKUP(K738,AI:AI,AE:AE)</f>
        <v>840</v>
      </c>
      <c r="M738" s="5">
        <f>LOOKUP(L738,AE:AE,AG:AG)</f>
        <v>5.2879885342004301E+20</v>
      </c>
      <c r="N738" s="5">
        <f>AM738/M738/$K$1</f>
        <v>1.2982093316710408</v>
      </c>
      <c r="O738" s="5">
        <f>SUM($N$9:N738)</f>
        <v>2223.8546608806219</v>
      </c>
      <c r="AE738" s="5">
        <f t="shared" si="89"/>
        <v>730</v>
      </c>
      <c r="AF738" s="5">
        <f t="shared" si="90"/>
        <v>2.15717004516943E+18</v>
      </c>
      <c r="AG738" s="5">
        <f t="shared" si="91"/>
        <v>2.1454143501003799E+18</v>
      </c>
      <c r="AH738" s="5">
        <f>AG738*$AF$1</f>
        <v>2.1454143501003801E+19</v>
      </c>
      <c r="AI738" s="5">
        <f>SUM($AF$9:AF737)</f>
        <v>4.1909052921139012E+19</v>
      </c>
      <c r="AK738" s="5">
        <f t="shared" si="92"/>
        <v>730</v>
      </c>
      <c r="AL738" s="5">
        <f t="shared" si="93"/>
        <v>105</v>
      </c>
      <c r="AM738" s="5">
        <f t="shared" si="94"/>
        <v>1.02973740913027E+21</v>
      </c>
      <c r="AN738" s="5">
        <f>$AL$4*$AL$3^AL738*$AL$2</f>
        <v>1.0297374091302748E+21</v>
      </c>
      <c r="AO738" s="5">
        <f>IF(AL738=AL739,1,LOOKUP(MOD(AL738,$AL$1),$AN$1:$AN$5,$AO$1:$AO$5))</f>
        <v>1</v>
      </c>
      <c r="AP738" s="5">
        <f t="shared" si="95"/>
        <v>4.6166560509340398E+20</v>
      </c>
      <c r="AQ738" s="5">
        <f>AM738*$AR$3</f>
        <v>1.3729832121736934E+20</v>
      </c>
      <c r="AR738" s="5">
        <f>AM738*AL738*$AR$4</f>
        <v>3.243672838760351E+20</v>
      </c>
      <c r="AS738" s="5">
        <f>SUM($AP$9:AP737)</f>
        <v>1.0477821533759862E+22</v>
      </c>
    </row>
    <row r="739" spans="1:45" x14ac:dyDescent="0.15">
      <c r="A739" s="5">
        <v>731</v>
      </c>
      <c r="J739" s="5">
        <f t="shared" si="88"/>
        <v>731</v>
      </c>
      <c r="K739" s="5">
        <f>SUM($AP$9:AP738)</f>
        <v>1.0939487138853266E+22</v>
      </c>
      <c r="L739" s="5">
        <f>LOOKUP(K739,AI:AI,AE:AE)</f>
        <v>841</v>
      </c>
      <c r="M739" s="5">
        <f>LOOKUP(L739,AE:AE,AG:AG)</f>
        <v>5.5589979465782002E+20</v>
      </c>
      <c r="N739" s="5">
        <f>AM739/M739/$K$1</f>
        <v>1.2349196971900511</v>
      </c>
      <c r="O739" s="5">
        <f>SUM($N$9:N739)</f>
        <v>2225.0895805778118</v>
      </c>
      <c r="AE739" s="5">
        <f t="shared" si="89"/>
        <v>731</v>
      </c>
      <c r="AF739" s="5">
        <f t="shared" si="90"/>
        <v>2.26811441738352E+18</v>
      </c>
      <c r="AG739" s="5">
        <f t="shared" si="91"/>
        <v>2.2557709375610299E+18</v>
      </c>
      <c r="AH739" s="5">
        <f>AG739*$AF$1</f>
        <v>2.2557709375610298E+19</v>
      </c>
      <c r="AI739" s="5">
        <f>SUM($AF$9:AF738)</f>
        <v>4.4066222966308438E+19</v>
      </c>
      <c r="AK739" s="5">
        <f t="shared" si="92"/>
        <v>731</v>
      </c>
      <c r="AL739" s="5">
        <f t="shared" si="93"/>
        <v>105</v>
      </c>
      <c r="AM739" s="5">
        <f t="shared" si="94"/>
        <v>1.02973740913027E+21</v>
      </c>
      <c r="AN739" s="5">
        <f>$AL$4*$AL$3^AL739*$AL$2</f>
        <v>1.0297374091302748E+21</v>
      </c>
      <c r="AO739" s="5">
        <f>IF(AL739=AL740,1,LOOKUP(MOD(AL739,$AL$1),$AN$1:$AN$5,$AO$1:$AO$5))</f>
        <v>1</v>
      </c>
      <c r="AP739" s="5">
        <f t="shared" si="95"/>
        <v>4.6166560509340398E+20</v>
      </c>
      <c r="AQ739" s="5">
        <f>AM739*$AR$3</f>
        <v>1.3729832121736934E+20</v>
      </c>
      <c r="AR739" s="5">
        <f>AM739*AL739*$AR$4</f>
        <v>3.243672838760351E+20</v>
      </c>
      <c r="AS739" s="5">
        <f>SUM($AP$9:AP738)</f>
        <v>1.0939487138853266E+22</v>
      </c>
    </row>
    <row r="740" spans="1:45" x14ac:dyDescent="0.15">
      <c r="A740" s="5">
        <v>732</v>
      </c>
      <c r="J740" s="5">
        <f t="shared" si="88"/>
        <v>732</v>
      </c>
      <c r="K740" s="5">
        <f>SUM($AP$9:AP739)</f>
        <v>1.140115274394667E+22</v>
      </c>
      <c r="L740" s="5">
        <f>LOOKUP(K740,AI:AI,AE:AE)</f>
        <v>841</v>
      </c>
      <c r="M740" s="5">
        <f>LOOKUP(L740,AE:AE,AG:AG)</f>
        <v>5.5589979465782002E+20</v>
      </c>
      <c r="N740" s="5">
        <f>AM740/M740/$K$1</f>
        <v>1.2349196971900511</v>
      </c>
      <c r="O740" s="5">
        <f>SUM($N$9:N740)</f>
        <v>2226.3245002750018</v>
      </c>
      <c r="AE740" s="5">
        <f t="shared" si="89"/>
        <v>732</v>
      </c>
      <c r="AF740" s="5">
        <f t="shared" si="90"/>
        <v>2.3847603017061002E+18</v>
      </c>
      <c r="AG740" s="5">
        <f t="shared" si="91"/>
        <v>2.37179964789248E+18</v>
      </c>
      <c r="AH740" s="5">
        <f>AG740*$AF$1</f>
        <v>2.37179964789248E+19</v>
      </c>
      <c r="AI740" s="5">
        <f>SUM($AF$9:AF739)</f>
        <v>4.633433738369196E+19</v>
      </c>
      <c r="AK740" s="5">
        <f t="shared" si="92"/>
        <v>732</v>
      </c>
      <c r="AL740" s="5">
        <f t="shared" si="93"/>
        <v>105</v>
      </c>
      <c r="AM740" s="5">
        <f t="shared" si="94"/>
        <v>1.02973740913027E+21</v>
      </c>
      <c r="AN740" s="5">
        <f>$AL$4*$AL$3^AL740*$AL$2</f>
        <v>1.0297374091302748E+21</v>
      </c>
      <c r="AO740" s="5">
        <f>IF(AL740=AL741,1,LOOKUP(MOD(AL740,$AL$1),$AN$1:$AN$5,$AO$1:$AO$5))</f>
        <v>1</v>
      </c>
      <c r="AP740" s="5">
        <f t="shared" si="95"/>
        <v>4.6166560509340398E+20</v>
      </c>
      <c r="AQ740" s="5">
        <f>AM740*$AR$3</f>
        <v>1.3729832121736934E+20</v>
      </c>
      <c r="AR740" s="5">
        <f>AM740*AL740*$AR$4</f>
        <v>3.243672838760351E+20</v>
      </c>
      <c r="AS740" s="5">
        <f>SUM($AP$9:AP739)</f>
        <v>1.140115274394667E+22</v>
      </c>
    </row>
    <row r="741" spans="1:45" x14ac:dyDescent="0.15">
      <c r="A741" s="5">
        <v>733</v>
      </c>
      <c r="J741" s="5">
        <f t="shared" si="88"/>
        <v>733</v>
      </c>
      <c r="K741" s="5">
        <f>SUM($AP$9:AP740)</f>
        <v>1.1862818349040074E+22</v>
      </c>
      <c r="L741" s="5">
        <f>LOOKUP(K741,AI:AI,AE:AE)</f>
        <v>842</v>
      </c>
      <c r="M741" s="5">
        <f>LOOKUP(L741,AE:AE,AG:AG)</f>
        <v>5.8438883288582501E+20</v>
      </c>
      <c r="N741" s="5">
        <f>AM741/M741/$K$1</f>
        <v>1.1747171873507891</v>
      </c>
      <c r="O741" s="5">
        <f>SUM($N$9:N741)</f>
        <v>2227.4992174623526</v>
      </c>
      <c r="AE741" s="5">
        <f t="shared" si="89"/>
        <v>733</v>
      </c>
      <c r="AF741" s="5">
        <f t="shared" si="90"/>
        <v>2.5074004884174802E+18</v>
      </c>
      <c r="AG741" s="5">
        <f t="shared" si="91"/>
        <v>2.4937918019131802E+18</v>
      </c>
      <c r="AH741" s="5">
        <f>AG741*$AF$1</f>
        <v>2.4937918019131802E+19</v>
      </c>
      <c r="AI741" s="5">
        <f>SUM($AF$9:AF740)</f>
        <v>4.8719097685398061E+19</v>
      </c>
      <c r="AK741" s="5">
        <f t="shared" si="92"/>
        <v>733</v>
      </c>
      <c r="AL741" s="5">
        <f t="shared" si="93"/>
        <v>105</v>
      </c>
      <c r="AM741" s="5">
        <f t="shared" si="94"/>
        <v>1.02973740913027E+21</v>
      </c>
      <c r="AN741" s="5">
        <f>$AL$4*$AL$3^AL741*$AL$2</f>
        <v>1.0297374091302748E+21</v>
      </c>
      <c r="AO741" s="5">
        <f>IF(AL741=AL742,1,LOOKUP(MOD(AL741,$AL$1),$AN$1:$AN$5,$AO$1:$AO$5))</f>
        <v>1</v>
      </c>
      <c r="AP741" s="5">
        <f t="shared" si="95"/>
        <v>4.6166560509340398E+20</v>
      </c>
      <c r="AQ741" s="5">
        <f>AM741*$AR$3</f>
        <v>1.3729832121736934E+20</v>
      </c>
      <c r="AR741" s="5">
        <f>AM741*AL741*$AR$4</f>
        <v>3.243672838760351E+20</v>
      </c>
      <c r="AS741" s="5">
        <f>SUM($AP$9:AP740)</f>
        <v>1.1862818349040074E+22</v>
      </c>
    </row>
    <row r="742" spans="1:45" x14ac:dyDescent="0.15">
      <c r="A742" s="5">
        <v>734</v>
      </c>
      <c r="J742" s="5">
        <f t="shared" si="88"/>
        <v>734</v>
      </c>
      <c r="K742" s="5">
        <f>SUM($AP$9:AP741)</f>
        <v>1.2324483954133478E+22</v>
      </c>
      <c r="L742" s="5">
        <f>LOOKUP(K742,AI:AI,AE:AE)</f>
        <v>843</v>
      </c>
      <c r="M742" s="5">
        <f>LOOKUP(L742,AE:AE,AG:AG)</f>
        <v>6.1433702544998597E+20</v>
      </c>
      <c r="N742" s="5">
        <f>AM742/M742/$K$1</f>
        <v>1.1174511345527471</v>
      </c>
      <c r="O742" s="5">
        <f>SUM($N$9:N742)</f>
        <v>2228.6166685969051</v>
      </c>
      <c r="AE742" s="5">
        <f t="shared" si="89"/>
        <v>734</v>
      </c>
      <c r="AF742" s="5">
        <f t="shared" si="90"/>
        <v>2.63634279304574E+18</v>
      </c>
      <c r="AG742" s="5">
        <f t="shared" si="91"/>
        <v>2.6220536722162202E+18</v>
      </c>
      <c r="AH742" s="5">
        <f>AG742*$AF$1</f>
        <v>2.6220536722162201E+19</v>
      </c>
      <c r="AI742" s="5">
        <f>SUM($AF$9:AF741)</f>
        <v>5.1226498173815538E+19</v>
      </c>
      <c r="AK742" s="5">
        <f t="shared" si="92"/>
        <v>734</v>
      </c>
      <c r="AL742" s="5">
        <f t="shared" si="93"/>
        <v>105</v>
      </c>
      <c r="AM742" s="5">
        <f t="shared" si="94"/>
        <v>1.02973740913027E+21</v>
      </c>
      <c r="AN742" s="5">
        <f>$AL$4*$AL$3^AL742*$AL$2</f>
        <v>1.0297374091302748E+21</v>
      </c>
      <c r="AO742" s="5">
        <f>IF(AL742=AL743,1,LOOKUP(MOD(AL742,$AL$1),$AN$1:$AN$5,$AO$1:$AO$5))</f>
        <v>1</v>
      </c>
      <c r="AP742" s="5">
        <f t="shared" si="95"/>
        <v>4.6166560509340398E+20</v>
      </c>
      <c r="AQ742" s="5">
        <f>AM742*$AR$3</f>
        <v>1.3729832121736934E+20</v>
      </c>
      <c r="AR742" s="5">
        <f>AM742*AL742*$AR$4</f>
        <v>3.243672838760351E+20</v>
      </c>
      <c r="AS742" s="5">
        <f>SUM($AP$9:AP741)</f>
        <v>1.2324483954133478E+22</v>
      </c>
    </row>
    <row r="743" spans="1:45" x14ac:dyDescent="0.15">
      <c r="A743" s="5">
        <v>735</v>
      </c>
      <c r="J743" s="5">
        <f t="shared" si="88"/>
        <v>735</v>
      </c>
      <c r="K743" s="5">
        <f>SUM($AP$9:AP742)</f>
        <v>1.2786149559226883E+22</v>
      </c>
      <c r="L743" s="5">
        <f>LOOKUP(K743,AI:AI,AE:AE)</f>
        <v>844</v>
      </c>
      <c r="M743" s="5">
        <f>LOOKUP(L743,AE:AE,AG:AG)</f>
        <v>6.4581906518834794E+20</v>
      </c>
      <c r="N743" s="5">
        <f>AM743/M743/$K$1</f>
        <v>10.629782288738053</v>
      </c>
      <c r="O743" s="5">
        <f>SUM($N$9:N743)</f>
        <v>2239.2464508856433</v>
      </c>
      <c r="AE743" s="5">
        <f t="shared" si="89"/>
        <v>735</v>
      </c>
      <c r="AF743" s="5">
        <f t="shared" si="90"/>
        <v>2.7719108269157699E+18</v>
      </c>
      <c r="AG743" s="5">
        <f t="shared" si="91"/>
        <v>2.75690725004478E+18</v>
      </c>
      <c r="AH743" s="5">
        <f>AG743*$AF$1</f>
        <v>2.7569072500447801E+19</v>
      </c>
      <c r="AI743" s="5">
        <f>SUM($AF$9:AF742)</f>
        <v>5.3862840966861275E+19</v>
      </c>
      <c r="AK743" s="5">
        <f t="shared" si="92"/>
        <v>735</v>
      </c>
      <c r="AL743" s="5">
        <f t="shared" si="93"/>
        <v>105</v>
      </c>
      <c r="AM743" s="5">
        <f t="shared" si="94"/>
        <v>1.02973740913027E+22</v>
      </c>
      <c r="AN743" s="5">
        <f>$AL$4*$AL$3^AL743*$AL$2</f>
        <v>1.0297374091302748E+21</v>
      </c>
      <c r="AO743" s="5">
        <f>IF(AL743=AL744,1,LOOKUP(MOD(AL743,$AL$1),$AN$1:$AN$5,$AO$1:$AO$5))</f>
        <v>10</v>
      </c>
      <c r="AP743" s="5">
        <f t="shared" si="95"/>
        <v>4.6166560509340402E+21</v>
      </c>
      <c r="AQ743" s="5">
        <f>AM743*$AR$3</f>
        <v>1.3729832121736933E+21</v>
      </c>
      <c r="AR743" s="5">
        <f>AM743*AL743*$AR$4</f>
        <v>3.2436728387603504E+21</v>
      </c>
      <c r="AS743" s="5">
        <f>SUM($AP$9:AP742)</f>
        <v>1.2786149559226883E+22</v>
      </c>
    </row>
    <row r="744" spans="1:45" x14ac:dyDescent="0.15">
      <c r="A744" s="5">
        <v>736</v>
      </c>
      <c r="J744" s="5">
        <f t="shared" si="88"/>
        <v>736</v>
      </c>
      <c r="K744" s="5">
        <f>SUM($AP$9:AP743)</f>
        <v>1.7402805610160922E+22</v>
      </c>
      <c r="L744" s="5">
        <f>LOOKUP(K744,AI:AI,AE:AE)</f>
        <v>850</v>
      </c>
      <c r="M744" s="5">
        <f>LOOKUP(L744,AE:AE,AG:AG)</f>
        <v>8.7161186825557495E+20</v>
      </c>
      <c r="N744" s="5">
        <f>AM744/M744/$K$1</f>
        <v>1.2365501902967686</v>
      </c>
      <c r="O744" s="5">
        <f>SUM($N$9:N744)</f>
        <v>2240.4830010759401</v>
      </c>
      <c r="AE744" s="5">
        <f t="shared" si="89"/>
        <v>736</v>
      </c>
      <c r="AF744" s="5">
        <f t="shared" si="90"/>
        <v>2.9144448071901998E+18</v>
      </c>
      <c r="AG744" s="5">
        <f t="shared" si="91"/>
        <v>2.8986910514756598E+18</v>
      </c>
      <c r="AH744" s="5">
        <f>AG744*$AF$1</f>
        <v>2.89869105147566E+19</v>
      </c>
      <c r="AI744" s="5">
        <f>SUM($AF$9:AF743)</f>
        <v>5.6634751793777041E+19</v>
      </c>
      <c r="AK744" s="5">
        <f t="shared" si="92"/>
        <v>736</v>
      </c>
      <c r="AL744" s="5">
        <f t="shared" si="93"/>
        <v>106</v>
      </c>
      <c r="AM744" s="5">
        <f t="shared" si="94"/>
        <v>1.6166877323345299E+21</v>
      </c>
      <c r="AN744" s="5">
        <f>$AL$4*$AL$3^AL744*$AL$2</f>
        <v>1.6166877323345314E+21</v>
      </c>
      <c r="AO744" s="5">
        <f>IF(AL744=AL745,1,LOOKUP(MOD(AL744,$AL$1),$AN$1:$AN$5,$AO$1:$AO$5))</f>
        <v>1</v>
      </c>
      <c r="AP744" s="5">
        <f t="shared" si="95"/>
        <v>7.2966506319365105E+20</v>
      </c>
      <c r="AQ744" s="5">
        <f>AM744*$AR$3</f>
        <v>2.1555836431127065E+20</v>
      </c>
      <c r="AR744" s="5">
        <f>AM744*AL744*$AR$4</f>
        <v>5.1410669888238053E+20</v>
      </c>
      <c r="AS744" s="5">
        <f>SUM($AP$9:AP743)</f>
        <v>1.7402805610160922E+22</v>
      </c>
    </row>
    <row r="745" spans="1:45" x14ac:dyDescent="0.15">
      <c r="A745" s="5">
        <v>737</v>
      </c>
      <c r="J745" s="5">
        <f t="shared" si="88"/>
        <v>737</v>
      </c>
      <c r="K745" s="5">
        <f>SUM($AP$9:AP744)</f>
        <v>1.8132470673354573E+22</v>
      </c>
      <c r="L745" s="5">
        <f>LOOKUP(K745,AI:AI,AE:AE)</f>
        <v>851</v>
      </c>
      <c r="M745" s="5">
        <f>LOOKUP(L745,AE:AE,AG:AG)</f>
        <v>9.1626915868208097E+20</v>
      </c>
      <c r="N745" s="5">
        <f>AM745/M745/$K$1</f>
        <v>1.1762829855657251</v>
      </c>
      <c r="O745" s="5">
        <f>SUM($N$9:N745)</f>
        <v>2241.6592840615058</v>
      </c>
      <c r="AE745" s="5">
        <f t="shared" si="89"/>
        <v>737</v>
      </c>
      <c r="AF745" s="5">
        <f t="shared" si="90"/>
        <v>3.06430240842477E+18</v>
      </c>
      <c r="AG745" s="5">
        <f t="shared" si="91"/>
        <v>3.0477609649245102E+18</v>
      </c>
      <c r="AH745" s="5">
        <f>AG745*$AF$1</f>
        <v>3.0477609649245102E+19</v>
      </c>
      <c r="AI745" s="5">
        <f>SUM($AF$9:AF744)</f>
        <v>5.9549196600967242E+19</v>
      </c>
      <c r="AK745" s="5">
        <f t="shared" si="92"/>
        <v>737</v>
      </c>
      <c r="AL745" s="5">
        <f t="shared" si="93"/>
        <v>106</v>
      </c>
      <c r="AM745" s="5">
        <f t="shared" si="94"/>
        <v>1.6166877323345299E+21</v>
      </c>
      <c r="AN745" s="5">
        <f>$AL$4*$AL$3^AL745*$AL$2</f>
        <v>1.6166877323345314E+21</v>
      </c>
      <c r="AO745" s="5">
        <f>IF(AL745=AL746,1,LOOKUP(MOD(AL745,$AL$1),$AN$1:$AN$5,$AO$1:$AO$5))</f>
        <v>1</v>
      </c>
      <c r="AP745" s="5">
        <f t="shared" si="95"/>
        <v>7.2966506319365105E+20</v>
      </c>
      <c r="AQ745" s="5">
        <f>AM745*$AR$3</f>
        <v>2.1555836431127065E+20</v>
      </c>
      <c r="AR745" s="5">
        <f>AM745*AL745*$AR$4</f>
        <v>5.1410669888238053E+20</v>
      </c>
      <c r="AS745" s="5">
        <f>SUM($AP$9:AP744)</f>
        <v>1.8132470673354573E+22</v>
      </c>
    </row>
    <row r="746" spans="1:45" x14ac:dyDescent="0.15">
      <c r="A746" s="5">
        <v>738</v>
      </c>
      <c r="J746" s="5">
        <f t="shared" si="88"/>
        <v>738</v>
      </c>
      <c r="K746" s="5">
        <f>SUM($AP$9:AP745)</f>
        <v>1.8862135736548224E+22</v>
      </c>
      <c r="L746" s="5">
        <f>LOOKUP(K746,AI:AI,AE:AE)</f>
        <v>851</v>
      </c>
      <c r="M746" s="5">
        <f>LOOKUP(L746,AE:AE,AG:AG)</f>
        <v>9.1626915868208097E+20</v>
      </c>
      <c r="N746" s="5">
        <f>AM746/M746/$K$1</f>
        <v>1.1762829855657251</v>
      </c>
      <c r="O746" s="5">
        <f>SUM($N$9:N746)</f>
        <v>2242.8355670470714</v>
      </c>
      <c r="AE746" s="5">
        <f t="shared" si="89"/>
        <v>738</v>
      </c>
      <c r="AF746" s="5">
        <f t="shared" si="90"/>
        <v>3.2218596577648302E+18</v>
      </c>
      <c r="AG746" s="5">
        <f t="shared" si="91"/>
        <v>3.2044911420895498E+18</v>
      </c>
      <c r="AH746" s="5">
        <f>AG746*$AF$1</f>
        <v>3.2044911420895498E+19</v>
      </c>
      <c r="AI746" s="5">
        <f>SUM($AF$9:AF745)</f>
        <v>6.2613499009392009E+19</v>
      </c>
      <c r="AK746" s="5">
        <f t="shared" si="92"/>
        <v>738</v>
      </c>
      <c r="AL746" s="5">
        <f t="shared" si="93"/>
        <v>106</v>
      </c>
      <c r="AM746" s="5">
        <f t="shared" si="94"/>
        <v>1.6166877323345299E+21</v>
      </c>
      <c r="AN746" s="5">
        <f>$AL$4*$AL$3^AL746*$AL$2</f>
        <v>1.6166877323345314E+21</v>
      </c>
      <c r="AO746" s="5">
        <f>IF(AL746=AL747,1,LOOKUP(MOD(AL746,$AL$1),$AN$1:$AN$5,$AO$1:$AO$5))</f>
        <v>1</v>
      </c>
      <c r="AP746" s="5">
        <f t="shared" si="95"/>
        <v>7.2966506319365105E+20</v>
      </c>
      <c r="AQ746" s="5">
        <f>AM746*$AR$3</f>
        <v>2.1555836431127065E+20</v>
      </c>
      <c r="AR746" s="5">
        <f>AM746*AL746*$AR$4</f>
        <v>5.1410669888238053E+20</v>
      </c>
      <c r="AS746" s="5">
        <f>SUM($AP$9:AP745)</f>
        <v>1.8862135736548224E+22</v>
      </c>
    </row>
    <row r="747" spans="1:45" x14ac:dyDescent="0.15">
      <c r="A747" s="5">
        <v>739</v>
      </c>
      <c r="J747" s="5">
        <f t="shared" si="88"/>
        <v>739</v>
      </c>
      <c r="K747" s="5">
        <f>SUM($AP$9:AP746)</f>
        <v>1.9591800799741876E+22</v>
      </c>
      <c r="L747" s="5">
        <f>LOOKUP(K747,AI:AI,AE:AE)</f>
        <v>852</v>
      </c>
      <c r="M747" s="5">
        <f>LOOKUP(L747,AE:AE,AG:AG)</f>
        <v>9.6321314848059897E+20</v>
      </c>
      <c r="N747" s="5">
        <f>AM747/M747/$K$1</f>
        <v>1.1189546397456203</v>
      </c>
      <c r="O747" s="5">
        <f>SUM($N$9:N747)</f>
        <v>2243.9545216868169</v>
      </c>
      <c r="AE747" s="5">
        <f t="shared" si="89"/>
        <v>739</v>
      </c>
      <c r="AF747" s="5">
        <f t="shared" si="90"/>
        <v>3.3875118760178401E+18</v>
      </c>
      <c r="AG747" s="5">
        <f t="shared" si="91"/>
        <v>3.3692749345587901E+18</v>
      </c>
      <c r="AH747" s="5">
        <f>AG747*$AF$1</f>
        <v>3.36927493455879E+19</v>
      </c>
      <c r="AI747" s="5">
        <f>SUM($AF$9:AF746)</f>
        <v>6.583535866715684E+19</v>
      </c>
      <c r="AK747" s="5">
        <f t="shared" si="92"/>
        <v>739</v>
      </c>
      <c r="AL747" s="5">
        <f t="shared" si="93"/>
        <v>106</v>
      </c>
      <c r="AM747" s="5">
        <f t="shared" si="94"/>
        <v>1.6166877323345299E+21</v>
      </c>
      <c r="AN747" s="5">
        <f>$AL$4*$AL$3^AL747*$AL$2</f>
        <v>1.6166877323345314E+21</v>
      </c>
      <c r="AO747" s="5">
        <f>IF(AL747=AL748,1,LOOKUP(MOD(AL747,$AL$1),$AN$1:$AN$5,$AO$1:$AO$5))</f>
        <v>1</v>
      </c>
      <c r="AP747" s="5">
        <f t="shared" si="95"/>
        <v>7.2966506319365105E+20</v>
      </c>
      <c r="AQ747" s="5">
        <f>AM747*$AR$3</f>
        <v>2.1555836431127065E+20</v>
      </c>
      <c r="AR747" s="5">
        <f>AM747*AL747*$AR$4</f>
        <v>5.1410669888238053E+20</v>
      </c>
      <c r="AS747" s="5">
        <f>SUM($AP$9:AP746)</f>
        <v>1.9591800799741876E+22</v>
      </c>
    </row>
    <row r="748" spans="1:45" x14ac:dyDescent="0.15">
      <c r="A748" s="5">
        <v>740</v>
      </c>
      <c r="J748" s="5">
        <f t="shared" si="88"/>
        <v>740</v>
      </c>
      <c r="K748" s="5">
        <f>SUM($AP$9:AP747)</f>
        <v>2.0321465862935527E+22</v>
      </c>
      <c r="L748" s="5">
        <f>LOOKUP(K748,AI:AI,AE:AE)</f>
        <v>853</v>
      </c>
      <c r="M748" s="5">
        <f>LOOKUP(L748,AE:AE,AG:AG)</f>
        <v>1.0125608643622599E+21</v>
      </c>
      <c r="N748" s="5">
        <f>AM748/M748/$K$1</f>
        <v>1.064421764152595</v>
      </c>
      <c r="O748" s="5">
        <f>SUM($N$9:N748)</f>
        <v>2245.0189434509693</v>
      </c>
      <c r="AE748" s="5">
        <f t="shared" si="89"/>
        <v>740</v>
      </c>
      <c r="AF748" s="5">
        <f t="shared" si="90"/>
        <v>3.5616746669517302E+18</v>
      </c>
      <c r="AG748" s="5">
        <f t="shared" si="91"/>
        <v>3.5425258784197299E+18</v>
      </c>
      <c r="AH748" s="5">
        <f>AG748*$AF$1</f>
        <v>3.54252587841973E+19</v>
      </c>
      <c r="AI748" s="5">
        <f>SUM($AF$9:AF747)</f>
        <v>6.9222870543174681E+19</v>
      </c>
      <c r="AK748" s="5">
        <f t="shared" si="92"/>
        <v>740</v>
      </c>
      <c r="AL748" s="5">
        <f t="shared" si="93"/>
        <v>106</v>
      </c>
      <c r="AM748" s="5">
        <f t="shared" si="94"/>
        <v>1.6166877323345299E+21</v>
      </c>
      <c r="AN748" s="5">
        <f>$AL$4*$AL$3^AL748*$AL$2</f>
        <v>1.6166877323345314E+21</v>
      </c>
      <c r="AO748" s="5">
        <f>IF(AL748=AL749,1,LOOKUP(MOD(AL748,$AL$1),$AN$1:$AN$5,$AO$1:$AO$5))</f>
        <v>1</v>
      </c>
      <c r="AP748" s="5">
        <f t="shared" si="95"/>
        <v>7.2966506319365105E+20</v>
      </c>
      <c r="AQ748" s="5">
        <f>AM748*$AR$3</f>
        <v>2.1555836431127065E+20</v>
      </c>
      <c r="AR748" s="5">
        <f>AM748*AL748*$AR$4</f>
        <v>5.1410669888238053E+20</v>
      </c>
      <c r="AS748" s="5">
        <f>SUM($AP$9:AP747)</f>
        <v>2.0321465862935527E+22</v>
      </c>
    </row>
    <row r="749" spans="1:45" x14ac:dyDescent="0.15">
      <c r="A749" s="5">
        <v>741</v>
      </c>
      <c r="J749" s="5">
        <f t="shared" si="88"/>
        <v>741</v>
      </c>
      <c r="K749" s="5">
        <f>SUM($AP$9:AP748)</f>
        <v>2.1051130926129178E+22</v>
      </c>
      <c r="L749" s="5">
        <f>LOOKUP(K749,AI:AI,AE:AE)</f>
        <v>854</v>
      </c>
      <c r="M749" s="5">
        <f>LOOKUP(L749,AE:AE,AG:AG)</f>
        <v>1.0644353189608901E+21</v>
      </c>
      <c r="N749" s="5">
        <f>AM749/M749/$K$1</f>
        <v>1.0125479701373512</v>
      </c>
      <c r="O749" s="5">
        <f>SUM($N$9:N749)</f>
        <v>2246.0314914211067</v>
      </c>
      <c r="AE749" s="5">
        <f t="shared" si="89"/>
        <v>741</v>
      </c>
      <c r="AF749" s="5">
        <f t="shared" si="90"/>
        <v>3.74478495728896E+18</v>
      </c>
      <c r="AG749" s="5">
        <f t="shared" si="91"/>
        <v>3.7246787293303598E+18</v>
      </c>
      <c r="AH749" s="5">
        <f>AG749*$AF$1</f>
        <v>3.7246787293303595E+19</v>
      </c>
      <c r="AI749" s="5">
        <f>SUM($AF$9:AF748)</f>
        <v>7.278454521012641E+19</v>
      </c>
      <c r="AK749" s="5">
        <f t="shared" si="92"/>
        <v>741</v>
      </c>
      <c r="AL749" s="5">
        <f t="shared" si="93"/>
        <v>106</v>
      </c>
      <c r="AM749" s="5">
        <f t="shared" si="94"/>
        <v>1.6166877323345299E+21</v>
      </c>
      <c r="AN749" s="5">
        <f>$AL$4*$AL$3^AL749*$AL$2</f>
        <v>1.6166877323345314E+21</v>
      </c>
      <c r="AO749" s="5">
        <f>IF(AL749=AL750,1,LOOKUP(MOD(AL749,$AL$1),$AN$1:$AN$5,$AO$1:$AO$5))</f>
        <v>1</v>
      </c>
      <c r="AP749" s="5">
        <f t="shared" si="95"/>
        <v>7.2966506319365105E+20</v>
      </c>
      <c r="AQ749" s="5">
        <f>AM749*$AR$3</f>
        <v>2.1555836431127065E+20</v>
      </c>
      <c r="AR749" s="5">
        <f>AM749*AL749*$AR$4</f>
        <v>5.1410669888238053E+20</v>
      </c>
      <c r="AS749" s="5">
        <f>SUM($AP$9:AP748)</f>
        <v>2.1051130926129178E+22</v>
      </c>
    </row>
    <row r="750" spans="1:45" x14ac:dyDescent="0.15">
      <c r="A750" s="5">
        <v>742</v>
      </c>
      <c r="J750" s="5">
        <f t="shared" si="88"/>
        <v>742</v>
      </c>
      <c r="K750" s="5">
        <f>SUM($AP$9:AP749)</f>
        <v>2.1780795989322828E+22</v>
      </c>
      <c r="L750" s="5">
        <f>LOOKUP(K750,AI:AI,AE:AE)</f>
        <v>854</v>
      </c>
      <c r="M750" s="5">
        <f>LOOKUP(L750,AE:AE,AG:AG)</f>
        <v>1.0644353189608901E+21</v>
      </c>
      <c r="N750" s="5">
        <f>AM750/M750/$K$1</f>
        <v>2.0250959402747024</v>
      </c>
      <c r="O750" s="5">
        <f>SUM($N$9:N750)</f>
        <v>2248.0565873613814</v>
      </c>
      <c r="AE750" s="5">
        <f t="shared" si="89"/>
        <v>742</v>
      </c>
      <c r="AF750" s="5">
        <f t="shared" si="90"/>
        <v>3.9373020899925402E+18</v>
      </c>
      <c r="AG750" s="5">
        <f t="shared" si="91"/>
        <v>3.9161905506360202E+18</v>
      </c>
      <c r="AH750" s="5">
        <f>AG750*$AF$1</f>
        <v>3.9161905506360205E+19</v>
      </c>
      <c r="AI750" s="5">
        <f>SUM($AF$9:AF749)</f>
        <v>7.6529330167415374E+19</v>
      </c>
      <c r="AK750" s="5">
        <f t="shared" si="92"/>
        <v>742</v>
      </c>
      <c r="AL750" s="5">
        <f t="shared" si="93"/>
        <v>106</v>
      </c>
      <c r="AM750" s="5">
        <f t="shared" si="94"/>
        <v>3.2333754646690597E+21</v>
      </c>
      <c r="AN750" s="5">
        <f>$AL$4*$AL$3^AL750*$AL$2</f>
        <v>1.6166877323345314E+21</v>
      </c>
      <c r="AO750" s="5">
        <f>IF(AL750=AL751,1,LOOKUP(MOD(AL750,$AL$1),$AN$1:$AN$5,$AO$1:$AO$5))</f>
        <v>2</v>
      </c>
      <c r="AP750" s="5">
        <f t="shared" si="95"/>
        <v>1.4593301263873E+21</v>
      </c>
      <c r="AQ750" s="5">
        <f>AM750*$AR$3</f>
        <v>4.3111672862254131E+20</v>
      </c>
      <c r="AR750" s="5">
        <f>AM750*AL750*$AR$4</f>
        <v>1.0282133977647611E+21</v>
      </c>
      <c r="AS750" s="5">
        <f>SUM($AP$9:AP749)</f>
        <v>2.1780795989322828E+22</v>
      </c>
    </row>
    <row r="751" spans="1:45" x14ac:dyDescent="0.15">
      <c r="A751" s="5">
        <v>743</v>
      </c>
      <c r="J751" s="5">
        <f t="shared" si="88"/>
        <v>743</v>
      </c>
      <c r="K751" s="5">
        <f>SUM($AP$9:AP750)</f>
        <v>2.324012611571013E+22</v>
      </c>
      <c r="L751" s="5">
        <f>LOOKUP(K751,AI:AI,AE:AE)</f>
        <v>856</v>
      </c>
      <c r="M751" s="5">
        <f>LOOKUP(L751,AE:AE,AG:AG)</f>
        <v>1.17628827624842E+21</v>
      </c>
      <c r="N751" s="5">
        <f>AM751/M751/$K$1</f>
        <v>1.4385361088867237</v>
      </c>
      <c r="O751" s="5">
        <f>SUM($N$9:N751)</f>
        <v>2249.495123470268</v>
      </c>
      <c r="AE751" s="5">
        <f t="shared" si="89"/>
        <v>743</v>
      </c>
      <c r="AF751" s="5">
        <f t="shared" si="90"/>
        <v>4.1397089735732598E+18</v>
      </c>
      <c r="AG751" s="5">
        <f t="shared" si="91"/>
        <v>4.1175418572489098E+18</v>
      </c>
      <c r="AH751" s="5">
        <f>AG751*$AF$1</f>
        <v>4.1175418572489097E+19</v>
      </c>
      <c r="AI751" s="5">
        <f>SUM($AF$9:AF750)</f>
        <v>8.046663225740791E+19</v>
      </c>
      <c r="AK751" s="5">
        <f t="shared" si="92"/>
        <v>743</v>
      </c>
      <c r="AL751" s="5">
        <f t="shared" si="93"/>
        <v>107</v>
      </c>
      <c r="AM751" s="5">
        <f t="shared" si="94"/>
        <v>2.5381997397652102E+21</v>
      </c>
      <c r="AN751" s="5">
        <f>$AL$4*$AL$3^AL751*$AL$2</f>
        <v>2.5381997397652139E+21</v>
      </c>
      <c r="AO751" s="5">
        <f>IF(AL751=AL752,1,LOOKUP(MOD(AL751,$AL$1),$AN$1:$AN$5,$AO$1:$AO$5))</f>
        <v>1</v>
      </c>
      <c r="AP751" s="5">
        <f t="shared" si="95"/>
        <v>1.15318874843333E+21</v>
      </c>
      <c r="AQ751" s="5">
        <f>AM751*$AR$3</f>
        <v>3.3842663196869467E+20</v>
      </c>
      <c r="AR751" s="5">
        <f>AM751*AL751*$AR$4</f>
        <v>8.1476211646463253E+20</v>
      </c>
      <c r="AS751" s="5">
        <f>SUM($AP$9:AP750)</f>
        <v>2.324012611571013E+22</v>
      </c>
    </row>
    <row r="752" spans="1:45" x14ac:dyDescent="0.15">
      <c r="A752" s="5">
        <v>744</v>
      </c>
      <c r="J752" s="5">
        <f t="shared" si="88"/>
        <v>744</v>
      </c>
      <c r="K752" s="5">
        <f>SUM($AP$9:AP751)</f>
        <v>2.4393314864143461E+22</v>
      </c>
      <c r="L752" s="5">
        <f>LOOKUP(K752,AI:AI,AE:AE)</f>
        <v>857</v>
      </c>
      <c r="M752" s="5">
        <f>LOOKUP(L752,AE:AE,AG:AG)</f>
        <v>1.2365455670352101E+21</v>
      </c>
      <c r="N752" s="5">
        <f>AM752/M752/$K$1</f>
        <v>1.3684357495216275</v>
      </c>
      <c r="O752" s="5">
        <f>SUM($N$9:N752)</f>
        <v>2250.8635592197897</v>
      </c>
      <c r="AE752" s="5">
        <f t="shared" si="89"/>
        <v>744</v>
      </c>
      <c r="AF752" s="5">
        <f t="shared" si="90"/>
        <v>4.3525132902870702E+18</v>
      </c>
      <c r="AG752" s="5">
        <f t="shared" si="91"/>
        <v>4.3292378181464899E+18</v>
      </c>
      <c r="AH752" s="5">
        <f>AG752*$AF$1</f>
        <v>4.32923781814649E+19</v>
      </c>
      <c r="AI752" s="5">
        <f>SUM($AF$9:AF751)</f>
        <v>8.4606341230981169E+19</v>
      </c>
      <c r="AK752" s="5">
        <f t="shared" si="92"/>
        <v>744</v>
      </c>
      <c r="AL752" s="5">
        <f t="shared" si="93"/>
        <v>107</v>
      </c>
      <c r="AM752" s="5">
        <f t="shared" si="94"/>
        <v>2.5381997397652102E+21</v>
      </c>
      <c r="AN752" s="5">
        <f>$AL$4*$AL$3^AL752*$AL$2</f>
        <v>2.5381997397652139E+21</v>
      </c>
      <c r="AO752" s="5">
        <f>IF(AL752=AL753,1,LOOKUP(MOD(AL752,$AL$1),$AN$1:$AN$5,$AO$1:$AO$5))</f>
        <v>1</v>
      </c>
      <c r="AP752" s="5">
        <f t="shared" si="95"/>
        <v>1.15318874843333E+21</v>
      </c>
      <c r="AQ752" s="5">
        <f>AM752*$AR$3</f>
        <v>3.3842663196869467E+20</v>
      </c>
      <c r="AR752" s="5">
        <f>AM752*AL752*$AR$4</f>
        <v>8.1476211646463253E+20</v>
      </c>
      <c r="AS752" s="5">
        <f>SUM($AP$9:AP751)</f>
        <v>2.4393314864143461E+22</v>
      </c>
    </row>
    <row r="753" spans="1:45" x14ac:dyDescent="0.15">
      <c r="A753" s="5">
        <v>745</v>
      </c>
      <c r="J753" s="5">
        <f t="shared" si="88"/>
        <v>745</v>
      </c>
      <c r="K753" s="5">
        <f>SUM($AP$9:AP752)</f>
        <v>2.5546503612576792E+22</v>
      </c>
      <c r="L753" s="5">
        <f>LOOKUP(K753,AI:AI,AE:AE)</f>
        <v>858</v>
      </c>
      <c r="M753" s="5">
        <f>LOOKUP(L753,AE:AE,AG:AG)</f>
        <v>1.2998878662100601E+21</v>
      </c>
      <c r="N753" s="5">
        <f>AM753/M753/$K$1</f>
        <v>1.301753177200615</v>
      </c>
      <c r="O753" s="5">
        <f>SUM($N$9:N753)</f>
        <v>2252.1653123969904</v>
      </c>
      <c r="AE753" s="5">
        <f t="shared" si="89"/>
        <v>745</v>
      </c>
      <c r="AF753" s="5">
        <f t="shared" si="90"/>
        <v>4.5762487662383201E+18</v>
      </c>
      <c r="AG753" s="5">
        <f t="shared" si="91"/>
        <v>4.5518095204907203E+18</v>
      </c>
      <c r="AH753" s="5">
        <f>AG753*$AF$1</f>
        <v>4.5518095204907205E+19</v>
      </c>
      <c r="AI753" s="5">
        <f>SUM($AF$9:AF752)</f>
        <v>8.895885452126824E+19</v>
      </c>
      <c r="AK753" s="5">
        <f t="shared" si="92"/>
        <v>745</v>
      </c>
      <c r="AL753" s="5">
        <f t="shared" si="93"/>
        <v>107</v>
      </c>
      <c r="AM753" s="5">
        <f t="shared" si="94"/>
        <v>2.5381997397652102E+21</v>
      </c>
      <c r="AN753" s="5">
        <f>$AL$4*$AL$3^AL753*$AL$2</f>
        <v>2.5381997397652139E+21</v>
      </c>
      <c r="AO753" s="5">
        <f>IF(AL753=AL754,1,LOOKUP(MOD(AL753,$AL$1),$AN$1:$AN$5,$AO$1:$AO$5))</f>
        <v>1</v>
      </c>
      <c r="AP753" s="5">
        <f t="shared" si="95"/>
        <v>1.15318874843333E+21</v>
      </c>
      <c r="AQ753" s="5">
        <f>AM753*$AR$3</f>
        <v>3.3842663196869467E+20</v>
      </c>
      <c r="AR753" s="5">
        <f>AM753*AL753*$AR$4</f>
        <v>8.1476211646463253E+20</v>
      </c>
      <c r="AS753" s="5">
        <f>SUM($AP$9:AP752)</f>
        <v>2.5546503612576792E+22</v>
      </c>
    </row>
    <row r="754" spans="1:45" x14ac:dyDescent="0.15">
      <c r="A754" s="5">
        <v>746</v>
      </c>
      <c r="J754" s="5">
        <f t="shared" si="88"/>
        <v>746</v>
      </c>
      <c r="K754" s="5">
        <f>SUM($AP$9:AP753)</f>
        <v>2.6699692361010123E+22</v>
      </c>
      <c r="L754" s="5">
        <f>LOOKUP(K754,AI:AI,AE:AE)</f>
        <v>858</v>
      </c>
      <c r="M754" s="5">
        <f>LOOKUP(L754,AE:AE,AG:AG)</f>
        <v>1.2998878662100601E+21</v>
      </c>
      <c r="N754" s="5">
        <f>AM754/M754/$K$1</f>
        <v>1.301753177200615</v>
      </c>
      <c r="O754" s="5">
        <f>SUM($N$9:N754)</f>
        <v>2253.4670655741911</v>
      </c>
      <c r="AE754" s="5">
        <f t="shared" si="89"/>
        <v>746</v>
      </c>
      <c r="AF754" s="5">
        <f t="shared" si="90"/>
        <v>4.8114765065589801E+18</v>
      </c>
      <c r="AG754" s="5">
        <f t="shared" si="91"/>
        <v>4.7858152985240003E+18</v>
      </c>
      <c r="AH754" s="5">
        <f>AG754*$AF$1</f>
        <v>4.7858152985240003E+19</v>
      </c>
      <c r="AI754" s="5">
        <f>SUM($AF$9:AF753)</f>
        <v>9.3535103287506567E+19</v>
      </c>
      <c r="AK754" s="5">
        <f t="shared" si="92"/>
        <v>746</v>
      </c>
      <c r="AL754" s="5">
        <f t="shared" si="93"/>
        <v>107</v>
      </c>
      <c r="AM754" s="5">
        <f t="shared" si="94"/>
        <v>2.5381997397652102E+21</v>
      </c>
      <c r="AN754" s="5">
        <f>$AL$4*$AL$3^AL754*$AL$2</f>
        <v>2.5381997397652139E+21</v>
      </c>
      <c r="AO754" s="5">
        <f>IF(AL754=AL755,1,LOOKUP(MOD(AL754,$AL$1),$AN$1:$AN$5,$AO$1:$AO$5))</f>
        <v>1</v>
      </c>
      <c r="AP754" s="5">
        <f t="shared" si="95"/>
        <v>1.15318874843333E+21</v>
      </c>
      <c r="AQ754" s="5">
        <f>AM754*$AR$3</f>
        <v>3.3842663196869467E+20</v>
      </c>
      <c r="AR754" s="5">
        <f>AM754*AL754*$AR$4</f>
        <v>8.1476211646463253E+20</v>
      </c>
      <c r="AS754" s="5">
        <f>SUM($AP$9:AP753)</f>
        <v>2.6699692361010123E+22</v>
      </c>
    </row>
    <row r="755" spans="1:45" x14ac:dyDescent="0.15">
      <c r="A755" s="5">
        <v>747</v>
      </c>
      <c r="J755" s="5">
        <f t="shared" si="88"/>
        <v>747</v>
      </c>
      <c r="K755" s="5">
        <f>SUM($AP$9:AP754)</f>
        <v>2.7852881109443454E+22</v>
      </c>
      <c r="L755" s="5">
        <f>LOOKUP(K755,AI:AI,AE:AE)</f>
        <v>859</v>
      </c>
      <c r="M755" s="5">
        <f>LOOKUP(L755,AE:AE,AG:AG)</f>
        <v>1.3664730313848101E+21</v>
      </c>
      <c r="N755" s="5">
        <f>AM755/M755/$K$1</f>
        <v>1.2383216653230493</v>
      </c>
      <c r="O755" s="5">
        <f>SUM($N$9:N755)</f>
        <v>2254.705387239514</v>
      </c>
      <c r="AE755" s="5">
        <f t="shared" si="89"/>
        <v>747</v>
      </c>
      <c r="AF755" s="5">
        <f t="shared" si="90"/>
        <v>5.0587863989961103E+18</v>
      </c>
      <c r="AG755" s="5">
        <f t="shared" si="91"/>
        <v>5.0318421305593805E+18</v>
      </c>
      <c r="AH755" s="5">
        <f>AG755*$AF$1</f>
        <v>5.0318421305593807E+19</v>
      </c>
      <c r="AI755" s="5">
        <f>SUM($AF$9:AF754)</f>
        <v>9.8346579794065555E+19</v>
      </c>
      <c r="AK755" s="5">
        <f t="shared" si="92"/>
        <v>747</v>
      </c>
      <c r="AL755" s="5">
        <f t="shared" si="93"/>
        <v>107</v>
      </c>
      <c r="AM755" s="5">
        <f t="shared" si="94"/>
        <v>2.5381997397652102E+21</v>
      </c>
      <c r="AN755" s="5">
        <f>$AL$4*$AL$3^AL755*$AL$2</f>
        <v>2.5381997397652139E+21</v>
      </c>
      <c r="AO755" s="5">
        <f>IF(AL755=AL756,1,LOOKUP(MOD(AL755,$AL$1),$AN$1:$AN$5,$AO$1:$AO$5))</f>
        <v>1</v>
      </c>
      <c r="AP755" s="5">
        <f t="shared" si="95"/>
        <v>1.15318874843333E+21</v>
      </c>
      <c r="AQ755" s="5">
        <f>AM755*$AR$3</f>
        <v>3.3842663196869467E+20</v>
      </c>
      <c r="AR755" s="5">
        <f>AM755*AL755*$AR$4</f>
        <v>8.1476211646463253E+20</v>
      </c>
      <c r="AS755" s="5">
        <f>SUM($AP$9:AP754)</f>
        <v>2.7852881109443454E+22</v>
      </c>
    </row>
    <row r="756" spans="1:45" x14ac:dyDescent="0.15">
      <c r="A756" s="5">
        <v>748</v>
      </c>
      <c r="J756" s="5">
        <f t="shared" si="88"/>
        <v>748</v>
      </c>
      <c r="K756" s="5">
        <f>SUM($AP$9:AP755)</f>
        <v>2.9006069857876785E+22</v>
      </c>
      <c r="L756" s="5">
        <f>LOOKUP(K756,AI:AI,AE:AE)</f>
        <v>860</v>
      </c>
      <c r="M756" s="5">
        <f>LOOKUP(L756,AE:AE,AG:AG)</f>
        <v>1.43646699341151E+21</v>
      </c>
      <c r="N756" s="5">
        <f>AM756/M756/$K$1</f>
        <v>1.1779826251522663</v>
      </c>
      <c r="O756" s="5">
        <f>SUM($N$9:N756)</f>
        <v>2255.8833698646663</v>
      </c>
      <c r="AE756" s="5">
        <f t="shared" si="89"/>
        <v>748</v>
      </c>
      <c r="AF756" s="5">
        <f t="shared" si="90"/>
        <v>5.31879858941056E+18</v>
      </c>
      <c r="AG756" s="5">
        <f t="shared" si="91"/>
        <v>5.2905071075519898E+18</v>
      </c>
      <c r="AH756" s="5">
        <f>AG756*$AF$1</f>
        <v>5.2905071075519898E+19</v>
      </c>
      <c r="AI756" s="5">
        <f>SUM($AF$9:AF755)</f>
        <v>1.0340536619306166E+20</v>
      </c>
      <c r="AK756" s="5">
        <f t="shared" si="92"/>
        <v>748</v>
      </c>
      <c r="AL756" s="5">
        <f t="shared" si="93"/>
        <v>107</v>
      </c>
      <c r="AM756" s="5">
        <f t="shared" si="94"/>
        <v>2.5381997397652102E+21</v>
      </c>
      <c r="AN756" s="5">
        <f>$AL$4*$AL$3^AL756*$AL$2</f>
        <v>2.5381997397652139E+21</v>
      </c>
      <c r="AO756" s="5">
        <f>IF(AL756=AL757,1,LOOKUP(MOD(AL756,$AL$1),$AN$1:$AN$5,$AO$1:$AO$5))</f>
        <v>1</v>
      </c>
      <c r="AP756" s="5">
        <f t="shared" si="95"/>
        <v>1.15318874843333E+21</v>
      </c>
      <c r="AQ756" s="5">
        <f>AM756*$AR$3</f>
        <v>3.3842663196869467E+20</v>
      </c>
      <c r="AR756" s="5">
        <f>AM756*AL756*$AR$4</f>
        <v>8.1476211646463253E+20</v>
      </c>
      <c r="AS756" s="5">
        <f>SUM($AP$9:AP755)</f>
        <v>2.9006069857876785E+22</v>
      </c>
    </row>
    <row r="757" spans="1:45" x14ac:dyDescent="0.15">
      <c r="A757" s="5">
        <v>749</v>
      </c>
      <c r="J757" s="5">
        <f t="shared" si="88"/>
        <v>749</v>
      </c>
      <c r="K757" s="5">
        <f>SUM($AP$9:AP756)</f>
        <v>3.0159258606310116E+22</v>
      </c>
      <c r="L757" s="5">
        <f>LOOKUP(K757,AI:AI,AE:AE)</f>
        <v>861</v>
      </c>
      <c r="M757" s="5">
        <f>LOOKUP(L757,AE:AE,AG:AG)</f>
        <v>1.5100441690624101E+21</v>
      </c>
      <c r="N757" s="5">
        <f>AM757/M757/$K$1</f>
        <v>4.4823408334979566</v>
      </c>
      <c r="O757" s="5">
        <f>SUM($N$9:N757)</f>
        <v>2260.3657106981641</v>
      </c>
      <c r="AE757" s="5">
        <f t="shared" si="89"/>
        <v>749</v>
      </c>
      <c r="AF757" s="5">
        <f t="shared" si="90"/>
        <v>5.5921650328689603E+18</v>
      </c>
      <c r="AG757" s="5">
        <f t="shared" si="91"/>
        <v>5.5624589769174702E+18</v>
      </c>
      <c r="AH757" s="5">
        <f>AG757*$AF$1</f>
        <v>5.5624589769174704E+19</v>
      </c>
      <c r="AI757" s="5">
        <f>SUM($AF$9:AF756)</f>
        <v>1.0872416478247222E+20</v>
      </c>
      <c r="AK757" s="5">
        <f t="shared" si="92"/>
        <v>749</v>
      </c>
      <c r="AL757" s="5">
        <f t="shared" si="93"/>
        <v>107</v>
      </c>
      <c r="AM757" s="5">
        <f t="shared" si="94"/>
        <v>1.01527989590609E+22</v>
      </c>
      <c r="AN757" s="5">
        <f>$AL$4*$AL$3^AL757*$AL$2</f>
        <v>2.5381997397652139E+21</v>
      </c>
      <c r="AO757" s="5">
        <f>IF(AL757=AL758,1,LOOKUP(MOD(AL757,$AL$1),$AN$1:$AN$5,$AO$1:$AO$5))</f>
        <v>4</v>
      </c>
      <c r="AP757" s="5">
        <f t="shared" si="95"/>
        <v>4.61275499373334E+21</v>
      </c>
      <c r="AQ757" s="5">
        <f>AM757*$AR$3</f>
        <v>1.3537065278747865E+21</v>
      </c>
      <c r="AR757" s="5">
        <f>AM757*AL757*$AR$4</f>
        <v>3.259048465858549E+21</v>
      </c>
      <c r="AS757" s="5">
        <f>SUM($AP$9:AP756)</f>
        <v>3.0159258606310116E+22</v>
      </c>
    </row>
    <row r="758" spans="1:45" x14ac:dyDescent="0.15">
      <c r="A758" s="5">
        <v>750</v>
      </c>
      <c r="J758" s="5">
        <f t="shared" si="88"/>
        <v>750</v>
      </c>
      <c r="K758" s="5">
        <f>SUM($AP$9:AP757)</f>
        <v>3.4772013600043457E+22</v>
      </c>
      <c r="L758" s="5">
        <f>LOOKUP(K758,AI:AI,AE:AE)</f>
        <v>864</v>
      </c>
      <c r="M758" s="5">
        <f>LOOKUP(L758,AE:AE,AG:AG)</f>
        <v>1.7541556996123001E+21</v>
      </c>
      <c r="N758" s="5">
        <f>AM758/M758/$K$1</f>
        <v>1.5144887432406524</v>
      </c>
      <c r="O758" s="5">
        <f>SUM($N$9:N758)</f>
        <v>2261.8801994414048</v>
      </c>
      <c r="AE758" s="5">
        <f t="shared" si="89"/>
        <v>750</v>
      </c>
      <c r="AF758" s="5">
        <f t="shared" si="90"/>
        <v>5.87957112419968E+18</v>
      </c>
      <c r="AG758" s="5">
        <f t="shared" si="91"/>
        <v>5.8483797654506097E+18</v>
      </c>
      <c r="AH758" s="5">
        <f>AG758*$AF$1</f>
        <v>5.8483797654506095E+19</v>
      </c>
      <c r="AI758" s="5">
        <f>SUM($AF$9:AF757)</f>
        <v>1.1431632981534117E+20</v>
      </c>
      <c r="AK758" s="5">
        <f t="shared" si="92"/>
        <v>750</v>
      </c>
      <c r="AL758" s="5">
        <f t="shared" si="93"/>
        <v>108</v>
      </c>
      <c r="AM758" s="5">
        <f t="shared" si="94"/>
        <v>3.9849735914313902E+21</v>
      </c>
      <c r="AN758" s="5">
        <f>$AL$4*$AL$3^AL758*$AL$2</f>
        <v>3.9849735914313865E+21</v>
      </c>
      <c r="AO758" s="5">
        <f>IF(AL758=AL759,1,LOOKUP(MOD(AL758,$AL$1),$AN$1:$AN$5,$AO$1:$AO$5))</f>
        <v>1</v>
      </c>
      <c r="AP758" s="5">
        <f t="shared" si="95"/>
        <v>1.8224612558146201E+21</v>
      </c>
      <c r="AQ758" s="5">
        <f>AM758*$AR$3</f>
        <v>5.3132981219085202E+20</v>
      </c>
      <c r="AR758" s="5">
        <f>AM758*AL758*$AR$4</f>
        <v>1.2911314436237705E+21</v>
      </c>
      <c r="AS758" s="5">
        <f>SUM($AP$9:AP757)</f>
        <v>3.4772013600043457E+22</v>
      </c>
    </row>
    <row r="759" spans="1:45" x14ac:dyDescent="0.15">
      <c r="A759" s="5">
        <v>751</v>
      </c>
      <c r="J759" s="5">
        <f t="shared" si="88"/>
        <v>751</v>
      </c>
      <c r="K759" s="5">
        <f>SUM($AP$9:AP758)</f>
        <v>3.6594474855858077E+22</v>
      </c>
      <c r="L759" s="5">
        <f>LOOKUP(K759,AI:AI,AE:AE)</f>
        <v>865</v>
      </c>
      <c r="M759" s="5">
        <f>LOOKUP(L759,AE:AE,AG:AG)</f>
        <v>1.84399527103342E+21</v>
      </c>
      <c r="N759" s="5">
        <f>AM759/M759/$K$1</f>
        <v>1.4407027516211628</v>
      </c>
      <c r="O759" s="5">
        <f>SUM($N$9:N759)</f>
        <v>2263.3209021930261</v>
      </c>
      <c r="AE759" s="5">
        <f t="shared" si="89"/>
        <v>751</v>
      </c>
      <c r="AF759" s="5">
        <f t="shared" si="90"/>
        <v>6.1817374120812902E+18</v>
      </c>
      <c r="AG759" s="5">
        <f t="shared" si="91"/>
        <v>6.1489864853947699E+18</v>
      </c>
      <c r="AH759" s="5">
        <f>AG759*$AF$1</f>
        <v>6.1489864853947695E+19</v>
      </c>
      <c r="AI759" s="5">
        <f>SUM($AF$9:AF758)</f>
        <v>1.2019590093954086E+20</v>
      </c>
      <c r="AK759" s="5">
        <f t="shared" si="92"/>
        <v>751</v>
      </c>
      <c r="AL759" s="5">
        <f t="shared" si="93"/>
        <v>108</v>
      </c>
      <c r="AM759" s="5">
        <f t="shared" si="94"/>
        <v>3.9849735914313902E+21</v>
      </c>
      <c r="AN759" s="5">
        <f>$AL$4*$AL$3^AL759*$AL$2</f>
        <v>3.9849735914313865E+21</v>
      </c>
      <c r="AO759" s="5">
        <f>IF(AL759=AL760,1,LOOKUP(MOD(AL759,$AL$1),$AN$1:$AN$5,$AO$1:$AO$5))</f>
        <v>1</v>
      </c>
      <c r="AP759" s="5">
        <f t="shared" si="95"/>
        <v>1.8224612558146201E+21</v>
      </c>
      <c r="AQ759" s="5">
        <f>AM759*$AR$3</f>
        <v>5.3132981219085202E+20</v>
      </c>
      <c r="AR759" s="5">
        <f>AM759*AL759*$AR$4</f>
        <v>1.2911314436237705E+21</v>
      </c>
      <c r="AS759" s="5">
        <f>SUM($AP$9:AP758)</f>
        <v>3.6594474855858077E+22</v>
      </c>
    </row>
    <row r="760" spans="1:45" x14ac:dyDescent="0.15">
      <c r="A760" s="5">
        <v>752</v>
      </c>
      <c r="J760" s="5">
        <f t="shared" si="88"/>
        <v>752</v>
      </c>
      <c r="K760" s="5">
        <f>SUM($AP$9:AP759)</f>
        <v>3.8416936111672698E+22</v>
      </c>
      <c r="L760" s="5">
        <f>LOOKUP(K760,AI:AI,AE:AE)</f>
        <v>866</v>
      </c>
      <c r="M760" s="5">
        <f>LOOKUP(L760,AE:AE,AG:AG)</f>
        <v>1.9384334103476201E+21</v>
      </c>
      <c r="N760" s="5">
        <f>AM760/M760/$K$1</f>
        <v>1.3705134500740173</v>
      </c>
      <c r="O760" s="5">
        <f>SUM($N$9:N760)</f>
        <v>2264.6914156431003</v>
      </c>
      <c r="AE760" s="5">
        <f t="shared" si="89"/>
        <v>752</v>
      </c>
      <c r="AF760" s="5">
        <f t="shared" si="90"/>
        <v>6.4994214009405696E+18</v>
      </c>
      <c r="AG760" s="5">
        <f t="shared" si="91"/>
        <v>6.4650329279197204E+18</v>
      </c>
      <c r="AH760" s="5">
        <f>AG760*$AF$1</f>
        <v>6.46503292791972E+19</v>
      </c>
      <c r="AI760" s="5">
        <f>SUM($AF$9:AF759)</f>
        <v>1.2637763835162214E+20</v>
      </c>
      <c r="AK760" s="5">
        <f t="shared" si="92"/>
        <v>752</v>
      </c>
      <c r="AL760" s="5">
        <f t="shared" si="93"/>
        <v>108</v>
      </c>
      <c r="AM760" s="5">
        <f t="shared" si="94"/>
        <v>3.9849735914313902E+21</v>
      </c>
      <c r="AN760" s="5">
        <f>$AL$4*$AL$3^AL760*$AL$2</f>
        <v>3.9849735914313865E+21</v>
      </c>
      <c r="AO760" s="5">
        <f>IF(AL760=AL761,1,LOOKUP(MOD(AL760,$AL$1),$AN$1:$AN$5,$AO$1:$AO$5))</f>
        <v>1</v>
      </c>
      <c r="AP760" s="5">
        <f t="shared" si="95"/>
        <v>1.8224612558146201E+21</v>
      </c>
      <c r="AQ760" s="5">
        <f>AM760*$AR$3</f>
        <v>5.3132981219085202E+20</v>
      </c>
      <c r="AR760" s="5">
        <f>AM760*AL760*$AR$4</f>
        <v>1.2911314436237705E+21</v>
      </c>
      <c r="AS760" s="5">
        <f>SUM($AP$9:AP759)</f>
        <v>3.8416936111672698E+22</v>
      </c>
    </row>
    <row r="761" spans="1:45" x14ac:dyDescent="0.15">
      <c r="A761" s="5">
        <v>753</v>
      </c>
      <c r="J761" s="5">
        <f t="shared" si="88"/>
        <v>753</v>
      </c>
      <c r="K761" s="5">
        <f>SUM($AP$9:AP760)</f>
        <v>4.0239397367487314E+22</v>
      </c>
      <c r="L761" s="5">
        <f>LOOKUP(K761,AI:AI,AE:AE)</f>
        <v>867</v>
      </c>
      <c r="M761" s="5">
        <f>LOOKUP(L761,AE:AE,AG:AG)</f>
        <v>2.03770537541565E+21</v>
      </c>
      <c r="N761" s="5">
        <f>AM761/M761/$K$1</f>
        <v>1.3037454251267107</v>
      </c>
      <c r="O761" s="5">
        <f>SUM($N$9:N761)</f>
        <v>2265.9951610682269</v>
      </c>
      <c r="AE761" s="5">
        <f t="shared" si="89"/>
        <v>753</v>
      </c>
      <c r="AF761" s="5">
        <f t="shared" si="90"/>
        <v>6.8334194451555697E+18</v>
      </c>
      <c r="AG761" s="5">
        <f t="shared" si="91"/>
        <v>6.7973115484836803E+18</v>
      </c>
      <c r="AH761" s="5">
        <f>AG761*$AF$1</f>
        <v>6.7973115484836807E+19</v>
      </c>
      <c r="AI761" s="5">
        <f>SUM($AF$9:AF760)</f>
        <v>1.3287705975256272E+20</v>
      </c>
      <c r="AK761" s="5">
        <f t="shared" si="92"/>
        <v>753</v>
      </c>
      <c r="AL761" s="5">
        <f t="shared" si="93"/>
        <v>108</v>
      </c>
      <c r="AM761" s="5">
        <f t="shared" si="94"/>
        <v>3.9849735914313902E+21</v>
      </c>
      <c r="AN761" s="5">
        <f>$AL$4*$AL$3^AL761*$AL$2</f>
        <v>3.9849735914313865E+21</v>
      </c>
      <c r="AO761" s="5">
        <f>IF(AL761=AL762,1,LOOKUP(MOD(AL761,$AL$1),$AN$1:$AN$5,$AO$1:$AO$5))</f>
        <v>1</v>
      </c>
      <c r="AP761" s="5">
        <f t="shared" si="95"/>
        <v>1.8224612558146201E+21</v>
      </c>
      <c r="AQ761" s="5">
        <f>AM761*$AR$3</f>
        <v>5.3132981219085202E+20</v>
      </c>
      <c r="AR761" s="5">
        <f>AM761*AL761*$AR$4</f>
        <v>1.2911314436237705E+21</v>
      </c>
      <c r="AS761" s="5">
        <f>SUM($AP$9:AP760)</f>
        <v>4.0239397367487314E+22</v>
      </c>
    </row>
    <row r="762" spans="1:45" x14ac:dyDescent="0.15">
      <c r="A762" s="5">
        <v>754</v>
      </c>
      <c r="J762" s="5">
        <f t="shared" si="88"/>
        <v>754</v>
      </c>
      <c r="K762" s="5">
        <f>SUM($AP$9:AP761)</f>
        <v>4.206185862330193E+22</v>
      </c>
      <c r="L762" s="5">
        <f>LOOKUP(K762,AI:AI,AE:AE)</f>
        <v>868</v>
      </c>
      <c r="M762" s="5">
        <f>LOOKUP(L762,AE:AE,AG:AG)</f>
        <v>2.1420584534646199E+21</v>
      </c>
      <c r="N762" s="5">
        <f>AM762/M762/$K$1</f>
        <v>1.2402318231126366</v>
      </c>
      <c r="O762" s="5">
        <f>SUM($N$9:N762)</f>
        <v>2267.2353928913394</v>
      </c>
      <c r="AE762" s="5">
        <f t="shared" si="89"/>
        <v>754</v>
      </c>
      <c r="AF762" s="5">
        <f t="shared" si="90"/>
        <v>7.1845687402897203E+18</v>
      </c>
      <c r="AG762" s="5">
        <f t="shared" si="91"/>
        <v>7.1466554487842396E+18</v>
      </c>
      <c r="AH762" s="5">
        <f>AG762*$AF$1</f>
        <v>7.1466554487842398E+19</v>
      </c>
      <c r="AI762" s="5">
        <f>SUM($AF$9:AF761)</f>
        <v>1.3971047919771828E+20</v>
      </c>
      <c r="AK762" s="5">
        <f t="shared" si="92"/>
        <v>754</v>
      </c>
      <c r="AL762" s="5">
        <f t="shared" si="93"/>
        <v>108</v>
      </c>
      <c r="AM762" s="5">
        <f t="shared" si="94"/>
        <v>3.9849735914313902E+21</v>
      </c>
      <c r="AN762" s="5">
        <f>$AL$4*$AL$3^AL762*$AL$2</f>
        <v>3.9849735914313865E+21</v>
      </c>
      <c r="AO762" s="5">
        <f>IF(AL762=AL763,1,LOOKUP(MOD(AL762,$AL$1),$AN$1:$AN$5,$AO$1:$AO$5))</f>
        <v>1</v>
      </c>
      <c r="AP762" s="5">
        <f t="shared" si="95"/>
        <v>1.8224612558146201E+21</v>
      </c>
      <c r="AQ762" s="5">
        <f>AM762*$AR$3</f>
        <v>5.3132981219085202E+20</v>
      </c>
      <c r="AR762" s="5">
        <f>AM762*AL762*$AR$4</f>
        <v>1.2911314436237705E+21</v>
      </c>
      <c r="AS762" s="5">
        <f>SUM($AP$9:AP761)</f>
        <v>4.206185862330193E+22</v>
      </c>
    </row>
    <row r="763" spans="1:45" x14ac:dyDescent="0.15">
      <c r="A763" s="5">
        <v>755</v>
      </c>
      <c r="J763" s="5">
        <f t="shared" si="88"/>
        <v>755</v>
      </c>
      <c r="K763" s="5">
        <f>SUM($AP$9:AP762)</f>
        <v>4.3884319879116546E+22</v>
      </c>
      <c r="L763" s="5">
        <f>LOOKUP(K763,AI:AI,AE:AE)</f>
        <v>868</v>
      </c>
      <c r="M763" s="5">
        <f>LOOKUP(L763,AE:AE,AG:AG)</f>
        <v>2.1420584534646199E+21</v>
      </c>
      <c r="N763" s="5">
        <f>AM763/M763/$K$1</f>
        <v>1.2402318231126366</v>
      </c>
      <c r="O763" s="5">
        <f>SUM($N$9:N763)</f>
        <v>2268.4756247144519</v>
      </c>
      <c r="AE763" s="5">
        <f t="shared" si="89"/>
        <v>755</v>
      </c>
      <c r="AF763" s="5">
        <f t="shared" si="90"/>
        <v>7.5537494163244001E+18</v>
      </c>
      <c r="AG763" s="5">
        <f t="shared" si="91"/>
        <v>7.5139404602436403E+18</v>
      </c>
      <c r="AH763" s="5">
        <f>AG763*$AF$1</f>
        <v>7.5139404602436403E+19</v>
      </c>
      <c r="AI763" s="5">
        <f>SUM($AF$9:AF762)</f>
        <v>1.4689504793800801E+20</v>
      </c>
      <c r="AK763" s="5">
        <f t="shared" si="92"/>
        <v>755</v>
      </c>
      <c r="AL763" s="5">
        <f t="shared" si="93"/>
        <v>108</v>
      </c>
      <c r="AM763" s="5">
        <f t="shared" si="94"/>
        <v>3.9849735914313902E+21</v>
      </c>
      <c r="AN763" s="5">
        <f>$AL$4*$AL$3^AL763*$AL$2</f>
        <v>3.9849735914313865E+21</v>
      </c>
      <c r="AO763" s="5">
        <f>IF(AL763=AL764,1,LOOKUP(MOD(AL763,$AL$1),$AN$1:$AN$5,$AO$1:$AO$5))</f>
        <v>1</v>
      </c>
      <c r="AP763" s="5">
        <f t="shared" si="95"/>
        <v>1.8224612558146201E+21</v>
      </c>
      <c r="AQ763" s="5">
        <f>AM763*$AR$3</f>
        <v>5.3132981219085202E+20</v>
      </c>
      <c r="AR763" s="5">
        <f>AM763*AL763*$AR$4</f>
        <v>1.2911314436237705E+21</v>
      </c>
      <c r="AS763" s="5">
        <f>SUM($AP$9:AP762)</f>
        <v>4.3884319879116546E+22</v>
      </c>
    </row>
    <row r="764" spans="1:45" x14ac:dyDescent="0.15">
      <c r="A764" s="5">
        <v>756</v>
      </c>
      <c r="J764" s="5">
        <f t="shared" si="88"/>
        <v>756</v>
      </c>
      <c r="K764" s="5">
        <f>SUM($AP$9:AP763)</f>
        <v>4.5706781134931163E+22</v>
      </c>
      <c r="L764" s="5">
        <f>LOOKUP(K764,AI:AI,AE:AE)</f>
        <v>869</v>
      </c>
      <c r="M764" s="5">
        <f>LOOKUP(L764,AE:AE,AG:AG)</f>
        <v>2.2517525758799399E+21</v>
      </c>
      <c r="N764" s="5">
        <f>AM764/M764/$K$1</f>
        <v>7.0788835933701728</v>
      </c>
      <c r="O764" s="5">
        <f>SUM($N$9:N764)</f>
        <v>2275.5545083078223</v>
      </c>
      <c r="AE764" s="5">
        <f t="shared" si="89"/>
        <v>756</v>
      </c>
      <c r="AF764" s="5">
        <f t="shared" si="90"/>
        <v>7.9418867381118198E+18</v>
      </c>
      <c r="AG764" s="5">
        <f t="shared" si="91"/>
        <v>7.9000873342270198E+18</v>
      </c>
      <c r="AH764" s="5">
        <f>AG764*$AF$1</f>
        <v>7.9000873342270194E+19</v>
      </c>
      <c r="AI764" s="5">
        <f>SUM($AF$9:AF763)</f>
        <v>1.5444879735433242E+20</v>
      </c>
      <c r="AK764" s="5">
        <f t="shared" si="92"/>
        <v>756</v>
      </c>
      <c r="AL764" s="5">
        <f t="shared" si="93"/>
        <v>108</v>
      </c>
      <c r="AM764" s="5">
        <f t="shared" si="94"/>
        <v>2.3909841548588299E+22</v>
      </c>
      <c r="AN764" s="5">
        <f>$AL$4*$AL$3^AL764*$AL$2</f>
        <v>3.9849735914313865E+21</v>
      </c>
      <c r="AO764" s="5">
        <f>IF(AL764=AL765,1,LOOKUP(MOD(AL764,$AL$1),$AN$1:$AN$5,$AO$1:$AO$5))</f>
        <v>6</v>
      </c>
      <c r="AP764" s="5">
        <f t="shared" si="95"/>
        <v>1.0934767534887699E+22</v>
      </c>
      <c r="AQ764" s="5">
        <f>AM764*$AR$3</f>
        <v>3.1879788731451064E+21</v>
      </c>
      <c r="AR764" s="5">
        <f>AM764*AL764*$AR$4</f>
        <v>7.7467886617426091E+21</v>
      </c>
      <c r="AS764" s="5">
        <f>SUM($AP$9:AP763)</f>
        <v>4.5706781134931163E+22</v>
      </c>
    </row>
    <row r="765" spans="1:45" x14ac:dyDescent="0.15">
      <c r="A765" s="5">
        <v>757</v>
      </c>
      <c r="J765" s="5">
        <f t="shared" si="88"/>
        <v>757</v>
      </c>
      <c r="K765" s="5">
        <f>SUM($AP$9:AP764)</f>
        <v>5.664154866981886E+22</v>
      </c>
      <c r="L765" s="5">
        <f>LOOKUP(K765,AI:AI,AE:AE)</f>
        <v>873</v>
      </c>
      <c r="M765" s="5">
        <f>LOOKUP(L765,AE:AE,AG:AG)</f>
        <v>2.7496178073617302E+21</v>
      </c>
      <c r="N765" s="5">
        <f>AM765/M765/$K$1</f>
        <v>1.5169159199256932</v>
      </c>
      <c r="O765" s="5">
        <f>SUM($N$9:N765)</f>
        <v>2277.0714242277481</v>
      </c>
      <c r="AE765" s="5">
        <f t="shared" si="89"/>
        <v>757</v>
      </c>
      <c r="AF765" s="5">
        <f t="shared" si="90"/>
        <v>8.3499534185371699E+18</v>
      </c>
      <c r="AG765" s="5">
        <f t="shared" si="91"/>
        <v>8.3060640444581304E+18</v>
      </c>
      <c r="AH765" s="5">
        <f>AG765*$AF$1</f>
        <v>8.3060640444581298E+19</v>
      </c>
      <c r="AI765" s="5">
        <f>SUM($AF$9:AF764)</f>
        <v>1.6239068409244425E+20</v>
      </c>
      <c r="AK765" s="5">
        <f t="shared" si="92"/>
        <v>757</v>
      </c>
      <c r="AL765" s="5">
        <f t="shared" si="93"/>
        <v>109</v>
      </c>
      <c r="AM765" s="5">
        <f t="shared" si="94"/>
        <v>6.2564085385472802E+21</v>
      </c>
      <c r="AN765" s="5">
        <f>$AL$4*$AL$3^AL765*$AL$2</f>
        <v>6.2564085385472781E+21</v>
      </c>
      <c r="AO765" s="5">
        <f>IF(AL765=AL766,1,LOOKUP(MOD(AL765,$AL$1),$AN$1:$AN$5,$AO$1:$AO$5))</f>
        <v>1</v>
      </c>
      <c r="AP765" s="5">
        <f t="shared" si="95"/>
        <v>2.8800333972446003E+21</v>
      </c>
      <c r="AQ765" s="5">
        <f>AM765*$AR$3</f>
        <v>8.3418780513963737E+20</v>
      </c>
      <c r="AR765" s="5">
        <f>AM765*AL765*$AR$4</f>
        <v>2.0458455921049605E+21</v>
      </c>
      <c r="AS765" s="5">
        <f>SUM($AP$9:AP764)</f>
        <v>5.664154866981886E+22</v>
      </c>
    </row>
    <row r="766" spans="1:45" x14ac:dyDescent="0.15">
      <c r="A766" s="5">
        <v>758</v>
      </c>
      <c r="J766" s="5">
        <f t="shared" si="88"/>
        <v>758</v>
      </c>
      <c r="K766" s="5">
        <f>SUM($AP$9:AP765)</f>
        <v>5.9521582067063462E+22</v>
      </c>
      <c r="L766" s="5">
        <f>LOOKUP(K766,AI:AI,AE:AE)</f>
        <v>874</v>
      </c>
      <c r="M766" s="5">
        <f>LOOKUP(L766,AE:AE,AG:AG)</f>
        <v>2.8904057981853997E+21</v>
      </c>
      <c r="N766" s="5">
        <f>AM766/M766/$K$1</f>
        <v>1.4430288744634776</v>
      </c>
      <c r="O766" s="5">
        <f>SUM($N$9:N766)</f>
        <v>2278.5144531022115</v>
      </c>
      <c r="AE766" s="5">
        <f t="shared" si="89"/>
        <v>758</v>
      </c>
      <c r="AF766" s="5">
        <f t="shared" si="90"/>
        <v>8.7789720501597696E+18</v>
      </c>
      <c r="AG766" s="5">
        <f t="shared" si="91"/>
        <v>8.7328882073767803E+18</v>
      </c>
      <c r="AH766" s="5">
        <f>AG766*$AF$1</f>
        <v>8.7328882073767805E+19</v>
      </c>
      <c r="AI766" s="5">
        <f>SUM($AF$9:AF765)</f>
        <v>1.7074063751098142E+20</v>
      </c>
      <c r="AK766" s="5">
        <f t="shared" si="92"/>
        <v>758</v>
      </c>
      <c r="AL766" s="5">
        <f t="shared" si="93"/>
        <v>109</v>
      </c>
      <c r="AM766" s="5">
        <f t="shared" si="94"/>
        <v>6.2564085385472802E+21</v>
      </c>
      <c r="AN766" s="5">
        <f>$AL$4*$AL$3^AL766*$AL$2</f>
        <v>6.2564085385472781E+21</v>
      </c>
      <c r="AO766" s="5">
        <f>IF(AL766=AL767,1,LOOKUP(MOD(AL766,$AL$1),$AN$1:$AN$5,$AO$1:$AO$5))</f>
        <v>1</v>
      </c>
      <c r="AP766" s="5">
        <f t="shared" si="95"/>
        <v>2.8800333972446003E+21</v>
      </c>
      <c r="AQ766" s="5">
        <f>AM766*$AR$3</f>
        <v>8.3418780513963737E+20</v>
      </c>
      <c r="AR766" s="5">
        <f>AM766*AL766*$AR$4</f>
        <v>2.0458455921049605E+21</v>
      </c>
      <c r="AS766" s="5">
        <f>SUM($AP$9:AP765)</f>
        <v>5.9521582067063462E+22</v>
      </c>
    </row>
    <row r="767" spans="1:45" x14ac:dyDescent="0.15">
      <c r="A767" s="5">
        <v>759</v>
      </c>
      <c r="J767" s="5">
        <f t="shared" si="88"/>
        <v>759</v>
      </c>
      <c r="K767" s="5">
        <f>SUM($AP$9:AP766)</f>
        <v>6.2401615464308064E+22</v>
      </c>
      <c r="L767" s="5">
        <f>LOOKUP(K767,AI:AI,AE:AE)</f>
        <v>875</v>
      </c>
      <c r="M767" s="5">
        <f>LOOKUP(L767,AE:AE,AG:AG)</f>
        <v>3.03839854357304E+21</v>
      </c>
      <c r="N767" s="5">
        <f>AM767/M767/$K$1</f>
        <v>1.3727425701018545</v>
      </c>
      <c r="O767" s="5">
        <f>SUM($N$9:N767)</f>
        <v>2279.8871956723133</v>
      </c>
      <c r="AE767" s="5">
        <f t="shared" si="89"/>
        <v>759</v>
      </c>
      <c r="AF767" s="5">
        <f t="shared" si="90"/>
        <v>9.2300176613983007E+18</v>
      </c>
      <c r="AG767" s="5">
        <f t="shared" si="91"/>
        <v>9.18162962647616E+18</v>
      </c>
      <c r="AH767" s="5">
        <f>AG767*$AF$1</f>
        <v>9.1816296264761606E+19</v>
      </c>
      <c r="AI767" s="5">
        <f>SUM($AF$9:AF766)</f>
        <v>1.7951960956114118E+20</v>
      </c>
      <c r="AK767" s="5">
        <f t="shared" si="92"/>
        <v>759</v>
      </c>
      <c r="AL767" s="5">
        <f t="shared" si="93"/>
        <v>109</v>
      </c>
      <c r="AM767" s="5">
        <f t="shared" si="94"/>
        <v>6.2564085385472802E+21</v>
      </c>
      <c r="AN767" s="5">
        <f>$AL$4*$AL$3^AL767*$AL$2</f>
        <v>6.2564085385472781E+21</v>
      </c>
      <c r="AO767" s="5">
        <f>IF(AL767=AL768,1,LOOKUP(MOD(AL767,$AL$1),$AN$1:$AN$5,$AO$1:$AO$5))</f>
        <v>1</v>
      </c>
      <c r="AP767" s="5">
        <f t="shared" si="95"/>
        <v>2.8800333972446003E+21</v>
      </c>
      <c r="AQ767" s="5">
        <f>AM767*$AR$3</f>
        <v>8.3418780513963737E+20</v>
      </c>
      <c r="AR767" s="5">
        <f>AM767*AL767*$AR$4</f>
        <v>2.0458455921049605E+21</v>
      </c>
      <c r="AS767" s="5">
        <f>SUM($AP$9:AP766)</f>
        <v>6.2401615464308064E+22</v>
      </c>
    </row>
    <row r="768" spans="1:45" x14ac:dyDescent="0.15">
      <c r="A768" s="5">
        <v>760</v>
      </c>
      <c r="J768" s="5">
        <f t="shared" si="88"/>
        <v>760</v>
      </c>
      <c r="K768" s="5">
        <f>SUM($AP$9:AP767)</f>
        <v>6.5281648861552667E+22</v>
      </c>
      <c r="L768" s="5">
        <f>LOOKUP(K768,AI:AI,AE:AE)</f>
        <v>876</v>
      </c>
      <c r="M768" s="5">
        <f>LOOKUP(L768,AE:AE,AG:AG)</f>
        <v>3.1939645490039798E+21</v>
      </c>
      <c r="N768" s="5">
        <f>AM768/M768/$K$1</f>
        <v>1.3058814403556454</v>
      </c>
      <c r="O768" s="5">
        <f>SUM($N$9:N768)</f>
        <v>2281.193077112669</v>
      </c>
      <c r="AE768" s="5">
        <f t="shared" si="89"/>
        <v>760</v>
      </c>
      <c r="AF768" s="5">
        <f t="shared" si="90"/>
        <v>9.7042204036352799E+18</v>
      </c>
      <c r="AG768" s="5">
        <f t="shared" si="91"/>
        <v>9.6534129669670298E+18</v>
      </c>
      <c r="AH768" s="5">
        <f>AG768*$AF$1</f>
        <v>9.6534129669670306E+19</v>
      </c>
      <c r="AI768" s="5">
        <f>SUM($AF$9:AF767)</f>
        <v>1.8874962722253947E+20</v>
      </c>
      <c r="AK768" s="5">
        <f t="shared" si="92"/>
        <v>760</v>
      </c>
      <c r="AL768" s="5">
        <f t="shared" si="93"/>
        <v>109</v>
      </c>
      <c r="AM768" s="5">
        <f t="shared" si="94"/>
        <v>6.2564085385472802E+21</v>
      </c>
      <c r="AN768" s="5">
        <f>$AL$4*$AL$3^AL768*$AL$2</f>
        <v>6.2564085385472781E+21</v>
      </c>
      <c r="AO768" s="5">
        <f>IF(AL768=AL769,1,LOOKUP(MOD(AL768,$AL$1),$AN$1:$AN$5,$AO$1:$AO$5))</f>
        <v>1</v>
      </c>
      <c r="AP768" s="5">
        <f t="shared" si="95"/>
        <v>2.8800333972446003E+21</v>
      </c>
      <c r="AQ768" s="5">
        <f>AM768*$AR$3</f>
        <v>8.3418780513963737E+20</v>
      </c>
      <c r="AR768" s="5">
        <f>AM768*AL768*$AR$4</f>
        <v>2.0458455921049605E+21</v>
      </c>
      <c r="AS768" s="5">
        <f>SUM($AP$9:AP767)</f>
        <v>6.5281648861552667E+22</v>
      </c>
    </row>
    <row r="769" spans="1:45" x14ac:dyDescent="0.15">
      <c r="A769" s="5">
        <v>761</v>
      </c>
      <c r="J769" s="5">
        <f t="shared" si="88"/>
        <v>761</v>
      </c>
      <c r="K769" s="5">
        <f>SUM($AP$9:AP768)</f>
        <v>6.8161682258797269E+22</v>
      </c>
      <c r="L769" s="5">
        <f>LOOKUP(K769,AI:AI,AE:AE)</f>
        <v>877</v>
      </c>
      <c r="M769" s="5">
        <f>LOOKUP(L769,AE:AE,AG:AG)</f>
        <v>3.3574911586190801E+21</v>
      </c>
      <c r="N769" s="5">
        <f>AM769/M769/$K$1</f>
        <v>1.2422784837395293</v>
      </c>
      <c r="O769" s="5">
        <f>SUM($N$9:N769)</f>
        <v>2282.4353555964085</v>
      </c>
      <c r="AE769" s="5">
        <f t="shared" si="89"/>
        <v>761</v>
      </c>
      <c r="AF769" s="5">
        <f t="shared" si="90"/>
        <v>1.02027683759425E+19</v>
      </c>
      <c r="AG769" s="5">
        <f t="shared" si="91"/>
        <v>1.01494205674408E+19</v>
      </c>
      <c r="AH769" s="5">
        <f>AG769*$AF$1</f>
        <v>1.01494205674408E+20</v>
      </c>
      <c r="AI769" s="5">
        <f>SUM($AF$9:AF768)</f>
        <v>1.9845384762617476E+20</v>
      </c>
      <c r="AK769" s="5">
        <f t="shared" si="92"/>
        <v>761</v>
      </c>
      <c r="AL769" s="5">
        <f t="shared" si="93"/>
        <v>109</v>
      </c>
      <c r="AM769" s="5">
        <f t="shared" si="94"/>
        <v>6.2564085385472802E+21</v>
      </c>
      <c r="AN769" s="5">
        <f>$AL$4*$AL$3^AL769*$AL$2</f>
        <v>6.2564085385472781E+21</v>
      </c>
      <c r="AO769" s="5">
        <f>IF(AL769=AL770,1,LOOKUP(MOD(AL769,$AL$1),$AN$1:$AN$5,$AO$1:$AO$5))</f>
        <v>1</v>
      </c>
      <c r="AP769" s="5">
        <f t="shared" si="95"/>
        <v>2.8800333972446003E+21</v>
      </c>
      <c r="AQ769" s="5">
        <f>AM769*$AR$3</f>
        <v>8.3418780513963737E+20</v>
      </c>
      <c r="AR769" s="5">
        <f>AM769*AL769*$AR$4</f>
        <v>2.0458455921049605E+21</v>
      </c>
      <c r="AS769" s="5">
        <f>SUM($AP$9:AP768)</f>
        <v>6.8161682258797269E+22</v>
      </c>
    </row>
    <row r="770" spans="1:45" x14ac:dyDescent="0.15">
      <c r="A770" s="5">
        <v>762</v>
      </c>
      <c r="J770" s="5">
        <f t="shared" si="88"/>
        <v>762</v>
      </c>
      <c r="K770" s="5">
        <f>SUM($AP$9:AP769)</f>
        <v>7.1041715656041871E+22</v>
      </c>
      <c r="L770" s="5">
        <f>LOOKUP(K770,AI:AI,AE:AE)</f>
        <v>878</v>
      </c>
      <c r="M770" s="5">
        <f>LOOKUP(L770,AE:AE,AG:AG)</f>
        <v>3.5293855178231801E+21</v>
      </c>
      <c r="N770" s="5">
        <f>AM770/M770/$K$1</f>
        <v>1.1817748456877835</v>
      </c>
      <c r="O770" s="5">
        <f>SUM($N$9:N770)</f>
        <v>2283.6171304420964</v>
      </c>
      <c r="AE770" s="5">
        <f t="shared" si="89"/>
        <v>762</v>
      </c>
      <c r="AF770" s="5">
        <f t="shared" si="90"/>
        <v>1.0726910594471299E+19</v>
      </c>
      <c r="AG770" s="5">
        <f t="shared" si="91"/>
        <v>1.06708953955445E+19</v>
      </c>
      <c r="AH770" s="5">
        <f>AG770*$AF$1</f>
        <v>1.06708953955445E+20</v>
      </c>
      <c r="AI770" s="5">
        <f>SUM($AF$9:AF769)</f>
        <v>2.0865661600211727E+20</v>
      </c>
      <c r="AK770" s="5">
        <f t="shared" si="92"/>
        <v>762</v>
      </c>
      <c r="AL770" s="5">
        <f t="shared" si="93"/>
        <v>109</v>
      </c>
      <c r="AM770" s="5">
        <f t="shared" si="94"/>
        <v>6.2564085385472802E+21</v>
      </c>
      <c r="AN770" s="5">
        <f>$AL$4*$AL$3^AL770*$AL$2</f>
        <v>6.2564085385472781E+21</v>
      </c>
      <c r="AO770" s="5">
        <f>IF(AL770=AL771,1,LOOKUP(MOD(AL770,$AL$1),$AN$1:$AN$5,$AO$1:$AO$5))</f>
        <v>1</v>
      </c>
      <c r="AP770" s="5">
        <f t="shared" si="95"/>
        <v>2.8800333972446003E+21</v>
      </c>
      <c r="AQ770" s="5">
        <f>AM770*$AR$3</f>
        <v>8.3418780513963737E+20</v>
      </c>
      <c r="AR770" s="5">
        <f>AM770*AL770*$AR$4</f>
        <v>2.0458455921049605E+21</v>
      </c>
      <c r="AS770" s="5">
        <f>SUM($AP$9:AP769)</f>
        <v>7.1041715656041871E+22</v>
      </c>
    </row>
    <row r="771" spans="1:45" x14ac:dyDescent="0.15">
      <c r="A771" s="5">
        <v>763</v>
      </c>
      <c r="J771" s="5">
        <f t="shared" si="88"/>
        <v>763</v>
      </c>
      <c r="K771" s="5">
        <f>SUM($AP$9:AP770)</f>
        <v>7.3921749053286474E+22</v>
      </c>
      <c r="L771" s="5">
        <f>LOOKUP(K771,AI:AI,AE:AE)</f>
        <v>879</v>
      </c>
      <c r="M771" s="5">
        <f>LOOKUP(L771,AE:AE,AG:AG)</f>
        <v>3.71007558505115E+21</v>
      </c>
      <c r="N771" s="5">
        <f>AM771/M771/$K$1</f>
        <v>7.8695359462561294</v>
      </c>
      <c r="O771" s="5">
        <f>SUM($N$9:N771)</f>
        <v>2291.4866663883527</v>
      </c>
      <c r="AE771" s="5">
        <f t="shared" si="89"/>
        <v>763</v>
      </c>
      <c r="AF771" s="5">
        <f t="shared" si="90"/>
        <v>1.12779601139131E+19</v>
      </c>
      <c r="AG771" s="5">
        <f t="shared" si="91"/>
        <v>1.121914415504E+19</v>
      </c>
      <c r="AH771" s="5">
        <f>AG771*$AF$1</f>
        <v>1.121914415504E+20</v>
      </c>
      <c r="AI771" s="5">
        <f>SUM($AF$9:AF770)</f>
        <v>2.1938352659658857E+20</v>
      </c>
      <c r="AK771" s="5">
        <f t="shared" si="92"/>
        <v>763</v>
      </c>
      <c r="AL771" s="5">
        <f t="shared" si="93"/>
        <v>109</v>
      </c>
      <c r="AM771" s="5">
        <f t="shared" si="94"/>
        <v>4.3794859769830901E+22</v>
      </c>
      <c r="AN771" s="5">
        <f>$AL$4*$AL$3^AL771*$AL$2</f>
        <v>6.2564085385472781E+21</v>
      </c>
      <c r="AO771" s="5">
        <f>IF(AL771=AL772,1,LOOKUP(MOD(AL771,$AL$1),$AN$1:$AN$5,$AO$1:$AO$5))</f>
        <v>7</v>
      </c>
      <c r="AP771" s="5">
        <f t="shared" si="95"/>
        <v>2.01602337807122E+22</v>
      </c>
      <c r="AQ771" s="5">
        <f>AM771*$AR$3</f>
        <v>5.8393146359774529E+21</v>
      </c>
      <c r="AR771" s="5">
        <f>AM771*AL771*$AR$4</f>
        <v>1.4320919144734705E+22</v>
      </c>
      <c r="AS771" s="5">
        <f>SUM($AP$9:AP770)</f>
        <v>7.3921749053286474E+22</v>
      </c>
    </row>
    <row r="772" spans="1:45" x14ac:dyDescent="0.15">
      <c r="A772" s="5">
        <v>764</v>
      </c>
      <c r="J772" s="5">
        <f t="shared" si="88"/>
        <v>764</v>
      </c>
      <c r="K772" s="5">
        <f>SUM($AP$9:AP771)</f>
        <v>9.4081982833998682E+22</v>
      </c>
      <c r="L772" s="5">
        <f>LOOKUP(K772,AI:AI,AE:AE)</f>
        <v>884</v>
      </c>
      <c r="M772" s="5">
        <f>LOOKUP(L772,AE:AE,AG:AG)</f>
        <v>4.7620356554937996E+21</v>
      </c>
      <c r="N772" s="5">
        <f>AM772/M772/$K$1</f>
        <v>1.3751207979284044</v>
      </c>
      <c r="O772" s="5">
        <f>SUM($N$9:N772)</f>
        <v>2292.8617871862812</v>
      </c>
      <c r="AE772" s="5">
        <f t="shared" si="89"/>
        <v>764</v>
      </c>
      <c r="AF772" s="5">
        <f t="shared" si="90"/>
        <v>1.18572973088129E+19</v>
      </c>
      <c r="AG772" s="5">
        <f t="shared" si="91"/>
        <v>1.1795540551996201E+19</v>
      </c>
      <c r="AH772" s="5">
        <f>AG772*$AF$1</f>
        <v>1.1795540551996201E+20</v>
      </c>
      <c r="AI772" s="5">
        <f>SUM($AF$9:AF771)</f>
        <v>2.3066148671050167E+20</v>
      </c>
      <c r="AK772" s="5">
        <f t="shared" si="92"/>
        <v>764</v>
      </c>
      <c r="AL772" s="5">
        <f t="shared" si="93"/>
        <v>110</v>
      </c>
      <c r="AM772" s="5">
        <f t="shared" si="94"/>
        <v>9.8225614055192197E+21</v>
      </c>
      <c r="AN772" s="5">
        <f>$AL$4*$AL$3^AL772*$AL$2</f>
        <v>9.8225614055192238E+21</v>
      </c>
      <c r="AO772" s="5">
        <f>IF(AL772=AL773,1,LOOKUP(MOD(AL772,$AL$1),$AN$1:$AN$5,$AO$1:$AO$5))</f>
        <v>1</v>
      </c>
      <c r="AP772" s="5">
        <f t="shared" si="95"/>
        <v>4.5511201178905703E+21</v>
      </c>
      <c r="AQ772" s="5">
        <f>AM772*$AR$3</f>
        <v>1.3096748540692293E+21</v>
      </c>
      <c r="AR772" s="5">
        <f>AM772*AL772*$AR$4</f>
        <v>3.2414452638213425E+21</v>
      </c>
      <c r="AS772" s="5">
        <f>SUM($AP$9:AP771)</f>
        <v>9.4081982833998682E+22</v>
      </c>
    </row>
    <row r="773" spans="1:45" x14ac:dyDescent="0.15">
      <c r="A773" s="5">
        <v>765</v>
      </c>
      <c r="J773" s="5">
        <f t="shared" si="88"/>
        <v>765</v>
      </c>
      <c r="K773" s="5">
        <f>SUM($AP$9:AP772)</f>
        <v>9.8633102951889246E+22</v>
      </c>
      <c r="L773" s="5">
        <f>LOOKUP(K773,AI:AI,AE:AE)</f>
        <v>885</v>
      </c>
      <c r="M773" s="5">
        <f>LOOKUP(L773,AE:AE,AG:AG)</f>
        <v>5.0057937023389296E+21</v>
      </c>
      <c r="N773" s="5">
        <f>AM773/M773/$K$1</f>
        <v>1.3081590372544627</v>
      </c>
      <c r="O773" s="5">
        <f>SUM($N$9:N773)</f>
        <v>2294.1699462235356</v>
      </c>
      <c r="AE773" s="5">
        <f t="shared" si="89"/>
        <v>765</v>
      </c>
      <c r="AF773" s="5">
        <f t="shared" si="90"/>
        <v>1.2466373322918001E+19</v>
      </c>
      <c r="AG773" s="5">
        <f t="shared" si="91"/>
        <v>1.2401528728260399E+19</v>
      </c>
      <c r="AH773" s="5">
        <f>AG773*$AF$1</f>
        <v>1.2401528728260398E+20</v>
      </c>
      <c r="AI773" s="5">
        <f>SUM($AF$9:AF772)</f>
        <v>2.4251878401931457E+20</v>
      </c>
      <c r="AK773" s="5">
        <f t="shared" si="92"/>
        <v>765</v>
      </c>
      <c r="AL773" s="5">
        <f t="shared" si="93"/>
        <v>110</v>
      </c>
      <c r="AM773" s="5">
        <f t="shared" si="94"/>
        <v>9.8225614055192197E+21</v>
      </c>
      <c r="AN773" s="5">
        <f>$AL$4*$AL$3^AL773*$AL$2</f>
        <v>9.8225614055192238E+21</v>
      </c>
      <c r="AO773" s="5">
        <f>IF(AL773=AL774,1,LOOKUP(MOD(AL773,$AL$1),$AN$1:$AN$5,$AO$1:$AO$5))</f>
        <v>1</v>
      </c>
      <c r="AP773" s="5">
        <f t="shared" si="95"/>
        <v>4.5511201178905703E+21</v>
      </c>
      <c r="AQ773" s="5">
        <f>AM773*$AR$3</f>
        <v>1.3096748540692293E+21</v>
      </c>
      <c r="AR773" s="5">
        <f>AM773*AL773*$AR$4</f>
        <v>3.2414452638213425E+21</v>
      </c>
      <c r="AS773" s="5">
        <f>SUM($AP$9:AP772)</f>
        <v>9.8633102951889246E+22</v>
      </c>
    </row>
    <row r="774" spans="1:45" x14ac:dyDescent="0.15">
      <c r="A774" s="5">
        <v>766</v>
      </c>
      <c r="J774" s="5">
        <f t="shared" si="88"/>
        <v>766</v>
      </c>
      <c r="K774" s="5">
        <f>SUM($AP$9:AP773)</f>
        <v>1.0318422306977981E+23</v>
      </c>
      <c r="L774" s="5">
        <f>LOOKUP(K774,AI:AI,AE:AE)</f>
        <v>885</v>
      </c>
      <c r="M774" s="5">
        <f>LOOKUP(L774,AE:AE,AG:AG)</f>
        <v>5.0057937023389296E+21</v>
      </c>
      <c r="N774" s="5">
        <f>AM774/M774/$K$1</f>
        <v>1.3081590372544627</v>
      </c>
      <c r="O774" s="5">
        <f>SUM($N$9:N774)</f>
        <v>2295.47810526079</v>
      </c>
      <c r="AE774" s="5">
        <f t="shared" si="89"/>
        <v>766</v>
      </c>
      <c r="AF774" s="5">
        <f t="shared" si="90"/>
        <v>1.31067136951615E+19</v>
      </c>
      <c r="AG774" s="5">
        <f t="shared" si="91"/>
        <v>1.3038626870770999E+19</v>
      </c>
      <c r="AH774" s="5">
        <f>AG774*$AF$1</f>
        <v>1.3038626870770999E+20</v>
      </c>
      <c r="AI774" s="5">
        <f>SUM($AF$9:AF773)</f>
        <v>2.5498515734223258E+20</v>
      </c>
      <c r="AK774" s="5">
        <f t="shared" si="92"/>
        <v>766</v>
      </c>
      <c r="AL774" s="5">
        <f t="shared" si="93"/>
        <v>110</v>
      </c>
      <c r="AM774" s="5">
        <f t="shared" si="94"/>
        <v>9.8225614055192197E+21</v>
      </c>
      <c r="AN774" s="5">
        <f>$AL$4*$AL$3^AL774*$AL$2</f>
        <v>9.8225614055192238E+21</v>
      </c>
      <c r="AO774" s="5">
        <f>IF(AL774=AL775,1,LOOKUP(MOD(AL774,$AL$1),$AN$1:$AN$5,$AO$1:$AO$5))</f>
        <v>1</v>
      </c>
      <c r="AP774" s="5">
        <f t="shared" si="95"/>
        <v>4.5511201178905703E+21</v>
      </c>
      <c r="AQ774" s="5">
        <f>AM774*$AR$3</f>
        <v>1.3096748540692293E+21</v>
      </c>
      <c r="AR774" s="5">
        <f>AM774*AL774*$AR$4</f>
        <v>3.2414452638213425E+21</v>
      </c>
      <c r="AS774" s="5">
        <f>SUM($AP$9:AP773)</f>
        <v>1.0318422306977981E+23</v>
      </c>
    </row>
    <row r="775" spans="1:45" x14ac:dyDescent="0.15">
      <c r="A775" s="5">
        <v>767</v>
      </c>
      <c r="J775" s="5">
        <f t="shared" si="88"/>
        <v>767</v>
      </c>
      <c r="K775" s="5">
        <f>SUM($AP$9:AP774)</f>
        <v>1.0773534318767038E+23</v>
      </c>
      <c r="L775" s="5">
        <f>LOOKUP(K775,AI:AI,AE:AE)</f>
        <v>886</v>
      </c>
      <c r="M775" s="5">
        <f>LOOKUP(L775,AE:AE,AG:AG)</f>
        <v>5.2620224647298296E+21</v>
      </c>
      <c r="N775" s="5">
        <f>AM775/M775/$K$1</f>
        <v>1.244459580748362</v>
      </c>
      <c r="O775" s="5">
        <f>SUM($N$9:N775)</f>
        <v>2296.7225648415383</v>
      </c>
      <c r="AE775" s="5">
        <f t="shared" si="89"/>
        <v>767</v>
      </c>
      <c r="AF775" s="5">
        <f t="shared" si="90"/>
        <v>1.37799221713221E+19</v>
      </c>
      <c r="AG775" s="5">
        <f t="shared" si="91"/>
        <v>1.3708431005712099E+19</v>
      </c>
      <c r="AH775" s="5">
        <f>AG775*$AF$1</f>
        <v>1.3708431005712099E+20</v>
      </c>
      <c r="AI775" s="5">
        <f>SUM($AF$9:AF774)</f>
        <v>2.6809187103739406E+20</v>
      </c>
      <c r="AK775" s="5">
        <f t="shared" si="92"/>
        <v>767</v>
      </c>
      <c r="AL775" s="5">
        <f t="shared" si="93"/>
        <v>110</v>
      </c>
      <c r="AM775" s="5">
        <f t="shared" si="94"/>
        <v>9.8225614055192197E+21</v>
      </c>
      <c r="AN775" s="5">
        <f>$AL$4*$AL$3^AL775*$AL$2</f>
        <v>9.8225614055192238E+21</v>
      </c>
      <c r="AO775" s="5">
        <f>IF(AL775=AL776,1,LOOKUP(MOD(AL775,$AL$1),$AN$1:$AN$5,$AO$1:$AO$5))</f>
        <v>1</v>
      </c>
      <c r="AP775" s="5">
        <f t="shared" si="95"/>
        <v>4.5511201178905703E+21</v>
      </c>
      <c r="AQ775" s="5">
        <f>AM775*$AR$3</f>
        <v>1.3096748540692293E+21</v>
      </c>
      <c r="AR775" s="5">
        <f>AM775*AL775*$AR$4</f>
        <v>3.2414452638213425E+21</v>
      </c>
      <c r="AS775" s="5">
        <f>SUM($AP$9:AP774)</f>
        <v>1.0773534318767038E+23</v>
      </c>
    </row>
    <row r="776" spans="1:45" x14ac:dyDescent="0.15">
      <c r="A776" s="5">
        <v>768</v>
      </c>
      <c r="J776" s="5">
        <f t="shared" si="88"/>
        <v>768</v>
      </c>
      <c r="K776" s="5">
        <f>SUM($AP$9:AP775)</f>
        <v>1.1228646330556094E+23</v>
      </c>
      <c r="L776" s="5">
        <f>LOOKUP(K776,AI:AI,AE:AE)</f>
        <v>887</v>
      </c>
      <c r="M776" s="5">
        <f>LOOKUP(L776,AE:AE,AG:AG)</f>
        <v>5.53135961910399E+21</v>
      </c>
      <c r="N776" s="5">
        <f>AM776/M776/$K$1</f>
        <v>1.1838634117603981</v>
      </c>
      <c r="O776" s="5">
        <f>SUM($N$9:N776)</f>
        <v>2297.9064282532986</v>
      </c>
      <c r="AE776" s="5">
        <f t="shared" si="89"/>
        <v>768</v>
      </c>
      <c r="AF776" s="5">
        <f t="shared" si="90"/>
        <v>1.44876847108608E+19</v>
      </c>
      <c r="AG776" s="5">
        <f t="shared" si="91"/>
        <v>1.44126189869703E+19</v>
      </c>
      <c r="AH776" s="5">
        <f>AG776*$AF$1</f>
        <v>1.44126189869703E+20</v>
      </c>
      <c r="AI776" s="5">
        <f>SUM($AF$9:AF775)</f>
        <v>2.8187179320871617E+20</v>
      </c>
      <c r="AK776" s="5">
        <f t="shared" si="92"/>
        <v>768</v>
      </c>
      <c r="AL776" s="5">
        <f t="shared" si="93"/>
        <v>110</v>
      </c>
      <c r="AM776" s="5">
        <f t="shared" si="94"/>
        <v>9.8225614055192197E+21</v>
      </c>
      <c r="AN776" s="5">
        <f>$AL$4*$AL$3^AL776*$AL$2</f>
        <v>9.8225614055192238E+21</v>
      </c>
      <c r="AO776" s="5">
        <f>IF(AL776=AL777,1,LOOKUP(MOD(AL776,$AL$1),$AN$1:$AN$5,$AO$1:$AO$5))</f>
        <v>1</v>
      </c>
      <c r="AP776" s="5">
        <f t="shared" si="95"/>
        <v>4.5511201178905703E+21</v>
      </c>
      <c r="AQ776" s="5">
        <f>AM776*$AR$3</f>
        <v>1.3096748540692293E+21</v>
      </c>
      <c r="AR776" s="5">
        <f>AM776*AL776*$AR$4</f>
        <v>3.2414452638213425E+21</v>
      </c>
      <c r="AS776" s="5">
        <f>SUM($AP$9:AP775)</f>
        <v>1.1228646330556094E+23</v>
      </c>
    </row>
    <row r="777" spans="1:45" x14ac:dyDescent="0.15">
      <c r="A777" s="5">
        <v>769</v>
      </c>
      <c r="J777" s="5">
        <f t="shared" si="88"/>
        <v>769</v>
      </c>
      <c r="K777" s="5">
        <f>SUM($AP$9:AP776)</f>
        <v>1.168375834234515E+23</v>
      </c>
      <c r="L777" s="5">
        <f>LOOKUP(K777,AI:AI,AE:AE)</f>
        <v>888</v>
      </c>
      <c r="M777" s="5">
        <f>LOOKUP(L777,AE:AE,AG:AG)</f>
        <v>5.8144754327537299E+21</v>
      </c>
      <c r="N777" s="5">
        <f>AM777/M777/$K$1</f>
        <v>1.1262192688025243</v>
      </c>
      <c r="O777" s="5">
        <f>SUM($N$9:N777)</f>
        <v>2299.0326475221013</v>
      </c>
      <c r="AE777" s="5">
        <f t="shared" si="89"/>
        <v>769</v>
      </c>
      <c r="AF777" s="5">
        <f t="shared" si="90"/>
        <v>1.5231773698925099E+19</v>
      </c>
      <c r="AG777" s="5">
        <f t="shared" si="91"/>
        <v>1.51529546888401E+19</v>
      </c>
      <c r="AH777" s="5">
        <f>AG777*$AF$1</f>
        <v>1.5152954688840099E+20</v>
      </c>
      <c r="AI777" s="5">
        <f>SUM($AF$9:AF776)</f>
        <v>2.9635947791957695E+20</v>
      </c>
      <c r="AK777" s="5">
        <f t="shared" si="92"/>
        <v>769</v>
      </c>
      <c r="AL777" s="5">
        <f t="shared" si="93"/>
        <v>110</v>
      </c>
      <c r="AM777" s="5">
        <f t="shared" si="94"/>
        <v>9.8225614055192197E+21</v>
      </c>
      <c r="AN777" s="5">
        <f>$AL$4*$AL$3^AL777*$AL$2</f>
        <v>9.8225614055192238E+21</v>
      </c>
      <c r="AO777" s="5">
        <f>IF(AL777=AL778,1,LOOKUP(MOD(AL777,$AL$1),$AN$1:$AN$5,$AO$1:$AO$5))</f>
        <v>1</v>
      </c>
      <c r="AP777" s="5">
        <f t="shared" si="95"/>
        <v>4.5511201178905703E+21</v>
      </c>
      <c r="AQ777" s="5">
        <f>AM777*$AR$3</f>
        <v>1.3096748540692293E+21</v>
      </c>
      <c r="AR777" s="5">
        <f>AM777*AL777*$AR$4</f>
        <v>3.2414452638213425E+21</v>
      </c>
      <c r="AS777" s="5">
        <f>SUM($AP$9:AP776)</f>
        <v>1.168375834234515E+23</v>
      </c>
    </row>
    <row r="778" spans="1:45" x14ac:dyDescent="0.15">
      <c r="A778" s="5">
        <v>770</v>
      </c>
      <c r="J778" s="5">
        <f t="shared" ref="J778:J841" si="96">A778</f>
        <v>770</v>
      </c>
      <c r="K778" s="5">
        <f>SUM($AP$9:AP777)</f>
        <v>1.2138870354134207E+23</v>
      </c>
      <c r="L778" s="5">
        <f>LOOKUP(K778,AI:AI,AE:AE)</f>
        <v>889</v>
      </c>
      <c r="M778" s="5">
        <f>LOOKUP(L778,AE:AE,AG:AG)</f>
        <v>6.1120744287206795E+21</v>
      </c>
      <c r="N778" s="5">
        <f>AM778/M778/$K$1</f>
        <v>7.4996828698660929</v>
      </c>
      <c r="O778" s="5">
        <f>SUM($N$9:N778)</f>
        <v>2306.5323303919677</v>
      </c>
      <c r="AE778" s="5">
        <f t="shared" ref="AE778:AE841" si="97">A778</f>
        <v>770</v>
      </c>
      <c r="AF778" s="5">
        <f t="shared" ref="AF778:AF841" si="98">ROUND(1.05^AE778*(AE778+4),0)</f>
        <v>1.6014052374018601E+19</v>
      </c>
      <c r="AG778" s="5">
        <f t="shared" ref="AG778:AG841" si="99">ROUND(1.05^AE778*AE778,0)</f>
        <v>1.59312924134294E+19</v>
      </c>
      <c r="AH778" s="5">
        <f>AG778*$AF$1</f>
        <v>1.59312924134294E+20</v>
      </c>
      <c r="AI778" s="5">
        <f>SUM($AF$9:AF777)</f>
        <v>3.1159125161850202E+20</v>
      </c>
      <c r="AK778" s="5">
        <f t="shared" ref="AK778:AK841" si="100">A778</f>
        <v>770</v>
      </c>
      <c r="AL778" s="5">
        <f t="shared" ref="AL778:AL841" si="101">ROUNDUP(AK778/$AL$1,0)</f>
        <v>110</v>
      </c>
      <c r="AM778" s="5">
        <f t="shared" ref="AM778:AM841" si="102">ROUND(AN778*AO778,0)</f>
        <v>6.87579298386346E+22</v>
      </c>
      <c r="AN778" s="5">
        <f>$AL$4*$AL$3^AL778*$AL$2</f>
        <v>9.8225614055192238E+21</v>
      </c>
      <c r="AO778" s="5">
        <f>IF(AL778=AL779,1,LOOKUP(MOD(AL778,$AL$1),$AN$1:$AN$5,$AO$1:$AO$5))</f>
        <v>7</v>
      </c>
      <c r="AP778" s="5">
        <f t="shared" ref="AP778:AP841" si="103">ROUND(AQ778+AR778,0)</f>
        <v>3.1857840825234002E+22</v>
      </c>
      <c r="AQ778" s="5">
        <f>AM778*$AR$3</f>
        <v>9.1677239784846131E+21</v>
      </c>
      <c r="AR778" s="5">
        <f>AM778*AL778*$AR$4</f>
        <v>2.2690116846749418E+22</v>
      </c>
      <c r="AS778" s="5">
        <f>SUM($AP$9:AP777)</f>
        <v>1.2138870354134207E+23</v>
      </c>
    </row>
    <row r="779" spans="1:45" x14ac:dyDescent="0.15">
      <c r="A779" s="5">
        <v>771</v>
      </c>
      <c r="J779" s="5">
        <f t="shared" si="96"/>
        <v>771</v>
      </c>
      <c r="K779" s="5">
        <f>SUM($AP$9:AP778)</f>
        <v>1.5324654436657607E+23</v>
      </c>
      <c r="L779" s="5">
        <f>LOOKUP(K779,AI:AI,AE:AE)</f>
        <v>893</v>
      </c>
      <c r="M779" s="5">
        <f>LOOKUP(L779,AE:AE,AG:AG)</f>
        <v>7.46269218114469E+21</v>
      </c>
      <c r="N779" s="5">
        <f>AM779/M779/$K$1</f>
        <v>1.3776459426290433</v>
      </c>
      <c r="O779" s="5">
        <f>SUM($N$9:N779)</f>
        <v>2307.9099763345966</v>
      </c>
      <c r="AE779" s="5">
        <f t="shared" si="97"/>
        <v>771</v>
      </c>
      <c r="AF779" s="5">
        <f t="shared" si="98"/>
        <v>1.6836479482374199E+19</v>
      </c>
      <c r="AG779" s="5">
        <f t="shared" si="99"/>
        <v>1.67495815237555E+19</v>
      </c>
      <c r="AH779" s="5">
        <f>AG779*$AF$1</f>
        <v>1.67495815237555E+20</v>
      </c>
      <c r="AI779" s="5">
        <f>SUM($AF$9:AF778)</f>
        <v>3.2760530399252061E+20</v>
      </c>
      <c r="AK779" s="5">
        <f t="shared" si="100"/>
        <v>771</v>
      </c>
      <c r="AL779" s="5">
        <f t="shared" si="101"/>
        <v>111</v>
      </c>
      <c r="AM779" s="5">
        <f t="shared" si="102"/>
        <v>1.5421421406665199E+22</v>
      </c>
      <c r="AN779" s="5">
        <f>$AL$4*$AL$3^AL779*$AL$2</f>
        <v>1.5421421406665184E+22</v>
      </c>
      <c r="AO779" s="5">
        <f>IF(AL779=AL780,1,LOOKUP(MOD(AL779,$AL$1),$AN$1:$AN$5,$AO$1:$AO$5))</f>
        <v>1</v>
      </c>
      <c r="AP779" s="5">
        <f t="shared" si="103"/>
        <v>7.1915228493082001E+21</v>
      </c>
      <c r="AQ779" s="5">
        <f>AM779*$AR$3</f>
        <v>2.0561895208886933E+21</v>
      </c>
      <c r="AR779" s="5">
        <f>AM779*AL779*$AR$4</f>
        <v>5.1353333284195113E+21</v>
      </c>
      <c r="AS779" s="5">
        <f>SUM($AP$9:AP778)</f>
        <v>1.5324654436657607E+23</v>
      </c>
    </row>
    <row r="780" spans="1:45" x14ac:dyDescent="0.15">
      <c r="A780" s="5">
        <v>772</v>
      </c>
      <c r="J780" s="5">
        <f t="shared" si="96"/>
        <v>772</v>
      </c>
      <c r="K780" s="5">
        <f>SUM($AP$9:AP779)</f>
        <v>1.6043806721588427E+23</v>
      </c>
      <c r="L780" s="5">
        <f>LOOKUP(K780,AI:AI,AE:AE)</f>
        <v>894</v>
      </c>
      <c r="M780" s="5">
        <f>LOOKUP(L780,AE:AE,AG:AG)</f>
        <v>7.84460151225142E+21</v>
      </c>
      <c r="N780" s="5">
        <f>AM780/M780/$K$1</f>
        <v>1.3105761444207265</v>
      </c>
      <c r="O780" s="5">
        <f>SUM($N$9:N780)</f>
        <v>2309.2205524790174</v>
      </c>
      <c r="AE780" s="5">
        <f t="shared" si="97"/>
        <v>772</v>
      </c>
      <c r="AF780" s="5">
        <f t="shared" si="98"/>
        <v>1.77011141706304E+19</v>
      </c>
      <c r="AG780" s="5">
        <f t="shared" si="99"/>
        <v>1.76098713140807E+19</v>
      </c>
      <c r="AH780" s="5">
        <f>AG780*$AF$1</f>
        <v>1.7609871314080701E+20</v>
      </c>
      <c r="AI780" s="5">
        <f>SUM($AF$9:AF779)</f>
        <v>3.444417834748948E+20</v>
      </c>
      <c r="AK780" s="5">
        <f t="shared" si="100"/>
        <v>772</v>
      </c>
      <c r="AL780" s="5">
        <f t="shared" si="101"/>
        <v>111</v>
      </c>
      <c r="AM780" s="5">
        <f t="shared" si="102"/>
        <v>1.5421421406665199E+22</v>
      </c>
      <c r="AN780" s="5">
        <f>$AL$4*$AL$3^AL780*$AL$2</f>
        <v>1.5421421406665184E+22</v>
      </c>
      <c r="AO780" s="5">
        <f>IF(AL780=AL781,1,LOOKUP(MOD(AL780,$AL$1),$AN$1:$AN$5,$AO$1:$AO$5))</f>
        <v>1</v>
      </c>
      <c r="AP780" s="5">
        <f t="shared" si="103"/>
        <v>7.1915228493082001E+21</v>
      </c>
      <c r="AQ780" s="5">
        <f>AM780*$AR$3</f>
        <v>2.0561895208886933E+21</v>
      </c>
      <c r="AR780" s="5">
        <f>AM780*AL780*$AR$4</f>
        <v>5.1353333284195113E+21</v>
      </c>
      <c r="AS780" s="5">
        <f>SUM($AP$9:AP779)</f>
        <v>1.6043806721588427E+23</v>
      </c>
    </row>
    <row r="781" spans="1:45" x14ac:dyDescent="0.15">
      <c r="A781" s="5">
        <v>773</v>
      </c>
      <c r="J781" s="5">
        <f t="shared" si="96"/>
        <v>773</v>
      </c>
      <c r="K781" s="5">
        <f>SUM($AP$9:AP780)</f>
        <v>1.6762959006519246E+23</v>
      </c>
      <c r="L781" s="5">
        <f>LOOKUP(K781,AI:AI,AE:AE)</f>
        <v>895</v>
      </c>
      <c r="M781" s="5">
        <f>LOOKUP(L781,AE:AE,AG:AG)</f>
        <v>8.2460450460159705E+21</v>
      </c>
      <c r="N781" s="5">
        <f>AM781/M781/$K$1</f>
        <v>1.2467731557458139</v>
      </c>
      <c r="O781" s="5">
        <f>SUM($N$9:N781)</f>
        <v>2310.4673256347633</v>
      </c>
      <c r="AE781" s="5">
        <f t="shared" si="97"/>
        <v>773</v>
      </c>
      <c r="AF781" s="5">
        <f t="shared" si="98"/>
        <v>1.8610121129006199E+19</v>
      </c>
      <c r="AG781" s="5">
        <f t="shared" si="99"/>
        <v>1.8514316129629E+19</v>
      </c>
      <c r="AH781" s="5">
        <f>AG781*$AF$1</f>
        <v>1.8514316129628999E+20</v>
      </c>
      <c r="AI781" s="5">
        <f>SUM($AF$9:AF780)</f>
        <v>3.621428976455252E+20</v>
      </c>
      <c r="AK781" s="5">
        <f t="shared" si="100"/>
        <v>773</v>
      </c>
      <c r="AL781" s="5">
        <f t="shared" si="101"/>
        <v>111</v>
      </c>
      <c r="AM781" s="5">
        <f t="shared" si="102"/>
        <v>1.5421421406665199E+22</v>
      </c>
      <c r="AN781" s="5">
        <f>$AL$4*$AL$3^AL781*$AL$2</f>
        <v>1.5421421406665184E+22</v>
      </c>
      <c r="AO781" s="5">
        <f>IF(AL781=AL782,1,LOOKUP(MOD(AL781,$AL$1),$AN$1:$AN$5,$AO$1:$AO$5))</f>
        <v>1</v>
      </c>
      <c r="AP781" s="5">
        <f t="shared" si="103"/>
        <v>7.1915228493082001E+21</v>
      </c>
      <c r="AQ781" s="5">
        <f>AM781*$AR$3</f>
        <v>2.0561895208886933E+21</v>
      </c>
      <c r="AR781" s="5">
        <f>AM781*AL781*$AR$4</f>
        <v>5.1353333284195113E+21</v>
      </c>
      <c r="AS781" s="5">
        <f>SUM($AP$9:AP780)</f>
        <v>1.6762959006519246E+23</v>
      </c>
    </row>
    <row r="782" spans="1:45" x14ac:dyDescent="0.15">
      <c r="A782" s="5">
        <v>774</v>
      </c>
      <c r="J782" s="5">
        <f t="shared" si="96"/>
        <v>774</v>
      </c>
      <c r="K782" s="5">
        <f>SUM($AP$9:AP781)</f>
        <v>1.7482111291450066E+23</v>
      </c>
      <c r="L782" s="5">
        <f>LOOKUP(K782,AI:AI,AE:AE)</f>
        <v>896</v>
      </c>
      <c r="M782" s="5">
        <f>LOOKUP(L782,AE:AE,AG:AG)</f>
        <v>8.6680214293763399E+21</v>
      </c>
      <c r="N782" s="5">
        <f>AM782/M782/$K$1</f>
        <v>1.1860777789035963</v>
      </c>
      <c r="O782" s="5">
        <f>SUM($N$9:N782)</f>
        <v>2311.6534034136666</v>
      </c>
      <c r="AE782" s="5">
        <f t="shared" si="97"/>
        <v>774</v>
      </c>
      <c r="AF782" s="5">
        <f t="shared" si="98"/>
        <v>1.9565775997793001E+19</v>
      </c>
      <c r="AG782" s="5">
        <f t="shared" si="99"/>
        <v>1.9465180748446999E+19</v>
      </c>
      <c r="AH782" s="5">
        <f>AG782*$AF$1</f>
        <v>1.9465180748446997E+20</v>
      </c>
      <c r="AI782" s="5">
        <f>SUM($AF$9:AF781)</f>
        <v>3.8075301877453141E+20</v>
      </c>
      <c r="AK782" s="5">
        <f t="shared" si="100"/>
        <v>774</v>
      </c>
      <c r="AL782" s="5">
        <f t="shared" si="101"/>
        <v>111</v>
      </c>
      <c r="AM782" s="5">
        <f t="shared" si="102"/>
        <v>1.5421421406665199E+22</v>
      </c>
      <c r="AN782" s="5">
        <f>$AL$4*$AL$3^AL782*$AL$2</f>
        <v>1.5421421406665184E+22</v>
      </c>
      <c r="AO782" s="5">
        <f>IF(AL782=AL783,1,LOOKUP(MOD(AL782,$AL$1),$AN$1:$AN$5,$AO$1:$AO$5))</f>
        <v>1</v>
      </c>
      <c r="AP782" s="5">
        <f t="shared" si="103"/>
        <v>7.1915228493082001E+21</v>
      </c>
      <c r="AQ782" s="5">
        <f>AM782*$AR$3</f>
        <v>2.0561895208886933E+21</v>
      </c>
      <c r="AR782" s="5">
        <f>AM782*AL782*$AR$4</f>
        <v>5.1353333284195113E+21</v>
      </c>
      <c r="AS782" s="5">
        <f>SUM($AP$9:AP781)</f>
        <v>1.7482111291450066E+23</v>
      </c>
    </row>
    <row r="783" spans="1:45" x14ac:dyDescent="0.15">
      <c r="A783" s="5">
        <v>775</v>
      </c>
      <c r="J783" s="5">
        <f t="shared" si="96"/>
        <v>775</v>
      </c>
      <c r="K783" s="5">
        <f>SUM($AP$9:AP782)</f>
        <v>1.8201263576380885E+23</v>
      </c>
      <c r="L783" s="5">
        <f>LOOKUP(K783,AI:AI,AE:AE)</f>
        <v>897</v>
      </c>
      <c r="M783" s="5">
        <f>LOOKUP(L783,AE:AE,AG:AG)</f>
        <v>9.1115803384576999E+21</v>
      </c>
      <c r="N783" s="5">
        <f>AM783/M783/$K$1</f>
        <v>1.1283385782211852</v>
      </c>
      <c r="O783" s="5">
        <f>SUM($N$9:N783)</f>
        <v>2312.7817419918879</v>
      </c>
      <c r="AE783" s="5">
        <f t="shared" si="97"/>
        <v>775</v>
      </c>
      <c r="AF783" s="5">
        <f t="shared" si="98"/>
        <v>2.0570471050635899E+19</v>
      </c>
      <c r="AG783" s="5">
        <f t="shared" si="99"/>
        <v>2.0464846038822601E+19</v>
      </c>
      <c r="AH783" s="5">
        <f>AG783*$AF$1</f>
        <v>2.0464846038822601E+20</v>
      </c>
      <c r="AI783" s="5">
        <f>SUM($AF$9:AF782)</f>
        <v>4.0031879477232442E+20</v>
      </c>
      <c r="AK783" s="5">
        <f t="shared" si="100"/>
        <v>775</v>
      </c>
      <c r="AL783" s="5">
        <f t="shared" si="101"/>
        <v>111</v>
      </c>
      <c r="AM783" s="5">
        <f t="shared" si="102"/>
        <v>1.5421421406665199E+22</v>
      </c>
      <c r="AN783" s="5">
        <f>$AL$4*$AL$3^AL783*$AL$2</f>
        <v>1.5421421406665184E+22</v>
      </c>
      <c r="AO783" s="5">
        <f>IF(AL783=AL784,1,LOOKUP(MOD(AL783,$AL$1),$AN$1:$AN$5,$AO$1:$AO$5))</f>
        <v>1</v>
      </c>
      <c r="AP783" s="5">
        <f t="shared" si="103"/>
        <v>7.1915228493082001E+21</v>
      </c>
      <c r="AQ783" s="5">
        <f>AM783*$AR$3</f>
        <v>2.0561895208886933E+21</v>
      </c>
      <c r="AR783" s="5">
        <f>AM783*AL783*$AR$4</f>
        <v>5.1353333284195113E+21</v>
      </c>
      <c r="AS783" s="5">
        <f>SUM($AP$9:AP782)</f>
        <v>1.8201263576380885E+23</v>
      </c>
    </row>
    <row r="784" spans="1:45" x14ac:dyDescent="0.15">
      <c r="A784" s="5">
        <v>776</v>
      </c>
      <c r="J784" s="5">
        <f t="shared" si="96"/>
        <v>776</v>
      </c>
      <c r="K784" s="5">
        <f>SUM($AP$9:AP783)</f>
        <v>1.8920415861311705E+23</v>
      </c>
      <c r="L784" s="5">
        <f>LOOKUP(K784,AI:AI,AE:AE)</f>
        <v>898</v>
      </c>
      <c r="M784" s="5">
        <f>LOOKUP(L784,AE:AE,AG:AG)</f>
        <v>9.57782508487377E+21</v>
      </c>
      <c r="N784" s="5">
        <f>AM784/M784/$K$1</f>
        <v>1.0734115013939998</v>
      </c>
      <c r="O784" s="5">
        <f>SUM($N$9:N784)</f>
        <v>2313.8551534932817</v>
      </c>
      <c r="AE784" s="5">
        <f t="shared" si="97"/>
        <v>776</v>
      </c>
      <c r="AF784" s="5">
        <f t="shared" si="98"/>
        <v>2.16267211687687E+19</v>
      </c>
      <c r="AG784" s="5">
        <f t="shared" si="99"/>
        <v>2.1515814906364801E+19</v>
      </c>
      <c r="AH784" s="5">
        <f>AG784*$AF$1</f>
        <v>2.1515814906364802E+20</v>
      </c>
      <c r="AI784" s="5">
        <f>SUM($AF$9:AF783)</f>
        <v>4.2088926582296032E+20</v>
      </c>
      <c r="AK784" s="5">
        <f t="shared" si="100"/>
        <v>776</v>
      </c>
      <c r="AL784" s="5">
        <f t="shared" si="101"/>
        <v>111</v>
      </c>
      <c r="AM784" s="5">
        <f t="shared" si="102"/>
        <v>1.5421421406665199E+22</v>
      </c>
      <c r="AN784" s="5">
        <f>$AL$4*$AL$3^AL784*$AL$2</f>
        <v>1.5421421406665184E+22</v>
      </c>
      <c r="AO784" s="5">
        <f>IF(AL784=AL785,1,LOOKUP(MOD(AL784,$AL$1),$AN$1:$AN$5,$AO$1:$AO$5))</f>
        <v>1</v>
      </c>
      <c r="AP784" s="5">
        <f t="shared" si="103"/>
        <v>7.1915228493082001E+21</v>
      </c>
      <c r="AQ784" s="5">
        <f>AM784*$AR$3</f>
        <v>2.0561895208886933E+21</v>
      </c>
      <c r="AR784" s="5">
        <f>AM784*AL784*$AR$4</f>
        <v>5.1353333284195113E+21</v>
      </c>
      <c r="AS784" s="5">
        <f>SUM($AP$9:AP783)</f>
        <v>1.8920415861311705E+23</v>
      </c>
    </row>
    <row r="785" spans="1:45" x14ac:dyDescent="0.15">
      <c r="A785" s="5">
        <v>777</v>
      </c>
      <c r="J785" s="5">
        <f t="shared" si="96"/>
        <v>777</v>
      </c>
      <c r="K785" s="5">
        <f>SUM($AP$9:AP784)</f>
        <v>1.9639568146242524E+23</v>
      </c>
      <c r="L785" s="5">
        <f>LOOKUP(K785,AI:AI,AE:AE)</f>
        <v>898</v>
      </c>
      <c r="M785" s="5">
        <f>LOOKUP(L785,AE:AE,AG:AG)</f>
        <v>9.57782508487377E+21</v>
      </c>
      <c r="N785" s="5">
        <f>AM785/M785/$K$1</f>
        <v>7.5138805097579713</v>
      </c>
      <c r="O785" s="5">
        <f>SUM($N$9:N785)</f>
        <v>2321.3690340030398</v>
      </c>
      <c r="AE785" s="5">
        <f t="shared" si="97"/>
        <v>777</v>
      </c>
      <c r="AF785" s="5">
        <f t="shared" si="98"/>
        <v>2.2737170121088201E+19</v>
      </c>
      <c r="AG785" s="5">
        <f t="shared" si="99"/>
        <v>2.2620718545564E+19</v>
      </c>
      <c r="AH785" s="5">
        <f>AG785*$AF$1</f>
        <v>2.2620718545564002E+20</v>
      </c>
      <c r="AI785" s="5">
        <f>SUM($AF$9:AF784)</f>
        <v>4.4251598699172902E+20</v>
      </c>
      <c r="AK785" s="5">
        <f t="shared" si="100"/>
        <v>777</v>
      </c>
      <c r="AL785" s="5">
        <f t="shared" si="101"/>
        <v>111</v>
      </c>
      <c r="AM785" s="5">
        <f t="shared" si="102"/>
        <v>1.0794994984665601E+23</v>
      </c>
      <c r="AN785" s="5">
        <f>$AL$4*$AL$3^AL785*$AL$2</f>
        <v>1.5421421406665184E+22</v>
      </c>
      <c r="AO785" s="5">
        <f>IF(AL785=AL786,1,LOOKUP(MOD(AL785,$AL$1),$AN$1:$AN$5,$AO$1:$AO$5))</f>
        <v>7</v>
      </c>
      <c r="AP785" s="5">
        <f t="shared" si="103"/>
        <v>5.0340659945157297E+22</v>
      </c>
      <c r="AQ785" s="5">
        <f>AM785*$AR$3</f>
        <v>1.4393326646220802E+22</v>
      </c>
      <c r="AR785" s="5">
        <f>AM785*AL785*$AR$4</f>
        <v>3.5947333298936451E+22</v>
      </c>
      <c r="AS785" s="5">
        <f>SUM($AP$9:AP784)</f>
        <v>1.9639568146242524E+23</v>
      </c>
    </row>
    <row r="786" spans="1:45" x14ac:dyDescent="0.15">
      <c r="A786" s="5">
        <v>778</v>
      </c>
      <c r="J786" s="5">
        <f t="shared" si="96"/>
        <v>778</v>
      </c>
      <c r="K786" s="5">
        <f>SUM($AP$9:AP785)</f>
        <v>2.4673634140758254E+23</v>
      </c>
      <c r="L786" s="5">
        <f>LOOKUP(K786,AI:AI,AE:AE)</f>
        <v>903</v>
      </c>
      <c r="M786" s="5">
        <f>LOOKUP(L786,AE:AE,AG:AG)</f>
        <v>1.22920639341882E+22</v>
      </c>
      <c r="N786" s="5">
        <f>AM786/M786/$K$1</f>
        <v>1.3131307993023549</v>
      </c>
      <c r="O786" s="5">
        <f>SUM($N$9:N786)</f>
        <v>2322.682164802342</v>
      </c>
      <c r="AE786" s="5">
        <f t="shared" si="97"/>
        <v>778</v>
      </c>
      <c r="AF786" s="5">
        <f t="shared" si="98"/>
        <v>2.3904597165717701E+19</v>
      </c>
      <c r="AG786" s="5">
        <f t="shared" si="99"/>
        <v>2.3782323011417301E+19</v>
      </c>
      <c r="AH786" s="5">
        <f>AG786*$AF$1</f>
        <v>2.3782323011417303E+20</v>
      </c>
      <c r="AI786" s="5">
        <f>SUM($AF$9:AF785)</f>
        <v>4.6525315711281719E+20</v>
      </c>
      <c r="AK786" s="5">
        <f t="shared" si="100"/>
        <v>778</v>
      </c>
      <c r="AL786" s="5">
        <f t="shared" si="101"/>
        <v>112</v>
      </c>
      <c r="AM786" s="5">
        <f t="shared" si="102"/>
        <v>2.4211631608464302E+22</v>
      </c>
      <c r="AN786" s="5">
        <f>$AL$4*$AL$3^AL786*$AL$2</f>
        <v>2.4211631608464335E+22</v>
      </c>
      <c r="AO786" s="5">
        <f>IF(AL786=AL787,1,LOOKUP(MOD(AL786,$AL$1),$AN$1:$AN$5,$AO$1:$AO$5))</f>
        <v>1</v>
      </c>
      <c r="AP786" s="5">
        <f t="shared" si="103"/>
        <v>1.1363325768239199E+22</v>
      </c>
      <c r="AQ786" s="5">
        <f>AM786*$AR$3</f>
        <v>3.2282175477952403E+21</v>
      </c>
      <c r="AR786" s="5">
        <f>AM786*AL786*$AR$4</f>
        <v>8.1351082204440056E+21</v>
      </c>
      <c r="AS786" s="5">
        <f>SUM($AP$9:AP785)</f>
        <v>2.4673634140758254E+23</v>
      </c>
    </row>
    <row r="787" spans="1:45" x14ac:dyDescent="0.15">
      <c r="A787" s="5">
        <v>779</v>
      </c>
      <c r="J787" s="5">
        <f t="shared" si="96"/>
        <v>779</v>
      </c>
      <c r="K787" s="5">
        <f>SUM($AP$9:AP786)</f>
        <v>2.5809966717582173E+23</v>
      </c>
      <c r="L787" s="5">
        <f>LOOKUP(K787,AI:AI,AE:AE)</f>
        <v>904</v>
      </c>
      <c r="M787" s="5">
        <f>LOOKUP(L787,AE:AE,AG:AG)</f>
        <v>1.29209602284955E+22</v>
      </c>
      <c r="N787" s="5">
        <f>AM787/M787/$K$1</f>
        <v>1.2492173533186124</v>
      </c>
      <c r="O787" s="5">
        <f>SUM($N$9:N787)</f>
        <v>2323.9313821556607</v>
      </c>
      <c r="AE787" s="5">
        <f t="shared" si="97"/>
        <v>779</v>
      </c>
      <c r="AF787" s="5">
        <f t="shared" si="98"/>
        <v>2.51319239895074E+19</v>
      </c>
      <c r="AG787" s="5">
        <f t="shared" si="99"/>
        <v>2.5003536127492002E+19</v>
      </c>
      <c r="AH787" s="5">
        <f>AG787*$AF$1</f>
        <v>2.5003536127492001E+20</v>
      </c>
      <c r="AI787" s="5">
        <f>SUM($AF$9:AF786)</f>
        <v>4.8915775427853491E+20</v>
      </c>
      <c r="AK787" s="5">
        <f t="shared" si="100"/>
        <v>779</v>
      </c>
      <c r="AL787" s="5">
        <f t="shared" si="101"/>
        <v>112</v>
      </c>
      <c r="AM787" s="5">
        <f t="shared" si="102"/>
        <v>2.4211631608464302E+22</v>
      </c>
      <c r="AN787" s="5">
        <f>$AL$4*$AL$3^AL787*$AL$2</f>
        <v>2.4211631608464335E+22</v>
      </c>
      <c r="AO787" s="5">
        <f>IF(AL787=AL788,1,LOOKUP(MOD(AL787,$AL$1),$AN$1:$AN$5,$AO$1:$AO$5))</f>
        <v>1</v>
      </c>
      <c r="AP787" s="5">
        <f t="shared" si="103"/>
        <v>1.1363325768239199E+22</v>
      </c>
      <c r="AQ787" s="5">
        <f>AM787*$AR$3</f>
        <v>3.2282175477952403E+21</v>
      </c>
      <c r="AR787" s="5">
        <f>AM787*AL787*$AR$4</f>
        <v>8.1351082204440056E+21</v>
      </c>
      <c r="AS787" s="5">
        <f>SUM($AP$9:AP786)</f>
        <v>2.5809966717582173E+23</v>
      </c>
    </row>
    <row r="788" spans="1:45" x14ac:dyDescent="0.15">
      <c r="A788" s="5">
        <v>780</v>
      </c>
      <c r="J788" s="5">
        <f t="shared" si="96"/>
        <v>780</v>
      </c>
      <c r="K788" s="5">
        <f>SUM($AP$9:AP787)</f>
        <v>2.6946299294406093E+23</v>
      </c>
      <c r="L788" s="5">
        <f>LOOKUP(K788,AI:AI,AE:AE)</f>
        <v>905</v>
      </c>
      <c r="M788" s="5">
        <f>LOOKUP(L788,AE:AE,AG:AG)</f>
        <v>1.3582015992398E+22</v>
      </c>
      <c r="N788" s="5">
        <f>AM788/M788/$K$1</f>
        <v>1.188416193001874</v>
      </c>
      <c r="O788" s="5">
        <f>SUM($N$9:N788)</f>
        <v>2325.1197983486627</v>
      </c>
      <c r="AE788" s="5">
        <f t="shared" si="97"/>
        <v>780</v>
      </c>
      <c r="AF788" s="5">
        <f t="shared" si="98"/>
        <v>2.6422222002761802E+19</v>
      </c>
      <c r="AG788" s="5">
        <f t="shared" si="99"/>
        <v>2.6287414747645698E+19</v>
      </c>
      <c r="AH788" s="5">
        <f>AG788*$AF$1</f>
        <v>2.62874147476457E+20</v>
      </c>
      <c r="AI788" s="5">
        <f>SUM($AF$9:AF787)</f>
        <v>5.1428967826804231E+20</v>
      </c>
      <c r="AK788" s="5">
        <f t="shared" si="100"/>
        <v>780</v>
      </c>
      <c r="AL788" s="5">
        <f t="shared" si="101"/>
        <v>112</v>
      </c>
      <c r="AM788" s="5">
        <f t="shared" si="102"/>
        <v>2.4211631608464302E+22</v>
      </c>
      <c r="AN788" s="5">
        <f>$AL$4*$AL$3^AL788*$AL$2</f>
        <v>2.4211631608464335E+22</v>
      </c>
      <c r="AO788" s="5">
        <f>IF(AL788=AL789,1,LOOKUP(MOD(AL788,$AL$1),$AN$1:$AN$5,$AO$1:$AO$5))</f>
        <v>1</v>
      </c>
      <c r="AP788" s="5">
        <f t="shared" si="103"/>
        <v>1.1363325768239199E+22</v>
      </c>
      <c r="AQ788" s="5">
        <f>AM788*$AR$3</f>
        <v>3.2282175477952403E+21</v>
      </c>
      <c r="AR788" s="5">
        <f>AM788*AL788*$AR$4</f>
        <v>8.1351082204440056E+21</v>
      </c>
      <c r="AS788" s="5">
        <f>SUM($AP$9:AP787)</f>
        <v>2.6946299294406093E+23</v>
      </c>
    </row>
    <row r="789" spans="1:45" x14ac:dyDescent="0.15">
      <c r="A789" s="5">
        <v>781</v>
      </c>
      <c r="J789" s="5">
        <f t="shared" si="96"/>
        <v>781</v>
      </c>
      <c r="K789" s="5">
        <f>SUM($AP$9:AP788)</f>
        <v>2.8082631871230012E+23</v>
      </c>
      <c r="L789" s="5">
        <f>LOOKUP(K789,AI:AI,AE:AE)</f>
        <v>906</v>
      </c>
      <c r="M789" s="5">
        <f>LOOKUP(L789,AE:AE,AG:AG)</f>
        <v>1.42768749321196E+22</v>
      </c>
      <c r="N789" s="5">
        <f>AM789/M789/$K$1</f>
        <v>1.1305756908090974</v>
      </c>
      <c r="O789" s="5">
        <f>SUM($N$9:N789)</f>
        <v>2326.2503740394718</v>
      </c>
      <c r="AE789" s="5">
        <f t="shared" si="97"/>
        <v>781</v>
      </c>
      <c r="AF789" s="5">
        <f t="shared" si="98"/>
        <v>2.7778720007367901E+19</v>
      </c>
      <c r="AG789" s="5">
        <f t="shared" si="99"/>
        <v>2.7637172389495898E+19</v>
      </c>
      <c r="AH789" s="5">
        <f>AG789*$AF$1</f>
        <v>2.7637172389495898E+20</v>
      </c>
      <c r="AI789" s="5">
        <f>SUM($AF$9:AF788)</f>
        <v>5.4071190027080414E+20</v>
      </c>
      <c r="AK789" s="5">
        <f t="shared" si="100"/>
        <v>781</v>
      </c>
      <c r="AL789" s="5">
        <f t="shared" si="101"/>
        <v>112</v>
      </c>
      <c r="AM789" s="5">
        <f t="shared" si="102"/>
        <v>2.4211631608464302E+22</v>
      </c>
      <c r="AN789" s="5">
        <f>$AL$4*$AL$3^AL789*$AL$2</f>
        <v>2.4211631608464335E+22</v>
      </c>
      <c r="AO789" s="5">
        <f>IF(AL789=AL790,1,LOOKUP(MOD(AL789,$AL$1),$AN$1:$AN$5,$AO$1:$AO$5))</f>
        <v>1</v>
      </c>
      <c r="AP789" s="5">
        <f t="shared" si="103"/>
        <v>1.1363325768239199E+22</v>
      </c>
      <c r="AQ789" s="5">
        <f>AM789*$AR$3</f>
        <v>3.2282175477952403E+21</v>
      </c>
      <c r="AR789" s="5">
        <f>AM789*AL789*$AR$4</f>
        <v>8.1351082204440056E+21</v>
      </c>
      <c r="AS789" s="5">
        <f>SUM($AP$9:AP788)</f>
        <v>2.8082631871230012E+23</v>
      </c>
    </row>
    <row r="790" spans="1:45" x14ac:dyDescent="0.15">
      <c r="A790" s="5">
        <v>782</v>
      </c>
      <c r="J790" s="5">
        <f t="shared" si="96"/>
        <v>782</v>
      </c>
      <c r="K790" s="5">
        <f>SUM($AP$9:AP789)</f>
        <v>2.9218964448053932E+23</v>
      </c>
      <c r="L790" s="5">
        <f>LOOKUP(K790,AI:AI,AE:AE)</f>
        <v>906</v>
      </c>
      <c r="M790" s="5">
        <f>LOOKUP(L790,AE:AE,AG:AG)</f>
        <v>1.42768749321196E+22</v>
      </c>
      <c r="N790" s="5">
        <f>AM790/M790/$K$1</f>
        <v>1.1305756908090974</v>
      </c>
      <c r="O790" s="5">
        <f>SUM($N$9:N790)</f>
        <v>2327.3809497302809</v>
      </c>
      <c r="AE790" s="5">
        <f t="shared" si="97"/>
        <v>782</v>
      </c>
      <c r="AF790" s="5">
        <f t="shared" si="98"/>
        <v>2.9204812257427599E+19</v>
      </c>
      <c r="AG790" s="5">
        <f t="shared" si="99"/>
        <v>2.9056187258662101E+19</v>
      </c>
      <c r="AH790" s="5">
        <f>AG790*$AF$1</f>
        <v>2.9056187258662099E+20</v>
      </c>
      <c r="AI790" s="5">
        <f>SUM($AF$9:AF789)</f>
        <v>5.6849062027817202E+20</v>
      </c>
      <c r="AK790" s="5">
        <f t="shared" si="100"/>
        <v>782</v>
      </c>
      <c r="AL790" s="5">
        <f t="shared" si="101"/>
        <v>112</v>
      </c>
      <c r="AM790" s="5">
        <f t="shared" si="102"/>
        <v>2.4211631608464302E+22</v>
      </c>
      <c r="AN790" s="5">
        <f>$AL$4*$AL$3^AL790*$AL$2</f>
        <v>2.4211631608464335E+22</v>
      </c>
      <c r="AO790" s="5">
        <f>IF(AL790=AL791,1,LOOKUP(MOD(AL790,$AL$1),$AN$1:$AN$5,$AO$1:$AO$5))</f>
        <v>1</v>
      </c>
      <c r="AP790" s="5">
        <f t="shared" si="103"/>
        <v>1.1363325768239199E+22</v>
      </c>
      <c r="AQ790" s="5">
        <f>AM790*$AR$3</f>
        <v>3.2282175477952403E+21</v>
      </c>
      <c r="AR790" s="5">
        <f>AM790*AL790*$AR$4</f>
        <v>8.1351082204440056E+21</v>
      </c>
      <c r="AS790" s="5">
        <f>SUM($AP$9:AP789)</f>
        <v>2.9218964448053932E+23</v>
      </c>
    </row>
    <row r="791" spans="1:45" x14ac:dyDescent="0.15">
      <c r="A791" s="5">
        <v>783</v>
      </c>
      <c r="J791" s="5">
        <f t="shared" si="96"/>
        <v>783</v>
      </c>
      <c r="K791" s="5">
        <f>SUM($AP$9:AP790)</f>
        <v>3.0355297024877855E+23</v>
      </c>
      <c r="L791" s="5">
        <f>LOOKUP(K791,AI:AI,AE:AE)</f>
        <v>907</v>
      </c>
      <c r="M791" s="5">
        <f>LOOKUP(L791,AE:AE,AG:AG)</f>
        <v>1.50072647258323E+22</v>
      </c>
      <c r="N791" s="5">
        <f>AM791/M791/$K$1</f>
        <v>1.0755516100940252</v>
      </c>
      <c r="O791" s="5">
        <f>SUM($N$9:N791)</f>
        <v>2328.4565013403749</v>
      </c>
      <c r="AE791" s="5">
        <f t="shared" si="97"/>
        <v>783</v>
      </c>
      <c r="AF791" s="5">
        <f t="shared" si="98"/>
        <v>3.0704066932474999E+19</v>
      </c>
      <c r="AG791" s="5">
        <f t="shared" si="99"/>
        <v>3.0548010683771199E+19</v>
      </c>
      <c r="AH791" s="5">
        <f>AG791*$AF$1</f>
        <v>3.0548010683771198E+20</v>
      </c>
      <c r="AI791" s="5">
        <f>SUM($AF$9:AF790)</f>
        <v>5.9769543253559961E+20</v>
      </c>
      <c r="AK791" s="5">
        <f t="shared" si="100"/>
        <v>783</v>
      </c>
      <c r="AL791" s="5">
        <f t="shared" si="101"/>
        <v>112</v>
      </c>
      <c r="AM791" s="5">
        <f t="shared" si="102"/>
        <v>2.4211631608464302E+22</v>
      </c>
      <c r="AN791" s="5">
        <f>$AL$4*$AL$3^AL791*$AL$2</f>
        <v>2.4211631608464335E+22</v>
      </c>
      <c r="AO791" s="5">
        <f>IF(AL791=AL792,1,LOOKUP(MOD(AL791,$AL$1),$AN$1:$AN$5,$AO$1:$AO$5))</f>
        <v>1</v>
      </c>
      <c r="AP791" s="5">
        <f t="shared" si="103"/>
        <v>1.1363325768239199E+22</v>
      </c>
      <c r="AQ791" s="5">
        <f>AM791*$AR$3</f>
        <v>3.2282175477952403E+21</v>
      </c>
      <c r="AR791" s="5">
        <f>AM791*AL791*$AR$4</f>
        <v>8.1351082204440056E+21</v>
      </c>
      <c r="AS791" s="5">
        <f>SUM($AP$9:AP790)</f>
        <v>3.0355297024877855E+23</v>
      </c>
    </row>
    <row r="792" spans="1:45" x14ac:dyDescent="0.15">
      <c r="A792" s="5">
        <v>784</v>
      </c>
      <c r="J792" s="5">
        <f t="shared" si="96"/>
        <v>784</v>
      </c>
      <c r="K792" s="5">
        <f>SUM($AP$9:AP791)</f>
        <v>3.1491629601701774E+23</v>
      </c>
      <c r="L792" s="5">
        <f>LOOKUP(K792,AI:AI,AE:AE)</f>
        <v>908</v>
      </c>
      <c r="M792" s="5">
        <f>LOOKUP(L792,AE:AE,AG:AG)</f>
        <v>1.5775001311586101E+22</v>
      </c>
      <c r="N792" s="5">
        <f>AM792/M792/$K$1</f>
        <v>10.232067446562571</v>
      </c>
      <c r="O792" s="5">
        <f>SUM($N$9:N792)</f>
        <v>2338.6885687869376</v>
      </c>
      <c r="AE792" s="5">
        <f t="shared" si="97"/>
        <v>784</v>
      </c>
      <c r="AF792" s="5">
        <f t="shared" si="98"/>
        <v>3.2280235044383498E+19</v>
      </c>
      <c r="AG792" s="5">
        <f t="shared" si="99"/>
        <v>3.2116375983244501E+19</v>
      </c>
      <c r="AH792" s="5">
        <f>AG792*$AF$1</f>
        <v>3.2116375983244503E+20</v>
      </c>
      <c r="AI792" s="5">
        <f>SUM($AF$9:AF791)</f>
        <v>6.2839949946807465E+20</v>
      </c>
      <c r="AK792" s="5">
        <f t="shared" si="100"/>
        <v>784</v>
      </c>
      <c r="AL792" s="5">
        <f t="shared" si="101"/>
        <v>112</v>
      </c>
      <c r="AM792" s="5">
        <f t="shared" si="102"/>
        <v>2.4211631608464301E+23</v>
      </c>
      <c r="AN792" s="5">
        <f>$AL$4*$AL$3^AL792*$AL$2</f>
        <v>2.4211631608464335E+22</v>
      </c>
      <c r="AO792" s="5">
        <f>IF(AL792=AL793,1,LOOKUP(MOD(AL792,$AL$1),$AN$1:$AN$5,$AO$1:$AO$5))</f>
        <v>10</v>
      </c>
      <c r="AP792" s="5">
        <f t="shared" si="103"/>
        <v>1.13633257682392E+23</v>
      </c>
      <c r="AQ792" s="5">
        <f>AM792*$AR$3</f>
        <v>3.2282175477952402E+22</v>
      </c>
      <c r="AR792" s="5">
        <f>AM792*AL792*$AR$4</f>
        <v>8.1351082204440052E+22</v>
      </c>
      <c r="AS792" s="5">
        <f>SUM($AP$9:AP791)</f>
        <v>3.1491629601701774E+23</v>
      </c>
    </row>
    <row r="793" spans="1:45" x14ac:dyDescent="0.15">
      <c r="A793" s="5">
        <v>785</v>
      </c>
      <c r="J793" s="5">
        <f t="shared" si="96"/>
        <v>785</v>
      </c>
      <c r="K793" s="5">
        <f>SUM($AP$9:AP792)</f>
        <v>4.2854955369940976E+23</v>
      </c>
      <c r="L793" s="5">
        <f>LOOKUP(K793,AI:AI,AE:AE)</f>
        <v>914</v>
      </c>
      <c r="M793" s="5">
        <f>LOOKUP(L793,AE:AE,AG:AG)</f>
        <v>2.12797021877734E+22</v>
      </c>
      <c r="N793" s="5">
        <f>AM793/M793/$K$1</f>
        <v>1.1908769928534546</v>
      </c>
      <c r="O793" s="5">
        <f>SUM($N$9:N793)</f>
        <v>2339.8794457797912</v>
      </c>
      <c r="AE793" s="5">
        <f t="shared" si="97"/>
        <v>785</v>
      </c>
      <c r="AF793" s="5">
        <f t="shared" si="98"/>
        <v>3.3937259800151699E+19</v>
      </c>
      <c r="AG793" s="5">
        <f t="shared" si="99"/>
        <v>3.3765207785955701E+19</v>
      </c>
      <c r="AH793" s="5">
        <f>AG793*$AF$1</f>
        <v>3.3765207785955702E+20</v>
      </c>
      <c r="AI793" s="5">
        <f>SUM($AF$9:AF792)</f>
        <v>6.6067973451245814E+20</v>
      </c>
      <c r="AK793" s="5">
        <f t="shared" si="100"/>
        <v>785</v>
      </c>
      <c r="AL793" s="5">
        <f t="shared" si="101"/>
        <v>113</v>
      </c>
      <c r="AM793" s="5">
        <f t="shared" si="102"/>
        <v>3.8012261625288999E+22</v>
      </c>
      <c r="AN793" s="5">
        <f>$AL$4*$AL$3^AL793*$AL$2</f>
        <v>3.8012261625289008E+22</v>
      </c>
      <c r="AO793" s="5">
        <f>IF(AL793=AL794,1,LOOKUP(MOD(AL793,$AL$1),$AN$1:$AN$5,$AO$1:$AO$5))</f>
        <v>1</v>
      </c>
      <c r="AP793" s="5">
        <f t="shared" si="103"/>
        <v>1.79544582410115E+22</v>
      </c>
      <c r="AQ793" s="5">
        <f>AM793*$AR$3</f>
        <v>5.0683015500385328E+21</v>
      </c>
      <c r="AR793" s="5">
        <f>AM793*AL793*$AR$4</f>
        <v>1.288615669097297E+22</v>
      </c>
      <c r="AS793" s="5">
        <f>SUM($AP$9:AP792)</f>
        <v>4.2854955369940976E+23</v>
      </c>
    </row>
    <row r="794" spans="1:45" x14ac:dyDescent="0.15">
      <c r="A794" s="5">
        <v>786</v>
      </c>
      <c r="J794" s="5">
        <f t="shared" si="96"/>
        <v>786</v>
      </c>
      <c r="K794" s="5">
        <f>SUM($AP$9:AP793)</f>
        <v>4.4650401194042127E+23</v>
      </c>
      <c r="L794" s="5">
        <f>LOOKUP(K794,AI:AI,AE:AE)</f>
        <v>915</v>
      </c>
      <c r="M794" s="5">
        <f>LOOKUP(L794,AE:AE,AG:AG)</f>
        <v>2.2368133344533202E+22</v>
      </c>
      <c r="N794" s="5">
        <f>AM794/M794/$K$1</f>
        <v>1.1329290361364088</v>
      </c>
      <c r="O794" s="5">
        <f>SUM($N$9:N794)</f>
        <v>2341.0123748159276</v>
      </c>
      <c r="AE794" s="5">
        <f t="shared" si="97"/>
        <v>786</v>
      </c>
      <c r="AF794" s="5">
        <f t="shared" si="98"/>
        <v>3.5679286443885699E+19</v>
      </c>
      <c r="AG794" s="5">
        <f t="shared" si="99"/>
        <v>3.54986318289799E+19</v>
      </c>
      <c r="AH794" s="5">
        <f>AG794*$AF$1</f>
        <v>3.5498631828979902E+20</v>
      </c>
      <c r="AI794" s="5">
        <f>SUM($AF$9:AF793)</f>
        <v>6.9461699431260986E+20</v>
      </c>
      <c r="AK794" s="5">
        <f t="shared" si="100"/>
        <v>786</v>
      </c>
      <c r="AL794" s="5">
        <f t="shared" si="101"/>
        <v>113</v>
      </c>
      <c r="AM794" s="5">
        <f t="shared" si="102"/>
        <v>3.8012261625288999E+22</v>
      </c>
      <c r="AN794" s="5">
        <f>$AL$4*$AL$3^AL794*$AL$2</f>
        <v>3.8012261625289008E+22</v>
      </c>
      <c r="AO794" s="5">
        <f>IF(AL794=AL795,1,LOOKUP(MOD(AL794,$AL$1),$AN$1:$AN$5,$AO$1:$AO$5))</f>
        <v>1</v>
      </c>
      <c r="AP794" s="5">
        <f t="shared" si="103"/>
        <v>1.79544582410115E+22</v>
      </c>
      <c r="AQ794" s="5">
        <f>AM794*$AR$3</f>
        <v>5.0683015500385328E+21</v>
      </c>
      <c r="AR794" s="5">
        <f>AM794*AL794*$AR$4</f>
        <v>1.288615669097297E+22</v>
      </c>
      <c r="AS794" s="5">
        <f>SUM($AP$9:AP793)</f>
        <v>4.4650401194042127E+23</v>
      </c>
    </row>
    <row r="795" spans="1:45" x14ac:dyDescent="0.15">
      <c r="A795" s="5">
        <v>787</v>
      </c>
      <c r="J795" s="5">
        <f t="shared" si="96"/>
        <v>787</v>
      </c>
      <c r="K795" s="5">
        <f>SUM($AP$9:AP794)</f>
        <v>4.6445847018143278E+23</v>
      </c>
      <c r="L795" s="5">
        <f>LOOKUP(K795,AI:AI,AE:AE)</f>
        <v>916</v>
      </c>
      <c r="M795" s="5">
        <f>LOOKUP(L795,AE:AE,AG:AG)</f>
        <v>2.3512208361499501E+22</v>
      </c>
      <c r="N795" s="5">
        <f>AM795/M795/$K$1</f>
        <v>1.0778021086138632</v>
      </c>
      <c r="O795" s="5">
        <f>SUM($N$9:N795)</f>
        <v>2342.0901769245415</v>
      </c>
      <c r="AE795" s="5">
        <f t="shared" si="97"/>
        <v>787</v>
      </c>
      <c r="AF795" s="5">
        <f t="shared" si="98"/>
        <v>3.7510672602492699E+19</v>
      </c>
      <c r="AG795" s="5">
        <f t="shared" si="99"/>
        <v>3.7320985256841699E+19</v>
      </c>
      <c r="AH795" s="5">
        <f>AG795*$AF$1</f>
        <v>3.7320985256841701E+20</v>
      </c>
      <c r="AI795" s="5">
        <f>SUM($AF$9:AF794)</f>
        <v>7.3029628075649558E+20</v>
      </c>
      <c r="AK795" s="5">
        <f t="shared" si="100"/>
        <v>787</v>
      </c>
      <c r="AL795" s="5">
        <f t="shared" si="101"/>
        <v>113</v>
      </c>
      <c r="AM795" s="5">
        <f t="shared" si="102"/>
        <v>3.8012261625288999E+22</v>
      </c>
      <c r="AN795" s="5">
        <f>$AL$4*$AL$3^AL795*$AL$2</f>
        <v>3.8012261625289008E+22</v>
      </c>
      <c r="AO795" s="5">
        <f>IF(AL795=AL796,1,LOOKUP(MOD(AL795,$AL$1),$AN$1:$AN$5,$AO$1:$AO$5))</f>
        <v>1</v>
      </c>
      <c r="AP795" s="5">
        <f t="shared" si="103"/>
        <v>1.79544582410115E+22</v>
      </c>
      <c r="AQ795" s="5">
        <f>AM795*$AR$3</f>
        <v>5.0683015500385328E+21</v>
      </c>
      <c r="AR795" s="5">
        <f>AM795*AL795*$AR$4</f>
        <v>1.288615669097297E+22</v>
      </c>
      <c r="AS795" s="5">
        <f>SUM($AP$9:AP794)</f>
        <v>4.6445847018143278E+23</v>
      </c>
    </row>
    <row r="796" spans="1:45" x14ac:dyDescent="0.15">
      <c r="A796" s="5">
        <v>788</v>
      </c>
      <c r="J796" s="5">
        <f t="shared" si="96"/>
        <v>788</v>
      </c>
      <c r="K796" s="5">
        <f>SUM($AP$9:AP795)</f>
        <v>4.824129284224443E+23</v>
      </c>
      <c r="L796" s="5">
        <f>LOOKUP(K796,AI:AI,AE:AE)</f>
        <v>916</v>
      </c>
      <c r="M796" s="5">
        <f>LOOKUP(L796,AE:AE,AG:AG)</f>
        <v>2.3512208361499501E+22</v>
      </c>
      <c r="N796" s="5">
        <f>AM796/M796/$K$1</f>
        <v>1.0778021086138632</v>
      </c>
      <c r="O796" s="5">
        <f>SUM($N$9:N796)</f>
        <v>2343.1679790331555</v>
      </c>
      <c r="AE796" s="5">
        <f t="shared" si="97"/>
        <v>788</v>
      </c>
      <c r="AF796" s="5">
        <f t="shared" si="98"/>
        <v>3.9435999160850801E+19</v>
      </c>
      <c r="AG796" s="5">
        <f t="shared" si="99"/>
        <v>3.9236827447917199E+19</v>
      </c>
      <c r="AH796" s="5">
        <f>AG796*$AF$1</f>
        <v>3.9236827447917203E+20</v>
      </c>
      <c r="AI796" s="5">
        <f>SUM($AF$9:AF795)</f>
        <v>7.6780695335898828E+20</v>
      </c>
      <c r="AK796" s="5">
        <f t="shared" si="100"/>
        <v>788</v>
      </c>
      <c r="AL796" s="5">
        <f t="shared" si="101"/>
        <v>113</v>
      </c>
      <c r="AM796" s="5">
        <f t="shared" si="102"/>
        <v>3.8012261625288999E+22</v>
      </c>
      <c r="AN796" s="5">
        <f>$AL$4*$AL$3^AL796*$AL$2</f>
        <v>3.8012261625289008E+22</v>
      </c>
      <c r="AO796" s="5">
        <f>IF(AL796=AL797,1,LOOKUP(MOD(AL796,$AL$1),$AN$1:$AN$5,$AO$1:$AO$5))</f>
        <v>1</v>
      </c>
      <c r="AP796" s="5">
        <f t="shared" si="103"/>
        <v>1.79544582410115E+22</v>
      </c>
      <c r="AQ796" s="5">
        <f>AM796*$AR$3</f>
        <v>5.0683015500385328E+21</v>
      </c>
      <c r="AR796" s="5">
        <f>AM796*AL796*$AR$4</f>
        <v>1.288615669097297E+22</v>
      </c>
      <c r="AS796" s="5">
        <f>SUM($AP$9:AP795)</f>
        <v>4.824129284224443E+23</v>
      </c>
    </row>
    <row r="797" spans="1:45" x14ac:dyDescent="0.15">
      <c r="A797" s="5">
        <v>789</v>
      </c>
      <c r="J797" s="5">
        <f t="shared" si="96"/>
        <v>789</v>
      </c>
      <c r="K797" s="5">
        <f>SUM($AP$9:AP796)</f>
        <v>5.0036738666345581E+23</v>
      </c>
      <c r="L797" s="5">
        <f>LOOKUP(K797,AI:AI,AE:AE)</f>
        <v>917</v>
      </c>
      <c r="M797" s="5">
        <f>LOOKUP(L797,AE:AE,AG:AG)</f>
        <v>2.4714770546800999E+22</v>
      </c>
      <c r="N797" s="5">
        <f>AM797/M797/$K$1</f>
        <v>1.0253588113312584</v>
      </c>
      <c r="O797" s="5">
        <f>SUM($N$9:N797)</f>
        <v>2344.1933378444869</v>
      </c>
      <c r="AE797" s="5">
        <f t="shared" si="97"/>
        <v>789</v>
      </c>
      <c r="AF797" s="5">
        <f t="shared" si="98"/>
        <v>4.1460081693538402E+19</v>
      </c>
      <c r="AG797" s="5">
        <f t="shared" si="99"/>
        <v>4.1250951394958098E+19</v>
      </c>
      <c r="AH797" s="5">
        <f>AG797*$AF$1</f>
        <v>4.1250951394958102E+20</v>
      </c>
      <c r="AI797" s="5">
        <f>SUM($AF$9:AF796)</f>
        <v>8.0724295251983912E+20</v>
      </c>
      <c r="AK797" s="5">
        <f t="shared" si="100"/>
        <v>789</v>
      </c>
      <c r="AL797" s="5">
        <f t="shared" si="101"/>
        <v>113</v>
      </c>
      <c r="AM797" s="5">
        <f t="shared" si="102"/>
        <v>3.8012261625288999E+22</v>
      </c>
      <c r="AN797" s="5">
        <f>$AL$4*$AL$3^AL797*$AL$2</f>
        <v>3.8012261625289008E+22</v>
      </c>
      <c r="AO797" s="5">
        <f>IF(AL797=AL798,1,LOOKUP(MOD(AL797,$AL$1),$AN$1:$AN$5,$AO$1:$AO$5))</f>
        <v>1</v>
      </c>
      <c r="AP797" s="5">
        <f t="shared" si="103"/>
        <v>1.79544582410115E+22</v>
      </c>
      <c r="AQ797" s="5">
        <f>AM797*$AR$3</f>
        <v>5.0683015500385328E+21</v>
      </c>
      <c r="AR797" s="5">
        <f>AM797*AL797*$AR$4</f>
        <v>1.288615669097297E+22</v>
      </c>
      <c r="AS797" s="5">
        <f>SUM($AP$9:AP796)</f>
        <v>5.0036738666345581E+23</v>
      </c>
    </row>
    <row r="798" spans="1:45" x14ac:dyDescent="0.15">
      <c r="A798" s="5">
        <v>790</v>
      </c>
      <c r="J798" s="5">
        <f t="shared" si="96"/>
        <v>790</v>
      </c>
      <c r="K798" s="5">
        <f>SUM($AP$9:AP797)</f>
        <v>5.1832184490446732E+23</v>
      </c>
      <c r="L798" s="5">
        <f>LOOKUP(K798,AI:AI,AE:AE)</f>
        <v>918</v>
      </c>
      <c r="M798" s="5">
        <f>LOOKUP(L798,AE:AE,AG:AG)</f>
        <v>2.5978808429728999E+22</v>
      </c>
      <c r="N798" s="5">
        <f>AM798/M798/$K$1</f>
        <v>0.9754684407000348</v>
      </c>
      <c r="O798" s="5">
        <f>SUM($N$9:N798)</f>
        <v>2345.1688062851867</v>
      </c>
      <c r="AE798" s="5">
        <f t="shared" si="97"/>
        <v>790</v>
      </c>
      <c r="AF798" s="5">
        <f t="shared" si="98"/>
        <v>4.3587982481592599E+19</v>
      </c>
      <c r="AG798" s="5">
        <f t="shared" si="99"/>
        <v>4.3368395668083302E+19</v>
      </c>
      <c r="AH798" s="5">
        <f>AG798*$AF$1</f>
        <v>4.3368395668083304E+20</v>
      </c>
      <c r="AI798" s="5">
        <f>SUM($AF$9:AF797)</f>
        <v>8.4870303421337751E+20</v>
      </c>
      <c r="AK798" s="5">
        <f t="shared" si="100"/>
        <v>790</v>
      </c>
      <c r="AL798" s="5">
        <f t="shared" si="101"/>
        <v>113</v>
      </c>
      <c r="AM798" s="5">
        <f t="shared" si="102"/>
        <v>3.8012261625288999E+22</v>
      </c>
      <c r="AN798" s="5">
        <f>$AL$4*$AL$3^AL798*$AL$2</f>
        <v>3.8012261625289008E+22</v>
      </c>
      <c r="AO798" s="5">
        <f>IF(AL798=AL799,1,LOOKUP(MOD(AL798,$AL$1),$AN$1:$AN$5,$AO$1:$AO$5))</f>
        <v>1</v>
      </c>
      <c r="AP798" s="5">
        <f t="shared" si="103"/>
        <v>1.79544582410115E+22</v>
      </c>
      <c r="AQ798" s="5">
        <f>AM798*$AR$3</f>
        <v>5.0683015500385328E+21</v>
      </c>
      <c r="AR798" s="5">
        <f>AM798*AL798*$AR$4</f>
        <v>1.288615669097297E+22</v>
      </c>
      <c r="AS798" s="5">
        <f>SUM($AP$9:AP797)</f>
        <v>5.1832184490446732E+23</v>
      </c>
    </row>
    <row r="799" spans="1:45" x14ac:dyDescent="0.15">
      <c r="A799" s="5">
        <v>791</v>
      </c>
      <c r="J799" s="5">
        <f t="shared" si="96"/>
        <v>791</v>
      </c>
      <c r="K799" s="5">
        <f>SUM($AP$9:AP798)</f>
        <v>5.3627630314547883E+23</v>
      </c>
      <c r="L799" s="5">
        <f>LOOKUP(K799,AI:AI,AE:AE)</f>
        <v>919</v>
      </c>
      <c r="M799" s="5">
        <f>LOOKUP(L799,AE:AE,AG:AG)</f>
        <v>2.7307463174582799E+22</v>
      </c>
      <c r="N799" s="5">
        <f>AM799/M799/$K$1</f>
        <v>1.8560133241362384</v>
      </c>
      <c r="O799" s="5">
        <f>SUM($N$9:N799)</f>
        <v>2347.024819609323</v>
      </c>
      <c r="AE799" s="5">
        <f t="shared" si="97"/>
        <v>791</v>
      </c>
      <c r="AF799" s="5">
        <f t="shared" si="98"/>
        <v>4.5825023144218403E+19</v>
      </c>
      <c r="AG799" s="5">
        <f t="shared" si="99"/>
        <v>4.5594456990033699E+19</v>
      </c>
      <c r="AH799" s="5">
        <f>AG799*$AF$1</f>
        <v>4.55944569900337E+20</v>
      </c>
      <c r="AI799" s="5">
        <f>SUM($AF$9:AF798)</f>
        <v>8.9229101669497006E+20</v>
      </c>
      <c r="AK799" s="5">
        <f t="shared" si="100"/>
        <v>791</v>
      </c>
      <c r="AL799" s="5">
        <f t="shared" si="101"/>
        <v>113</v>
      </c>
      <c r="AM799" s="5">
        <f t="shared" si="102"/>
        <v>7.6024523250577999E+22</v>
      </c>
      <c r="AN799" s="5">
        <f>$AL$4*$AL$3^AL799*$AL$2</f>
        <v>3.8012261625289008E+22</v>
      </c>
      <c r="AO799" s="5">
        <f>IF(AL799=AL800,1,LOOKUP(MOD(AL799,$AL$1),$AN$1:$AN$5,$AO$1:$AO$5))</f>
        <v>2</v>
      </c>
      <c r="AP799" s="5">
        <f t="shared" si="103"/>
        <v>3.5908916482023E+22</v>
      </c>
      <c r="AQ799" s="5">
        <f>AM799*$AR$3</f>
        <v>1.0136603100077066E+22</v>
      </c>
      <c r="AR799" s="5">
        <f>AM799*AL799*$AR$4</f>
        <v>2.5772313381945941E+22</v>
      </c>
      <c r="AS799" s="5">
        <f>SUM($AP$9:AP798)</f>
        <v>5.3627630314547883E+23</v>
      </c>
    </row>
    <row r="800" spans="1:45" x14ac:dyDescent="0.15">
      <c r="A800" s="5">
        <v>792</v>
      </c>
      <c r="J800" s="5">
        <f t="shared" si="96"/>
        <v>792</v>
      </c>
      <c r="K800" s="5">
        <f>SUM($AP$9:AP799)</f>
        <v>5.7218521962750186E+23</v>
      </c>
      <c r="L800" s="5">
        <f>LOOKUP(K800,AI:AI,AE:AE)</f>
        <v>920</v>
      </c>
      <c r="M800" s="5">
        <f>LOOKUP(L800,AE:AE,AG:AG)</f>
        <v>2.8704036372847702E+22</v>
      </c>
      <c r="N800" s="5">
        <f>AM800/M800/$K$1</f>
        <v>1.3860826627657774</v>
      </c>
      <c r="O800" s="5">
        <f>SUM($N$9:N800)</f>
        <v>2348.4109022720886</v>
      </c>
      <c r="AE800" s="5">
        <f t="shared" si="97"/>
        <v>792</v>
      </c>
      <c r="AF800" s="5">
        <f t="shared" si="98"/>
        <v>4.8176797916902801E+19</v>
      </c>
      <c r="AG800" s="5">
        <f t="shared" si="99"/>
        <v>4.7934703455008801E+19</v>
      </c>
      <c r="AH800" s="5">
        <f>AG800*$AF$1</f>
        <v>4.7934703455008797E+20</v>
      </c>
      <c r="AI800" s="5">
        <f>SUM($AF$9:AF799)</f>
        <v>9.3811603983918852E+20</v>
      </c>
      <c r="AK800" s="5">
        <f t="shared" si="100"/>
        <v>792</v>
      </c>
      <c r="AL800" s="5">
        <f t="shared" si="101"/>
        <v>114</v>
      </c>
      <c r="AM800" s="5">
        <f t="shared" si="102"/>
        <v>5.96792507517037E+22</v>
      </c>
      <c r="AN800" s="5">
        <f>$AL$4*$AL$3^AL800*$AL$2</f>
        <v>5.9679250751703742E+22</v>
      </c>
      <c r="AO800" s="5">
        <f>IF(AL800=AL801,1,LOOKUP(MOD(AL800,$AL$1),$AN$1:$AN$5,$AO$1:$AO$5))</f>
        <v>1</v>
      </c>
      <c r="AP800" s="5">
        <f t="shared" si="103"/>
        <v>2.8367537190643201E+22</v>
      </c>
      <c r="AQ800" s="5">
        <f>AM800*$AR$3</f>
        <v>7.9572334335604933E+21</v>
      </c>
      <c r="AR800" s="5">
        <f>AM800*AL800*$AR$4</f>
        <v>2.0410303757082666E+22</v>
      </c>
      <c r="AS800" s="5">
        <f>SUM($AP$9:AP799)</f>
        <v>5.7218521962750186E+23</v>
      </c>
    </row>
    <row r="801" spans="1:45" x14ac:dyDescent="0.15">
      <c r="A801" s="5">
        <v>793</v>
      </c>
      <c r="J801" s="5">
        <f t="shared" si="96"/>
        <v>793</v>
      </c>
      <c r="K801" s="5">
        <f>SUM($AP$9:AP800)</f>
        <v>6.0055275681814509E+23</v>
      </c>
      <c r="L801" s="5">
        <f>LOOKUP(K801,AI:AI,AE:AE)</f>
        <v>921</v>
      </c>
      <c r="M801" s="5">
        <f>LOOKUP(L801,AE:AE,AG:AG)</f>
        <v>3.0171998233002502E+22</v>
      </c>
      <c r="N801" s="5">
        <f>AM801/M801/$K$1</f>
        <v>1.3186454162085914</v>
      </c>
      <c r="O801" s="5">
        <f>SUM($N$9:N801)</f>
        <v>2349.7295476882973</v>
      </c>
      <c r="AE801" s="5">
        <f t="shared" si="97"/>
        <v>793</v>
      </c>
      <c r="AF801" s="5">
        <f t="shared" si="98"/>
        <v>5.0649187608995103E+19</v>
      </c>
      <c r="AG801" s="5">
        <f t="shared" si="99"/>
        <v>5.03949884240065E+19</v>
      </c>
      <c r="AH801" s="5">
        <f>AG801*$AF$1</f>
        <v>5.03949884240065E+20</v>
      </c>
      <c r="AI801" s="5">
        <f>SUM($AF$9:AF800)</f>
        <v>9.8629283775609137E+20</v>
      </c>
      <c r="AK801" s="5">
        <f t="shared" si="100"/>
        <v>793</v>
      </c>
      <c r="AL801" s="5">
        <f t="shared" si="101"/>
        <v>114</v>
      </c>
      <c r="AM801" s="5">
        <f t="shared" si="102"/>
        <v>5.96792507517037E+22</v>
      </c>
      <c r="AN801" s="5">
        <f>$AL$4*$AL$3^AL801*$AL$2</f>
        <v>5.9679250751703742E+22</v>
      </c>
      <c r="AO801" s="5">
        <f>IF(AL801=AL802,1,LOOKUP(MOD(AL801,$AL$1),$AN$1:$AN$5,$AO$1:$AO$5))</f>
        <v>1</v>
      </c>
      <c r="AP801" s="5">
        <f t="shared" si="103"/>
        <v>2.8367537190643201E+22</v>
      </c>
      <c r="AQ801" s="5">
        <f>AM801*$AR$3</f>
        <v>7.9572334335604933E+21</v>
      </c>
      <c r="AR801" s="5">
        <f>AM801*AL801*$AR$4</f>
        <v>2.0410303757082666E+22</v>
      </c>
      <c r="AS801" s="5">
        <f>SUM($AP$9:AP800)</f>
        <v>6.0055275681814509E+23</v>
      </c>
    </row>
    <row r="802" spans="1:45" x14ac:dyDescent="0.15">
      <c r="A802" s="5">
        <v>794</v>
      </c>
      <c r="J802" s="5">
        <f t="shared" si="96"/>
        <v>794</v>
      </c>
      <c r="K802" s="5">
        <f>SUM($AP$9:AP801)</f>
        <v>6.2892029400878824E+23</v>
      </c>
      <c r="L802" s="5">
        <f>LOOKUP(K802,AI:AI,AE:AE)</f>
        <v>922</v>
      </c>
      <c r="M802" s="5">
        <f>LOOKUP(L802,AE:AE,AG:AG)</f>
        <v>3.1714996188240799E+22</v>
      </c>
      <c r="N802" s="5">
        <f>AM802/M802/$K$1</f>
        <v>1.2544906810537242</v>
      </c>
      <c r="O802" s="5">
        <f>SUM($N$9:N802)</f>
        <v>2350.9840383693509</v>
      </c>
      <c r="AE802" s="5">
        <f t="shared" si="97"/>
        <v>794</v>
      </c>
      <c r="AF802" s="5">
        <f t="shared" si="98"/>
        <v>5.3248374275504398E+19</v>
      </c>
      <c r="AG802" s="5">
        <f t="shared" si="99"/>
        <v>5.2981465131266302E+19</v>
      </c>
      <c r="AH802" s="5">
        <f>AG802*$AF$1</f>
        <v>5.2981465131266304E+20</v>
      </c>
      <c r="AI802" s="5">
        <f>SUM($AF$9:AF801)</f>
        <v>1.0369420253650865E+21</v>
      </c>
      <c r="AK802" s="5">
        <f t="shared" si="100"/>
        <v>794</v>
      </c>
      <c r="AL802" s="5">
        <f t="shared" si="101"/>
        <v>114</v>
      </c>
      <c r="AM802" s="5">
        <f t="shared" si="102"/>
        <v>5.96792507517037E+22</v>
      </c>
      <c r="AN802" s="5">
        <f>$AL$4*$AL$3^AL802*$AL$2</f>
        <v>5.9679250751703742E+22</v>
      </c>
      <c r="AO802" s="5">
        <f>IF(AL802=AL803,1,LOOKUP(MOD(AL802,$AL$1),$AN$1:$AN$5,$AO$1:$AO$5))</f>
        <v>1</v>
      </c>
      <c r="AP802" s="5">
        <f t="shared" si="103"/>
        <v>2.8367537190643201E+22</v>
      </c>
      <c r="AQ802" s="5">
        <f>AM802*$AR$3</f>
        <v>7.9572334335604933E+21</v>
      </c>
      <c r="AR802" s="5">
        <f>AM802*AL802*$AR$4</f>
        <v>2.0410303757082666E+22</v>
      </c>
      <c r="AS802" s="5">
        <f>SUM($AP$9:AP801)</f>
        <v>6.2892029400878824E+23</v>
      </c>
    </row>
    <row r="803" spans="1:45" x14ac:dyDescent="0.15">
      <c r="A803" s="5">
        <v>795</v>
      </c>
      <c r="J803" s="5">
        <f t="shared" si="96"/>
        <v>795</v>
      </c>
      <c r="K803" s="5">
        <f>SUM($AP$9:AP802)</f>
        <v>6.572878311994314E+23</v>
      </c>
      <c r="L803" s="5">
        <f>LOOKUP(K803,AI:AI,AE:AE)</f>
        <v>923</v>
      </c>
      <c r="M803" s="5">
        <f>LOOKUP(L803,AE:AE,AG:AG)</f>
        <v>3.3336863943420302E+22</v>
      </c>
      <c r="N803" s="5">
        <f>AM803/M803/$K$1</f>
        <v>1.1934586059243004</v>
      </c>
      <c r="O803" s="5">
        <f>SUM($N$9:N803)</f>
        <v>2352.1774969752751</v>
      </c>
      <c r="AE803" s="5">
        <f t="shared" si="97"/>
        <v>795</v>
      </c>
      <c r="AF803" s="5">
        <f t="shared" si="98"/>
        <v>5.5980856639642198E+19</v>
      </c>
      <c r="AG803" s="5">
        <f t="shared" si="99"/>
        <v>5.5700602038192103E+19</v>
      </c>
      <c r="AH803" s="5">
        <f>AG803*$AF$1</f>
        <v>5.5700602038192105E+20</v>
      </c>
      <c r="AI803" s="5">
        <f>SUM($AF$9:AF802)</f>
        <v>1.0901903996405909E+21</v>
      </c>
      <c r="AK803" s="5">
        <f t="shared" si="100"/>
        <v>795</v>
      </c>
      <c r="AL803" s="5">
        <f t="shared" si="101"/>
        <v>114</v>
      </c>
      <c r="AM803" s="5">
        <f t="shared" si="102"/>
        <v>5.96792507517037E+22</v>
      </c>
      <c r="AN803" s="5">
        <f>$AL$4*$AL$3^AL803*$AL$2</f>
        <v>5.9679250751703742E+22</v>
      </c>
      <c r="AO803" s="5">
        <f>IF(AL803=AL804,1,LOOKUP(MOD(AL803,$AL$1),$AN$1:$AN$5,$AO$1:$AO$5))</f>
        <v>1</v>
      </c>
      <c r="AP803" s="5">
        <f t="shared" si="103"/>
        <v>2.8367537190643201E+22</v>
      </c>
      <c r="AQ803" s="5">
        <f>AM803*$AR$3</f>
        <v>7.9572334335604933E+21</v>
      </c>
      <c r="AR803" s="5">
        <f>AM803*AL803*$AR$4</f>
        <v>2.0410303757082666E+22</v>
      </c>
      <c r="AS803" s="5">
        <f>SUM($AP$9:AP802)</f>
        <v>6.572878311994314E+23</v>
      </c>
    </row>
    <row r="804" spans="1:45" x14ac:dyDescent="0.15">
      <c r="A804" s="5">
        <v>796</v>
      </c>
      <c r="J804" s="5">
        <f t="shared" si="96"/>
        <v>796</v>
      </c>
      <c r="K804" s="5">
        <f>SUM($AP$9:AP803)</f>
        <v>6.8565536839007456E+23</v>
      </c>
      <c r="L804" s="5">
        <f>LOOKUP(K804,AI:AI,AE:AE)</f>
        <v>923</v>
      </c>
      <c r="M804" s="5">
        <f>LOOKUP(L804,AE:AE,AG:AG)</f>
        <v>3.3336863943420302E+22</v>
      </c>
      <c r="N804" s="5">
        <f>AM804/M804/$K$1</f>
        <v>1.1934586059243004</v>
      </c>
      <c r="O804" s="5">
        <f>SUM($N$9:N804)</f>
        <v>2353.3709555811993</v>
      </c>
      <c r="AE804" s="5">
        <f t="shared" si="97"/>
        <v>796</v>
      </c>
      <c r="AF804" s="5">
        <f t="shared" si="98"/>
        <v>5.8853466304504898E+19</v>
      </c>
      <c r="AG804" s="5">
        <f t="shared" si="99"/>
        <v>5.8559198972982403E+19</v>
      </c>
      <c r="AH804" s="5">
        <f>AG804*$AF$1</f>
        <v>5.8559198972982401E+20</v>
      </c>
      <c r="AI804" s="5">
        <f>SUM($AF$9:AF803)</f>
        <v>1.146171256280233E+21</v>
      </c>
      <c r="AK804" s="5">
        <f t="shared" si="100"/>
        <v>796</v>
      </c>
      <c r="AL804" s="5">
        <f t="shared" si="101"/>
        <v>114</v>
      </c>
      <c r="AM804" s="5">
        <f t="shared" si="102"/>
        <v>5.96792507517037E+22</v>
      </c>
      <c r="AN804" s="5">
        <f>$AL$4*$AL$3^AL804*$AL$2</f>
        <v>5.9679250751703742E+22</v>
      </c>
      <c r="AO804" s="5">
        <f>IF(AL804=AL805,1,LOOKUP(MOD(AL804,$AL$1),$AN$1:$AN$5,$AO$1:$AO$5))</f>
        <v>1</v>
      </c>
      <c r="AP804" s="5">
        <f t="shared" si="103"/>
        <v>2.8367537190643201E+22</v>
      </c>
      <c r="AQ804" s="5">
        <f>AM804*$AR$3</f>
        <v>7.9572334335604933E+21</v>
      </c>
      <c r="AR804" s="5">
        <f>AM804*AL804*$AR$4</f>
        <v>2.0410303757082666E+22</v>
      </c>
      <c r="AS804" s="5">
        <f>SUM($AP$9:AP803)</f>
        <v>6.8565536839007456E+23</v>
      </c>
    </row>
    <row r="805" spans="1:45" x14ac:dyDescent="0.15">
      <c r="A805" s="5">
        <v>797</v>
      </c>
      <c r="J805" s="5">
        <f t="shared" si="96"/>
        <v>797</v>
      </c>
      <c r="K805" s="5">
        <f>SUM($AP$9:AP804)</f>
        <v>7.1402290558071772E+23</v>
      </c>
      <c r="L805" s="5">
        <f>LOOKUP(K805,AI:AI,AE:AE)</f>
        <v>924</v>
      </c>
      <c r="M805" s="5">
        <f>LOOKUP(L805,AE:AE,AG:AG)</f>
        <v>3.5041630983647299E+22</v>
      </c>
      <c r="N805" s="5">
        <f>AM805/M805/$K$1</f>
        <v>1.1353971276727752</v>
      </c>
      <c r="O805" s="5">
        <f>SUM($N$9:N805)</f>
        <v>2354.5063527088719</v>
      </c>
      <c r="AE805" s="5">
        <f t="shared" si="97"/>
        <v>797</v>
      </c>
      <c r="AF805" s="5">
        <f t="shared" si="98"/>
        <v>6.1873384794254803E+19</v>
      </c>
      <c r="AG805" s="5">
        <f t="shared" si="99"/>
        <v>6.1564404096156197E+19</v>
      </c>
      <c r="AH805" s="5">
        <f>AG805*$AF$1</f>
        <v>6.1564404096156199E+20</v>
      </c>
      <c r="AI805" s="5">
        <f>SUM($AF$9:AF804)</f>
        <v>1.2050247225847379E+21</v>
      </c>
      <c r="AK805" s="5">
        <f t="shared" si="100"/>
        <v>797</v>
      </c>
      <c r="AL805" s="5">
        <f t="shared" si="101"/>
        <v>114</v>
      </c>
      <c r="AM805" s="5">
        <f t="shared" si="102"/>
        <v>5.96792507517037E+22</v>
      </c>
      <c r="AN805" s="5">
        <f>$AL$4*$AL$3^AL805*$AL$2</f>
        <v>5.9679250751703742E+22</v>
      </c>
      <c r="AO805" s="5">
        <f>IF(AL805=AL806,1,LOOKUP(MOD(AL805,$AL$1),$AN$1:$AN$5,$AO$1:$AO$5))</f>
        <v>1</v>
      </c>
      <c r="AP805" s="5">
        <f t="shared" si="103"/>
        <v>2.8367537190643201E+22</v>
      </c>
      <c r="AQ805" s="5">
        <f>AM805*$AR$3</f>
        <v>7.9572334335604933E+21</v>
      </c>
      <c r="AR805" s="5">
        <f>AM805*AL805*$AR$4</f>
        <v>2.0410303757082666E+22</v>
      </c>
      <c r="AS805" s="5">
        <f>SUM($AP$9:AP804)</f>
        <v>7.1402290558071772E+23</v>
      </c>
    </row>
    <row r="806" spans="1:45" x14ac:dyDescent="0.15">
      <c r="A806" s="5">
        <v>798</v>
      </c>
      <c r="J806" s="5">
        <f t="shared" si="96"/>
        <v>798</v>
      </c>
      <c r="K806" s="5">
        <f>SUM($AP$9:AP805)</f>
        <v>7.4239044277136088E+23</v>
      </c>
      <c r="L806" s="5">
        <f>LOOKUP(K806,AI:AI,AE:AE)</f>
        <v>925</v>
      </c>
      <c r="M806" s="5">
        <f>LOOKUP(L806,AE:AE,AG:AG)</f>
        <v>3.68335325680383E+22</v>
      </c>
      <c r="N806" s="5">
        <f>AM806/M806/$K$1</f>
        <v>4.3206463669277602</v>
      </c>
      <c r="O806" s="5">
        <f>SUM($N$9:N806)</f>
        <v>2358.8269990757994</v>
      </c>
      <c r="AE806" s="5">
        <f t="shared" si="97"/>
        <v>798</v>
      </c>
      <c r="AF806" s="5">
        <f t="shared" si="98"/>
        <v>6.5048161467218403E+19</v>
      </c>
      <c r="AG806" s="5">
        <f t="shared" si="99"/>
        <v>6.4723731734214803E+19</v>
      </c>
      <c r="AH806" s="5">
        <f>AG806*$AF$1</f>
        <v>6.4723731734214803E+20</v>
      </c>
      <c r="AI806" s="5">
        <f>SUM($AF$9:AF805)</f>
        <v>1.2668981073789927E+21</v>
      </c>
      <c r="AK806" s="5">
        <f t="shared" si="100"/>
        <v>798</v>
      </c>
      <c r="AL806" s="5">
        <f t="shared" si="101"/>
        <v>114</v>
      </c>
      <c r="AM806" s="5">
        <f t="shared" si="102"/>
        <v>2.38717003006815E+23</v>
      </c>
      <c r="AN806" s="5">
        <f>$AL$4*$AL$3^AL806*$AL$2</f>
        <v>5.9679250751703742E+22</v>
      </c>
      <c r="AO806" s="5">
        <f>IF(AL806=AL807,1,LOOKUP(MOD(AL806,$AL$1),$AN$1:$AN$5,$AO$1:$AO$5))</f>
        <v>4</v>
      </c>
      <c r="AP806" s="5">
        <f t="shared" si="103"/>
        <v>1.13470148762573E+23</v>
      </c>
      <c r="AQ806" s="5">
        <f>AM806*$AR$3</f>
        <v>3.1828933734241998E+22</v>
      </c>
      <c r="AR806" s="5">
        <f>AM806*AL806*$AR$4</f>
        <v>8.1641215028330733E+22</v>
      </c>
      <c r="AS806" s="5">
        <f>SUM($AP$9:AP805)</f>
        <v>7.4239044277136088E+23</v>
      </c>
    </row>
    <row r="807" spans="1:45" x14ac:dyDescent="0.15">
      <c r="A807" s="5">
        <v>799</v>
      </c>
      <c r="J807" s="5">
        <f t="shared" si="96"/>
        <v>799</v>
      </c>
      <c r="K807" s="5">
        <f>SUM($AP$9:AP806)</f>
        <v>8.5586059153393392E+23</v>
      </c>
      <c r="L807" s="5">
        <f>LOOKUP(K807,AI:AI,AE:AE)</f>
        <v>928</v>
      </c>
      <c r="M807" s="5">
        <f>LOOKUP(L807,AE:AE,AG:AG)</f>
        <v>4.2777708143850698E+22</v>
      </c>
      <c r="N807" s="5">
        <f>AM807/M807/$K$1</f>
        <v>1.4602063823381615</v>
      </c>
      <c r="O807" s="5">
        <f>SUM($N$9:N807)</f>
        <v>2360.2872054581376</v>
      </c>
      <c r="AE807" s="5">
        <f t="shared" si="97"/>
        <v>799</v>
      </c>
      <c r="AF807" s="5">
        <f t="shared" si="98"/>
        <v>6.8385732345492799E+19</v>
      </c>
      <c r="AG807" s="5">
        <f t="shared" si="99"/>
        <v>6.8045081125839102E+19</v>
      </c>
      <c r="AH807" s="5">
        <f>AG807*$AF$1</f>
        <v>6.8045081125839097E+20</v>
      </c>
      <c r="AI807" s="5">
        <f>SUM($AF$9:AF806)</f>
        <v>1.3319462688462112E+21</v>
      </c>
      <c r="AK807" s="5">
        <f t="shared" si="100"/>
        <v>799</v>
      </c>
      <c r="AL807" s="5">
        <f t="shared" si="101"/>
        <v>115</v>
      </c>
      <c r="AM807" s="5">
        <f t="shared" si="102"/>
        <v>9.3696423680174895E+22</v>
      </c>
      <c r="AN807" s="5">
        <f>$AL$4*$AL$3^AL807*$AL$2</f>
        <v>9.3696423680174878E+22</v>
      </c>
      <c r="AO807" s="5">
        <f>IF(AL807=AL808,1,LOOKUP(MOD(AL807,$AL$1),$AN$1:$AN$5,$AO$1:$AO$5))</f>
        <v>1</v>
      </c>
      <c r="AP807" s="5">
        <f t="shared" si="103"/>
        <v>4.4818122660350297E+22</v>
      </c>
      <c r="AQ807" s="5">
        <f>AM807*$AR$3</f>
        <v>1.2492856490689986E+22</v>
      </c>
      <c r="AR807" s="5">
        <f>AM807*AL807*$AR$4</f>
        <v>3.2325266169660336E+22</v>
      </c>
      <c r="AS807" s="5">
        <f>SUM($AP$9:AP806)</f>
        <v>8.5586059153393392E+23</v>
      </c>
    </row>
    <row r="808" spans="1:45" x14ac:dyDescent="0.15">
      <c r="A808" s="5">
        <v>800</v>
      </c>
      <c r="J808" s="5">
        <f t="shared" si="96"/>
        <v>800</v>
      </c>
      <c r="K808" s="5">
        <f>SUM($AP$9:AP807)</f>
        <v>9.0067871419428421E+23</v>
      </c>
      <c r="L808" s="5">
        <f>LOOKUP(K808,AI:AI,AE:AE)</f>
        <v>929</v>
      </c>
      <c r="M808" s="5">
        <f>LOOKUP(L808,AE:AE,AG:AG)</f>
        <v>4.4964995052714599E+22</v>
      </c>
      <c r="N808" s="5">
        <f>AM808/M808/$K$1</f>
        <v>1.3891757884154126</v>
      </c>
      <c r="O808" s="5">
        <f>SUM($N$9:N808)</f>
        <v>2361.6763812465529</v>
      </c>
      <c r="AE808" s="5">
        <f t="shared" si="97"/>
        <v>800</v>
      </c>
      <c r="AF808" s="5">
        <f t="shared" si="98"/>
        <v>7.1894439907926598E+19</v>
      </c>
      <c r="AG808" s="5">
        <f t="shared" si="99"/>
        <v>7.1536756127290098E+19</v>
      </c>
      <c r="AH808" s="5">
        <f>AG808*$AF$1</f>
        <v>7.1536756127290098E+20</v>
      </c>
      <c r="AI808" s="5">
        <f>SUM($AF$9:AF807)</f>
        <v>1.4003320011917041E+21</v>
      </c>
      <c r="AK808" s="5">
        <f t="shared" si="100"/>
        <v>800</v>
      </c>
      <c r="AL808" s="5">
        <f t="shared" si="101"/>
        <v>115</v>
      </c>
      <c r="AM808" s="5">
        <f t="shared" si="102"/>
        <v>9.3696423680174895E+22</v>
      </c>
      <c r="AN808" s="5">
        <f>$AL$4*$AL$3^AL808*$AL$2</f>
        <v>9.3696423680174878E+22</v>
      </c>
      <c r="AO808" s="5">
        <f>IF(AL808=AL809,1,LOOKUP(MOD(AL808,$AL$1),$AN$1:$AN$5,$AO$1:$AO$5))</f>
        <v>1</v>
      </c>
      <c r="AP808" s="5">
        <f t="shared" si="103"/>
        <v>4.4818122660350297E+22</v>
      </c>
      <c r="AQ808" s="5">
        <f>AM808*$AR$3</f>
        <v>1.2492856490689986E+22</v>
      </c>
      <c r="AR808" s="5">
        <f>AM808*AL808*$AR$4</f>
        <v>3.2325266169660336E+22</v>
      </c>
      <c r="AS808" s="5">
        <f>SUM($AP$9:AP807)</f>
        <v>9.0067871419428421E+23</v>
      </c>
    </row>
    <row r="809" spans="1:45" x14ac:dyDescent="0.15">
      <c r="A809" s="5">
        <v>801</v>
      </c>
      <c r="J809" s="5">
        <f t="shared" si="96"/>
        <v>801</v>
      </c>
      <c r="K809" s="5">
        <f>SUM($AP$9:AP808)</f>
        <v>9.4549683685463449E+23</v>
      </c>
      <c r="L809" s="5">
        <f>LOOKUP(K809,AI:AI,AE:AE)</f>
        <v>930</v>
      </c>
      <c r="M809" s="5">
        <f>LOOKUP(L809,AE:AE,AG:AG)</f>
        <v>4.7264066382105303E+22</v>
      </c>
      <c r="N809" s="5">
        <f>AM809/M809/$K$1</f>
        <v>1.3216019533414416</v>
      </c>
      <c r="O809" s="5">
        <f>SUM($N$9:N809)</f>
        <v>2362.9979831998944</v>
      </c>
      <c r="AE809" s="5">
        <f t="shared" si="97"/>
        <v>801</v>
      </c>
      <c r="AF809" s="5">
        <f t="shared" si="98"/>
        <v>7.5583053895739998E+19</v>
      </c>
      <c r="AG809" s="5">
        <f t="shared" si="99"/>
        <v>7.5207485926071697E+19</v>
      </c>
      <c r="AH809" s="5">
        <f>AG809*$AF$1</f>
        <v>7.5207485926071704E+20</v>
      </c>
      <c r="AI809" s="5">
        <f>SUM($AF$9:AF808)</f>
        <v>1.4722264410996306E+21</v>
      </c>
      <c r="AK809" s="5">
        <f t="shared" si="100"/>
        <v>801</v>
      </c>
      <c r="AL809" s="5">
        <f t="shared" si="101"/>
        <v>115</v>
      </c>
      <c r="AM809" s="5">
        <f t="shared" si="102"/>
        <v>9.3696423680174895E+22</v>
      </c>
      <c r="AN809" s="5">
        <f>$AL$4*$AL$3^AL809*$AL$2</f>
        <v>9.3696423680174878E+22</v>
      </c>
      <c r="AO809" s="5">
        <f>IF(AL809=AL810,1,LOOKUP(MOD(AL809,$AL$1),$AN$1:$AN$5,$AO$1:$AO$5))</f>
        <v>1</v>
      </c>
      <c r="AP809" s="5">
        <f t="shared" si="103"/>
        <v>4.4818122660350297E+22</v>
      </c>
      <c r="AQ809" s="5">
        <f>AM809*$AR$3</f>
        <v>1.2492856490689986E+22</v>
      </c>
      <c r="AR809" s="5">
        <f>AM809*AL809*$AR$4</f>
        <v>3.2325266169660336E+22</v>
      </c>
      <c r="AS809" s="5">
        <f>SUM($AP$9:AP808)</f>
        <v>9.4549683685463449E+23</v>
      </c>
    </row>
    <row r="810" spans="1:45" x14ac:dyDescent="0.15">
      <c r="A810" s="5">
        <v>802</v>
      </c>
      <c r="J810" s="5">
        <f t="shared" si="96"/>
        <v>802</v>
      </c>
      <c r="K810" s="5">
        <f>SUM($AP$9:AP809)</f>
        <v>9.9031495951498478E+23</v>
      </c>
      <c r="L810" s="5">
        <f>LOOKUP(K810,AI:AI,AE:AE)</f>
        <v>931</v>
      </c>
      <c r="M810" s="5">
        <f>LOOKUP(L810,AE:AE,AG:AG)</f>
        <v>4.9680632356803296E+22</v>
      </c>
      <c r="N810" s="5">
        <f>AM810/M810/$K$1</f>
        <v>1.2573165736868088</v>
      </c>
      <c r="O810" s="5">
        <f>SUM($N$9:N810)</f>
        <v>2364.2552997735811</v>
      </c>
      <c r="AE810" s="5">
        <f t="shared" si="97"/>
        <v>802</v>
      </c>
      <c r="AF810" s="5">
        <f t="shared" si="98"/>
        <v>7.9460793182564893E+19</v>
      </c>
      <c r="AG810" s="5">
        <f t="shared" si="99"/>
        <v>7.9066446814413193E+19</v>
      </c>
      <c r="AH810" s="5">
        <f>AG810*$AF$1</f>
        <v>7.9066446814413193E+20</v>
      </c>
      <c r="AI810" s="5">
        <f>SUM($AF$9:AF809)</f>
        <v>1.5478094949953705E+21</v>
      </c>
      <c r="AK810" s="5">
        <f t="shared" si="100"/>
        <v>802</v>
      </c>
      <c r="AL810" s="5">
        <f t="shared" si="101"/>
        <v>115</v>
      </c>
      <c r="AM810" s="5">
        <f t="shared" si="102"/>
        <v>9.3696423680174895E+22</v>
      </c>
      <c r="AN810" s="5">
        <f>$AL$4*$AL$3^AL810*$AL$2</f>
        <v>9.3696423680174878E+22</v>
      </c>
      <c r="AO810" s="5">
        <f>IF(AL810=AL811,1,LOOKUP(MOD(AL810,$AL$1),$AN$1:$AN$5,$AO$1:$AO$5))</f>
        <v>1</v>
      </c>
      <c r="AP810" s="5">
        <f t="shared" si="103"/>
        <v>4.4818122660350297E+22</v>
      </c>
      <c r="AQ810" s="5">
        <f>AM810*$AR$3</f>
        <v>1.2492856490689986E+22</v>
      </c>
      <c r="AR810" s="5">
        <f>AM810*AL810*$AR$4</f>
        <v>3.2325266169660336E+22</v>
      </c>
      <c r="AS810" s="5">
        <f>SUM($AP$9:AP809)</f>
        <v>9.9031495951498478E+23</v>
      </c>
    </row>
    <row r="811" spans="1:45" x14ac:dyDescent="0.15">
      <c r="A811" s="5">
        <v>803</v>
      </c>
      <c r="J811" s="5">
        <f t="shared" si="96"/>
        <v>803</v>
      </c>
      <c r="K811" s="5">
        <f>SUM($AP$9:AP810)</f>
        <v>1.0351330821753351E+24</v>
      </c>
      <c r="L811" s="5">
        <f>LOOKUP(K811,AI:AI,AE:AE)</f>
        <v>932</v>
      </c>
      <c r="M811" s="5">
        <f>LOOKUP(L811,AE:AE,AG:AG)</f>
        <v>5.2220694763015804E+22</v>
      </c>
      <c r="N811" s="5">
        <f>AM811/M811/$K$1</f>
        <v>1.1961595443515418</v>
      </c>
      <c r="O811" s="5">
        <f>SUM($N$9:N811)</f>
        <v>2365.4514593179329</v>
      </c>
      <c r="AE811" s="5">
        <f t="shared" si="97"/>
        <v>803</v>
      </c>
      <c r="AF811" s="5">
        <f t="shared" si="98"/>
        <v>8.3537348763333001E+19</v>
      </c>
      <c r="AG811" s="5">
        <f t="shared" si="99"/>
        <v>8.31232850767737E+19</v>
      </c>
      <c r="AH811" s="5">
        <f>AG811*$AF$1</f>
        <v>8.31232850767737E+20</v>
      </c>
      <c r="AI811" s="5">
        <f>SUM($AF$9:AF810)</f>
        <v>1.6272702881779354E+21</v>
      </c>
      <c r="AK811" s="5">
        <f t="shared" si="100"/>
        <v>803</v>
      </c>
      <c r="AL811" s="5">
        <f t="shared" si="101"/>
        <v>115</v>
      </c>
      <c r="AM811" s="5">
        <f t="shared" si="102"/>
        <v>9.3696423680174895E+22</v>
      </c>
      <c r="AN811" s="5">
        <f>$AL$4*$AL$3^AL811*$AL$2</f>
        <v>9.3696423680174878E+22</v>
      </c>
      <c r="AO811" s="5">
        <f>IF(AL811=AL812,1,LOOKUP(MOD(AL811,$AL$1),$AN$1:$AN$5,$AO$1:$AO$5))</f>
        <v>1</v>
      </c>
      <c r="AP811" s="5">
        <f t="shared" si="103"/>
        <v>4.4818122660350297E+22</v>
      </c>
      <c r="AQ811" s="5">
        <f>AM811*$AR$3</f>
        <v>1.2492856490689986E+22</v>
      </c>
      <c r="AR811" s="5">
        <f>AM811*AL811*$AR$4</f>
        <v>3.2325266169660336E+22</v>
      </c>
      <c r="AS811" s="5">
        <f>SUM($AP$9:AP810)</f>
        <v>1.0351330821753351E+24</v>
      </c>
    </row>
    <row r="812" spans="1:45" x14ac:dyDescent="0.15">
      <c r="A812" s="5">
        <v>804</v>
      </c>
      <c r="J812" s="5">
        <f t="shared" si="96"/>
        <v>804</v>
      </c>
      <c r="K812" s="5">
        <f>SUM($AP$9:AP811)</f>
        <v>1.0799512048356854E+24</v>
      </c>
      <c r="L812" s="5">
        <f>LOOKUP(K812,AI:AI,AE:AE)</f>
        <v>933</v>
      </c>
      <c r="M812" s="5">
        <f>LOOKUP(L812,AE:AE,AG:AG)</f>
        <v>5.4890561828957496E+22</v>
      </c>
      <c r="N812" s="5">
        <f>AM812/M812/$K$1</f>
        <v>1.1379785590115226</v>
      </c>
      <c r="O812" s="5">
        <f>SUM($N$9:N812)</f>
        <v>2366.5894378769444</v>
      </c>
      <c r="AE812" s="5">
        <f t="shared" si="97"/>
        <v>804</v>
      </c>
      <c r="AF812" s="5">
        <f t="shared" si="98"/>
        <v>8.7822907919221408E+19</v>
      </c>
      <c r="AG812" s="5">
        <f t="shared" si="99"/>
        <v>8.7388141048334205E+19</v>
      </c>
      <c r="AH812" s="5">
        <f>AG812*$AF$1</f>
        <v>8.7388141048334202E+20</v>
      </c>
      <c r="AI812" s="5">
        <f>SUM($AF$9:AF811)</f>
        <v>1.7108076369412683E+21</v>
      </c>
      <c r="AK812" s="5">
        <f t="shared" si="100"/>
        <v>804</v>
      </c>
      <c r="AL812" s="5">
        <f t="shared" si="101"/>
        <v>115</v>
      </c>
      <c r="AM812" s="5">
        <f t="shared" si="102"/>
        <v>9.3696423680174895E+22</v>
      </c>
      <c r="AN812" s="5">
        <f>$AL$4*$AL$3^AL812*$AL$2</f>
        <v>9.3696423680174878E+22</v>
      </c>
      <c r="AO812" s="5">
        <f>IF(AL812=AL813,1,LOOKUP(MOD(AL812,$AL$1),$AN$1:$AN$5,$AO$1:$AO$5))</f>
        <v>1</v>
      </c>
      <c r="AP812" s="5">
        <f t="shared" si="103"/>
        <v>4.4818122660350297E+22</v>
      </c>
      <c r="AQ812" s="5">
        <f>AM812*$AR$3</f>
        <v>1.2492856490689986E+22</v>
      </c>
      <c r="AR812" s="5">
        <f>AM812*AL812*$AR$4</f>
        <v>3.2325266169660336E+22</v>
      </c>
      <c r="AS812" s="5">
        <f>SUM($AP$9:AP811)</f>
        <v>1.0799512048356854E+24</v>
      </c>
    </row>
    <row r="813" spans="1:45" x14ac:dyDescent="0.15">
      <c r="A813" s="5">
        <v>805</v>
      </c>
      <c r="J813" s="5">
        <f t="shared" si="96"/>
        <v>805</v>
      </c>
      <c r="K813" s="5">
        <f>SUM($AP$9:AP812)</f>
        <v>1.1247693274960356E+24</v>
      </c>
      <c r="L813" s="5">
        <f>LOOKUP(K813,AI:AI,AE:AE)</f>
        <v>933</v>
      </c>
      <c r="M813" s="5">
        <f>LOOKUP(L813,AE:AE,AG:AG)</f>
        <v>5.4890561828957496E+22</v>
      </c>
      <c r="N813" s="5">
        <f>AM813/M813/$K$1</f>
        <v>6.8278713540691305</v>
      </c>
      <c r="O813" s="5">
        <f>SUM($N$9:N813)</f>
        <v>2373.4173092310134</v>
      </c>
      <c r="AE813" s="5">
        <f t="shared" si="97"/>
        <v>805</v>
      </c>
      <c r="AF813" s="5">
        <f t="shared" si="98"/>
        <v>9.2328179618790408E+19</v>
      </c>
      <c r="AG813" s="5">
        <f t="shared" si="99"/>
        <v>9.1871674404358799E+19</v>
      </c>
      <c r="AH813" s="5">
        <f>AG813*$AF$1</f>
        <v>9.1871674404358796E+20</v>
      </c>
      <c r="AI813" s="5">
        <f>SUM($AF$9:AF812)</f>
        <v>1.7986305448604897E+21</v>
      </c>
      <c r="AK813" s="5">
        <f t="shared" si="100"/>
        <v>805</v>
      </c>
      <c r="AL813" s="5">
        <f t="shared" si="101"/>
        <v>115</v>
      </c>
      <c r="AM813" s="5">
        <f t="shared" si="102"/>
        <v>5.62178542081049E+23</v>
      </c>
      <c r="AN813" s="5">
        <f>$AL$4*$AL$3^AL813*$AL$2</f>
        <v>9.3696423680174878E+22</v>
      </c>
      <c r="AO813" s="5">
        <f>IF(AL813=AL814,1,LOOKUP(MOD(AL813,$AL$1),$AN$1:$AN$5,$AO$1:$AO$5))</f>
        <v>6</v>
      </c>
      <c r="AP813" s="5">
        <f t="shared" si="103"/>
        <v>2.68908735962102E+23</v>
      </c>
      <c r="AQ813" s="5">
        <f>AM813*$AR$3</f>
        <v>7.4957138944139867E+22</v>
      </c>
      <c r="AR813" s="5">
        <f>AM813*AL813*$AR$4</f>
        <v>1.9395159701796192E+23</v>
      </c>
      <c r="AS813" s="5">
        <f>SUM($AP$9:AP812)</f>
        <v>1.1247693274960356E+24</v>
      </c>
    </row>
    <row r="814" spans="1:45" x14ac:dyDescent="0.15">
      <c r="A814" s="5">
        <v>806</v>
      </c>
      <c r="J814" s="5">
        <f t="shared" si="96"/>
        <v>806</v>
      </c>
      <c r="K814" s="5">
        <f>SUM($AP$9:AP813)</f>
        <v>1.3936780634581376E+24</v>
      </c>
      <c r="L814" s="5">
        <f>LOOKUP(K814,AI:AI,AE:AE)</f>
        <v>938</v>
      </c>
      <c r="M814" s="5">
        <f>LOOKUP(L814,AE:AE,AG:AG)</f>
        <v>7.0431245093757499E+22</v>
      </c>
      <c r="N814" s="5">
        <f>AM814/M814/$K$1</f>
        <v>1.3924064997199483</v>
      </c>
      <c r="O814" s="5">
        <f>SUM($N$9:N814)</f>
        <v>2374.8097157307334</v>
      </c>
      <c r="AE814" s="5">
        <f t="shared" si="97"/>
        <v>806</v>
      </c>
      <c r="AF814" s="5">
        <f t="shared" si="98"/>
        <v>9.7064421218518204E+19</v>
      </c>
      <c r="AG814" s="5">
        <f t="shared" si="99"/>
        <v>9.6585090743364993E+19</v>
      </c>
      <c r="AH814" s="5">
        <f>AG814*$AF$1</f>
        <v>9.6585090743364996E+20</v>
      </c>
      <c r="AI814" s="5">
        <f>SUM($AF$9:AF813)</f>
        <v>1.8909587244792802E+21</v>
      </c>
      <c r="AK814" s="5">
        <f t="shared" si="100"/>
        <v>806</v>
      </c>
      <c r="AL814" s="5">
        <f t="shared" si="101"/>
        <v>116</v>
      </c>
      <c r="AM814" s="5">
        <f t="shared" si="102"/>
        <v>1.47103385177875E+23</v>
      </c>
      <c r="AN814" s="5">
        <f>$AL$4*$AL$3^AL814*$AL$2</f>
        <v>1.4710338517787453E+23</v>
      </c>
      <c r="AO814" s="5">
        <f>IF(AL814=AL815,1,LOOKUP(MOD(AL814,$AL$1),$AN$1:$AN$5,$AO$1:$AO$5))</f>
        <v>1</v>
      </c>
      <c r="AP814" s="5">
        <f t="shared" si="103"/>
        <v>7.0805762732283803E+22</v>
      </c>
      <c r="AQ814" s="5">
        <f>AM814*$AR$3</f>
        <v>1.9613784690383332E+22</v>
      </c>
      <c r="AR814" s="5">
        <f>AM814*AL814*$AR$4</f>
        <v>5.1191978041900504E+22</v>
      </c>
      <c r="AS814" s="5">
        <f>SUM($AP$9:AP813)</f>
        <v>1.3936780634581376E+24</v>
      </c>
    </row>
    <row r="815" spans="1:45" x14ac:dyDescent="0.15">
      <c r="A815" s="5">
        <v>807</v>
      </c>
      <c r="J815" s="5">
        <f t="shared" si="96"/>
        <v>807</v>
      </c>
      <c r="K815" s="5">
        <f>SUM($AP$9:AP814)</f>
        <v>1.4644838261904214E+24</v>
      </c>
      <c r="L815" s="5">
        <f>LOOKUP(K815,AI:AI,AE:AE)</f>
        <v>939</v>
      </c>
      <c r="M815" s="5">
        <f>LOOKUP(L815,AE:AE,AG:AG)</f>
        <v>7.4031648294445899E+22</v>
      </c>
      <c r="N815" s="5">
        <f>AM815/M815/$K$1</f>
        <v>1.3246891797122682</v>
      </c>
      <c r="O815" s="5">
        <f>SUM($N$9:N815)</f>
        <v>2376.1344049104455</v>
      </c>
      <c r="AE815" s="5">
        <f t="shared" si="97"/>
        <v>807</v>
      </c>
      <c r="AF815" s="5">
        <f t="shared" si="98"/>
        <v>1.02043466529172E+20</v>
      </c>
      <c r="AG815" s="5">
        <f t="shared" si="99"/>
        <v>1.01540169530261E+20</v>
      </c>
      <c r="AH815" s="5">
        <f>AG815*$AF$1</f>
        <v>1.0154016953026099E+21</v>
      </c>
      <c r="AI815" s="5">
        <f>SUM($AF$9:AF814)</f>
        <v>1.9880231456977985E+21</v>
      </c>
      <c r="AK815" s="5">
        <f t="shared" si="100"/>
        <v>807</v>
      </c>
      <c r="AL815" s="5">
        <f t="shared" si="101"/>
        <v>116</v>
      </c>
      <c r="AM815" s="5">
        <f t="shared" si="102"/>
        <v>1.47103385177875E+23</v>
      </c>
      <c r="AN815" s="5">
        <f>$AL$4*$AL$3^AL815*$AL$2</f>
        <v>1.4710338517787453E+23</v>
      </c>
      <c r="AO815" s="5">
        <f>IF(AL815=AL816,1,LOOKUP(MOD(AL815,$AL$1),$AN$1:$AN$5,$AO$1:$AO$5))</f>
        <v>1</v>
      </c>
      <c r="AP815" s="5">
        <f t="shared" si="103"/>
        <v>7.0805762732283803E+22</v>
      </c>
      <c r="AQ815" s="5">
        <f>AM815*$AR$3</f>
        <v>1.9613784690383332E+22</v>
      </c>
      <c r="AR815" s="5">
        <f>AM815*AL815*$AR$4</f>
        <v>5.1191978041900504E+22</v>
      </c>
      <c r="AS815" s="5">
        <f>SUM($AP$9:AP814)</f>
        <v>1.4644838261904214E+24</v>
      </c>
    </row>
    <row r="816" spans="1:45" x14ac:dyDescent="0.15">
      <c r="A816" s="5">
        <v>808</v>
      </c>
      <c r="J816" s="5">
        <f t="shared" si="96"/>
        <v>808</v>
      </c>
      <c r="K816" s="5">
        <f>SUM($AP$9:AP815)</f>
        <v>1.5352895889227053E+24</v>
      </c>
      <c r="L816" s="5">
        <f>LOOKUP(K816,AI:AI,AE:AE)</f>
        <v>940</v>
      </c>
      <c r="M816" s="5">
        <f>LOOKUP(L816,AE:AE,AG:AG)</f>
        <v>7.7816013702468695E+22</v>
      </c>
      <c r="N816" s="5">
        <f>AM816/M816/$K$1</f>
        <v>1.2602666056229175</v>
      </c>
      <c r="O816" s="5">
        <f>SUM($N$9:N816)</f>
        <v>2377.3946715160682</v>
      </c>
      <c r="AE816" s="5">
        <f t="shared" si="97"/>
        <v>808</v>
      </c>
      <c r="AF816" s="5">
        <f t="shared" si="98"/>
        <v>1.07277755317844E+20</v>
      </c>
      <c r="AG816" s="5">
        <f t="shared" si="99"/>
        <v>1.06749293468988E+20</v>
      </c>
      <c r="AH816" s="5">
        <f>AG816*$AF$1</f>
        <v>1.06749293468988E+21</v>
      </c>
      <c r="AI816" s="5">
        <f>SUM($AF$9:AF815)</f>
        <v>2.0900666122269706E+21</v>
      </c>
      <c r="AK816" s="5">
        <f t="shared" si="100"/>
        <v>808</v>
      </c>
      <c r="AL816" s="5">
        <f t="shared" si="101"/>
        <v>116</v>
      </c>
      <c r="AM816" s="5">
        <f t="shared" si="102"/>
        <v>1.47103385177875E+23</v>
      </c>
      <c r="AN816" s="5">
        <f>$AL$4*$AL$3^AL816*$AL$2</f>
        <v>1.4710338517787453E+23</v>
      </c>
      <c r="AO816" s="5">
        <f>IF(AL816=AL817,1,LOOKUP(MOD(AL816,$AL$1),$AN$1:$AN$5,$AO$1:$AO$5))</f>
        <v>1</v>
      </c>
      <c r="AP816" s="5">
        <f t="shared" si="103"/>
        <v>7.0805762732283803E+22</v>
      </c>
      <c r="AQ816" s="5">
        <f>AM816*$AR$3</f>
        <v>1.9613784690383332E+22</v>
      </c>
      <c r="AR816" s="5">
        <f>AM816*AL816*$AR$4</f>
        <v>5.1191978041900504E+22</v>
      </c>
      <c r="AS816" s="5">
        <f>SUM($AP$9:AP815)</f>
        <v>1.5352895889227053E+24</v>
      </c>
    </row>
    <row r="817" spans="1:45" x14ac:dyDescent="0.15">
      <c r="A817" s="5">
        <v>809</v>
      </c>
      <c r="J817" s="5">
        <f t="shared" si="96"/>
        <v>809</v>
      </c>
      <c r="K817" s="5">
        <f>SUM($AP$9:AP816)</f>
        <v>1.6060953516549891E+24</v>
      </c>
      <c r="L817" s="5">
        <f>LOOKUP(K817,AI:AI,AE:AE)</f>
        <v>940</v>
      </c>
      <c r="M817" s="5">
        <f>LOOKUP(L817,AE:AE,AG:AG)</f>
        <v>7.7816013702468695E+22</v>
      </c>
      <c r="N817" s="5">
        <f>AM817/M817/$K$1</f>
        <v>1.2602666056229175</v>
      </c>
      <c r="O817" s="5">
        <f>SUM($N$9:N817)</f>
        <v>2378.654938121691</v>
      </c>
      <c r="AE817" s="5">
        <f t="shared" si="97"/>
        <v>809</v>
      </c>
      <c r="AF817" s="5">
        <f t="shared" si="98"/>
        <v>1.12780364319062E+20</v>
      </c>
      <c r="AG817" s="5">
        <f t="shared" si="99"/>
        <v>1.1222547937776199E+20</v>
      </c>
      <c r="AH817" s="5">
        <f>AG817*$AF$1</f>
        <v>1.1222547937776199E+21</v>
      </c>
      <c r="AI817" s="5">
        <f>SUM($AF$9:AF816)</f>
        <v>2.1973443675448145E+21</v>
      </c>
      <c r="AK817" s="5">
        <f t="shared" si="100"/>
        <v>809</v>
      </c>
      <c r="AL817" s="5">
        <f t="shared" si="101"/>
        <v>116</v>
      </c>
      <c r="AM817" s="5">
        <f t="shared" si="102"/>
        <v>1.47103385177875E+23</v>
      </c>
      <c r="AN817" s="5">
        <f>$AL$4*$AL$3^AL817*$AL$2</f>
        <v>1.4710338517787453E+23</v>
      </c>
      <c r="AO817" s="5">
        <f>IF(AL817=AL818,1,LOOKUP(MOD(AL817,$AL$1),$AN$1:$AN$5,$AO$1:$AO$5))</f>
        <v>1</v>
      </c>
      <c r="AP817" s="5">
        <f t="shared" si="103"/>
        <v>7.0805762732283803E+22</v>
      </c>
      <c r="AQ817" s="5">
        <f>AM817*$AR$3</f>
        <v>1.9613784690383332E+22</v>
      </c>
      <c r="AR817" s="5">
        <f>AM817*AL817*$AR$4</f>
        <v>5.1191978041900504E+22</v>
      </c>
      <c r="AS817" s="5">
        <f>SUM($AP$9:AP816)</f>
        <v>1.6060953516549891E+24</v>
      </c>
    </row>
    <row r="818" spans="1:45" x14ac:dyDescent="0.15">
      <c r="A818" s="5">
        <v>810</v>
      </c>
      <c r="J818" s="5">
        <f t="shared" si="96"/>
        <v>810</v>
      </c>
      <c r="K818" s="5">
        <f>SUM($AP$9:AP817)</f>
        <v>1.6769011143872729E+24</v>
      </c>
      <c r="L818" s="5">
        <f>LOOKUP(K818,AI:AI,AE:AE)</f>
        <v>941</v>
      </c>
      <c r="M818" s="5">
        <f>LOOKUP(L818,AE:AE,AG:AG)</f>
        <v>8.1793736530557594E+22</v>
      </c>
      <c r="N818" s="5">
        <f>AM818/M818/$K$1</f>
        <v>1.1989784011796401</v>
      </c>
      <c r="O818" s="5">
        <f>SUM($N$9:N818)</f>
        <v>2379.8539165228708</v>
      </c>
      <c r="AE818" s="5">
        <f t="shared" si="97"/>
        <v>810</v>
      </c>
      <c r="AF818" s="5">
        <f t="shared" si="98"/>
        <v>1.1856503983210599E+20</v>
      </c>
      <c r="AG818" s="5">
        <f t="shared" si="99"/>
        <v>1.17982410643741E+20</v>
      </c>
      <c r="AH818" s="5">
        <f>AG818*$AF$1</f>
        <v>1.17982410643741E+21</v>
      </c>
      <c r="AI818" s="5">
        <f>SUM($AF$9:AF817)</f>
        <v>2.3101247318638765E+21</v>
      </c>
      <c r="AK818" s="5">
        <f t="shared" si="100"/>
        <v>810</v>
      </c>
      <c r="AL818" s="5">
        <f t="shared" si="101"/>
        <v>116</v>
      </c>
      <c r="AM818" s="5">
        <f t="shared" si="102"/>
        <v>1.47103385177875E+23</v>
      </c>
      <c r="AN818" s="5">
        <f>$AL$4*$AL$3^AL818*$AL$2</f>
        <v>1.4710338517787453E+23</v>
      </c>
      <c r="AO818" s="5">
        <f>IF(AL818=AL819,1,LOOKUP(MOD(AL818,$AL$1),$AN$1:$AN$5,$AO$1:$AO$5))</f>
        <v>1</v>
      </c>
      <c r="AP818" s="5">
        <f t="shared" si="103"/>
        <v>7.0805762732283803E+22</v>
      </c>
      <c r="AQ818" s="5">
        <f>AM818*$AR$3</f>
        <v>1.9613784690383332E+22</v>
      </c>
      <c r="AR818" s="5">
        <f>AM818*AL818*$AR$4</f>
        <v>5.1191978041900504E+22</v>
      </c>
      <c r="AS818" s="5">
        <f>SUM($AP$9:AP817)</f>
        <v>1.6769011143872729E+24</v>
      </c>
    </row>
    <row r="819" spans="1:45" x14ac:dyDescent="0.15">
      <c r="A819" s="5">
        <v>811</v>
      </c>
      <c r="J819" s="5">
        <f t="shared" si="96"/>
        <v>811</v>
      </c>
      <c r="K819" s="5">
        <f>SUM($AP$9:AP818)</f>
        <v>1.7477068771195567E+24</v>
      </c>
      <c r="L819" s="5">
        <f>LOOKUP(K819,AI:AI,AE:AE)</f>
        <v>942</v>
      </c>
      <c r="M819" s="5">
        <f>LOOKUP(L819,AE:AE,AG:AG)</f>
        <v>8.59746916071993E+22</v>
      </c>
      <c r="N819" s="5">
        <f>AM819/M819/$K$1</f>
        <v>1.1406720003134578</v>
      </c>
      <c r="O819" s="5">
        <f>SUM($N$9:N819)</f>
        <v>2380.9945885231841</v>
      </c>
      <c r="AE819" s="5">
        <f t="shared" si="97"/>
        <v>811</v>
      </c>
      <c r="AF819" s="5">
        <f t="shared" si="98"/>
        <v>1.24646231985657E+20</v>
      </c>
      <c r="AG819" s="5">
        <f t="shared" si="99"/>
        <v>1.24034471337874E+20</v>
      </c>
      <c r="AH819" s="5">
        <f>AG819*$AF$1</f>
        <v>1.24034471337874E+21</v>
      </c>
      <c r="AI819" s="5">
        <f>SUM($AF$9:AF818)</f>
        <v>2.4286897716959825E+21</v>
      </c>
      <c r="AK819" s="5">
        <f t="shared" si="100"/>
        <v>811</v>
      </c>
      <c r="AL819" s="5">
        <f t="shared" si="101"/>
        <v>116</v>
      </c>
      <c r="AM819" s="5">
        <f t="shared" si="102"/>
        <v>1.47103385177875E+23</v>
      </c>
      <c r="AN819" s="5">
        <f>$AL$4*$AL$3^AL819*$AL$2</f>
        <v>1.4710338517787453E+23</v>
      </c>
      <c r="AO819" s="5">
        <f>IF(AL819=AL820,1,LOOKUP(MOD(AL819,$AL$1),$AN$1:$AN$5,$AO$1:$AO$5))</f>
        <v>1</v>
      </c>
      <c r="AP819" s="5">
        <f t="shared" si="103"/>
        <v>7.0805762732283803E+22</v>
      </c>
      <c r="AQ819" s="5">
        <f>AM819*$AR$3</f>
        <v>1.9613784690383332E+22</v>
      </c>
      <c r="AR819" s="5">
        <f>AM819*AL819*$AR$4</f>
        <v>5.1191978041900504E+22</v>
      </c>
      <c r="AS819" s="5">
        <f>SUM($AP$9:AP818)</f>
        <v>1.7477068771195567E+24</v>
      </c>
    </row>
    <row r="820" spans="1:45" x14ac:dyDescent="0.15">
      <c r="A820" s="5">
        <v>812</v>
      </c>
      <c r="J820" s="5">
        <f t="shared" si="96"/>
        <v>812</v>
      </c>
      <c r="K820" s="5">
        <f>SUM($AP$9:AP819)</f>
        <v>1.8185126398518405E+24</v>
      </c>
      <c r="L820" s="5">
        <f>LOOKUP(K820,AI:AI,AE:AE)</f>
        <v>943</v>
      </c>
      <c r="M820" s="5">
        <f>LOOKUP(L820,AE:AE,AG:AG)</f>
        <v>9.0369257850178799E+22</v>
      </c>
      <c r="N820" s="5">
        <f>AM820/M820/$K$1</f>
        <v>7.5964158663504513</v>
      </c>
      <c r="O820" s="5">
        <f>SUM($N$9:N820)</f>
        <v>2388.5910043895346</v>
      </c>
      <c r="AE820" s="5">
        <f t="shared" si="97"/>
        <v>812</v>
      </c>
      <c r="AF820" s="5">
        <f t="shared" si="98"/>
        <v>1.31039130754982E+20</v>
      </c>
      <c r="AG820" s="5">
        <f t="shared" si="99"/>
        <v>1.3039678207481101E+20</v>
      </c>
      <c r="AH820" s="5">
        <f>AG820*$AF$1</f>
        <v>1.3039678207481102E+21</v>
      </c>
      <c r="AI820" s="5">
        <f>SUM($AF$9:AF819)</f>
        <v>2.5533360036816397E+21</v>
      </c>
      <c r="AK820" s="5">
        <f t="shared" si="100"/>
        <v>812</v>
      </c>
      <c r="AL820" s="5">
        <f t="shared" si="101"/>
        <v>116</v>
      </c>
      <c r="AM820" s="5">
        <f t="shared" si="102"/>
        <v>1.02972369624512E+24</v>
      </c>
      <c r="AN820" s="5">
        <f>$AL$4*$AL$3^AL820*$AL$2</f>
        <v>1.4710338517787453E+23</v>
      </c>
      <c r="AO820" s="5">
        <f>IF(AL820=AL821,1,LOOKUP(MOD(AL820,$AL$1),$AN$1:$AN$5,$AO$1:$AO$5))</f>
        <v>7</v>
      </c>
      <c r="AP820" s="5">
        <f t="shared" si="103"/>
        <v>4.95640339125984E+23</v>
      </c>
      <c r="AQ820" s="5">
        <f>AM820*$AR$3</f>
        <v>1.3729649283268266E+23</v>
      </c>
      <c r="AR820" s="5">
        <f>AM820*AL820*$AR$4</f>
        <v>3.5834384629330179E+23</v>
      </c>
      <c r="AS820" s="5">
        <f>SUM($AP$9:AP819)</f>
        <v>1.8185126398518405E+24</v>
      </c>
    </row>
    <row r="821" spans="1:45" x14ac:dyDescent="0.15">
      <c r="A821" s="5">
        <v>813</v>
      </c>
      <c r="J821" s="5">
        <f t="shared" si="96"/>
        <v>813</v>
      </c>
      <c r="K821" s="5">
        <f>SUM($AP$9:AP820)</f>
        <v>2.3141529789778244E+24</v>
      </c>
      <c r="L821" s="5">
        <f>LOOKUP(K821,AI:AI,AE:AE)</f>
        <v>948</v>
      </c>
      <c r="M821" s="5">
        <f>LOOKUP(L821,AE:AE,AG:AG)</f>
        <v>1.15948158531516E+23</v>
      </c>
      <c r="N821" s="5">
        <f>AM821/M821/$K$1</f>
        <v>1.3279056068635915</v>
      </c>
      <c r="O821" s="5">
        <f>SUM($N$9:N821)</f>
        <v>2389.9189099963983</v>
      </c>
      <c r="AE821" s="5">
        <f t="shared" si="97"/>
        <v>813</v>
      </c>
      <c r="AF821" s="5">
        <f t="shared" si="98"/>
        <v>1.37759703821276E+20</v>
      </c>
      <c r="AG821" s="5">
        <f t="shared" si="99"/>
        <v>1.37085237707096E+20</v>
      </c>
      <c r="AH821" s="5">
        <f>AG821*$AF$1</f>
        <v>1.3708523770709599E+21</v>
      </c>
      <c r="AI821" s="5">
        <f>SUM($AF$9:AF820)</f>
        <v>2.6843751344366215E+21</v>
      </c>
      <c r="AK821" s="5">
        <f t="shared" si="100"/>
        <v>813</v>
      </c>
      <c r="AL821" s="5">
        <f t="shared" si="101"/>
        <v>117</v>
      </c>
      <c r="AM821" s="5">
        <f t="shared" si="102"/>
        <v>2.3095231472926301E+23</v>
      </c>
      <c r="AN821" s="5">
        <f>$AL$4*$AL$3^AL821*$AL$2</f>
        <v>2.3095231472926305E+23</v>
      </c>
      <c r="AO821" s="5">
        <f>IF(AL821=AL822,1,LOOKUP(MOD(AL821,$AL$1),$AN$1:$AN$5,$AO$1:$AO$5))</f>
        <v>1</v>
      </c>
      <c r="AP821" s="5">
        <f t="shared" si="103"/>
        <v>1.11857904433873E+23</v>
      </c>
      <c r="AQ821" s="5">
        <f>AM821*$AR$3</f>
        <v>3.0793641963901734E+22</v>
      </c>
      <c r="AR821" s="5">
        <f>AM821*AL821*$AR$4</f>
        <v>8.1064262469971331E+22</v>
      </c>
      <c r="AS821" s="5">
        <f>SUM($AP$9:AP820)</f>
        <v>2.3141529789778244E+24</v>
      </c>
    </row>
    <row r="822" spans="1:45" x14ac:dyDescent="0.15">
      <c r="A822" s="5">
        <v>814</v>
      </c>
      <c r="J822" s="5">
        <f t="shared" si="96"/>
        <v>814</v>
      </c>
      <c r="K822" s="5">
        <f>SUM($AP$9:AP821)</f>
        <v>2.4260108834116974E+24</v>
      </c>
      <c r="L822" s="5">
        <f>LOOKUP(K822,AI:AI,AE:AE)</f>
        <v>949</v>
      </c>
      <c r="M822" s="5">
        <f>LOOKUP(L822,AE:AE,AG:AG)</f>
        <v>1.21873990051402E+23</v>
      </c>
      <c r="N822" s="5">
        <f>AM822/M822/$K$1</f>
        <v>1.2633393700704352</v>
      </c>
      <c r="O822" s="5">
        <f>SUM($N$9:N822)</f>
        <v>2391.1822493664686</v>
      </c>
      <c r="AE822" s="5">
        <f t="shared" si="97"/>
        <v>814</v>
      </c>
      <c r="AF822" s="5">
        <f t="shared" si="98"/>
        <v>1.4482473636731199E+20</v>
      </c>
      <c r="AG822" s="5">
        <f t="shared" si="99"/>
        <v>1.4411654694742299E+20</v>
      </c>
      <c r="AH822" s="5">
        <f>AG822*$AF$1</f>
        <v>1.4411654694742298E+21</v>
      </c>
      <c r="AI822" s="5">
        <f>SUM($AF$9:AF821)</f>
        <v>2.8221348382578977E+21</v>
      </c>
      <c r="AK822" s="5">
        <f t="shared" si="100"/>
        <v>814</v>
      </c>
      <c r="AL822" s="5">
        <f t="shared" si="101"/>
        <v>117</v>
      </c>
      <c r="AM822" s="5">
        <f t="shared" si="102"/>
        <v>2.3095231472926301E+23</v>
      </c>
      <c r="AN822" s="5">
        <f>$AL$4*$AL$3^AL822*$AL$2</f>
        <v>2.3095231472926305E+23</v>
      </c>
      <c r="AO822" s="5">
        <f>IF(AL822=AL823,1,LOOKUP(MOD(AL822,$AL$1),$AN$1:$AN$5,$AO$1:$AO$5))</f>
        <v>1</v>
      </c>
      <c r="AP822" s="5">
        <f t="shared" si="103"/>
        <v>1.11857904433873E+23</v>
      </c>
      <c r="AQ822" s="5">
        <f>AM822*$AR$3</f>
        <v>3.0793641963901734E+22</v>
      </c>
      <c r="AR822" s="5">
        <f>AM822*AL822*$AR$4</f>
        <v>8.1064262469971331E+22</v>
      </c>
      <c r="AS822" s="5">
        <f>SUM($AP$9:AP821)</f>
        <v>2.4260108834116974E+24</v>
      </c>
    </row>
    <row r="823" spans="1:45" x14ac:dyDescent="0.15">
      <c r="A823" s="5">
        <v>815</v>
      </c>
      <c r="J823" s="5">
        <f t="shared" si="96"/>
        <v>815</v>
      </c>
      <c r="K823" s="5">
        <f>SUM($AP$9:AP822)</f>
        <v>2.5378687878455701E+24</v>
      </c>
      <c r="L823" s="5">
        <f>LOOKUP(K823,AI:AI,AE:AE)</f>
        <v>950</v>
      </c>
      <c r="M823" s="5">
        <f>LOOKUP(L823,AE:AE,AG:AG)</f>
        <v>1.2810253432694799E+23</v>
      </c>
      <c r="N823" s="5">
        <f>AM823/M823/$K$1</f>
        <v>1.2019138468138761</v>
      </c>
      <c r="O823" s="5">
        <f>SUM($N$9:N823)</f>
        <v>2392.3841632132826</v>
      </c>
      <c r="AE823" s="5">
        <f t="shared" si="97"/>
        <v>815</v>
      </c>
      <c r="AF823" s="5">
        <f t="shared" si="98"/>
        <v>1.5225187290839899E+20</v>
      </c>
      <c r="AG823" s="5">
        <f t="shared" si="99"/>
        <v>1.5150827401751501E+20</v>
      </c>
      <c r="AH823" s="5">
        <f>AG823*$AF$1</f>
        <v>1.5150827401751503E+21</v>
      </c>
      <c r="AI823" s="5">
        <f>SUM($AF$9:AF822)</f>
        <v>2.9669595746252095E+21</v>
      </c>
      <c r="AK823" s="5">
        <f t="shared" si="100"/>
        <v>815</v>
      </c>
      <c r="AL823" s="5">
        <f t="shared" si="101"/>
        <v>117</v>
      </c>
      <c r="AM823" s="5">
        <f t="shared" si="102"/>
        <v>2.3095231472926301E+23</v>
      </c>
      <c r="AN823" s="5">
        <f>$AL$4*$AL$3^AL823*$AL$2</f>
        <v>2.3095231472926305E+23</v>
      </c>
      <c r="AO823" s="5">
        <f>IF(AL823=AL824,1,LOOKUP(MOD(AL823,$AL$1),$AN$1:$AN$5,$AO$1:$AO$5))</f>
        <v>1</v>
      </c>
      <c r="AP823" s="5">
        <f t="shared" si="103"/>
        <v>1.11857904433873E+23</v>
      </c>
      <c r="AQ823" s="5">
        <f>AM823*$AR$3</f>
        <v>3.0793641963901734E+22</v>
      </c>
      <c r="AR823" s="5">
        <f>AM823*AL823*$AR$4</f>
        <v>8.1064262469971331E+22</v>
      </c>
      <c r="AS823" s="5">
        <f>SUM($AP$9:AP822)</f>
        <v>2.5378687878455701E+24</v>
      </c>
    </row>
    <row r="824" spans="1:45" x14ac:dyDescent="0.15">
      <c r="A824" s="5">
        <v>816</v>
      </c>
      <c r="J824" s="5">
        <f t="shared" si="96"/>
        <v>816</v>
      </c>
      <c r="K824" s="5">
        <f>SUM($AP$9:AP823)</f>
        <v>2.6497266922794434E+24</v>
      </c>
      <c r="L824" s="5">
        <f>LOOKUP(K824,AI:AI,AE:AE)</f>
        <v>951</v>
      </c>
      <c r="M824" s="5">
        <f>LOOKUP(L824,AE:AE,AG:AG)</f>
        <v>1.3464924805492001E+23</v>
      </c>
      <c r="N824" s="5">
        <f>AM824/M824/$K$1</f>
        <v>1.1434761949558676</v>
      </c>
      <c r="O824" s="5">
        <f>SUM($N$9:N824)</f>
        <v>2393.5276394082384</v>
      </c>
      <c r="AE824" s="5">
        <f t="shared" si="97"/>
        <v>816</v>
      </c>
      <c r="AF824" s="5">
        <f t="shared" si="98"/>
        <v>1.60059661262676E+20</v>
      </c>
      <c r="AG824" s="5">
        <f t="shared" si="99"/>
        <v>1.5927888242724798E+20</v>
      </c>
      <c r="AH824" s="5">
        <f>AG824*$AF$1</f>
        <v>1.59278882427248E+21</v>
      </c>
      <c r="AI824" s="5">
        <f>SUM($AF$9:AF823)</f>
        <v>3.1192114475336084E+21</v>
      </c>
      <c r="AK824" s="5">
        <f t="shared" si="100"/>
        <v>816</v>
      </c>
      <c r="AL824" s="5">
        <f t="shared" si="101"/>
        <v>117</v>
      </c>
      <c r="AM824" s="5">
        <f t="shared" si="102"/>
        <v>2.3095231472926301E+23</v>
      </c>
      <c r="AN824" s="5">
        <f>$AL$4*$AL$3^AL824*$AL$2</f>
        <v>2.3095231472926305E+23</v>
      </c>
      <c r="AO824" s="5">
        <f>IF(AL824=AL825,1,LOOKUP(MOD(AL824,$AL$1),$AN$1:$AN$5,$AO$1:$AO$5))</f>
        <v>1</v>
      </c>
      <c r="AP824" s="5">
        <f t="shared" si="103"/>
        <v>1.11857904433873E+23</v>
      </c>
      <c r="AQ824" s="5">
        <f>AM824*$AR$3</f>
        <v>3.0793641963901734E+22</v>
      </c>
      <c r="AR824" s="5">
        <f>AM824*AL824*$AR$4</f>
        <v>8.1064262469971331E+22</v>
      </c>
      <c r="AS824" s="5">
        <f>SUM($AP$9:AP823)</f>
        <v>2.6497266922794434E+24</v>
      </c>
    </row>
    <row r="825" spans="1:45" x14ac:dyDescent="0.15">
      <c r="A825" s="5">
        <v>817</v>
      </c>
      <c r="J825" s="5">
        <f t="shared" si="96"/>
        <v>817</v>
      </c>
      <c r="K825" s="5">
        <f>SUM($AP$9:AP824)</f>
        <v>2.7615845967133167E+24</v>
      </c>
      <c r="L825" s="5">
        <f>LOOKUP(K825,AI:AI,AE:AE)</f>
        <v>951</v>
      </c>
      <c r="M825" s="5">
        <f>LOOKUP(L825,AE:AE,AG:AG)</f>
        <v>1.3464924805492001E+23</v>
      </c>
      <c r="N825" s="5">
        <f>AM825/M825/$K$1</f>
        <v>1.1434761949558676</v>
      </c>
      <c r="O825" s="5">
        <f>SUM($N$9:N825)</f>
        <v>2394.6711156031943</v>
      </c>
      <c r="AE825" s="5">
        <f t="shared" si="97"/>
        <v>817</v>
      </c>
      <c r="AF825" s="5">
        <f t="shared" si="98"/>
        <v>1.6826759877010899E+20</v>
      </c>
      <c r="AG825" s="5">
        <f t="shared" si="99"/>
        <v>1.6744778099291E+20</v>
      </c>
      <c r="AH825" s="5">
        <f>AG825*$AF$1</f>
        <v>1.6744778099290999E+21</v>
      </c>
      <c r="AI825" s="5">
        <f>SUM($AF$9:AF824)</f>
        <v>3.2792711087962844E+21</v>
      </c>
      <c r="AK825" s="5">
        <f t="shared" si="100"/>
        <v>817</v>
      </c>
      <c r="AL825" s="5">
        <f t="shared" si="101"/>
        <v>117</v>
      </c>
      <c r="AM825" s="5">
        <f t="shared" si="102"/>
        <v>2.3095231472926301E+23</v>
      </c>
      <c r="AN825" s="5">
        <f>$AL$4*$AL$3^AL825*$AL$2</f>
        <v>2.3095231472926305E+23</v>
      </c>
      <c r="AO825" s="5">
        <f>IF(AL825=AL826,1,LOOKUP(MOD(AL825,$AL$1),$AN$1:$AN$5,$AO$1:$AO$5))</f>
        <v>1</v>
      </c>
      <c r="AP825" s="5">
        <f t="shared" si="103"/>
        <v>1.11857904433873E+23</v>
      </c>
      <c r="AQ825" s="5">
        <f>AM825*$AR$3</f>
        <v>3.0793641963901734E+22</v>
      </c>
      <c r="AR825" s="5">
        <f>AM825*AL825*$AR$4</f>
        <v>8.1064262469971331E+22</v>
      </c>
      <c r="AS825" s="5">
        <f>SUM($AP$9:AP824)</f>
        <v>2.7615845967133167E+24</v>
      </c>
    </row>
    <row r="826" spans="1:45" x14ac:dyDescent="0.15">
      <c r="A826" s="5">
        <v>818</v>
      </c>
      <c r="J826" s="5">
        <f t="shared" si="96"/>
        <v>818</v>
      </c>
      <c r="K826" s="5">
        <f>SUM($AP$9:AP825)</f>
        <v>2.8734425011471899E+24</v>
      </c>
      <c r="L826" s="5">
        <f>LOOKUP(K826,AI:AI,AE:AE)</f>
        <v>952</v>
      </c>
      <c r="M826" s="5">
        <f>LOOKUP(L826,AE:AE,AG:AG)</f>
        <v>1.41530376819872E+23</v>
      </c>
      <c r="N826" s="5">
        <f>AM826/M826/$K$1</f>
        <v>1.0878810138085515</v>
      </c>
      <c r="O826" s="5">
        <f>SUM($N$9:N826)</f>
        <v>2395.7589966170026</v>
      </c>
      <c r="AE826" s="5">
        <f t="shared" si="97"/>
        <v>818</v>
      </c>
      <c r="AF826" s="5">
        <f t="shared" si="98"/>
        <v>1.7689618087513001E+20</v>
      </c>
      <c r="AG826" s="5">
        <f t="shared" si="99"/>
        <v>1.76035372209071E+20</v>
      </c>
      <c r="AH826" s="5">
        <f>AG826*$AF$1</f>
        <v>1.7603537220907098E+21</v>
      </c>
      <c r="AI826" s="5">
        <f>SUM($AF$9:AF825)</f>
        <v>3.4475387075663936E+21</v>
      </c>
      <c r="AK826" s="5">
        <f t="shared" si="100"/>
        <v>818</v>
      </c>
      <c r="AL826" s="5">
        <f t="shared" si="101"/>
        <v>117</v>
      </c>
      <c r="AM826" s="5">
        <f t="shared" si="102"/>
        <v>2.3095231472926301E+23</v>
      </c>
      <c r="AN826" s="5">
        <f>$AL$4*$AL$3^AL826*$AL$2</f>
        <v>2.3095231472926305E+23</v>
      </c>
      <c r="AO826" s="5">
        <f>IF(AL826=AL827,1,LOOKUP(MOD(AL826,$AL$1),$AN$1:$AN$5,$AO$1:$AO$5))</f>
        <v>1</v>
      </c>
      <c r="AP826" s="5">
        <f t="shared" si="103"/>
        <v>1.11857904433873E+23</v>
      </c>
      <c r="AQ826" s="5">
        <f>AM826*$AR$3</f>
        <v>3.0793641963901734E+22</v>
      </c>
      <c r="AR826" s="5">
        <f>AM826*AL826*$AR$4</f>
        <v>8.1064262469971331E+22</v>
      </c>
      <c r="AS826" s="5">
        <f>SUM($AP$9:AP825)</f>
        <v>2.8734425011471899E+24</v>
      </c>
    </row>
    <row r="827" spans="1:45" x14ac:dyDescent="0.15">
      <c r="A827" s="5">
        <v>819</v>
      </c>
      <c r="J827" s="5">
        <f t="shared" si="96"/>
        <v>819</v>
      </c>
      <c r="K827" s="5">
        <f>SUM($AP$9:AP826)</f>
        <v>2.9853004055810632E+24</v>
      </c>
      <c r="L827" s="5">
        <f>LOOKUP(K827,AI:AI,AE:AE)</f>
        <v>953</v>
      </c>
      <c r="M827" s="5">
        <f>LOOKUP(L827,AE:AE,AG:AG)</f>
        <v>1.4876299534118201E+23</v>
      </c>
      <c r="N827" s="5">
        <f>AM827/M827/$K$1</f>
        <v>7.244929871603623</v>
      </c>
      <c r="O827" s="5">
        <f>SUM($N$9:N827)</f>
        <v>2403.0039264886063</v>
      </c>
      <c r="AE827" s="5">
        <f t="shared" si="97"/>
        <v>819</v>
      </c>
      <c r="AF827" s="5">
        <f t="shared" si="98"/>
        <v>1.85966952193727E+20</v>
      </c>
      <c r="AG827" s="5">
        <f t="shared" si="99"/>
        <v>1.85063103094365E+20</v>
      </c>
      <c r="AH827" s="5">
        <f>AG827*$AF$1</f>
        <v>1.8506310309436499E+21</v>
      </c>
      <c r="AI827" s="5">
        <f>SUM($AF$9:AF826)</f>
        <v>3.6244348884415236E+21</v>
      </c>
      <c r="AK827" s="5">
        <f t="shared" si="100"/>
        <v>819</v>
      </c>
      <c r="AL827" s="5">
        <f t="shared" si="101"/>
        <v>117</v>
      </c>
      <c r="AM827" s="5">
        <f t="shared" si="102"/>
        <v>1.6166662031048401E+24</v>
      </c>
      <c r="AN827" s="5">
        <f>$AL$4*$AL$3^AL827*$AL$2</f>
        <v>2.3095231472926305E+23</v>
      </c>
      <c r="AO827" s="5">
        <f>IF(AL827=AL828,1,LOOKUP(MOD(AL827,$AL$1),$AN$1:$AN$5,$AO$1:$AO$5))</f>
        <v>7</v>
      </c>
      <c r="AP827" s="5">
        <f t="shared" si="103"/>
        <v>7.8300533103711098E+23</v>
      </c>
      <c r="AQ827" s="5">
        <f>AM827*$AR$3</f>
        <v>2.1555549374731202E+23</v>
      </c>
      <c r="AR827" s="5">
        <f>AM827*AL827*$AR$4</f>
        <v>5.674498372897989E+23</v>
      </c>
      <c r="AS827" s="5">
        <f>SUM($AP$9:AP826)</f>
        <v>2.9853004055810632E+24</v>
      </c>
    </row>
    <row r="828" spans="1:45" x14ac:dyDescent="0.15">
      <c r="A828" s="5">
        <v>820</v>
      </c>
      <c r="J828" s="5">
        <f t="shared" si="96"/>
        <v>820</v>
      </c>
      <c r="K828" s="5">
        <f>SUM($AP$9:AP827)</f>
        <v>3.7683057366181739E+24</v>
      </c>
      <c r="L828" s="5">
        <f>LOOKUP(K828,AI:AI,AE:AE)</f>
        <v>958</v>
      </c>
      <c r="M828" s="5">
        <f>LOOKUP(L828,AE:AE,AG:AG)</f>
        <v>1.9085960385572102E+23</v>
      </c>
      <c r="N828" s="5">
        <f>AM828/M828/$K$1</f>
        <v>1.266533538439925</v>
      </c>
      <c r="O828" s="5">
        <f>SUM($N$9:N828)</f>
        <v>2404.2704600270463</v>
      </c>
      <c r="AE828" s="5">
        <f t="shared" si="97"/>
        <v>820</v>
      </c>
      <c r="AF828" s="5">
        <f t="shared" si="98"/>
        <v>1.9550256019199499E+20</v>
      </c>
      <c r="AG828" s="5">
        <f t="shared" si="99"/>
        <v>1.9455351863766499E+20</v>
      </c>
      <c r="AH828" s="5">
        <f>AG828*$AF$1</f>
        <v>1.9455351863766499E+21</v>
      </c>
      <c r="AI828" s="5">
        <f>SUM($AF$9:AF827)</f>
        <v>3.8104018406352507E+21</v>
      </c>
      <c r="AK828" s="5">
        <f t="shared" si="100"/>
        <v>820</v>
      </c>
      <c r="AL828" s="5">
        <f t="shared" si="101"/>
        <v>118</v>
      </c>
      <c r="AM828" s="5">
        <f t="shared" si="102"/>
        <v>3.6259513412494302E+23</v>
      </c>
      <c r="AN828" s="5">
        <f>$AL$4*$AL$3^AL828*$AL$2</f>
        <v>3.6259513412494302E+23</v>
      </c>
      <c r="AO828" s="5">
        <f>IF(AL828=AL829,1,LOOKUP(MOD(AL828,$AL$1),$AN$1:$AN$5,$AO$1:$AO$5))</f>
        <v>1</v>
      </c>
      <c r="AP828" s="5">
        <f t="shared" si="103"/>
        <v>1.76704695363556E+23</v>
      </c>
      <c r="AQ828" s="5">
        <f>AM828*$AR$3</f>
        <v>4.8346017883325735E+22</v>
      </c>
      <c r="AR828" s="5">
        <f>AM828*AL828*$AR$4</f>
        <v>1.2835867748022984E+23</v>
      </c>
      <c r="AS828" s="5">
        <f>SUM($AP$9:AP827)</f>
        <v>3.7683057366181739E+24</v>
      </c>
    </row>
    <row r="829" spans="1:45" x14ac:dyDescent="0.15">
      <c r="A829" s="5">
        <v>821</v>
      </c>
      <c r="J829" s="5">
        <f t="shared" si="96"/>
        <v>821</v>
      </c>
      <c r="K829" s="5">
        <f>SUM($AP$9:AP828)</f>
        <v>3.9450104319817301E+24</v>
      </c>
      <c r="L829" s="5">
        <f>LOOKUP(K829,AI:AI,AE:AE)</f>
        <v>959</v>
      </c>
      <c r="M829" s="5">
        <f>LOOKUP(L829,AE:AE,AG:AG)</f>
        <v>2.0061177254960201E+23</v>
      </c>
      <c r="N829" s="5">
        <f>AM829/M829/$K$1</f>
        <v>1.2049646256769901</v>
      </c>
      <c r="O829" s="5">
        <f>SUM($N$9:N829)</f>
        <v>2405.4754246527232</v>
      </c>
      <c r="AE829" s="5">
        <f t="shared" si="97"/>
        <v>821</v>
      </c>
      <c r="AF829" s="5">
        <f t="shared" si="98"/>
        <v>2.0552681160960701E+20</v>
      </c>
      <c r="AG829" s="5">
        <f t="shared" si="99"/>
        <v>2.0453031797755999E+20</v>
      </c>
      <c r="AH829" s="5">
        <f>AG829*$AF$1</f>
        <v>2.0453031797756E+21</v>
      </c>
      <c r="AI829" s="5">
        <f>SUM($AF$9:AF828)</f>
        <v>4.0059044008272457E+21</v>
      </c>
      <c r="AK829" s="5">
        <f t="shared" si="100"/>
        <v>821</v>
      </c>
      <c r="AL829" s="5">
        <f t="shared" si="101"/>
        <v>118</v>
      </c>
      <c r="AM829" s="5">
        <f t="shared" si="102"/>
        <v>3.6259513412494302E+23</v>
      </c>
      <c r="AN829" s="5">
        <f>$AL$4*$AL$3^AL829*$AL$2</f>
        <v>3.6259513412494302E+23</v>
      </c>
      <c r="AO829" s="5">
        <f>IF(AL829=AL830,1,LOOKUP(MOD(AL829,$AL$1),$AN$1:$AN$5,$AO$1:$AO$5))</f>
        <v>1</v>
      </c>
      <c r="AP829" s="5">
        <f t="shared" si="103"/>
        <v>1.76704695363556E+23</v>
      </c>
      <c r="AQ829" s="5">
        <f>AM829*$AR$3</f>
        <v>4.8346017883325735E+22</v>
      </c>
      <c r="AR829" s="5">
        <f>AM829*AL829*$AR$4</f>
        <v>1.2835867748022984E+23</v>
      </c>
      <c r="AS829" s="5">
        <f>SUM($AP$9:AP828)</f>
        <v>3.9450104319817301E+24</v>
      </c>
    </row>
    <row r="830" spans="1:45" x14ac:dyDescent="0.15">
      <c r="A830" s="5">
        <v>822</v>
      </c>
      <c r="J830" s="5">
        <f t="shared" si="96"/>
        <v>822</v>
      </c>
      <c r="K830" s="5">
        <f>SUM($AP$9:AP829)</f>
        <v>4.1217151273452864E+24</v>
      </c>
      <c r="L830" s="5">
        <f>LOOKUP(K830,AI:AI,AE:AE)</f>
        <v>959</v>
      </c>
      <c r="M830" s="5">
        <f>LOOKUP(L830,AE:AE,AG:AG)</f>
        <v>2.0061177254960201E+23</v>
      </c>
      <c r="N830" s="5">
        <f>AM830/M830/$K$1</f>
        <v>1.2049646256769901</v>
      </c>
      <c r="O830" s="5">
        <f>SUM($N$9:N830)</f>
        <v>2406.6803892784001</v>
      </c>
      <c r="AE830" s="5">
        <f t="shared" si="97"/>
        <v>822</v>
      </c>
      <c r="AF830" s="5">
        <f t="shared" si="98"/>
        <v>2.1606473176849901E+20</v>
      </c>
      <c r="AG830" s="5">
        <f t="shared" si="99"/>
        <v>2.1501841345485E+20</v>
      </c>
      <c r="AH830" s="5">
        <f>AG830*$AF$1</f>
        <v>2.1501841345485E+21</v>
      </c>
      <c r="AI830" s="5">
        <f>SUM($AF$9:AF829)</f>
        <v>4.2114312124368526E+21</v>
      </c>
      <c r="AK830" s="5">
        <f t="shared" si="100"/>
        <v>822</v>
      </c>
      <c r="AL830" s="5">
        <f t="shared" si="101"/>
        <v>118</v>
      </c>
      <c r="AM830" s="5">
        <f t="shared" si="102"/>
        <v>3.6259513412494302E+23</v>
      </c>
      <c r="AN830" s="5">
        <f>$AL$4*$AL$3^AL830*$AL$2</f>
        <v>3.6259513412494302E+23</v>
      </c>
      <c r="AO830" s="5">
        <f>IF(AL830=AL831,1,LOOKUP(MOD(AL830,$AL$1),$AN$1:$AN$5,$AO$1:$AO$5))</f>
        <v>1</v>
      </c>
      <c r="AP830" s="5">
        <f t="shared" si="103"/>
        <v>1.76704695363556E+23</v>
      </c>
      <c r="AQ830" s="5">
        <f>AM830*$AR$3</f>
        <v>4.8346017883325735E+22</v>
      </c>
      <c r="AR830" s="5">
        <f>AM830*AL830*$AR$4</f>
        <v>1.2835867748022984E+23</v>
      </c>
      <c r="AS830" s="5">
        <f>SUM($AP$9:AP829)</f>
        <v>4.1217151273452864E+24</v>
      </c>
    </row>
    <row r="831" spans="1:45" x14ac:dyDescent="0.15">
      <c r="A831" s="5">
        <v>823</v>
      </c>
      <c r="J831" s="5">
        <f t="shared" si="96"/>
        <v>823</v>
      </c>
      <c r="K831" s="5">
        <f>SUM($AP$9:AP830)</f>
        <v>4.2984198227088426E+24</v>
      </c>
      <c r="L831" s="5">
        <f>LOOKUP(K831,AI:AI,AE:AE)</f>
        <v>960</v>
      </c>
      <c r="M831" s="5">
        <f>LOOKUP(L831,AE:AE,AG:AG)</f>
        <v>2.10862009103231E+23</v>
      </c>
      <c r="N831" s="5">
        <f>AM831/M831/$K$1</f>
        <v>1.1463899563732494</v>
      </c>
      <c r="O831" s="5">
        <f>SUM($N$9:N831)</f>
        <v>2407.8267792347733</v>
      </c>
      <c r="AE831" s="5">
        <f t="shared" si="97"/>
        <v>823</v>
      </c>
      <c r="AF831" s="5">
        <f t="shared" si="98"/>
        <v>2.2714262691425701E+20</v>
      </c>
      <c r="AG831" s="5">
        <f t="shared" si="99"/>
        <v>2.2604399268492601E+20</v>
      </c>
      <c r="AH831" s="5">
        <f>AG831*$AF$1</f>
        <v>2.2604399268492602E+21</v>
      </c>
      <c r="AI831" s="5">
        <f>SUM($AF$9:AF830)</f>
        <v>4.4274959442053515E+21</v>
      </c>
      <c r="AK831" s="5">
        <f t="shared" si="100"/>
        <v>823</v>
      </c>
      <c r="AL831" s="5">
        <f t="shared" si="101"/>
        <v>118</v>
      </c>
      <c r="AM831" s="5">
        <f t="shared" si="102"/>
        <v>3.6259513412494302E+23</v>
      </c>
      <c r="AN831" s="5">
        <f>$AL$4*$AL$3^AL831*$AL$2</f>
        <v>3.6259513412494302E+23</v>
      </c>
      <c r="AO831" s="5">
        <f>IF(AL831=AL832,1,LOOKUP(MOD(AL831,$AL$1),$AN$1:$AN$5,$AO$1:$AO$5))</f>
        <v>1</v>
      </c>
      <c r="AP831" s="5">
        <f t="shared" si="103"/>
        <v>1.76704695363556E+23</v>
      </c>
      <c r="AQ831" s="5">
        <f>AM831*$AR$3</f>
        <v>4.8346017883325735E+22</v>
      </c>
      <c r="AR831" s="5">
        <f>AM831*AL831*$AR$4</f>
        <v>1.2835867748022984E+23</v>
      </c>
      <c r="AS831" s="5">
        <f>SUM($AP$9:AP830)</f>
        <v>4.2984198227088426E+24</v>
      </c>
    </row>
    <row r="832" spans="1:45" x14ac:dyDescent="0.15">
      <c r="A832" s="5">
        <v>824</v>
      </c>
      <c r="J832" s="5">
        <f t="shared" si="96"/>
        <v>824</v>
      </c>
      <c r="K832" s="5">
        <f>SUM($AP$9:AP831)</f>
        <v>4.4751245180723988E+24</v>
      </c>
      <c r="L832" s="5">
        <f>LOOKUP(K832,AI:AI,AE:AE)</f>
        <v>961</v>
      </c>
      <c r="M832" s="5">
        <f>LOOKUP(L832,AE:AE,AG:AG)</f>
        <v>2.21635739880849E+23</v>
      </c>
      <c r="N832" s="5">
        <f>AM832/M832/$K$1</f>
        <v>1.0906638502733466</v>
      </c>
      <c r="O832" s="5">
        <f>SUM($N$9:N832)</f>
        <v>2408.9174430850467</v>
      </c>
      <c r="AE832" s="5">
        <f t="shared" si="97"/>
        <v>824</v>
      </c>
      <c r="AF832" s="5">
        <f t="shared" si="98"/>
        <v>2.3878814974516999E+20</v>
      </c>
      <c r="AG832" s="5">
        <f t="shared" si="99"/>
        <v>2.3763458380437199E+20</v>
      </c>
      <c r="AH832" s="5">
        <f>AG832*$AF$1</f>
        <v>2.3763458380437201E+21</v>
      </c>
      <c r="AI832" s="5">
        <f>SUM($AF$9:AF831)</f>
        <v>4.6546385711196086E+21</v>
      </c>
      <c r="AK832" s="5">
        <f t="shared" si="100"/>
        <v>824</v>
      </c>
      <c r="AL832" s="5">
        <f t="shared" si="101"/>
        <v>118</v>
      </c>
      <c r="AM832" s="5">
        <f t="shared" si="102"/>
        <v>3.6259513412494302E+23</v>
      </c>
      <c r="AN832" s="5">
        <f>$AL$4*$AL$3^AL832*$AL$2</f>
        <v>3.6259513412494302E+23</v>
      </c>
      <c r="AO832" s="5">
        <f>IF(AL832=AL833,1,LOOKUP(MOD(AL832,$AL$1),$AN$1:$AN$5,$AO$1:$AO$5))</f>
        <v>1</v>
      </c>
      <c r="AP832" s="5">
        <f t="shared" si="103"/>
        <v>1.76704695363556E+23</v>
      </c>
      <c r="AQ832" s="5">
        <f>AM832*$AR$3</f>
        <v>4.8346017883325735E+22</v>
      </c>
      <c r="AR832" s="5">
        <f>AM832*AL832*$AR$4</f>
        <v>1.2835867748022984E+23</v>
      </c>
      <c r="AS832" s="5">
        <f>SUM($AP$9:AP831)</f>
        <v>4.4751245180723988E+24</v>
      </c>
    </row>
    <row r="833" spans="1:45" x14ac:dyDescent="0.15">
      <c r="A833" s="5">
        <v>825</v>
      </c>
      <c r="J833" s="5">
        <f t="shared" si="96"/>
        <v>825</v>
      </c>
      <c r="K833" s="5">
        <f>SUM($AP$9:AP832)</f>
        <v>4.6518292134359551E+24</v>
      </c>
      <c r="L833" s="5">
        <f>LOOKUP(K833,AI:AI,AE:AE)</f>
        <v>962</v>
      </c>
      <c r="M833" s="5">
        <f>LOOKUP(L833,AE:AE,AG:AG)</f>
        <v>2.3295968871347101E+23</v>
      </c>
      <c r="N833" s="5">
        <f>AM833/M833/$K$1</f>
        <v>1.0376477181592769</v>
      </c>
      <c r="O833" s="5">
        <f>SUM($N$9:N833)</f>
        <v>2409.9550908032061</v>
      </c>
      <c r="AE833" s="5">
        <f t="shared" si="97"/>
        <v>825</v>
      </c>
      <c r="AF833" s="5">
        <f t="shared" si="98"/>
        <v>2.5103036829188699E+20</v>
      </c>
      <c r="AG833" s="5">
        <f t="shared" si="99"/>
        <v>2.4981912405405001E+20</v>
      </c>
      <c r="AH833" s="5">
        <f>AG833*$AF$1</f>
        <v>2.4981912405405E+21</v>
      </c>
      <c r="AI833" s="5">
        <f>SUM($AF$9:AF832)</f>
        <v>4.8934267208647783E+21</v>
      </c>
      <c r="AK833" s="5">
        <f t="shared" si="100"/>
        <v>825</v>
      </c>
      <c r="AL833" s="5">
        <f t="shared" si="101"/>
        <v>118</v>
      </c>
      <c r="AM833" s="5">
        <f t="shared" si="102"/>
        <v>3.6259513412494302E+23</v>
      </c>
      <c r="AN833" s="5">
        <f>$AL$4*$AL$3^AL833*$AL$2</f>
        <v>3.6259513412494302E+23</v>
      </c>
      <c r="AO833" s="5">
        <f>IF(AL833=AL834,1,LOOKUP(MOD(AL833,$AL$1),$AN$1:$AN$5,$AO$1:$AO$5))</f>
        <v>1</v>
      </c>
      <c r="AP833" s="5">
        <f t="shared" si="103"/>
        <v>1.76704695363556E+23</v>
      </c>
      <c r="AQ833" s="5">
        <f>AM833*$AR$3</f>
        <v>4.8346017883325735E+22</v>
      </c>
      <c r="AR833" s="5">
        <f>AM833*AL833*$AR$4</f>
        <v>1.2835867748022984E+23</v>
      </c>
      <c r="AS833" s="5">
        <f>SUM($AP$9:AP832)</f>
        <v>4.6518292134359551E+24</v>
      </c>
    </row>
    <row r="834" spans="1:45" x14ac:dyDescent="0.15">
      <c r="A834" s="5">
        <v>826</v>
      </c>
      <c r="J834" s="5">
        <f t="shared" si="96"/>
        <v>826</v>
      </c>
      <c r="K834" s="5">
        <f>SUM($AP$9:AP833)</f>
        <v>4.8285339087995113E+24</v>
      </c>
      <c r="L834" s="5">
        <f>LOOKUP(K834,AI:AI,AE:AE)</f>
        <v>963</v>
      </c>
      <c r="M834" s="5">
        <f>LOOKUP(L834,AE:AE,AG:AG)</f>
        <v>2.44861943079653E+23</v>
      </c>
      <c r="N834" s="5">
        <f>AM834/M834/$K$1</f>
        <v>6.9104680157094087</v>
      </c>
      <c r="O834" s="5">
        <f>SUM($N$9:N834)</f>
        <v>2416.8655588189154</v>
      </c>
      <c r="AE834" s="5">
        <f t="shared" si="97"/>
        <v>826</v>
      </c>
      <c r="AF834" s="5">
        <f t="shared" si="98"/>
        <v>2.6389983831891401E+20</v>
      </c>
      <c r="AG834" s="5">
        <f t="shared" si="99"/>
        <v>2.62628031869185E+20</v>
      </c>
      <c r="AH834" s="5">
        <f>AG834*$AF$1</f>
        <v>2.6262803186918501E+21</v>
      </c>
      <c r="AI834" s="5">
        <f>SUM($AF$9:AF833)</f>
        <v>5.1444570891566658E+21</v>
      </c>
      <c r="AK834" s="5">
        <f t="shared" si="100"/>
        <v>826</v>
      </c>
      <c r="AL834" s="5">
        <f t="shared" si="101"/>
        <v>118</v>
      </c>
      <c r="AM834" s="5">
        <f t="shared" si="102"/>
        <v>2.5381659388745997E+24</v>
      </c>
      <c r="AN834" s="5">
        <f>$AL$4*$AL$3^AL834*$AL$2</f>
        <v>3.6259513412494302E+23</v>
      </c>
      <c r="AO834" s="5">
        <f>IF(AL834=AL835,1,LOOKUP(MOD(AL834,$AL$1),$AN$1:$AN$5,$AO$1:$AO$5))</f>
        <v>7</v>
      </c>
      <c r="AP834" s="5">
        <f t="shared" si="103"/>
        <v>1.2369328675448899E+24</v>
      </c>
      <c r="AQ834" s="5">
        <f>AM834*$AR$3</f>
        <v>3.3842212518327996E+23</v>
      </c>
      <c r="AR834" s="5">
        <f>AM834*AL834*$AR$4</f>
        <v>8.9851074236160823E+23</v>
      </c>
      <c r="AS834" s="5">
        <f>SUM($AP$9:AP833)</f>
        <v>4.8285339087995113E+24</v>
      </c>
    </row>
    <row r="835" spans="1:45" x14ac:dyDescent="0.15">
      <c r="A835" s="5">
        <v>827</v>
      </c>
      <c r="J835" s="5">
        <f t="shared" si="96"/>
        <v>827</v>
      </c>
      <c r="K835" s="5">
        <f>SUM($AP$9:AP834)</f>
        <v>6.0654667763444006E+24</v>
      </c>
      <c r="L835" s="5">
        <f>LOOKUP(K835,AI:AI,AE:AE)</f>
        <v>967</v>
      </c>
      <c r="M835" s="5">
        <f>LOOKUP(L835,AE:AE,AG:AG)</f>
        <v>2.9886748895934302E+23</v>
      </c>
      <c r="N835" s="5">
        <f>AM835/M835/$K$1</f>
        <v>1.2698478570070726</v>
      </c>
      <c r="O835" s="5">
        <f>SUM($N$9:N835)</f>
        <v>2418.1354066759222</v>
      </c>
      <c r="AE835" s="5">
        <f t="shared" si="97"/>
        <v>827</v>
      </c>
      <c r="AF835" s="5">
        <f t="shared" si="98"/>
        <v>2.7742867942791401E+20</v>
      </c>
      <c r="AG835" s="5">
        <f t="shared" si="99"/>
        <v>2.7609328265569799E+20</v>
      </c>
      <c r="AH835" s="5">
        <f>AG835*$AF$1</f>
        <v>2.76093282655698E+21</v>
      </c>
      <c r="AI835" s="5">
        <f>SUM($AF$9:AF834)</f>
        <v>5.4083569274755796E+21</v>
      </c>
      <c r="AK835" s="5">
        <f t="shared" si="100"/>
        <v>827</v>
      </c>
      <c r="AL835" s="5">
        <f t="shared" si="101"/>
        <v>119</v>
      </c>
      <c r="AM835" s="5">
        <f t="shared" si="102"/>
        <v>5.6927436057615997E+23</v>
      </c>
      <c r="AN835" s="5">
        <f>$AL$4*$AL$3^AL835*$AL$2</f>
        <v>5.6927436057616044E+23</v>
      </c>
      <c r="AO835" s="5">
        <f>IF(AL835=AL836,1,LOOKUP(MOD(AL835,$AL$1),$AN$1:$AN$5,$AO$1:$AO$5))</f>
        <v>1</v>
      </c>
      <c r="AP835" s="5">
        <f t="shared" si="103"/>
        <v>2.7913419480250999E+23</v>
      </c>
      <c r="AQ835" s="5">
        <f>AM835*$AR$3</f>
        <v>7.590324807682133E+22</v>
      </c>
      <c r="AR835" s="5">
        <f>AM835*AL835*$AR$4</f>
        <v>2.0323094672568911E+23</v>
      </c>
      <c r="AS835" s="5">
        <f>SUM($AP$9:AP834)</f>
        <v>6.0654667763444006E+24</v>
      </c>
    </row>
    <row r="836" spans="1:45" x14ac:dyDescent="0.15">
      <c r="A836" s="5">
        <v>828</v>
      </c>
      <c r="J836" s="5">
        <f t="shared" si="96"/>
        <v>828</v>
      </c>
      <c r="K836" s="5">
        <f>SUM($AP$9:AP835)</f>
        <v>6.3446009711469105E+24</v>
      </c>
      <c r="L836" s="5">
        <f>LOOKUP(K836,AI:AI,AE:AE)</f>
        <v>968</v>
      </c>
      <c r="M836" s="5">
        <f>LOOKUP(L836,AE:AE,AG:AG)</f>
        <v>3.1413538343151599E+23</v>
      </c>
      <c r="N836" s="5">
        <f>AM836/M836/$K$1</f>
        <v>1.2081295530557263</v>
      </c>
      <c r="O836" s="5">
        <f>SUM($N$9:N836)</f>
        <v>2419.3435362289779</v>
      </c>
      <c r="AE836" s="5">
        <f t="shared" si="97"/>
        <v>828</v>
      </c>
      <c r="AF836" s="5">
        <f t="shared" si="98"/>
        <v>2.9165065505201599E+20</v>
      </c>
      <c r="AG836" s="5">
        <f t="shared" si="99"/>
        <v>2.9024848844118901E+20</v>
      </c>
      <c r="AH836" s="5">
        <f>AG836*$AF$1</f>
        <v>2.9024848844118903E+21</v>
      </c>
      <c r="AI836" s="5">
        <f>SUM($AF$9:AF835)</f>
        <v>5.6857856069034941E+21</v>
      </c>
      <c r="AK836" s="5">
        <f t="shared" si="100"/>
        <v>828</v>
      </c>
      <c r="AL836" s="5">
        <f t="shared" si="101"/>
        <v>119</v>
      </c>
      <c r="AM836" s="5">
        <f t="shared" si="102"/>
        <v>5.6927436057615997E+23</v>
      </c>
      <c r="AN836" s="5">
        <f>$AL$4*$AL$3^AL836*$AL$2</f>
        <v>5.6927436057616044E+23</v>
      </c>
      <c r="AO836" s="5">
        <f>IF(AL836=AL837,1,LOOKUP(MOD(AL836,$AL$1),$AN$1:$AN$5,$AO$1:$AO$5))</f>
        <v>1</v>
      </c>
      <c r="AP836" s="5">
        <f t="shared" si="103"/>
        <v>2.7913419480250999E+23</v>
      </c>
      <c r="AQ836" s="5">
        <f>AM836*$AR$3</f>
        <v>7.590324807682133E+22</v>
      </c>
      <c r="AR836" s="5">
        <f>AM836*AL836*$AR$4</f>
        <v>2.0323094672568911E+23</v>
      </c>
      <c r="AS836" s="5">
        <f>SUM($AP$9:AP835)</f>
        <v>6.3446009711469105E+24</v>
      </c>
    </row>
    <row r="837" spans="1:45" x14ac:dyDescent="0.15">
      <c r="A837" s="5">
        <v>829</v>
      </c>
      <c r="J837" s="5">
        <f t="shared" si="96"/>
        <v>829</v>
      </c>
      <c r="K837" s="5">
        <f>SUM($AP$9:AP836)</f>
        <v>6.6237351659494203E+24</v>
      </c>
      <c r="L837" s="5">
        <f>LOOKUP(K837,AI:AI,AE:AE)</f>
        <v>969</v>
      </c>
      <c r="M837" s="5">
        <f>LOOKUP(L837,AE:AE,AG:AG)</f>
        <v>3.3018289862850901E+23</v>
      </c>
      <c r="N837" s="5">
        <f>AM837/M837/$K$1</f>
        <v>1.1494121650773408</v>
      </c>
      <c r="O837" s="5">
        <f>SUM($N$9:N837)</f>
        <v>2420.492948394055</v>
      </c>
      <c r="AE837" s="5">
        <f t="shared" si="97"/>
        <v>829</v>
      </c>
      <c r="AF837" s="5">
        <f t="shared" si="98"/>
        <v>3.06601256539959E+20</v>
      </c>
      <c r="AG837" s="5">
        <f t="shared" si="99"/>
        <v>3.0512898159859099E+20</v>
      </c>
      <c r="AH837" s="5">
        <f>AG837*$AF$1</f>
        <v>3.0512898159859099E+21</v>
      </c>
      <c r="AI837" s="5">
        <f>SUM($AF$9:AF836)</f>
        <v>5.9774362619555097E+21</v>
      </c>
      <c r="AK837" s="5">
        <f t="shared" si="100"/>
        <v>829</v>
      </c>
      <c r="AL837" s="5">
        <f t="shared" si="101"/>
        <v>119</v>
      </c>
      <c r="AM837" s="5">
        <f t="shared" si="102"/>
        <v>5.6927436057615997E+23</v>
      </c>
      <c r="AN837" s="5">
        <f>$AL$4*$AL$3^AL837*$AL$2</f>
        <v>5.6927436057616044E+23</v>
      </c>
      <c r="AO837" s="5">
        <f>IF(AL837=AL838,1,LOOKUP(MOD(AL837,$AL$1),$AN$1:$AN$5,$AO$1:$AO$5))</f>
        <v>1</v>
      </c>
      <c r="AP837" s="5">
        <f t="shared" si="103"/>
        <v>2.7913419480250999E+23</v>
      </c>
      <c r="AQ837" s="5">
        <f>AM837*$AR$3</f>
        <v>7.590324807682133E+22</v>
      </c>
      <c r="AR837" s="5">
        <f>AM837*AL837*$AR$4</f>
        <v>2.0323094672568911E+23</v>
      </c>
      <c r="AS837" s="5">
        <f>SUM($AP$9:AP836)</f>
        <v>6.6237351659494203E+24</v>
      </c>
    </row>
    <row r="838" spans="1:45" x14ac:dyDescent="0.15">
      <c r="A838" s="5">
        <v>830</v>
      </c>
      <c r="J838" s="5">
        <f t="shared" si="96"/>
        <v>830</v>
      </c>
      <c r="K838" s="5">
        <f>SUM($AP$9:AP837)</f>
        <v>6.9028693607519302E+24</v>
      </c>
      <c r="L838" s="5">
        <f>LOOKUP(K838,AI:AI,AE:AE)</f>
        <v>970</v>
      </c>
      <c r="M838" s="5">
        <f>LOOKUP(L838,AE:AE,AG:AG)</f>
        <v>3.4704982688662101E+23</v>
      </c>
      <c r="N838" s="5">
        <f>AM838/M838/$K$1</f>
        <v>1.0935497181737313</v>
      </c>
      <c r="O838" s="5">
        <f>SUM($N$9:N838)</f>
        <v>2421.5864981122286</v>
      </c>
      <c r="AE838" s="5">
        <f t="shared" si="97"/>
        <v>830</v>
      </c>
      <c r="AF838" s="5">
        <f t="shared" si="98"/>
        <v>3.2231779153906703E+20</v>
      </c>
      <c r="AG838" s="5">
        <f t="shared" si="99"/>
        <v>3.2077190285063003E+20</v>
      </c>
      <c r="AH838" s="5">
        <f>AG838*$AF$1</f>
        <v>3.2077190285063E+21</v>
      </c>
      <c r="AI838" s="5">
        <f>SUM($AF$9:AF837)</f>
        <v>6.284037518495469E+21</v>
      </c>
      <c r="AK838" s="5">
        <f t="shared" si="100"/>
        <v>830</v>
      </c>
      <c r="AL838" s="5">
        <f t="shared" si="101"/>
        <v>119</v>
      </c>
      <c r="AM838" s="5">
        <f t="shared" si="102"/>
        <v>5.6927436057615997E+23</v>
      </c>
      <c r="AN838" s="5">
        <f>$AL$4*$AL$3^AL838*$AL$2</f>
        <v>5.6927436057616044E+23</v>
      </c>
      <c r="AO838" s="5">
        <f>IF(AL838=AL839,1,LOOKUP(MOD(AL838,$AL$1),$AN$1:$AN$5,$AO$1:$AO$5))</f>
        <v>1</v>
      </c>
      <c r="AP838" s="5">
        <f t="shared" si="103"/>
        <v>2.7913419480250999E+23</v>
      </c>
      <c r="AQ838" s="5">
        <f>AM838*$AR$3</f>
        <v>7.590324807682133E+22</v>
      </c>
      <c r="AR838" s="5">
        <f>AM838*AL838*$AR$4</f>
        <v>2.0323094672568911E+23</v>
      </c>
      <c r="AS838" s="5">
        <f>SUM($AP$9:AP837)</f>
        <v>6.9028693607519302E+24</v>
      </c>
    </row>
    <row r="839" spans="1:45" x14ac:dyDescent="0.15">
      <c r="A839" s="5">
        <v>831</v>
      </c>
      <c r="J839" s="5">
        <f t="shared" si="96"/>
        <v>831</v>
      </c>
      <c r="K839" s="5">
        <f>SUM($AP$9:AP838)</f>
        <v>7.1820035555544401E+24</v>
      </c>
      <c r="L839" s="5">
        <f>LOOKUP(K839,AI:AI,AE:AE)</f>
        <v>971</v>
      </c>
      <c r="M839" s="5">
        <f>LOOKUP(L839,AE:AE,AG:AG)</f>
        <v>3.6477799072397402E+23</v>
      </c>
      <c r="N839" s="5">
        <f>AM839/M839/$K$1</f>
        <v>1.0404033413059863</v>
      </c>
      <c r="O839" s="5">
        <f>SUM($N$9:N839)</f>
        <v>2422.6269014535346</v>
      </c>
      <c r="AE839" s="5">
        <f t="shared" si="97"/>
        <v>831</v>
      </c>
      <c r="AF839" s="5">
        <f t="shared" si="98"/>
        <v>3.3883947689673497E+20</v>
      </c>
      <c r="AG839" s="5">
        <f t="shared" si="99"/>
        <v>3.37216293773876E+20</v>
      </c>
      <c r="AH839" s="5">
        <f>AG839*$AF$1</f>
        <v>3.3721629377387603E+21</v>
      </c>
      <c r="AI839" s="5">
        <f>SUM($AF$9:AF838)</f>
        <v>6.6063553100345361E+21</v>
      </c>
      <c r="AK839" s="5">
        <f t="shared" si="100"/>
        <v>831</v>
      </c>
      <c r="AL839" s="5">
        <f t="shared" si="101"/>
        <v>119</v>
      </c>
      <c r="AM839" s="5">
        <f t="shared" si="102"/>
        <v>5.6927436057615997E+23</v>
      </c>
      <c r="AN839" s="5">
        <f>$AL$4*$AL$3^AL839*$AL$2</f>
        <v>5.6927436057616044E+23</v>
      </c>
      <c r="AO839" s="5">
        <f>IF(AL839=AL840,1,LOOKUP(MOD(AL839,$AL$1),$AN$1:$AN$5,$AO$1:$AO$5))</f>
        <v>1</v>
      </c>
      <c r="AP839" s="5">
        <f t="shared" si="103"/>
        <v>2.7913419480250999E+23</v>
      </c>
      <c r="AQ839" s="5">
        <f>AM839*$AR$3</f>
        <v>7.590324807682133E+22</v>
      </c>
      <c r="AR839" s="5">
        <f>AM839*AL839*$AR$4</f>
        <v>2.0323094672568911E+23</v>
      </c>
      <c r="AS839" s="5">
        <f>SUM($AP$9:AP838)</f>
        <v>7.1820035555544401E+24</v>
      </c>
    </row>
    <row r="840" spans="1:45" x14ac:dyDescent="0.15">
      <c r="A840" s="5">
        <v>832</v>
      </c>
      <c r="J840" s="5">
        <f t="shared" si="96"/>
        <v>832</v>
      </c>
      <c r="K840" s="5">
        <f>SUM($AP$9:AP839)</f>
        <v>7.4611377503569499E+24</v>
      </c>
      <c r="L840" s="5">
        <f>LOOKUP(K840,AI:AI,AE:AE)</f>
        <v>971</v>
      </c>
      <c r="M840" s="5">
        <f>LOOKUP(L840,AE:AE,AG:AG)</f>
        <v>3.6477799072397402E+23</v>
      </c>
      <c r="N840" s="5">
        <f>AM840/M840/$K$1</f>
        <v>1.0404033413059863</v>
      </c>
      <c r="O840" s="5">
        <f>SUM($N$9:N840)</f>
        <v>2423.6673047948407</v>
      </c>
      <c r="AE840" s="5">
        <f t="shared" si="97"/>
        <v>832</v>
      </c>
      <c r="AF840" s="5">
        <f t="shared" si="98"/>
        <v>3.5620753631132202E+20</v>
      </c>
      <c r="AG840" s="5">
        <f t="shared" si="99"/>
        <v>3.5450319403232002E+20</v>
      </c>
      <c r="AH840" s="5">
        <f>AG840*$AF$1</f>
        <v>3.5450319403232002E+21</v>
      </c>
      <c r="AI840" s="5">
        <f>SUM($AF$9:AF839)</f>
        <v>6.945194786931271E+21</v>
      </c>
      <c r="AK840" s="5">
        <f t="shared" si="100"/>
        <v>832</v>
      </c>
      <c r="AL840" s="5">
        <f t="shared" si="101"/>
        <v>119</v>
      </c>
      <c r="AM840" s="5">
        <f t="shared" si="102"/>
        <v>5.6927436057615997E+23</v>
      </c>
      <c r="AN840" s="5">
        <f>$AL$4*$AL$3^AL840*$AL$2</f>
        <v>5.6927436057616044E+23</v>
      </c>
      <c r="AO840" s="5">
        <f>IF(AL840=AL841,1,LOOKUP(MOD(AL840,$AL$1),$AN$1:$AN$5,$AO$1:$AO$5))</f>
        <v>1</v>
      </c>
      <c r="AP840" s="5">
        <f t="shared" si="103"/>
        <v>2.7913419480250999E+23</v>
      </c>
      <c r="AQ840" s="5">
        <f>AM840*$AR$3</f>
        <v>7.590324807682133E+22</v>
      </c>
      <c r="AR840" s="5">
        <f>AM840*AL840*$AR$4</f>
        <v>2.0323094672568911E+23</v>
      </c>
      <c r="AS840" s="5">
        <f>SUM($AP$9:AP839)</f>
        <v>7.4611377503569499E+24</v>
      </c>
    </row>
    <row r="841" spans="1:45" x14ac:dyDescent="0.15">
      <c r="A841" s="5">
        <v>833</v>
      </c>
      <c r="J841" s="5">
        <f t="shared" si="96"/>
        <v>833</v>
      </c>
      <c r="K841" s="5">
        <f>SUM($AP$9:AP840)</f>
        <v>7.7402719451594598E+24</v>
      </c>
      <c r="L841" s="5">
        <f>LOOKUP(K841,AI:AI,AE:AE)</f>
        <v>972</v>
      </c>
      <c r="M841" s="5">
        <f>LOOKUP(L841,AE:AE,AG:AG)</f>
        <v>3.83411346377845E+23</v>
      </c>
      <c r="N841" s="5">
        <f>AM841/M841/$K$1</f>
        <v>9.8984092142672342</v>
      </c>
      <c r="O841" s="5">
        <f>SUM($N$9:N841)</f>
        <v>2433.565714009108</v>
      </c>
      <c r="AE841" s="5">
        <f t="shared" si="97"/>
        <v>833</v>
      </c>
      <c r="AF841" s="5">
        <f t="shared" si="98"/>
        <v>3.7446530297512598E+20</v>
      </c>
      <c r="AG841" s="5">
        <f t="shared" si="99"/>
        <v>3.7267574358217399E+20</v>
      </c>
      <c r="AH841" s="5">
        <f>AG841*$AF$1</f>
        <v>3.72675743582174E+21</v>
      </c>
      <c r="AI841" s="5">
        <f>SUM($AF$9:AF840)</f>
        <v>7.3014023232425936E+21</v>
      </c>
      <c r="AK841" s="5">
        <f t="shared" si="100"/>
        <v>833</v>
      </c>
      <c r="AL841" s="5">
        <f t="shared" si="101"/>
        <v>119</v>
      </c>
      <c r="AM841" s="5">
        <f t="shared" si="102"/>
        <v>5.6927436057616001E+24</v>
      </c>
      <c r="AN841" s="5">
        <f>$AL$4*$AL$3^AL841*$AL$2</f>
        <v>5.6927436057616044E+23</v>
      </c>
      <c r="AO841" s="5">
        <f>IF(AL841=AL842,1,LOOKUP(MOD(AL841,$AL$1),$AN$1:$AN$5,$AO$1:$AO$5))</f>
        <v>10</v>
      </c>
      <c r="AP841" s="5">
        <f t="shared" si="103"/>
        <v>2.7913419480251002E+24</v>
      </c>
      <c r="AQ841" s="5">
        <f>AM841*$AR$3</f>
        <v>7.5903248076821333E+23</v>
      </c>
      <c r="AR841" s="5">
        <f>AM841*AL841*$AR$4</f>
        <v>2.0323094672568913E+24</v>
      </c>
      <c r="AS841" s="5">
        <f>SUM($AP$9:AP840)</f>
        <v>7.7402719451594598E+24</v>
      </c>
    </row>
    <row r="842" spans="1:45" x14ac:dyDescent="0.15">
      <c r="A842" s="5">
        <v>834</v>
      </c>
      <c r="J842" s="5">
        <f t="shared" ref="J842:J905" si="104">A842</f>
        <v>834</v>
      </c>
      <c r="K842" s="5">
        <f>SUM($AP$9:AP841)</f>
        <v>1.053161389318456E+25</v>
      </c>
      <c r="L842" s="5">
        <f>LOOKUP(K842,AI:AI,AE:AE)</f>
        <v>978</v>
      </c>
      <c r="M842" s="5">
        <f>LOOKUP(L842,AE:AE,AG:AG)</f>
        <v>5.1697952738937901E+23</v>
      </c>
      <c r="N842" s="5">
        <f>AM842/M842/$K$1</f>
        <v>1.1525417658449604</v>
      </c>
      <c r="O842" s="5">
        <f>SUM($N$9:N842)</f>
        <v>2434.7182557749529</v>
      </c>
      <c r="AE842" s="5">
        <f t="shared" ref="AE842:AE905" si="105">A842</f>
        <v>834</v>
      </c>
      <c r="AF842" s="5">
        <f t="shared" ref="AF842:AF905" si="106">ROUND(1.05^AE842*(AE842+4),0)</f>
        <v>3.9365832746453198E+20</v>
      </c>
      <c r="AG842" s="5">
        <f t="shared" ref="AG842:AG905" si="107">ROUND(1.05^AE842*AE842,0)</f>
        <v>3.9177929010193302E+20</v>
      </c>
      <c r="AH842" s="5">
        <f>AG842*$AF$1</f>
        <v>3.9177929010193304E+21</v>
      </c>
      <c r="AI842" s="5">
        <f>SUM($AF$9:AF841)</f>
        <v>7.67586762621772E+21</v>
      </c>
      <c r="AK842" s="5">
        <f t="shared" ref="AK842:AK905" si="108">A842</f>
        <v>834</v>
      </c>
      <c r="AL842" s="5">
        <f t="shared" ref="AL842:AL905" si="109">ROUNDUP(AK842/$AL$1,0)</f>
        <v>120</v>
      </c>
      <c r="AM842" s="5">
        <f t="shared" ref="AM842:AM905" si="110">ROUND(AN842*AO842,0)</f>
        <v>8.9376074610457199E+23</v>
      </c>
      <c r="AN842" s="5">
        <f>$AL$4*$AL$3^AL842*$AL$2</f>
        <v>8.9376074610457199E+23</v>
      </c>
      <c r="AO842" s="5">
        <f>IF(AL842=AL843,1,LOOKUP(MOD(AL842,$AL$1),$AN$1:$AN$5,$AO$1:$AO$5))</f>
        <v>1</v>
      </c>
      <c r="AP842" s="5">
        <f t="shared" ref="AP842:AP905" si="111">ROUND(AQ842+AR842,0)</f>
        <v>4.4092196807825598E+23</v>
      </c>
      <c r="AQ842" s="5">
        <f>AM842*$AR$3</f>
        <v>1.191680994806096E+23</v>
      </c>
      <c r="AR842" s="5">
        <f>AM842*AL842*$AR$4</f>
        <v>3.2175386859764596E+23</v>
      </c>
      <c r="AS842" s="5">
        <f>SUM($AP$9:AP841)</f>
        <v>1.053161389318456E+25</v>
      </c>
    </row>
    <row r="843" spans="1:45" x14ac:dyDescent="0.15">
      <c r="A843" s="5">
        <v>835</v>
      </c>
      <c r="J843" s="5">
        <f t="shared" si="104"/>
        <v>835</v>
      </c>
      <c r="K843" s="5">
        <f>SUM($AP$9:AP842)</f>
        <v>1.0972535861262817E+25</v>
      </c>
      <c r="L843" s="5">
        <f>LOOKUP(K843,AI:AI,AE:AE)</f>
        <v>979</v>
      </c>
      <c r="M843" s="5">
        <f>LOOKUP(L843,AE:AE,AG:AG)</f>
        <v>5.4338354312874398E+23</v>
      </c>
      <c r="N843" s="5">
        <f>AM843/M843/$K$1</f>
        <v>1.0965376205033051</v>
      </c>
      <c r="O843" s="5">
        <f>SUM($N$9:N843)</f>
        <v>2435.814793395456</v>
      </c>
      <c r="AE843" s="5">
        <f t="shared" si="105"/>
        <v>835</v>
      </c>
      <c r="AF843" s="5">
        <f t="shared" si="106"/>
        <v>4.1383449114544099E+20</v>
      </c>
      <c r="AG843" s="5">
        <f t="shared" si="107"/>
        <v>4.1186150191471198E+20</v>
      </c>
      <c r="AH843" s="5">
        <f>AG843*$AF$1</f>
        <v>4.1186150191471201E+21</v>
      </c>
      <c r="AI843" s="5">
        <f>SUM($AF$9:AF842)</f>
        <v>8.0695259536822517E+21</v>
      </c>
      <c r="AK843" s="5">
        <f t="shared" si="108"/>
        <v>835</v>
      </c>
      <c r="AL843" s="5">
        <f t="shared" si="109"/>
        <v>120</v>
      </c>
      <c r="AM843" s="5">
        <f t="shared" si="110"/>
        <v>8.9376074610457199E+23</v>
      </c>
      <c r="AN843" s="5">
        <f>$AL$4*$AL$3^AL843*$AL$2</f>
        <v>8.9376074610457199E+23</v>
      </c>
      <c r="AO843" s="5">
        <f>IF(AL843=AL844,1,LOOKUP(MOD(AL843,$AL$1),$AN$1:$AN$5,$AO$1:$AO$5))</f>
        <v>1</v>
      </c>
      <c r="AP843" s="5">
        <f t="shared" si="111"/>
        <v>4.4092196807825598E+23</v>
      </c>
      <c r="AQ843" s="5">
        <f>AM843*$AR$3</f>
        <v>1.191680994806096E+23</v>
      </c>
      <c r="AR843" s="5">
        <f>AM843*AL843*$AR$4</f>
        <v>3.2175386859764596E+23</v>
      </c>
      <c r="AS843" s="5">
        <f>SUM($AP$9:AP842)</f>
        <v>1.0972535861262817E+25</v>
      </c>
    </row>
    <row r="844" spans="1:45" x14ac:dyDescent="0.15">
      <c r="A844" s="5">
        <v>836</v>
      </c>
      <c r="J844" s="5">
        <f t="shared" si="104"/>
        <v>836</v>
      </c>
      <c r="K844" s="5">
        <f>SUM($AP$9:AP843)</f>
        <v>1.1413457829341074E+25</v>
      </c>
      <c r="L844" s="5">
        <f>LOOKUP(K844,AI:AI,AE:AE)</f>
        <v>980</v>
      </c>
      <c r="M844" s="5">
        <f>LOOKUP(L844,AE:AE,AG:AG)</f>
        <v>5.71135511623573E+23</v>
      </c>
      <c r="N844" s="5">
        <f>AM844/M844/$K$1</f>
        <v>1.0432559091085858</v>
      </c>
      <c r="O844" s="5">
        <f>SUM($N$9:N844)</f>
        <v>2436.8580493045647</v>
      </c>
      <c r="AE844" s="5">
        <f t="shared" si="105"/>
        <v>836</v>
      </c>
      <c r="AF844" s="5">
        <f t="shared" si="106"/>
        <v>4.3504412537577898E+20</v>
      </c>
      <c r="AG844" s="5">
        <f t="shared" si="107"/>
        <v>4.3297248668351398E+20</v>
      </c>
      <c r="AH844" s="5">
        <f>AG844*$AF$1</f>
        <v>4.3297248668351401E+21</v>
      </c>
      <c r="AI844" s="5">
        <f>SUM($AF$9:AF843)</f>
        <v>8.483360444827693E+21</v>
      </c>
      <c r="AK844" s="5">
        <f t="shared" si="108"/>
        <v>836</v>
      </c>
      <c r="AL844" s="5">
        <f t="shared" si="109"/>
        <v>120</v>
      </c>
      <c r="AM844" s="5">
        <f t="shared" si="110"/>
        <v>8.9376074610457199E+23</v>
      </c>
      <c r="AN844" s="5">
        <f>$AL$4*$AL$3^AL844*$AL$2</f>
        <v>8.9376074610457199E+23</v>
      </c>
      <c r="AO844" s="5">
        <f>IF(AL844=AL845,1,LOOKUP(MOD(AL844,$AL$1),$AN$1:$AN$5,$AO$1:$AO$5))</f>
        <v>1</v>
      </c>
      <c r="AP844" s="5">
        <f t="shared" si="111"/>
        <v>4.4092196807825598E+23</v>
      </c>
      <c r="AQ844" s="5">
        <f>AM844*$AR$3</f>
        <v>1.191680994806096E+23</v>
      </c>
      <c r="AR844" s="5">
        <f>AM844*AL844*$AR$4</f>
        <v>3.2175386859764596E+23</v>
      </c>
      <c r="AS844" s="5">
        <f>SUM($AP$9:AP843)</f>
        <v>1.1413457829341074E+25</v>
      </c>
    </row>
    <row r="845" spans="1:45" x14ac:dyDescent="0.15">
      <c r="A845" s="5">
        <v>837</v>
      </c>
      <c r="J845" s="5">
        <f t="shared" si="104"/>
        <v>837</v>
      </c>
      <c r="K845" s="5">
        <f>SUM($AP$9:AP844)</f>
        <v>1.1854379797419331E+25</v>
      </c>
      <c r="L845" s="5">
        <f>LOOKUP(K845,AI:AI,AE:AE)</f>
        <v>981</v>
      </c>
      <c r="M845" s="5">
        <f>LOOKUP(L845,AE:AE,AG:AG)</f>
        <v>6.0030421811006198E+23</v>
      </c>
      <c r="N845" s="5">
        <f>AM845/M845/$K$1</f>
        <v>0.99256423564527474</v>
      </c>
      <c r="O845" s="5">
        <f>SUM($N$9:N845)</f>
        <v>2437.8506135402099</v>
      </c>
      <c r="AE845" s="5">
        <f t="shared" si="105"/>
        <v>837</v>
      </c>
      <c r="AF845" s="5">
        <f t="shared" si="106"/>
        <v>4.57340136801288E+20</v>
      </c>
      <c r="AG845" s="5">
        <f t="shared" si="107"/>
        <v>4.5516491617440897E+20</v>
      </c>
      <c r="AH845" s="5">
        <f>AG845*$AF$1</f>
        <v>4.5516491617440896E+21</v>
      </c>
      <c r="AI845" s="5">
        <f>SUM($AF$9:AF844)</f>
        <v>8.918404570203472E+21</v>
      </c>
      <c r="AK845" s="5">
        <f t="shared" si="108"/>
        <v>837</v>
      </c>
      <c r="AL845" s="5">
        <f t="shared" si="109"/>
        <v>120</v>
      </c>
      <c r="AM845" s="5">
        <f t="shared" si="110"/>
        <v>8.9376074610457199E+23</v>
      </c>
      <c r="AN845" s="5">
        <f>$AL$4*$AL$3^AL845*$AL$2</f>
        <v>8.9376074610457199E+23</v>
      </c>
      <c r="AO845" s="5">
        <f>IF(AL845=AL846,1,LOOKUP(MOD(AL845,$AL$1),$AN$1:$AN$5,$AO$1:$AO$5))</f>
        <v>1</v>
      </c>
      <c r="AP845" s="5">
        <f t="shared" si="111"/>
        <v>4.4092196807825598E+23</v>
      </c>
      <c r="AQ845" s="5">
        <f>AM845*$AR$3</f>
        <v>1.191680994806096E+23</v>
      </c>
      <c r="AR845" s="5">
        <f>AM845*AL845*$AR$4</f>
        <v>3.2175386859764596E+23</v>
      </c>
      <c r="AS845" s="5">
        <f>SUM($AP$9:AP844)</f>
        <v>1.1854379797419331E+25</v>
      </c>
    </row>
    <row r="846" spans="1:45" x14ac:dyDescent="0.15">
      <c r="A846" s="5">
        <v>838</v>
      </c>
      <c r="J846" s="5">
        <f t="shared" si="104"/>
        <v>838</v>
      </c>
      <c r="K846" s="5">
        <f>SUM($AP$9:AP845)</f>
        <v>1.2295301765497588E+25</v>
      </c>
      <c r="L846" s="5">
        <f>LOOKUP(K846,AI:AI,AE:AE)</f>
        <v>981</v>
      </c>
      <c r="M846" s="5">
        <f>LOOKUP(L846,AE:AE,AG:AG)</f>
        <v>6.0030421811006198E+23</v>
      </c>
      <c r="N846" s="5">
        <f>AM846/M846/$K$1</f>
        <v>0.99256423564527474</v>
      </c>
      <c r="O846" s="5">
        <f>SUM($N$9:N846)</f>
        <v>2438.8431777758551</v>
      </c>
      <c r="AE846" s="5">
        <f t="shared" si="105"/>
        <v>838</v>
      </c>
      <c r="AF846" s="5">
        <f t="shared" si="106"/>
        <v>4.80778139055908E+20</v>
      </c>
      <c r="AG846" s="5">
        <f t="shared" si="107"/>
        <v>4.7849415739768498E+20</v>
      </c>
      <c r="AH846" s="5">
        <f>AG846*$AF$1</f>
        <v>4.7849415739768496E+21</v>
      </c>
      <c r="AI846" s="5">
        <f>SUM($AF$9:AF845)</f>
        <v>9.3757447070047598E+21</v>
      </c>
      <c r="AK846" s="5">
        <f t="shared" si="108"/>
        <v>838</v>
      </c>
      <c r="AL846" s="5">
        <f t="shared" si="109"/>
        <v>120</v>
      </c>
      <c r="AM846" s="5">
        <f t="shared" si="110"/>
        <v>8.9376074610457199E+23</v>
      </c>
      <c r="AN846" s="5">
        <f>$AL$4*$AL$3^AL846*$AL$2</f>
        <v>8.9376074610457199E+23</v>
      </c>
      <c r="AO846" s="5">
        <f>IF(AL846=AL847,1,LOOKUP(MOD(AL846,$AL$1),$AN$1:$AN$5,$AO$1:$AO$5))</f>
        <v>1</v>
      </c>
      <c r="AP846" s="5">
        <f t="shared" si="111"/>
        <v>4.4092196807825598E+23</v>
      </c>
      <c r="AQ846" s="5">
        <f>AM846*$AR$3</f>
        <v>1.191680994806096E+23</v>
      </c>
      <c r="AR846" s="5">
        <f>AM846*AL846*$AR$4</f>
        <v>3.2175386859764596E+23</v>
      </c>
      <c r="AS846" s="5">
        <f>SUM($AP$9:AP845)</f>
        <v>1.2295301765497588E+25</v>
      </c>
    </row>
    <row r="847" spans="1:45" x14ac:dyDescent="0.15">
      <c r="A847" s="5">
        <v>839</v>
      </c>
      <c r="J847" s="5">
        <f t="shared" si="104"/>
        <v>839</v>
      </c>
      <c r="K847" s="5">
        <f>SUM($AP$9:AP846)</f>
        <v>1.2736223733575845E+25</v>
      </c>
      <c r="L847" s="5">
        <f>LOOKUP(K847,AI:AI,AE:AE)</f>
        <v>982</v>
      </c>
      <c r="M847" s="5">
        <f>LOOKUP(L847,AE:AE,AG:AG)</f>
        <v>6.3096195646614204E+23</v>
      </c>
      <c r="N847" s="5">
        <f>AM847/M847/$K$1</f>
        <v>0.94433664549317609</v>
      </c>
      <c r="O847" s="5">
        <f>SUM($N$9:N847)</f>
        <v>2439.7875144213481</v>
      </c>
      <c r="AE847" s="5">
        <f t="shared" si="105"/>
        <v>839</v>
      </c>
      <c r="AF847" s="5">
        <f t="shared" si="106"/>
        <v>5.0541659119398702E+20</v>
      </c>
      <c r="AG847" s="5">
        <f t="shared" si="107"/>
        <v>5.03018410452853E+20</v>
      </c>
      <c r="AH847" s="5">
        <f>AG847*$AF$1</f>
        <v>5.0301841045285304E+21</v>
      </c>
      <c r="AI847" s="5">
        <f>SUM($AF$9:AF846)</f>
        <v>9.8565228460606688E+21</v>
      </c>
      <c r="AK847" s="5">
        <f t="shared" si="108"/>
        <v>839</v>
      </c>
      <c r="AL847" s="5">
        <f t="shared" si="109"/>
        <v>120</v>
      </c>
      <c r="AM847" s="5">
        <f t="shared" si="110"/>
        <v>8.9376074610457199E+23</v>
      </c>
      <c r="AN847" s="5">
        <f>$AL$4*$AL$3^AL847*$AL$2</f>
        <v>8.9376074610457199E+23</v>
      </c>
      <c r="AO847" s="5">
        <f>IF(AL847=AL848,1,LOOKUP(MOD(AL847,$AL$1),$AN$1:$AN$5,$AO$1:$AO$5))</f>
        <v>1</v>
      </c>
      <c r="AP847" s="5">
        <f t="shared" si="111"/>
        <v>4.4092196807825598E+23</v>
      </c>
      <c r="AQ847" s="5">
        <f>AM847*$AR$3</f>
        <v>1.191680994806096E+23</v>
      </c>
      <c r="AR847" s="5">
        <f>AM847*AL847*$AR$4</f>
        <v>3.2175386859764596E+23</v>
      </c>
      <c r="AS847" s="5">
        <f>SUM($AP$9:AP846)</f>
        <v>1.2736223733575845E+25</v>
      </c>
    </row>
    <row r="848" spans="1:45" x14ac:dyDescent="0.15">
      <c r="A848" s="5">
        <v>840</v>
      </c>
      <c r="J848" s="5">
        <f t="shared" si="104"/>
        <v>840</v>
      </c>
      <c r="K848" s="5">
        <f>SUM($AP$9:AP847)</f>
        <v>1.3177145701654102E+25</v>
      </c>
      <c r="L848" s="5">
        <f>LOOKUP(K848,AI:AI,AE:AE)</f>
        <v>983</v>
      </c>
      <c r="M848" s="5">
        <f>LOOKUP(L848,AE:AE,AG:AG)</f>
        <v>6.6318470811255396E+23</v>
      </c>
      <c r="N848" s="5">
        <f>AM848/M848/$K$1</f>
        <v>1.79690662379363</v>
      </c>
      <c r="O848" s="5">
        <f>SUM($N$9:N848)</f>
        <v>2441.5844210451419</v>
      </c>
      <c r="AE848" s="5">
        <f t="shared" si="105"/>
        <v>840</v>
      </c>
      <c r="AF848" s="5">
        <f t="shared" si="106"/>
        <v>5.3131694319823402E+20</v>
      </c>
      <c r="AG848" s="5">
        <f t="shared" si="107"/>
        <v>5.2879885342004301E+20</v>
      </c>
      <c r="AH848" s="5">
        <f>AG848*$AF$1</f>
        <v>5.28798853420043E+21</v>
      </c>
      <c r="AI848" s="5">
        <f>SUM($AF$9:AF847)</f>
        <v>1.0361939437254655E+22</v>
      </c>
      <c r="AK848" s="5">
        <f t="shared" si="108"/>
        <v>840</v>
      </c>
      <c r="AL848" s="5">
        <f t="shared" si="109"/>
        <v>120</v>
      </c>
      <c r="AM848" s="5">
        <f t="shared" si="110"/>
        <v>1.78752149220914E+24</v>
      </c>
      <c r="AN848" s="5">
        <f>$AL$4*$AL$3^AL848*$AL$2</f>
        <v>8.9376074610457199E+23</v>
      </c>
      <c r="AO848" s="5">
        <f>IF(AL848=AL849,1,LOOKUP(MOD(AL848,$AL$1),$AN$1:$AN$5,$AO$1:$AO$5))</f>
        <v>2</v>
      </c>
      <c r="AP848" s="5">
        <f t="shared" si="111"/>
        <v>8.81843936156509E+23</v>
      </c>
      <c r="AQ848" s="5">
        <f>AM848*$AR$3</f>
        <v>2.3833619896121865E+23</v>
      </c>
      <c r="AR848" s="5">
        <f>AM848*AL848*$AR$4</f>
        <v>6.4350773719529031E+23</v>
      </c>
      <c r="AS848" s="5">
        <f>SUM($AP$9:AP847)</f>
        <v>1.3177145701654102E+25</v>
      </c>
    </row>
    <row r="849" spans="1:45" x14ac:dyDescent="0.15">
      <c r="A849" s="5">
        <v>841</v>
      </c>
      <c r="J849" s="5">
        <f t="shared" si="104"/>
        <v>841</v>
      </c>
      <c r="K849" s="5">
        <f>SUM($AP$9:AP848)</f>
        <v>1.4058989637810611E+25</v>
      </c>
      <c r="L849" s="5">
        <f>LOOKUP(K849,AI:AI,AE:AE)</f>
        <v>984</v>
      </c>
      <c r="M849" s="5">
        <f>LOOKUP(L849,AE:AE,AG:AG)</f>
        <v>6.9705233003244294E+23</v>
      </c>
      <c r="N849" s="5">
        <f>AM849/M849/$K$1</f>
        <v>1.3420363731934544</v>
      </c>
      <c r="O849" s="5">
        <f>SUM($N$9:N849)</f>
        <v>2442.9264574183353</v>
      </c>
      <c r="AE849" s="5">
        <f t="shared" si="105"/>
        <v>841</v>
      </c>
      <c r="AF849" s="5">
        <f t="shared" si="106"/>
        <v>5.5854378892492E+20</v>
      </c>
      <c r="AG849" s="5">
        <f t="shared" si="107"/>
        <v>5.5589979465782002E+20</v>
      </c>
      <c r="AH849" s="5">
        <f>AG849*$AF$1</f>
        <v>5.5589979465781996E+21</v>
      </c>
      <c r="AI849" s="5">
        <f>SUM($AF$9:AF848)</f>
        <v>1.0893256380452889E+22</v>
      </c>
      <c r="AK849" s="5">
        <f t="shared" si="108"/>
        <v>841</v>
      </c>
      <c r="AL849" s="5">
        <f t="shared" si="109"/>
        <v>121</v>
      </c>
      <c r="AM849" s="5">
        <f t="shared" si="110"/>
        <v>1.4032043713841799E+24</v>
      </c>
      <c r="AN849" s="5">
        <f>$AL$4*$AL$3^AL849*$AL$2</f>
        <v>1.4032043713841783E+24</v>
      </c>
      <c r="AO849" s="5">
        <f>IF(AL849=AL850,1,LOOKUP(MOD(AL849,$AL$1),$AN$1:$AN$5,$AO$1:$AO$5))</f>
        <v>1</v>
      </c>
      <c r="AP849" s="5">
        <f t="shared" si="111"/>
        <v>6.9645710299701499E+23</v>
      </c>
      <c r="AQ849" s="5">
        <f>AM849*$AR$3</f>
        <v>1.8709391618455732E+23</v>
      </c>
      <c r="AR849" s="5">
        <f>AM849*AL849*$AR$4</f>
        <v>5.0936318681245737E+23</v>
      </c>
      <c r="AS849" s="5">
        <f>SUM($AP$9:AP848)</f>
        <v>1.4058989637810611E+25</v>
      </c>
    </row>
    <row r="850" spans="1:45" x14ac:dyDescent="0.15">
      <c r="A850" s="5">
        <v>842</v>
      </c>
      <c r="J850" s="5">
        <f t="shared" si="104"/>
        <v>842</v>
      </c>
      <c r="K850" s="5">
        <f>SUM($AP$9:AP849)</f>
        <v>1.4755446740807626E+25</v>
      </c>
      <c r="L850" s="5">
        <f>LOOKUP(K850,AI:AI,AE:AE)</f>
        <v>985</v>
      </c>
      <c r="M850" s="5">
        <f>LOOKUP(L850,AE:AE,AG:AG)</f>
        <v>0</v>
      </c>
      <c r="N850" s="5" t="e">
        <f>AM850/M850/$K$1</f>
        <v>#DIV/0!</v>
      </c>
      <c r="O850" s="5" t="e">
        <f>SUM($N$9:N850)</f>
        <v>#DIV/0!</v>
      </c>
      <c r="AE850" s="5">
        <f t="shared" si="105"/>
        <v>842</v>
      </c>
      <c r="AF850" s="5">
        <f t="shared" si="106"/>
        <v>5.8716502686628001E+20</v>
      </c>
      <c r="AG850" s="5">
        <f t="shared" si="107"/>
        <v>5.8438883288582501E+20</v>
      </c>
      <c r="AH850" s="5">
        <f>AG850*$AF$1</f>
        <v>5.8438883288582497E+21</v>
      </c>
      <c r="AI850" s="5">
        <f>SUM($AF$9:AF849)</f>
        <v>1.1451800169377809E+22</v>
      </c>
      <c r="AK850" s="5">
        <f t="shared" si="108"/>
        <v>842</v>
      </c>
      <c r="AL850" s="5">
        <f t="shared" si="109"/>
        <v>121</v>
      </c>
      <c r="AM850" s="5">
        <f t="shared" si="110"/>
        <v>1.4032043713841799E+24</v>
      </c>
      <c r="AN850" s="5">
        <f>$AL$4*$AL$3^AL850*$AL$2</f>
        <v>1.4032043713841783E+24</v>
      </c>
      <c r="AO850" s="5">
        <f>IF(AL850=AL851,1,LOOKUP(MOD(AL850,$AL$1),$AN$1:$AN$5,$AO$1:$AO$5))</f>
        <v>1</v>
      </c>
      <c r="AP850" s="5">
        <f t="shared" si="111"/>
        <v>6.9645710299701499E+23</v>
      </c>
      <c r="AQ850" s="5">
        <f>AM850*$AR$3</f>
        <v>1.8709391618455732E+23</v>
      </c>
      <c r="AR850" s="5">
        <f>AM850*AL850*$AR$4</f>
        <v>5.0936318681245737E+23</v>
      </c>
      <c r="AS850" s="5">
        <f>SUM($AP$9:AP849)</f>
        <v>1.4755446740807626E+25</v>
      </c>
    </row>
    <row r="851" spans="1:45" x14ac:dyDescent="0.15">
      <c r="A851" s="5">
        <v>843</v>
      </c>
      <c r="J851" s="5">
        <f t="shared" si="104"/>
        <v>843</v>
      </c>
      <c r="K851" s="5">
        <f>SUM($AP$9:AP850)</f>
        <v>1.5451903843804642E+25</v>
      </c>
      <c r="L851" s="5">
        <f>LOOKUP(K851,AI:AI,AE:AE)</f>
        <v>986</v>
      </c>
      <c r="M851" s="5">
        <f>LOOKUP(L851,AE:AE,AG:AG)</f>
        <v>0</v>
      </c>
      <c r="N851" s="5" t="e">
        <f>AM851/M851/$K$1</f>
        <v>#DIV/0!</v>
      </c>
      <c r="O851" s="5" t="e">
        <f>SUM($N$9:N851)</f>
        <v>#DIV/0!</v>
      </c>
      <c r="AE851" s="5">
        <f t="shared" si="105"/>
        <v>843</v>
      </c>
      <c r="AF851" s="5">
        <f t="shared" si="106"/>
        <v>6.1725202912946396E+20</v>
      </c>
      <c r="AG851" s="5">
        <f t="shared" si="107"/>
        <v>6.1433702544998597E+20</v>
      </c>
      <c r="AH851" s="5">
        <f>AG851*$AF$1</f>
        <v>6.1433702544998599E+21</v>
      </c>
      <c r="AI851" s="5">
        <f>SUM($AF$9:AF850)</f>
        <v>1.2038965196244088E+22</v>
      </c>
      <c r="AK851" s="5">
        <f t="shared" si="108"/>
        <v>843</v>
      </c>
      <c r="AL851" s="5">
        <f t="shared" si="109"/>
        <v>121</v>
      </c>
      <c r="AM851" s="5">
        <f t="shared" si="110"/>
        <v>1.4032043713841799E+24</v>
      </c>
      <c r="AN851" s="5">
        <f>$AL$4*$AL$3^AL851*$AL$2</f>
        <v>1.4032043713841783E+24</v>
      </c>
      <c r="AO851" s="5">
        <f>IF(AL851=AL852,1,LOOKUP(MOD(AL851,$AL$1),$AN$1:$AN$5,$AO$1:$AO$5))</f>
        <v>1</v>
      </c>
      <c r="AP851" s="5">
        <f t="shared" si="111"/>
        <v>6.9645710299701499E+23</v>
      </c>
      <c r="AQ851" s="5">
        <f>AM851*$AR$3</f>
        <v>1.8709391618455732E+23</v>
      </c>
      <c r="AR851" s="5">
        <f>AM851*AL851*$AR$4</f>
        <v>5.0936318681245737E+23</v>
      </c>
      <c r="AS851" s="5">
        <f>SUM($AP$9:AP850)</f>
        <v>1.5451903843804642E+25</v>
      </c>
    </row>
    <row r="852" spans="1:45" x14ac:dyDescent="0.15">
      <c r="A852" s="5">
        <v>844</v>
      </c>
      <c r="J852" s="5">
        <f t="shared" si="104"/>
        <v>844</v>
      </c>
      <c r="K852" s="5">
        <f>SUM($AP$9:AP851)</f>
        <v>1.6148360946801658E+25</v>
      </c>
      <c r="L852" s="5">
        <f>LOOKUP(K852,AI:AI,AE:AE)</f>
        <v>987</v>
      </c>
      <c r="M852" s="5">
        <f>LOOKUP(L852,AE:AE,AG:AG)</f>
        <v>0</v>
      </c>
      <c r="N852" s="5" t="e">
        <f>AM852/M852/$K$1</f>
        <v>#DIV/0!</v>
      </c>
      <c r="O852" s="5" t="e">
        <f>SUM($N$9:N852)</f>
        <v>#DIV/0!</v>
      </c>
      <c r="AE852" s="5">
        <f t="shared" si="105"/>
        <v>844</v>
      </c>
      <c r="AF852" s="5">
        <f t="shared" si="106"/>
        <v>6.4887981905179994E+20</v>
      </c>
      <c r="AG852" s="5">
        <f t="shared" si="107"/>
        <v>6.4581906518834794E+20</v>
      </c>
      <c r="AH852" s="5">
        <f>AG852*$AF$1</f>
        <v>6.4581906518834791E+21</v>
      </c>
      <c r="AI852" s="5">
        <f>SUM($AF$9:AF851)</f>
        <v>1.2656217225373552E+22</v>
      </c>
      <c r="AK852" s="5">
        <f t="shared" si="108"/>
        <v>844</v>
      </c>
      <c r="AL852" s="5">
        <f t="shared" si="109"/>
        <v>121</v>
      </c>
      <c r="AM852" s="5">
        <f t="shared" si="110"/>
        <v>1.4032043713841799E+24</v>
      </c>
      <c r="AN852" s="5">
        <f>$AL$4*$AL$3^AL852*$AL$2</f>
        <v>1.4032043713841783E+24</v>
      </c>
      <c r="AO852" s="5">
        <f>IF(AL852=AL853,1,LOOKUP(MOD(AL852,$AL$1),$AN$1:$AN$5,$AO$1:$AO$5))</f>
        <v>1</v>
      </c>
      <c r="AP852" s="5">
        <f t="shared" si="111"/>
        <v>6.9645710299701499E+23</v>
      </c>
      <c r="AQ852" s="5">
        <f>AM852*$AR$3</f>
        <v>1.8709391618455732E+23</v>
      </c>
      <c r="AR852" s="5">
        <f>AM852*AL852*$AR$4</f>
        <v>5.0936318681245737E+23</v>
      </c>
      <c r="AS852" s="5">
        <f>SUM($AP$9:AP851)</f>
        <v>1.6148360946801658E+25</v>
      </c>
    </row>
    <row r="853" spans="1:45" x14ac:dyDescent="0.15">
      <c r="A853" s="5">
        <v>845</v>
      </c>
      <c r="J853" s="5">
        <f t="shared" si="104"/>
        <v>845</v>
      </c>
      <c r="K853" s="5">
        <f>SUM($AP$9:AP852)</f>
        <v>1.6844818049798673E+25</v>
      </c>
      <c r="L853" s="5">
        <f>LOOKUP(K853,AI:AI,AE:AE)</f>
        <v>988</v>
      </c>
      <c r="M853" s="5">
        <f>LOOKUP(L853,AE:AE,AG:AG)</f>
        <v>0</v>
      </c>
      <c r="N853" s="5" t="e">
        <f>AM853/M853/$K$1</f>
        <v>#DIV/0!</v>
      </c>
      <c r="O853" s="5" t="e">
        <f>SUM($N$9:N853)</f>
        <v>#DIV/0!</v>
      </c>
      <c r="AE853" s="5">
        <f t="shared" si="105"/>
        <v>845</v>
      </c>
      <c r="AF853" s="5">
        <f t="shared" si="106"/>
        <v>6.8212725789354597E+20</v>
      </c>
      <c r="AG853" s="5">
        <f t="shared" si="107"/>
        <v>6.7891346633692204E+20</v>
      </c>
      <c r="AH853" s="5">
        <f>AG853*$AF$1</f>
        <v>6.7891346633692209E+21</v>
      </c>
      <c r="AI853" s="5">
        <f>SUM($AF$9:AF852)</f>
        <v>1.3305097044425351E+22</v>
      </c>
      <c r="AK853" s="5">
        <f t="shared" si="108"/>
        <v>845</v>
      </c>
      <c r="AL853" s="5">
        <f t="shared" si="109"/>
        <v>121</v>
      </c>
      <c r="AM853" s="5">
        <f t="shared" si="110"/>
        <v>1.4032043713841799E+24</v>
      </c>
      <c r="AN853" s="5">
        <f>$AL$4*$AL$3^AL853*$AL$2</f>
        <v>1.4032043713841783E+24</v>
      </c>
      <c r="AO853" s="5">
        <f>IF(AL853=AL854,1,LOOKUP(MOD(AL853,$AL$1),$AN$1:$AN$5,$AO$1:$AO$5))</f>
        <v>1</v>
      </c>
      <c r="AP853" s="5">
        <f t="shared" si="111"/>
        <v>6.9645710299701499E+23</v>
      </c>
      <c r="AQ853" s="5">
        <f>AM853*$AR$3</f>
        <v>1.8709391618455732E+23</v>
      </c>
      <c r="AR853" s="5">
        <f>AM853*AL853*$AR$4</f>
        <v>5.0936318681245737E+23</v>
      </c>
      <c r="AS853" s="5">
        <f>SUM($AP$9:AP852)</f>
        <v>1.6844818049798673E+25</v>
      </c>
    </row>
    <row r="854" spans="1:45" x14ac:dyDescent="0.15">
      <c r="A854" s="5">
        <v>846</v>
      </c>
      <c r="J854" s="5">
        <f t="shared" si="104"/>
        <v>846</v>
      </c>
      <c r="K854" s="5">
        <f>SUM($AP$9:AP853)</f>
        <v>1.7541275152795689E+25</v>
      </c>
      <c r="L854" s="5">
        <f>LOOKUP(K854,AI:AI,AE:AE)</f>
        <v>988</v>
      </c>
      <c r="M854" s="5">
        <f>LOOKUP(L854,AE:AE,AG:AG)</f>
        <v>0</v>
      </c>
      <c r="N854" s="5" t="e">
        <f>AM854/M854/$K$1</f>
        <v>#DIV/0!</v>
      </c>
      <c r="O854" s="5" t="e">
        <f>SUM($N$9:N854)</f>
        <v>#DIV/0!</v>
      </c>
      <c r="AE854" s="5">
        <f t="shared" si="105"/>
        <v>846</v>
      </c>
      <c r="AF854" s="5">
        <f t="shared" si="106"/>
        <v>7.1707724107183699E+20</v>
      </c>
      <c r="AG854" s="5">
        <f t="shared" si="107"/>
        <v>7.1370275993738202E+20</v>
      </c>
      <c r="AH854" s="5">
        <f>AG854*$AF$1</f>
        <v>7.1370275993738208E+21</v>
      </c>
      <c r="AI854" s="5">
        <f>SUM($AF$9:AF853)</f>
        <v>1.3987224302318898E+22</v>
      </c>
      <c r="AK854" s="5">
        <f t="shared" si="108"/>
        <v>846</v>
      </c>
      <c r="AL854" s="5">
        <f t="shared" si="109"/>
        <v>121</v>
      </c>
      <c r="AM854" s="5">
        <f t="shared" si="110"/>
        <v>1.4032043713841799E+24</v>
      </c>
      <c r="AN854" s="5">
        <f>$AL$4*$AL$3^AL854*$AL$2</f>
        <v>1.4032043713841783E+24</v>
      </c>
      <c r="AO854" s="5">
        <f>IF(AL854=AL855,1,LOOKUP(MOD(AL854,$AL$1),$AN$1:$AN$5,$AO$1:$AO$5))</f>
        <v>1</v>
      </c>
      <c r="AP854" s="5">
        <f t="shared" si="111"/>
        <v>6.9645710299701499E+23</v>
      </c>
      <c r="AQ854" s="5">
        <f>AM854*$AR$3</f>
        <v>1.8709391618455732E+23</v>
      </c>
      <c r="AR854" s="5">
        <f>AM854*AL854*$AR$4</f>
        <v>5.0936318681245737E+23</v>
      </c>
      <c r="AS854" s="5">
        <f>SUM($AP$9:AP853)</f>
        <v>1.7541275152795689E+25</v>
      </c>
    </row>
    <row r="855" spans="1:45" x14ac:dyDescent="0.15">
      <c r="A855" s="5">
        <v>847</v>
      </c>
      <c r="J855" s="5">
        <f t="shared" si="104"/>
        <v>847</v>
      </c>
      <c r="K855" s="5">
        <f>SUM($AP$9:AP854)</f>
        <v>1.8237732255792704E+25</v>
      </c>
      <c r="L855" s="5">
        <f>LOOKUP(K855,AI:AI,AE:AE)</f>
        <v>989</v>
      </c>
      <c r="M855" s="5">
        <f>LOOKUP(L855,AE:AE,AG:AG)</f>
        <v>0</v>
      </c>
      <c r="N855" s="5" t="e">
        <f>AM855/M855/$K$1</f>
        <v>#DIV/0!</v>
      </c>
      <c r="O855" s="5" t="e">
        <f>SUM($N$9:N855)</f>
        <v>#DIV/0!</v>
      </c>
      <c r="AE855" s="5">
        <f t="shared" si="105"/>
        <v>847</v>
      </c>
      <c r="AF855" s="5">
        <f t="shared" si="106"/>
        <v>7.5381690442322398E+20</v>
      </c>
      <c r="AG855" s="5">
        <f t="shared" si="107"/>
        <v>7.5027369923204599E+20</v>
      </c>
      <c r="AH855" s="5">
        <f>AG855*$AF$1</f>
        <v>7.5027369923204602E+21</v>
      </c>
      <c r="AI855" s="5">
        <f>SUM($AF$9:AF854)</f>
        <v>1.4704301543390735E+22</v>
      </c>
      <c r="AK855" s="5">
        <f t="shared" si="108"/>
        <v>847</v>
      </c>
      <c r="AL855" s="5">
        <f t="shared" si="109"/>
        <v>121</v>
      </c>
      <c r="AM855" s="5">
        <f t="shared" si="110"/>
        <v>5.6128174855367099E+24</v>
      </c>
      <c r="AN855" s="5">
        <f>$AL$4*$AL$3^AL855*$AL$2</f>
        <v>1.4032043713841783E+24</v>
      </c>
      <c r="AO855" s="5">
        <f>IF(AL855=AL856,1,LOOKUP(MOD(AL855,$AL$1),$AN$1:$AN$5,$AO$1:$AO$5))</f>
        <v>4</v>
      </c>
      <c r="AP855" s="5">
        <f t="shared" si="111"/>
        <v>2.7858284119880498E+24</v>
      </c>
      <c r="AQ855" s="5">
        <f>AM855*$AR$3</f>
        <v>7.4837566473822794E+23</v>
      </c>
      <c r="AR855" s="5">
        <f>AM855*AL855*$AR$4</f>
        <v>2.0374527472498257E+24</v>
      </c>
      <c r="AS855" s="5">
        <f>SUM($AP$9:AP854)</f>
        <v>1.8237732255792704E+25</v>
      </c>
    </row>
    <row r="856" spans="1:45" x14ac:dyDescent="0.15">
      <c r="A856" s="5">
        <v>848</v>
      </c>
      <c r="J856" s="5">
        <f t="shared" si="104"/>
        <v>848</v>
      </c>
      <c r="K856" s="5">
        <f>SUM($AP$9:AP855)</f>
        <v>2.1023560667780753E+25</v>
      </c>
      <c r="L856" s="5">
        <f>LOOKUP(K856,AI:AI,AE:AE)</f>
        <v>992</v>
      </c>
      <c r="M856" s="5">
        <f>LOOKUP(L856,AE:AE,AG:AG)</f>
        <v>0</v>
      </c>
      <c r="N856" s="5" t="e">
        <f>AM856/M856/$K$1</f>
        <v>#DIV/0!</v>
      </c>
      <c r="O856" s="5" t="e">
        <f>SUM($N$9:N856)</f>
        <v>#DIV/0!</v>
      </c>
      <c r="AE856" s="5">
        <f t="shared" si="105"/>
        <v>848</v>
      </c>
      <c r="AF856" s="5">
        <f t="shared" si="106"/>
        <v>7.9243784100707002E+20</v>
      </c>
      <c r="AG856" s="5">
        <f t="shared" si="107"/>
        <v>7.8871747555633201E+20</v>
      </c>
      <c r="AH856" s="5">
        <f>AG856*$AF$1</f>
        <v>7.8871747555633199E+21</v>
      </c>
      <c r="AI856" s="5">
        <f>SUM($AF$9:AF855)</f>
        <v>1.5458118447813959E+22</v>
      </c>
      <c r="AK856" s="5">
        <f t="shared" si="108"/>
        <v>848</v>
      </c>
      <c r="AL856" s="5">
        <f t="shared" si="109"/>
        <v>122</v>
      </c>
      <c r="AM856" s="5">
        <f t="shared" si="110"/>
        <v>2.2030308630731599E+24</v>
      </c>
      <c r="AN856" s="5">
        <f>$AL$4*$AL$3^AL856*$AL$2</f>
        <v>2.2030308630731594E+24</v>
      </c>
      <c r="AO856" s="5">
        <f>IF(AL856=AL857,1,LOOKUP(MOD(AL856,$AL$1),$AN$1:$AN$5,$AO$1:$AO$5))</f>
        <v>1</v>
      </c>
      <c r="AP856" s="5">
        <f t="shared" si="111"/>
        <v>1.10004674429453E+24</v>
      </c>
      <c r="AQ856" s="5">
        <f>AM856*$AR$3</f>
        <v>2.9373744840975465E+23</v>
      </c>
      <c r="AR856" s="5">
        <f>AM856*AL856*$AR$4</f>
        <v>8.0630929588477655E+23</v>
      </c>
      <c r="AS856" s="5">
        <f>SUM($AP$9:AP855)</f>
        <v>2.1023560667780753E+25</v>
      </c>
    </row>
    <row r="857" spans="1:45" x14ac:dyDescent="0.15">
      <c r="A857" s="5">
        <v>849</v>
      </c>
      <c r="J857" s="5">
        <f t="shared" si="104"/>
        <v>849</v>
      </c>
      <c r="K857" s="5">
        <f>SUM($AP$9:AP856)</f>
        <v>2.2123607412075283E+25</v>
      </c>
      <c r="L857" s="5">
        <f>LOOKUP(K857,AI:AI,AE:AE)</f>
        <v>993</v>
      </c>
      <c r="M857" s="5">
        <f>LOOKUP(L857,AE:AE,AG:AG)</f>
        <v>0</v>
      </c>
      <c r="N857" s="5" t="e">
        <f>AM857/M857/$K$1</f>
        <v>#DIV/0!</v>
      </c>
      <c r="O857" s="5" t="e">
        <f>SUM($N$9:N857)</f>
        <v>#DIV/0!</v>
      </c>
      <c r="AE857" s="5">
        <f t="shared" si="105"/>
        <v>849</v>
      </c>
      <c r="AF857" s="5">
        <f t="shared" si="106"/>
        <v>8.3303632898824195E+20</v>
      </c>
      <c r="AG857" s="5">
        <f t="shared" si="107"/>
        <v>8.2912994526496699E+20</v>
      </c>
      <c r="AH857" s="5">
        <f>AG857*$AF$1</f>
        <v>8.2912994526496702E+21</v>
      </c>
      <c r="AI857" s="5">
        <f>SUM($AF$9:AF856)</f>
        <v>1.6250556288821029E+22</v>
      </c>
      <c r="AK857" s="5">
        <f t="shared" si="108"/>
        <v>849</v>
      </c>
      <c r="AL857" s="5">
        <f t="shared" si="109"/>
        <v>122</v>
      </c>
      <c r="AM857" s="5">
        <f t="shared" si="110"/>
        <v>2.2030308630731599E+24</v>
      </c>
      <c r="AN857" s="5">
        <f>$AL$4*$AL$3^AL857*$AL$2</f>
        <v>2.2030308630731594E+24</v>
      </c>
      <c r="AO857" s="5">
        <f>IF(AL857=AL858,1,LOOKUP(MOD(AL857,$AL$1),$AN$1:$AN$5,$AO$1:$AO$5))</f>
        <v>1</v>
      </c>
      <c r="AP857" s="5">
        <f t="shared" si="111"/>
        <v>1.10004674429453E+24</v>
      </c>
      <c r="AQ857" s="5">
        <f>AM857*$AR$3</f>
        <v>2.9373744840975465E+23</v>
      </c>
      <c r="AR857" s="5">
        <f>AM857*AL857*$AR$4</f>
        <v>8.0630929588477655E+23</v>
      </c>
      <c r="AS857" s="5">
        <f>SUM($AP$9:AP856)</f>
        <v>2.2123607412075283E+25</v>
      </c>
    </row>
    <row r="858" spans="1:45" x14ac:dyDescent="0.15">
      <c r="A858" s="5">
        <v>850</v>
      </c>
      <c r="J858" s="5">
        <f t="shared" si="104"/>
        <v>850</v>
      </c>
      <c r="K858" s="5">
        <f>SUM($AP$9:AP857)</f>
        <v>2.3223654156369812E+25</v>
      </c>
      <c r="L858" s="5">
        <f>LOOKUP(K858,AI:AI,AE:AE)</f>
        <v>0</v>
      </c>
      <c r="M858" s="5" t="e">
        <f>LOOKUP(L858,AE:AE,AG:AG)</f>
        <v>#N/A</v>
      </c>
      <c r="N858" s="5" t="e">
        <f>AM858/M858/$K$1</f>
        <v>#N/A</v>
      </c>
      <c r="O858" s="5" t="e">
        <f>SUM($N$9:N858)</f>
        <v>#DIV/0!</v>
      </c>
      <c r="AE858" s="5">
        <f t="shared" si="105"/>
        <v>850</v>
      </c>
      <c r="AF858" s="5">
        <f t="shared" si="106"/>
        <v>8.7571357116501302E+20</v>
      </c>
      <c r="AG858" s="5">
        <f t="shared" si="107"/>
        <v>8.7161186825557495E+20</v>
      </c>
      <c r="AH858" s="5">
        <f>AG858*$AF$1</f>
        <v>8.7161186825557498E+21</v>
      </c>
      <c r="AI858" s="5">
        <f>SUM($AF$9:AF857)</f>
        <v>1.7083592617809272E+22</v>
      </c>
      <c r="AK858" s="5">
        <f t="shared" si="108"/>
        <v>850</v>
      </c>
      <c r="AL858" s="5">
        <f t="shared" si="109"/>
        <v>122</v>
      </c>
      <c r="AM858" s="5">
        <f t="shared" si="110"/>
        <v>2.2030308630731599E+24</v>
      </c>
      <c r="AN858" s="5">
        <f>$AL$4*$AL$3^AL858*$AL$2</f>
        <v>2.2030308630731594E+24</v>
      </c>
      <c r="AO858" s="5">
        <f>IF(AL858=AL859,1,LOOKUP(MOD(AL858,$AL$1),$AN$1:$AN$5,$AO$1:$AO$5))</f>
        <v>1</v>
      </c>
      <c r="AP858" s="5">
        <f t="shared" si="111"/>
        <v>1.10004674429453E+24</v>
      </c>
      <c r="AQ858" s="5">
        <f>AM858*$AR$3</f>
        <v>2.9373744840975465E+23</v>
      </c>
      <c r="AR858" s="5">
        <f>AM858*AL858*$AR$4</f>
        <v>8.0630929588477655E+23</v>
      </c>
      <c r="AS858" s="5">
        <f>SUM($AP$9:AP857)</f>
        <v>2.3223654156369812E+25</v>
      </c>
    </row>
    <row r="859" spans="1:45" x14ac:dyDescent="0.15">
      <c r="A859" s="5">
        <v>851</v>
      </c>
      <c r="J859" s="5">
        <f t="shared" si="104"/>
        <v>851</v>
      </c>
      <c r="K859" s="5">
        <f>SUM($AP$9:AP858)</f>
        <v>2.4323700900664341E+25</v>
      </c>
      <c r="L859" s="5">
        <f>LOOKUP(K859,AI:AI,AE:AE)</f>
        <v>0</v>
      </c>
      <c r="M859" s="5" t="e">
        <f>LOOKUP(L859,AE:AE,AG:AG)</f>
        <v>#N/A</v>
      </c>
      <c r="N859" s="5" t="e">
        <f>AM859/M859/$K$1</f>
        <v>#N/A</v>
      </c>
      <c r="O859" s="5" t="e">
        <f>SUM($N$9:N859)</f>
        <v>#DIV/0!</v>
      </c>
      <c r="AE859" s="5">
        <f t="shared" si="105"/>
        <v>851</v>
      </c>
      <c r="AF859" s="5">
        <f t="shared" si="106"/>
        <v>9.2057594673699095E+20</v>
      </c>
      <c r="AG859" s="5">
        <f t="shared" si="107"/>
        <v>9.1626915868208097E+20</v>
      </c>
      <c r="AH859" s="5">
        <f>AG859*$AF$1</f>
        <v>9.1626915868208099E+21</v>
      </c>
      <c r="AI859" s="5">
        <f>SUM($AF$9:AF858)</f>
        <v>1.7959306188974285E+22</v>
      </c>
      <c r="AK859" s="5">
        <f t="shared" si="108"/>
        <v>851</v>
      </c>
      <c r="AL859" s="5">
        <f t="shared" si="109"/>
        <v>122</v>
      </c>
      <c r="AM859" s="5">
        <f t="shared" si="110"/>
        <v>2.2030308630731599E+24</v>
      </c>
      <c r="AN859" s="5">
        <f>$AL$4*$AL$3^AL859*$AL$2</f>
        <v>2.2030308630731594E+24</v>
      </c>
      <c r="AO859" s="5">
        <f>IF(AL859=AL860,1,LOOKUP(MOD(AL859,$AL$1),$AN$1:$AN$5,$AO$1:$AO$5))</f>
        <v>1</v>
      </c>
      <c r="AP859" s="5">
        <f t="shared" si="111"/>
        <v>1.10004674429453E+24</v>
      </c>
      <c r="AQ859" s="5">
        <f>AM859*$AR$3</f>
        <v>2.9373744840975465E+23</v>
      </c>
      <c r="AR859" s="5">
        <f>AM859*AL859*$AR$4</f>
        <v>8.0630929588477655E+23</v>
      </c>
      <c r="AS859" s="5">
        <f>SUM($AP$9:AP858)</f>
        <v>2.4323700900664341E+25</v>
      </c>
    </row>
    <row r="860" spans="1:45" x14ac:dyDescent="0.15">
      <c r="A860" s="5">
        <v>852</v>
      </c>
      <c r="J860" s="5">
        <f t="shared" si="104"/>
        <v>852</v>
      </c>
      <c r="K860" s="5">
        <f>SUM($AP$9:AP859)</f>
        <v>2.5423747644958871E+25</v>
      </c>
      <c r="L860" s="5">
        <f>LOOKUP(K860,AI:AI,AE:AE)</f>
        <v>0</v>
      </c>
      <c r="M860" s="5" t="e">
        <f>LOOKUP(L860,AE:AE,AG:AG)</f>
        <v>#N/A</v>
      </c>
      <c r="N860" s="5" t="e">
        <f>AM860/M860/$K$1</f>
        <v>#N/A</v>
      </c>
      <c r="O860" s="5" t="e">
        <f>SUM($N$9:N860)</f>
        <v>#DIV/0!</v>
      </c>
      <c r="AE860" s="5">
        <f t="shared" si="105"/>
        <v>852</v>
      </c>
      <c r="AF860" s="5">
        <f t="shared" si="106"/>
        <v>9.6773527593825495E+20</v>
      </c>
      <c r="AG860" s="5">
        <f t="shared" si="107"/>
        <v>9.6321314848059897E+20</v>
      </c>
      <c r="AH860" s="5">
        <f>AG860*$AF$1</f>
        <v>9.6321314848059897E+21</v>
      </c>
      <c r="AI860" s="5">
        <f>SUM($AF$9:AF859)</f>
        <v>1.8879882135711276E+22</v>
      </c>
      <c r="AK860" s="5">
        <f t="shared" si="108"/>
        <v>852</v>
      </c>
      <c r="AL860" s="5">
        <f t="shared" si="109"/>
        <v>122</v>
      </c>
      <c r="AM860" s="5">
        <f t="shared" si="110"/>
        <v>2.2030308630731599E+24</v>
      </c>
      <c r="AN860" s="5">
        <f>$AL$4*$AL$3^AL860*$AL$2</f>
        <v>2.2030308630731594E+24</v>
      </c>
      <c r="AO860" s="5">
        <f>IF(AL860=AL861,1,LOOKUP(MOD(AL860,$AL$1),$AN$1:$AN$5,$AO$1:$AO$5))</f>
        <v>1</v>
      </c>
      <c r="AP860" s="5">
        <f t="shared" si="111"/>
        <v>1.10004674429453E+24</v>
      </c>
      <c r="AQ860" s="5">
        <f>AM860*$AR$3</f>
        <v>2.9373744840975465E+23</v>
      </c>
      <c r="AR860" s="5">
        <f>AM860*AL860*$AR$4</f>
        <v>8.0630929588477655E+23</v>
      </c>
      <c r="AS860" s="5">
        <f>SUM($AP$9:AP859)</f>
        <v>2.5423747644958871E+25</v>
      </c>
    </row>
    <row r="861" spans="1:45" x14ac:dyDescent="0.15">
      <c r="A861" s="5">
        <v>853</v>
      </c>
      <c r="J861" s="5">
        <f t="shared" si="104"/>
        <v>853</v>
      </c>
      <c r="K861" s="5">
        <f>SUM($AP$9:AP860)</f>
        <v>2.65237943892534E+25</v>
      </c>
      <c r="L861" s="5">
        <f>LOOKUP(K861,AI:AI,AE:AE)</f>
        <v>0</v>
      </c>
      <c r="M861" s="5" t="e">
        <f>LOOKUP(L861,AE:AE,AG:AG)</f>
        <v>#N/A</v>
      </c>
      <c r="N861" s="5" t="e">
        <f>AM861/M861/$K$1</f>
        <v>#N/A</v>
      </c>
      <c r="O861" s="5" t="e">
        <f>SUM($N$9:N861)</f>
        <v>#DIV/0!</v>
      </c>
      <c r="AE861" s="5">
        <f t="shared" si="105"/>
        <v>853</v>
      </c>
      <c r="AF861" s="5">
        <f t="shared" si="106"/>
        <v>1.0173090981928001E+21</v>
      </c>
      <c r="AG861" s="5">
        <f t="shared" si="107"/>
        <v>1.0125608643622599E+21</v>
      </c>
      <c r="AH861" s="5">
        <f>AG861*$AF$1</f>
        <v>1.0125608643622599E+22</v>
      </c>
      <c r="AI861" s="5">
        <f>SUM($AF$9:AF860)</f>
        <v>1.9847617411649532E+22</v>
      </c>
      <c r="AK861" s="5">
        <f t="shared" si="108"/>
        <v>853</v>
      </c>
      <c r="AL861" s="5">
        <f t="shared" si="109"/>
        <v>122</v>
      </c>
      <c r="AM861" s="5">
        <f t="shared" si="110"/>
        <v>2.2030308630731599E+24</v>
      </c>
      <c r="AN861" s="5">
        <f>$AL$4*$AL$3^AL861*$AL$2</f>
        <v>2.2030308630731594E+24</v>
      </c>
      <c r="AO861" s="5">
        <f>IF(AL861=AL862,1,LOOKUP(MOD(AL861,$AL$1),$AN$1:$AN$5,$AO$1:$AO$5))</f>
        <v>1</v>
      </c>
      <c r="AP861" s="5">
        <f t="shared" si="111"/>
        <v>1.10004674429453E+24</v>
      </c>
      <c r="AQ861" s="5">
        <f>AM861*$AR$3</f>
        <v>2.9373744840975465E+23</v>
      </c>
      <c r="AR861" s="5">
        <f>AM861*AL861*$AR$4</f>
        <v>8.0630929588477655E+23</v>
      </c>
      <c r="AS861" s="5">
        <f>SUM($AP$9:AP860)</f>
        <v>2.65237943892534E+25</v>
      </c>
    </row>
    <row r="862" spans="1:45" x14ac:dyDescent="0.15">
      <c r="A862" s="5">
        <v>854</v>
      </c>
      <c r="J862" s="5">
        <f t="shared" si="104"/>
        <v>854</v>
      </c>
      <c r="K862" s="5">
        <f>SUM($AP$9:AP861)</f>
        <v>2.7623841133547929E+25</v>
      </c>
      <c r="L862" s="5">
        <f>LOOKUP(K862,AI:AI,AE:AE)</f>
        <v>0</v>
      </c>
      <c r="M862" s="5" t="e">
        <f>LOOKUP(L862,AE:AE,AG:AG)</f>
        <v>#N/A</v>
      </c>
      <c r="N862" s="5" t="e">
        <f>AM862/M862/$K$1</f>
        <v>#N/A</v>
      </c>
      <c r="O862" s="5" t="e">
        <f>SUM($N$9:N862)</f>
        <v>#DIV/0!</v>
      </c>
      <c r="AE862" s="5">
        <f t="shared" si="105"/>
        <v>854</v>
      </c>
      <c r="AF862" s="5">
        <f t="shared" si="106"/>
        <v>1.0694209644829601E+21</v>
      </c>
      <c r="AG862" s="5">
        <f t="shared" si="107"/>
        <v>1.0644353189608901E+21</v>
      </c>
      <c r="AH862" s="5">
        <f>AG862*$AF$1</f>
        <v>1.0644353189608902E+22</v>
      </c>
      <c r="AI862" s="5">
        <f>SUM($AF$9:AF861)</f>
        <v>2.086492650984233E+22</v>
      </c>
      <c r="AK862" s="5">
        <f t="shared" si="108"/>
        <v>854</v>
      </c>
      <c r="AL862" s="5">
        <f t="shared" si="109"/>
        <v>122</v>
      </c>
      <c r="AM862" s="5">
        <f t="shared" si="110"/>
        <v>1.3218185178439E+25</v>
      </c>
      <c r="AN862" s="5">
        <f>$AL$4*$AL$3^AL862*$AL$2</f>
        <v>2.2030308630731594E+24</v>
      </c>
      <c r="AO862" s="5">
        <f>IF(AL862=AL863,1,LOOKUP(MOD(AL862,$AL$1),$AN$1:$AN$5,$AO$1:$AO$5))</f>
        <v>6</v>
      </c>
      <c r="AP862" s="5">
        <f t="shared" si="111"/>
        <v>6.6002804657672103E+24</v>
      </c>
      <c r="AQ862" s="5">
        <f>AM862*$AR$3</f>
        <v>1.7624246904585333E+24</v>
      </c>
      <c r="AR862" s="5">
        <f>AM862*AL862*$AR$4</f>
        <v>4.8378557753086749E+24</v>
      </c>
      <c r="AS862" s="5">
        <f>SUM($AP$9:AP861)</f>
        <v>2.7623841133547929E+25</v>
      </c>
    </row>
    <row r="863" spans="1:45" x14ac:dyDescent="0.15">
      <c r="A863" s="5">
        <v>855</v>
      </c>
      <c r="J863" s="5">
        <f t="shared" si="104"/>
        <v>855</v>
      </c>
      <c r="K863" s="5">
        <f>SUM($AP$9:AP862)</f>
        <v>3.422412159931514E+25</v>
      </c>
      <c r="L863" s="5">
        <f>LOOKUP(K863,AI:AI,AE:AE)</f>
        <v>0</v>
      </c>
      <c r="M863" s="5" t="e">
        <f>LOOKUP(L863,AE:AE,AG:AG)</f>
        <v>#N/A</v>
      </c>
      <c r="N863" s="5" t="e">
        <f>AM863/M863/$K$1</f>
        <v>#N/A</v>
      </c>
      <c r="O863" s="5" t="e">
        <f>SUM($N$9:N863)</f>
        <v>#DIV/0!</v>
      </c>
      <c r="AE863" s="5">
        <f t="shared" si="105"/>
        <v>855</v>
      </c>
      <c r="AF863" s="5">
        <f t="shared" si="106"/>
        <v>1.12420074465665E+21</v>
      </c>
      <c r="AG863" s="5">
        <f t="shared" si="107"/>
        <v>1.11896581685848E+21</v>
      </c>
      <c r="AH863" s="5">
        <f>AG863*$AF$1</f>
        <v>1.11896581685848E+22</v>
      </c>
      <c r="AI863" s="5">
        <f>SUM($AF$9:AF862)</f>
        <v>2.1934347474325291E+22</v>
      </c>
      <c r="AK863" s="5">
        <f t="shared" si="108"/>
        <v>855</v>
      </c>
      <c r="AL863" s="5">
        <f t="shared" si="109"/>
        <v>123</v>
      </c>
      <c r="AM863" s="5">
        <f t="shared" si="110"/>
        <v>3.4587584550248601E+24</v>
      </c>
      <c r="AN863" s="5">
        <f>$AL$4*$AL$3^AL863*$AL$2</f>
        <v>3.4587584550248601E+24</v>
      </c>
      <c r="AO863" s="5">
        <f>IF(AL863=AL864,1,LOOKUP(MOD(AL863,$AL$1),$AN$1:$AN$5,$AO$1:$AO$5))</f>
        <v>1</v>
      </c>
      <c r="AP863" s="5">
        <f t="shared" si="111"/>
        <v>1.7374496639074901E+24</v>
      </c>
      <c r="AQ863" s="5">
        <f>AM863*$AR$3</f>
        <v>4.6116779400331471E+23</v>
      </c>
      <c r="AR863" s="5">
        <f>AM863*AL863*$AR$4</f>
        <v>1.2762818699041734E+24</v>
      </c>
      <c r="AS863" s="5">
        <f>SUM($AP$9:AP862)</f>
        <v>3.422412159931514E+25</v>
      </c>
    </row>
    <row r="864" spans="1:45" x14ac:dyDescent="0.15">
      <c r="A864" s="5">
        <v>856</v>
      </c>
      <c r="J864" s="5">
        <f t="shared" si="104"/>
        <v>856</v>
      </c>
      <c r="K864" s="5">
        <f>SUM($AP$9:AP863)</f>
        <v>3.5961571263222628E+25</v>
      </c>
      <c r="L864" s="5">
        <f>LOOKUP(K864,AI:AI,AE:AE)</f>
        <v>0</v>
      </c>
      <c r="M864" s="5" t="e">
        <f>LOOKUP(L864,AE:AE,AG:AG)</f>
        <v>#N/A</v>
      </c>
      <c r="N864" s="5" t="e">
        <f>AM864/M864/$K$1</f>
        <v>#N/A</v>
      </c>
      <c r="O864" s="5" t="e">
        <f>SUM($N$9:N864)</f>
        <v>#DIV/0!</v>
      </c>
      <c r="AE864" s="5">
        <f t="shared" si="105"/>
        <v>856</v>
      </c>
      <c r="AF864" s="5">
        <f t="shared" si="106"/>
        <v>1.1817849504365001E+21</v>
      </c>
      <c r="AG864" s="5">
        <f t="shared" si="107"/>
        <v>1.17628827624842E+21</v>
      </c>
      <c r="AH864" s="5">
        <f>AG864*$AF$1</f>
        <v>1.1762882762484201E+22</v>
      </c>
      <c r="AI864" s="5">
        <f>SUM($AF$9:AF863)</f>
        <v>2.3058548218981941E+22</v>
      </c>
      <c r="AK864" s="5">
        <f t="shared" si="108"/>
        <v>856</v>
      </c>
      <c r="AL864" s="5">
        <f t="shared" si="109"/>
        <v>123</v>
      </c>
      <c r="AM864" s="5">
        <f t="shared" si="110"/>
        <v>3.4587584550248601E+24</v>
      </c>
      <c r="AN864" s="5">
        <f>$AL$4*$AL$3^AL864*$AL$2</f>
        <v>3.4587584550248601E+24</v>
      </c>
      <c r="AO864" s="5">
        <f>IF(AL864=AL865,1,LOOKUP(MOD(AL864,$AL$1),$AN$1:$AN$5,$AO$1:$AO$5))</f>
        <v>1</v>
      </c>
      <c r="AP864" s="5">
        <f t="shared" si="111"/>
        <v>1.7374496639074901E+24</v>
      </c>
      <c r="AQ864" s="5">
        <f>AM864*$AR$3</f>
        <v>4.6116779400331471E+23</v>
      </c>
      <c r="AR864" s="5">
        <f>AM864*AL864*$AR$4</f>
        <v>1.2762818699041734E+24</v>
      </c>
      <c r="AS864" s="5">
        <f>SUM($AP$9:AP863)</f>
        <v>3.5961571263222628E+25</v>
      </c>
    </row>
    <row r="865" spans="1:45" x14ac:dyDescent="0.15">
      <c r="A865" s="5">
        <v>857</v>
      </c>
      <c r="J865" s="5">
        <f t="shared" si="104"/>
        <v>857</v>
      </c>
      <c r="K865" s="5">
        <f>SUM($AP$9:AP864)</f>
        <v>3.7699020927130117E+25</v>
      </c>
      <c r="L865" s="5">
        <f>LOOKUP(K865,AI:AI,AE:AE)</f>
        <v>0</v>
      </c>
      <c r="M865" s="5" t="e">
        <f>LOOKUP(L865,AE:AE,AG:AG)</f>
        <v>#N/A</v>
      </c>
      <c r="N865" s="5" t="e">
        <f>AM865/M865/$K$1</f>
        <v>#N/A</v>
      </c>
      <c r="O865" s="5" t="e">
        <f>SUM($N$9:N865)</f>
        <v>#DIV/0!</v>
      </c>
      <c r="AE865" s="5">
        <f t="shared" si="105"/>
        <v>857</v>
      </c>
      <c r="AF865" s="5">
        <f t="shared" si="106"/>
        <v>1.2423170749327E+21</v>
      </c>
      <c r="AG865" s="5">
        <f t="shared" si="107"/>
        <v>1.2365455670352101E+21</v>
      </c>
      <c r="AH865" s="5">
        <f>AG865*$AF$1</f>
        <v>1.2365455670352101E+22</v>
      </c>
      <c r="AI865" s="5">
        <f>SUM($AF$9:AF864)</f>
        <v>2.4240333169418442E+22</v>
      </c>
      <c r="AK865" s="5">
        <f t="shared" si="108"/>
        <v>857</v>
      </c>
      <c r="AL865" s="5">
        <f t="shared" si="109"/>
        <v>123</v>
      </c>
      <c r="AM865" s="5">
        <f t="shared" si="110"/>
        <v>3.4587584550248601E+24</v>
      </c>
      <c r="AN865" s="5">
        <f>$AL$4*$AL$3^AL865*$AL$2</f>
        <v>3.4587584550248601E+24</v>
      </c>
      <c r="AO865" s="5">
        <f>IF(AL865=AL866,1,LOOKUP(MOD(AL865,$AL$1),$AN$1:$AN$5,$AO$1:$AO$5))</f>
        <v>1</v>
      </c>
      <c r="AP865" s="5">
        <f t="shared" si="111"/>
        <v>1.7374496639074901E+24</v>
      </c>
      <c r="AQ865" s="5">
        <f>AM865*$AR$3</f>
        <v>4.6116779400331471E+23</v>
      </c>
      <c r="AR865" s="5">
        <f>AM865*AL865*$AR$4</f>
        <v>1.2762818699041734E+24</v>
      </c>
      <c r="AS865" s="5">
        <f>SUM($AP$9:AP864)</f>
        <v>3.7699020927130117E+25</v>
      </c>
    </row>
    <row r="866" spans="1:45" x14ac:dyDescent="0.15">
      <c r="A866" s="5">
        <v>858</v>
      </c>
      <c r="J866" s="5">
        <f t="shared" si="104"/>
        <v>858</v>
      </c>
      <c r="K866" s="5">
        <f>SUM($AP$9:AP865)</f>
        <v>3.9436470591037605E+25</v>
      </c>
      <c r="L866" s="5">
        <f>LOOKUP(K866,AI:AI,AE:AE)</f>
        <v>0</v>
      </c>
      <c r="M866" s="5" t="e">
        <f>LOOKUP(L866,AE:AE,AG:AG)</f>
        <v>#N/A</v>
      </c>
      <c r="N866" s="5" t="e">
        <f>AM866/M866/$K$1</f>
        <v>#N/A</v>
      </c>
      <c r="O866" s="5" t="e">
        <f>SUM($N$9:N866)</f>
        <v>#DIV/0!</v>
      </c>
      <c r="AE866" s="5">
        <f t="shared" si="105"/>
        <v>858</v>
      </c>
      <c r="AF866" s="5">
        <f t="shared" si="106"/>
        <v>1.30594794950242E+21</v>
      </c>
      <c r="AG866" s="5">
        <f t="shared" si="107"/>
        <v>1.2998878662100601E+21</v>
      </c>
      <c r="AH866" s="5">
        <f>AG866*$AF$1</f>
        <v>1.2998878662100601E+22</v>
      </c>
      <c r="AI866" s="5">
        <f>SUM($AF$9:AF865)</f>
        <v>2.5482650244351143E+22</v>
      </c>
      <c r="AK866" s="5">
        <f t="shared" si="108"/>
        <v>858</v>
      </c>
      <c r="AL866" s="5">
        <f t="shared" si="109"/>
        <v>123</v>
      </c>
      <c r="AM866" s="5">
        <f t="shared" si="110"/>
        <v>3.4587584550248601E+24</v>
      </c>
      <c r="AN866" s="5">
        <f>$AL$4*$AL$3^AL866*$AL$2</f>
        <v>3.4587584550248601E+24</v>
      </c>
      <c r="AO866" s="5">
        <f>IF(AL866=AL867,1,LOOKUP(MOD(AL866,$AL$1),$AN$1:$AN$5,$AO$1:$AO$5))</f>
        <v>1</v>
      </c>
      <c r="AP866" s="5">
        <f t="shared" si="111"/>
        <v>1.7374496639074901E+24</v>
      </c>
      <c r="AQ866" s="5">
        <f>AM866*$AR$3</f>
        <v>4.6116779400331471E+23</v>
      </c>
      <c r="AR866" s="5">
        <f>AM866*AL866*$AR$4</f>
        <v>1.2762818699041734E+24</v>
      </c>
      <c r="AS866" s="5">
        <f>SUM($AP$9:AP865)</f>
        <v>3.9436470591037605E+25</v>
      </c>
    </row>
    <row r="867" spans="1:45" x14ac:dyDescent="0.15">
      <c r="A867" s="5">
        <v>859</v>
      </c>
      <c r="J867" s="5">
        <f t="shared" si="104"/>
        <v>859</v>
      </c>
      <c r="K867" s="5">
        <f>SUM($AP$9:AP866)</f>
        <v>4.1173920254945093E+25</v>
      </c>
      <c r="L867" s="5">
        <f>LOOKUP(K867,AI:AI,AE:AE)</f>
        <v>0</v>
      </c>
      <c r="M867" s="5" t="e">
        <f>LOOKUP(L867,AE:AE,AG:AG)</f>
        <v>#N/A</v>
      </c>
      <c r="N867" s="5" t="e">
        <f>AM867/M867/$K$1</f>
        <v>#N/A</v>
      </c>
      <c r="O867" s="5" t="e">
        <f>SUM($N$9:N867)</f>
        <v>#DIV/0!</v>
      </c>
      <c r="AE867" s="5">
        <f t="shared" si="105"/>
        <v>859</v>
      </c>
      <c r="AF867" s="5">
        <f t="shared" si="106"/>
        <v>1.3728361188417801E+21</v>
      </c>
      <c r="AG867" s="5">
        <f t="shared" si="107"/>
        <v>1.3664730313848101E+21</v>
      </c>
      <c r="AH867" s="5">
        <f>AG867*$AF$1</f>
        <v>1.3664730313848101E+22</v>
      </c>
      <c r="AI867" s="5">
        <f>SUM($AF$9:AF866)</f>
        <v>2.6788598193853563E+22</v>
      </c>
      <c r="AK867" s="5">
        <f t="shared" si="108"/>
        <v>859</v>
      </c>
      <c r="AL867" s="5">
        <f t="shared" si="109"/>
        <v>123</v>
      </c>
      <c r="AM867" s="5">
        <f t="shared" si="110"/>
        <v>3.4587584550248601E+24</v>
      </c>
      <c r="AN867" s="5">
        <f>$AL$4*$AL$3^AL867*$AL$2</f>
        <v>3.4587584550248601E+24</v>
      </c>
      <c r="AO867" s="5">
        <f>IF(AL867=AL868,1,LOOKUP(MOD(AL867,$AL$1),$AN$1:$AN$5,$AO$1:$AO$5))</f>
        <v>1</v>
      </c>
      <c r="AP867" s="5">
        <f t="shared" si="111"/>
        <v>1.7374496639074901E+24</v>
      </c>
      <c r="AQ867" s="5">
        <f>AM867*$AR$3</f>
        <v>4.6116779400331471E+23</v>
      </c>
      <c r="AR867" s="5">
        <f>AM867*AL867*$AR$4</f>
        <v>1.2762818699041734E+24</v>
      </c>
      <c r="AS867" s="5">
        <f>SUM($AP$9:AP866)</f>
        <v>4.1173920254945093E+25</v>
      </c>
    </row>
    <row r="868" spans="1:45" x14ac:dyDescent="0.15">
      <c r="A868" s="5">
        <v>860</v>
      </c>
      <c r="J868" s="5">
        <f t="shared" si="104"/>
        <v>860</v>
      </c>
      <c r="K868" s="5">
        <f>SUM($AP$9:AP867)</f>
        <v>4.2911369918852582E+25</v>
      </c>
      <c r="L868" s="5">
        <f>LOOKUP(K868,AI:AI,AE:AE)</f>
        <v>0</v>
      </c>
      <c r="M868" s="5" t="e">
        <f>LOOKUP(L868,AE:AE,AG:AG)</f>
        <v>#N/A</v>
      </c>
      <c r="N868" s="5" t="e">
        <f>AM868/M868/$K$1</f>
        <v>#N/A</v>
      </c>
      <c r="O868" s="5" t="e">
        <f>SUM($N$9:N868)</f>
        <v>#DIV/0!</v>
      </c>
      <c r="AE868" s="5">
        <f t="shared" si="105"/>
        <v>860</v>
      </c>
      <c r="AF868" s="5">
        <f t="shared" si="106"/>
        <v>1.44314823524133E+21</v>
      </c>
      <c r="AG868" s="5">
        <f t="shared" si="107"/>
        <v>1.43646699341151E+21</v>
      </c>
      <c r="AH868" s="5">
        <f>AG868*$AF$1</f>
        <v>1.43646699341151E+22</v>
      </c>
      <c r="AI868" s="5">
        <f>SUM($AF$9:AF867)</f>
        <v>2.8161434312695343E+22</v>
      </c>
      <c r="AK868" s="5">
        <f t="shared" si="108"/>
        <v>860</v>
      </c>
      <c r="AL868" s="5">
        <f t="shared" si="109"/>
        <v>123</v>
      </c>
      <c r="AM868" s="5">
        <f t="shared" si="110"/>
        <v>3.4587584550248601E+24</v>
      </c>
      <c r="AN868" s="5">
        <f>$AL$4*$AL$3^AL868*$AL$2</f>
        <v>3.4587584550248601E+24</v>
      </c>
      <c r="AO868" s="5">
        <f>IF(AL868=AL869,1,LOOKUP(MOD(AL868,$AL$1),$AN$1:$AN$5,$AO$1:$AO$5))</f>
        <v>1</v>
      </c>
      <c r="AP868" s="5">
        <f t="shared" si="111"/>
        <v>1.7374496639074901E+24</v>
      </c>
      <c r="AQ868" s="5">
        <f>AM868*$AR$3</f>
        <v>4.6116779400331471E+23</v>
      </c>
      <c r="AR868" s="5">
        <f>AM868*AL868*$AR$4</f>
        <v>1.2762818699041734E+24</v>
      </c>
      <c r="AS868" s="5">
        <f>SUM($AP$9:AP867)</f>
        <v>4.2911369918852582E+25</v>
      </c>
    </row>
    <row r="869" spans="1:45" x14ac:dyDescent="0.15">
      <c r="A869" s="5">
        <v>861</v>
      </c>
      <c r="J869" s="5">
        <f t="shared" si="104"/>
        <v>861</v>
      </c>
      <c r="K869" s="5">
        <f>SUM($AP$9:AP868)</f>
        <v>4.464881958276007E+25</v>
      </c>
      <c r="L869" s="5">
        <f>LOOKUP(K869,AI:AI,AE:AE)</f>
        <v>0</v>
      </c>
      <c r="M869" s="5" t="e">
        <f>LOOKUP(L869,AE:AE,AG:AG)</f>
        <v>#N/A</v>
      </c>
      <c r="N869" s="5" t="e">
        <f>AM869/M869/$K$1</f>
        <v>#N/A</v>
      </c>
      <c r="O869" s="5" t="e">
        <f>SUM($N$9:N869)</f>
        <v>#DIV/0!</v>
      </c>
      <c r="AE869" s="5">
        <f t="shared" si="105"/>
        <v>861</v>
      </c>
      <c r="AF869" s="5">
        <f t="shared" si="106"/>
        <v>1.5170594729837199E+21</v>
      </c>
      <c r="AG869" s="5">
        <f t="shared" si="107"/>
        <v>1.5100441690624101E+21</v>
      </c>
      <c r="AH869" s="5">
        <f>AG869*$AF$1</f>
        <v>1.5100441690624101E+22</v>
      </c>
      <c r="AI869" s="5">
        <f>SUM($AF$9:AF868)</f>
        <v>2.9604582547936671E+22</v>
      </c>
      <c r="AK869" s="5">
        <f t="shared" si="108"/>
        <v>861</v>
      </c>
      <c r="AL869" s="5">
        <f t="shared" si="109"/>
        <v>123</v>
      </c>
      <c r="AM869" s="5">
        <f t="shared" si="110"/>
        <v>2.4211309185173999E+25</v>
      </c>
      <c r="AN869" s="5">
        <f>$AL$4*$AL$3^AL869*$AL$2</f>
        <v>3.4587584550248601E+24</v>
      </c>
      <c r="AO869" s="5">
        <f>IF(AL869=AL870,1,LOOKUP(MOD(AL869,$AL$1),$AN$1:$AN$5,$AO$1:$AO$5))</f>
        <v>7</v>
      </c>
      <c r="AP869" s="5">
        <f t="shared" si="111"/>
        <v>1.21621476473524E+25</v>
      </c>
      <c r="AQ869" s="5">
        <f>AM869*$AR$3</f>
        <v>3.2281745580231999E+24</v>
      </c>
      <c r="AR869" s="5">
        <f>AM869*AL869*$AR$4</f>
        <v>8.9339730893292054E+24</v>
      </c>
      <c r="AS869" s="5">
        <f>SUM($AP$9:AP868)</f>
        <v>4.464881958276007E+25</v>
      </c>
    </row>
    <row r="870" spans="1:45" x14ac:dyDescent="0.15">
      <c r="A870" s="5">
        <v>862</v>
      </c>
      <c r="J870" s="5">
        <f t="shared" si="104"/>
        <v>862</v>
      </c>
      <c r="K870" s="5">
        <f>SUM($AP$9:AP869)</f>
        <v>5.6810967230112473E+25</v>
      </c>
      <c r="L870" s="5">
        <f>LOOKUP(K870,AI:AI,AE:AE)</f>
        <v>0</v>
      </c>
      <c r="M870" s="5" t="e">
        <f>LOOKUP(L870,AE:AE,AG:AG)</f>
        <v>#N/A</v>
      </c>
      <c r="N870" s="5" t="e">
        <f>AM870/M870/$K$1</f>
        <v>#N/A</v>
      </c>
      <c r="O870" s="5" t="e">
        <f>SUM($N$9:N870)</f>
        <v>#DIV/0!</v>
      </c>
      <c r="AE870" s="5">
        <f t="shared" si="105"/>
        <v>862</v>
      </c>
      <c r="AF870" s="5">
        <f t="shared" si="106"/>
        <v>1.59475396391225E+21</v>
      </c>
      <c r="AG870" s="5">
        <f t="shared" si="107"/>
        <v>1.5873878947948701E+21</v>
      </c>
      <c r="AH870" s="5">
        <f>AG870*$AF$1</f>
        <v>1.5873878947948701E+22</v>
      </c>
      <c r="AI870" s="5">
        <f>SUM($AF$9:AF869)</f>
        <v>3.1121642020920392E+22</v>
      </c>
      <c r="AK870" s="5">
        <f t="shared" si="108"/>
        <v>862</v>
      </c>
      <c r="AL870" s="5">
        <f t="shared" si="109"/>
        <v>124</v>
      </c>
      <c r="AM870" s="5">
        <f t="shared" si="110"/>
        <v>5.4302507743890296E+24</v>
      </c>
      <c r="AN870" s="5">
        <f>$AL$4*$AL$3^AL870*$AL$2</f>
        <v>5.4302507743890307E+24</v>
      </c>
      <c r="AO870" s="5">
        <f>IF(AL870=AL871,1,LOOKUP(MOD(AL870,$AL$1),$AN$1:$AN$5,$AO$1:$AO$5))</f>
        <v>1</v>
      </c>
      <c r="AP870" s="5">
        <f t="shared" si="111"/>
        <v>2.7440867246579197E+24</v>
      </c>
      <c r="AQ870" s="5">
        <f>AM870*$AR$3</f>
        <v>7.2403343658520388E+23</v>
      </c>
      <c r="AR870" s="5">
        <f>AM870*AL870*$AR$4</f>
        <v>2.0200532880727192E+24</v>
      </c>
      <c r="AS870" s="5">
        <f>SUM($AP$9:AP869)</f>
        <v>5.6810967230112473E+25</v>
      </c>
    </row>
    <row r="871" spans="1:45" x14ac:dyDescent="0.15">
      <c r="A871" s="5">
        <v>863</v>
      </c>
      <c r="J871" s="5">
        <f t="shared" si="104"/>
        <v>863</v>
      </c>
      <c r="K871" s="5">
        <f>SUM($AP$9:AP870)</f>
        <v>5.9555053954770391E+25</v>
      </c>
      <c r="L871" s="5">
        <f>LOOKUP(K871,AI:AI,AE:AE)</f>
        <v>0</v>
      </c>
      <c r="M871" s="5" t="e">
        <f>LOOKUP(L871,AE:AE,AG:AG)</f>
        <v>#N/A</v>
      </c>
      <c r="N871" s="5" t="e">
        <f>AM871/M871/$K$1</f>
        <v>#N/A</v>
      </c>
      <c r="O871" s="5" t="e">
        <f>SUM($N$9:N871)</f>
        <v>#DIV/0!</v>
      </c>
      <c r="AE871" s="5">
        <f t="shared" si="105"/>
        <v>863</v>
      </c>
      <c r="AF871" s="5">
        <f t="shared" si="106"/>
        <v>1.67642525525118E+21</v>
      </c>
      <c r="AG871" s="5">
        <f t="shared" si="107"/>
        <v>1.6686908826779299E+21</v>
      </c>
      <c r="AH871" s="5">
        <f>AG871*$AF$1</f>
        <v>1.66869088267793E+22</v>
      </c>
      <c r="AI871" s="5">
        <f>SUM($AF$9:AF870)</f>
        <v>3.2716395984832642E+22</v>
      </c>
      <c r="AK871" s="5">
        <f t="shared" si="108"/>
        <v>863</v>
      </c>
      <c r="AL871" s="5">
        <f t="shared" si="109"/>
        <v>124</v>
      </c>
      <c r="AM871" s="5">
        <f t="shared" si="110"/>
        <v>5.4302507743890296E+24</v>
      </c>
      <c r="AN871" s="5">
        <f>$AL$4*$AL$3^AL871*$AL$2</f>
        <v>5.4302507743890307E+24</v>
      </c>
      <c r="AO871" s="5">
        <f>IF(AL871=AL872,1,LOOKUP(MOD(AL871,$AL$1),$AN$1:$AN$5,$AO$1:$AO$5))</f>
        <v>1</v>
      </c>
      <c r="AP871" s="5">
        <f t="shared" si="111"/>
        <v>2.7440867246579197E+24</v>
      </c>
      <c r="AQ871" s="5">
        <f>AM871*$AR$3</f>
        <v>7.2403343658520388E+23</v>
      </c>
      <c r="AR871" s="5">
        <f>AM871*AL871*$AR$4</f>
        <v>2.0200532880727192E+24</v>
      </c>
      <c r="AS871" s="5">
        <f>SUM($AP$9:AP870)</f>
        <v>5.9555053954770391E+25</v>
      </c>
    </row>
    <row r="872" spans="1:45" x14ac:dyDescent="0.15">
      <c r="A872" s="5">
        <v>864</v>
      </c>
      <c r="J872" s="5">
        <f t="shared" si="104"/>
        <v>864</v>
      </c>
      <c r="K872" s="5">
        <f>SUM($AP$9:AP871)</f>
        <v>6.2299140679428309E+25</v>
      </c>
      <c r="L872" s="5">
        <f>LOOKUP(K872,AI:AI,AE:AE)</f>
        <v>0</v>
      </c>
      <c r="M872" s="5" t="e">
        <f>LOOKUP(L872,AE:AE,AG:AG)</f>
        <v>#N/A</v>
      </c>
      <c r="N872" s="5" t="e">
        <f>AM872/M872/$K$1</f>
        <v>#N/A</v>
      </c>
      <c r="O872" s="5" t="e">
        <f>SUM($N$9:N872)</f>
        <v>#DIV/0!</v>
      </c>
      <c r="AE872" s="5">
        <f t="shared" si="105"/>
        <v>864</v>
      </c>
      <c r="AF872" s="5">
        <f t="shared" si="106"/>
        <v>1.76227679081421E+21</v>
      </c>
      <c r="AG872" s="5">
        <f t="shared" si="107"/>
        <v>1.7541556996123001E+21</v>
      </c>
      <c r="AH872" s="5">
        <f>AG872*$AF$1</f>
        <v>1.7541556996123002E+22</v>
      </c>
      <c r="AI872" s="5">
        <f>SUM($AF$9:AF871)</f>
        <v>3.4392821240083824E+22</v>
      </c>
      <c r="AK872" s="5">
        <f t="shared" si="108"/>
        <v>864</v>
      </c>
      <c r="AL872" s="5">
        <f t="shared" si="109"/>
        <v>124</v>
      </c>
      <c r="AM872" s="5">
        <f t="shared" si="110"/>
        <v>5.4302507743890296E+24</v>
      </c>
      <c r="AN872" s="5">
        <f>$AL$4*$AL$3^AL872*$AL$2</f>
        <v>5.4302507743890307E+24</v>
      </c>
      <c r="AO872" s="5">
        <f>IF(AL872=AL873,1,LOOKUP(MOD(AL872,$AL$1),$AN$1:$AN$5,$AO$1:$AO$5))</f>
        <v>1</v>
      </c>
      <c r="AP872" s="5">
        <f t="shared" si="111"/>
        <v>2.7440867246579197E+24</v>
      </c>
      <c r="AQ872" s="5">
        <f>AM872*$AR$3</f>
        <v>7.2403343658520388E+23</v>
      </c>
      <c r="AR872" s="5">
        <f>AM872*AL872*$AR$4</f>
        <v>2.0200532880727192E+24</v>
      </c>
      <c r="AS872" s="5">
        <f>SUM($AP$9:AP871)</f>
        <v>6.2299140679428309E+25</v>
      </c>
    </row>
    <row r="873" spans="1:45" x14ac:dyDescent="0.15">
      <c r="A873" s="5">
        <v>865</v>
      </c>
      <c r="J873" s="5">
        <f t="shared" si="104"/>
        <v>865</v>
      </c>
      <c r="K873" s="5">
        <f>SUM($AP$9:AP872)</f>
        <v>6.5043227404086227E+25</v>
      </c>
      <c r="L873" s="5">
        <f>LOOKUP(K873,AI:AI,AE:AE)</f>
        <v>0</v>
      </c>
      <c r="M873" s="5" t="e">
        <f>LOOKUP(L873,AE:AE,AG:AG)</f>
        <v>#N/A</v>
      </c>
      <c r="N873" s="5" t="e">
        <f>AM873/M873/$K$1</f>
        <v>#N/A</v>
      </c>
      <c r="O873" s="5" t="e">
        <f>SUM($N$9:N873)</f>
        <v>#DIV/0!</v>
      </c>
      <c r="AE873" s="5">
        <f t="shared" si="105"/>
        <v>865</v>
      </c>
      <c r="AF873" s="5">
        <f t="shared" si="106"/>
        <v>1.8525224167954199E+21</v>
      </c>
      <c r="AG873" s="5">
        <f t="shared" si="107"/>
        <v>1.84399527103342E+21</v>
      </c>
      <c r="AH873" s="5">
        <f>AG873*$AF$1</f>
        <v>1.8439952710334199E+22</v>
      </c>
      <c r="AI873" s="5">
        <f>SUM($AF$9:AF872)</f>
        <v>3.6155098030898032E+22</v>
      </c>
      <c r="AK873" s="5">
        <f t="shared" si="108"/>
        <v>865</v>
      </c>
      <c r="AL873" s="5">
        <f t="shared" si="109"/>
        <v>124</v>
      </c>
      <c r="AM873" s="5">
        <f t="shared" si="110"/>
        <v>5.4302507743890296E+24</v>
      </c>
      <c r="AN873" s="5">
        <f>$AL$4*$AL$3^AL873*$AL$2</f>
        <v>5.4302507743890307E+24</v>
      </c>
      <c r="AO873" s="5">
        <f>IF(AL873=AL874,1,LOOKUP(MOD(AL873,$AL$1),$AN$1:$AN$5,$AO$1:$AO$5))</f>
        <v>1</v>
      </c>
      <c r="AP873" s="5">
        <f t="shared" si="111"/>
        <v>2.7440867246579197E+24</v>
      </c>
      <c r="AQ873" s="5">
        <f>AM873*$AR$3</f>
        <v>7.2403343658520388E+23</v>
      </c>
      <c r="AR873" s="5">
        <f>AM873*AL873*$AR$4</f>
        <v>2.0200532880727192E+24</v>
      </c>
      <c r="AS873" s="5">
        <f>SUM($AP$9:AP872)</f>
        <v>6.5043227404086227E+25</v>
      </c>
    </row>
    <row r="874" spans="1:45" x14ac:dyDescent="0.15">
      <c r="A874" s="5">
        <v>866</v>
      </c>
      <c r="J874" s="5">
        <f t="shared" si="104"/>
        <v>866</v>
      </c>
      <c r="K874" s="5">
        <f>SUM($AP$9:AP873)</f>
        <v>6.7787314128744145E+25</v>
      </c>
      <c r="L874" s="5">
        <f>LOOKUP(K874,AI:AI,AE:AE)</f>
        <v>0</v>
      </c>
      <c r="M874" s="5" t="e">
        <f>LOOKUP(L874,AE:AE,AG:AG)</f>
        <v>#N/A</v>
      </c>
      <c r="N874" s="5" t="e">
        <f>AM874/M874/$K$1</f>
        <v>#N/A</v>
      </c>
      <c r="O874" s="5" t="e">
        <f>SUM($N$9:N874)</f>
        <v>#DIV/0!</v>
      </c>
      <c r="AE874" s="5">
        <f t="shared" si="105"/>
        <v>866</v>
      </c>
      <c r="AF874" s="5">
        <f t="shared" si="106"/>
        <v>1.94738691339772E+21</v>
      </c>
      <c r="AG874" s="5">
        <f t="shared" si="107"/>
        <v>1.9384334103476201E+21</v>
      </c>
      <c r="AH874" s="5">
        <f>AG874*$AF$1</f>
        <v>1.93843341034762E+22</v>
      </c>
      <c r="AI874" s="5">
        <f>SUM($AF$9:AF873)</f>
        <v>3.8007620447693454E+22</v>
      </c>
      <c r="AK874" s="5">
        <f t="shared" si="108"/>
        <v>866</v>
      </c>
      <c r="AL874" s="5">
        <f t="shared" si="109"/>
        <v>124</v>
      </c>
      <c r="AM874" s="5">
        <f t="shared" si="110"/>
        <v>5.4302507743890296E+24</v>
      </c>
      <c r="AN874" s="5">
        <f>$AL$4*$AL$3^AL874*$AL$2</f>
        <v>5.4302507743890307E+24</v>
      </c>
      <c r="AO874" s="5">
        <f>IF(AL874=AL875,1,LOOKUP(MOD(AL874,$AL$1),$AN$1:$AN$5,$AO$1:$AO$5))</f>
        <v>1</v>
      </c>
      <c r="AP874" s="5">
        <f t="shared" si="111"/>
        <v>2.7440867246579197E+24</v>
      </c>
      <c r="AQ874" s="5">
        <f>AM874*$AR$3</f>
        <v>7.2403343658520388E+23</v>
      </c>
      <c r="AR874" s="5">
        <f>AM874*AL874*$AR$4</f>
        <v>2.0200532880727192E+24</v>
      </c>
      <c r="AS874" s="5">
        <f>SUM($AP$9:AP873)</f>
        <v>6.7787314128744145E+25</v>
      </c>
    </row>
    <row r="875" spans="1:45" x14ac:dyDescent="0.15">
      <c r="A875" s="5">
        <v>867</v>
      </c>
      <c r="J875" s="5">
        <f t="shared" si="104"/>
        <v>867</v>
      </c>
      <c r="K875" s="5">
        <f>SUM($AP$9:AP874)</f>
        <v>7.0531400853402063E+25</v>
      </c>
      <c r="L875" s="5">
        <f>LOOKUP(K875,AI:AI,AE:AE)</f>
        <v>0</v>
      </c>
      <c r="M875" s="5" t="e">
        <f>LOOKUP(L875,AE:AE,AG:AG)</f>
        <v>#N/A</v>
      </c>
      <c r="N875" s="5" t="e">
        <f>AM875/M875/$K$1</f>
        <v>#N/A</v>
      </c>
      <c r="O875" s="5" t="e">
        <f>SUM($N$9:N875)</f>
        <v>#DIV/0!</v>
      </c>
      <c r="AE875" s="5">
        <f t="shared" si="105"/>
        <v>867</v>
      </c>
      <c r="AF875" s="5">
        <f t="shared" si="106"/>
        <v>2.04710655361826E+21</v>
      </c>
      <c r="AG875" s="5">
        <f t="shared" si="107"/>
        <v>2.03770537541565E+21</v>
      </c>
      <c r="AH875" s="5">
        <f>AG875*$AF$1</f>
        <v>2.0377053754156498E+22</v>
      </c>
      <c r="AI875" s="5">
        <f>SUM($AF$9:AF874)</f>
        <v>3.9955007361091174E+22</v>
      </c>
      <c r="AK875" s="5">
        <f t="shared" si="108"/>
        <v>867</v>
      </c>
      <c r="AL875" s="5">
        <f t="shared" si="109"/>
        <v>124</v>
      </c>
      <c r="AM875" s="5">
        <f t="shared" si="110"/>
        <v>5.4302507743890296E+24</v>
      </c>
      <c r="AN875" s="5">
        <f>$AL$4*$AL$3^AL875*$AL$2</f>
        <v>5.4302507743890307E+24</v>
      </c>
      <c r="AO875" s="5">
        <f>IF(AL875=AL876,1,LOOKUP(MOD(AL875,$AL$1),$AN$1:$AN$5,$AO$1:$AO$5))</f>
        <v>1</v>
      </c>
      <c r="AP875" s="5">
        <f t="shared" si="111"/>
        <v>2.7440867246579197E+24</v>
      </c>
      <c r="AQ875" s="5">
        <f>AM875*$AR$3</f>
        <v>7.2403343658520388E+23</v>
      </c>
      <c r="AR875" s="5">
        <f>AM875*AL875*$AR$4</f>
        <v>2.0200532880727192E+24</v>
      </c>
      <c r="AS875" s="5">
        <f>SUM($AP$9:AP874)</f>
        <v>7.0531400853402063E+25</v>
      </c>
    </row>
    <row r="876" spans="1:45" x14ac:dyDescent="0.15">
      <c r="A876" s="5">
        <v>868</v>
      </c>
      <c r="J876" s="5">
        <f t="shared" si="104"/>
        <v>868</v>
      </c>
      <c r="K876" s="5">
        <f>SUM($AP$9:AP875)</f>
        <v>7.3275487578059981E+25</v>
      </c>
      <c r="L876" s="5">
        <f>LOOKUP(K876,AI:AI,AE:AE)</f>
        <v>0</v>
      </c>
      <c r="M876" s="5" t="e">
        <f>LOOKUP(L876,AE:AE,AG:AG)</f>
        <v>#N/A</v>
      </c>
      <c r="N876" s="5" t="e">
        <f>AM876/M876/$K$1</f>
        <v>#N/A</v>
      </c>
      <c r="O876" s="5" t="e">
        <f>SUM($N$9:N876)</f>
        <v>#DIV/0!</v>
      </c>
      <c r="AE876" s="5">
        <f t="shared" si="105"/>
        <v>868</v>
      </c>
      <c r="AF876" s="5">
        <f t="shared" si="106"/>
        <v>2.1519296905773601E+21</v>
      </c>
      <c r="AG876" s="5">
        <f t="shared" si="107"/>
        <v>2.1420584534646199E+21</v>
      </c>
      <c r="AH876" s="5">
        <f>AG876*$AF$1</f>
        <v>2.1420584534646198E+22</v>
      </c>
      <c r="AI876" s="5">
        <f>SUM($AF$9:AF875)</f>
        <v>4.2002113914709433E+22</v>
      </c>
      <c r="AK876" s="5">
        <f t="shared" si="108"/>
        <v>868</v>
      </c>
      <c r="AL876" s="5">
        <f t="shared" si="109"/>
        <v>124</v>
      </c>
      <c r="AM876" s="5">
        <f t="shared" si="110"/>
        <v>3.8011755420723202E+25</v>
      </c>
      <c r="AN876" s="5">
        <f>$AL$4*$AL$3^AL876*$AL$2</f>
        <v>5.4302507743890307E+24</v>
      </c>
      <c r="AO876" s="5">
        <f>IF(AL876=AL877,1,LOOKUP(MOD(AL876,$AL$1),$AN$1:$AN$5,$AO$1:$AO$5))</f>
        <v>7</v>
      </c>
      <c r="AP876" s="5">
        <f t="shared" si="111"/>
        <v>1.92086070726055E+25</v>
      </c>
      <c r="AQ876" s="5">
        <f>AM876*$AR$3</f>
        <v>5.068234056096427E+24</v>
      </c>
      <c r="AR876" s="5">
        <f>AM876*AL876*$AR$4</f>
        <v>1.4140373016509032E+25</v>
      </c>
      <c r="AS876" s="5">
        <f>SUM($AP$9:AP875)</f>
        <v>7.3275487578059981E+25</v>
      </c>
    </row>
    <row r="877" spans="1:45" x14ac:dyDescent="0.15">
      <c r="A877" s="5">
        <v>869</v>
      </c>
      <c r="J877" s="5">
        <f t="shared" si="104"/>
        <v>869</v>
      </c>
      <c r="K877" s="5">
        <f>SUM($AP$9:AP876)</f>
        <v>9.2484094650665477E+25</v>
      </c>
      <c r="L877" s="5">
        <f>LOOKUP(K877,AI:AI,AE:AE)</f>
        <v>0</v>
      </c>
      <c r="M877" s="5" t="e">
        <f>LOOKUP(L877,AE:AE,AG:AG)</f>
        <v>#N/A</v>
      </c>
      <c r="N877" s="5" t="e">
        <f>AM877/M877/$K$1</f>
        <v>#N/A</v>
      </c>
      <c r="O877" s="5" t="e">
        <f>SUM($N$9:N877)</f>
        <v>#DIV/0!</v>
      </c>
      <c r="AE877" s="5">
        <f t="shared" si="105"/>
        <v>869</v>
      </c>
      <c r="AF877" s="5">
        <f t="shared" si="106"/>
        <v>2.2621173748483199E+21</v>
      </c>
      <c r="AG877" s="5">
        <f t="shared" si="107"/>
        <v>2.2517525758799399E+21</v>
      </c>
      <c r="AH877" s="5">
        <f>AG877*$AF$1</f>
        <v>2.25175257587994E+22</v>
      </c>
      <c r="AI877" s="5">
        <f>SUM($AF$9:AF876)</f>
        <v>4.4154043605286797E+22</v>
      </c>
      <c r="AK877" s="5">
        <f t="shared" si="108"/>
        <v>869</v>
      </c>
      <c r="AL877" s="5">
        <f t="shared" si="109"/>
        <v>125</v>
      </c>
      <c r="AM877" s="5">
        <f t="shared" si="110"/>
        <v>8.5254937157907801E+24</v>
      </c>
      <c r="AN877" s="5">
        <f>$AL$4*$AL$3^AL877*$AL$2</f>
        <v>8.525493715790779E+24</v>
      </c>
      <c r="AO877" s="5">
        <f>IF(AL877=AL878,1,LOOKUP(MOD(AL877,$AL$1),$AN$1:$AN$5,$AO$1:$AO$5))</f>
        <v>1</v>
      </c>
      <c r="AP877" s="5">
        <f t="shared" si="111"/>
        <v>4.3337926388603099E+24</v>
      </c>
      <c r="AQ877" s="5">
        <f>AM877*$AR$3</f>
        <v>1.1367324954387707E+24</v>
      </c>
      <c r="AR877" s="5">
        <f>AM877*AL877*$AR$4</f>
        <v>3.1970601434215425E+24</v>
      </c>
      <c r="AS877" s="5">
        <f>SUM($AP$9:AP876)</f>
        <v>9.2484094650665477E+25</v>
      </c>
    </row>
    <row r="878" spans="1:45" x14ac:dyDescent="0.15">
      <c r="A878" s="5">
        <v>870</v>
      </c>
      <c r="J878" s="5">
        <f t="shared" si="104"/>
        <v>870</v>
      </c>
      <c r="K878" s="5">
        <f>SUM($AP$9:AP877)</f>
        <v>9.6817887289525786E+25</v>
      </c>
      <c r="L878" s="5">
        <f>LOOKUP(K878,AI:AI,AE:AE)</f>
        <v>0</v>
      </c>
      <c r="M878" s="5" t="e">
        <f>LOOKUP(L878,AE:AE,AG:AG)</f>
        <v>#N/A</v>
      </c>
      <c r="N878" s="5" t="e">
        <f>AM878/M878/$K$1</f>
        <v>#N/A</v>
      </c>
      <c r="O878" s="5" t="e">
        <f>SUM($N$9:N878)</f>
        <v>#DIV/0!</v>
      </c>
      <c r="AE878" s="5">
        <f t="shared" si="105"/>
        <v>870</v>
      </c>
      <c r="AF878" s="5">
        <f t="shared" si="106"/>
        <v>2.3779440033199403E+21</v>
      </c>
      <c r="AG878" s="5">
        <f t="shared" si="107"/>
        <v>2.3670609644031401E+21</v>
      </c>
      <c r="AH878" s="5">
        <f>AG878*$AF$1</f>
        <v>2.3670609644031402E+22</v>
      </c>
      <c r="AI878" s="5">
        <f>SUM($AF$9:AF877)</f>
        <v>4.641616098013512E+22</v>
      </c>
      <c r="AK878" s="5">
        <f t="shared" si="108"/>
        <v>870</v>
      </c>
      <c r="AL878" s="5">
        <f t="shared" si="109"/>
        <v>125</v>
      </c>
      <c r="AM878" s="5">
        <f t="shared" si="110"/>
        <v>8.5254937157907801E+24</v>
      </c>
      <c r="AN878" s="5">
        <f>$AL$4*$AL$3^AL878*$AL$2</f>
        <v>8.525493715790779E+24</v>
      </c>
      <c r="AO878" s="5">
        <f>IF(AL878=AL879,1,LOOKUP(MOD(AL878,$AL$1),$AN$1:$AN$5,$AO$1:$AO$5))</f>
        <v>1</v>
      </c>
      <c r="AP878" s="5">
        <f t="shared" si="111"/>
        <v>4.3337926388603099E+24</v>
      </c>
      <c r="AQ878" s="5">
        <f>AM878*$AR$3</f>
        <v>1.1367324954387707E+24</v>
      </c>
      <c r="AR878" s="5">
        <f>AM878*AL878*$AR$4</f>
        <v>3.1970601434215425E+24</v>
      </c>
      <c r="AS878" s="5">
        <f>SUM($AP$9:AP877)</f>
        <v>9.6817887289525786E+25</v>
      </c>
    </row>
    <row r="879" spans="1:45" x14ac:dyDescent="0.15">
      <c r="A879" s="5">
        <v>871</v>
      </c>
      <c r="J879" s="5">
        <f t="shared" si="104"/>
        <v>871</v>
      </c>
      <c r="K879" s="5">
        <f>SUM($AP$9:AP878)</f>
        <v>1.011516799283861E+26</v>
      </c>
      <c r="L879" s="5">
        <f>LOOKUP(K879,AI:AI,AE:AE)</f>
        <v>0</v>
      </c>
      <c r="M879" s="5" t="e">
        <f>LOOKUP(L879,AE:AE,AG:AG)</f>
        <v>#N/A</v>
      </c>
      <c r="N879" s="5" t="e">
        <f>AM879/M879/$K$1</f>
        <v>#N/A</v>
      </c>
      <c r="O879" s="5" t="e">
        <f>SUM($N$9:N879)</f>
        <v>#DIV/0!</v>
      </c>
      <c r="AE879" s="5">
        <f t="shared" si="105"/>
        <v>871</v>
      </c>
      <c r="AF879" s="5">
        <f t="shared" si="106"/>
        <v>2.4996980012015902E+21</v>
      </c>
      <c r="AG879" s="5">
        <f t="shared" si="107"/>
        <v>2.4882708103389601E+21</v>
      </c>
      <c r="AH879" s="5">
        <f>AG879*$AF$1</f>
        <v>2.4882708103389602E+22</v>
      </c>
      <c r="AI879" s="5">
        <f>SUM($AF$9:AF878)</f>
        <v>4.8794104983455063E+22</v>
      </c>
      <c r="AK879" s="5">
        <f t="shared" si="108"/>
        <v>871</v>
      </c>
      <c r="AL879" s="5">
        <f t="shared" si="109"/>
        <v>125</v>
      </c>
      <c r="AM879" s="5">
        <f t="shared" si="110"/>
        <v>8.5254937157907801E+24</v>
      </c>
      <c r="AN879" s="5">
        <f>$AL$4*$AL$3^AL879*$AL$2</f>
        <v>8.525493715790779E+24</v>
      </c>
      <c r="AO879" s="5">
        <f>IF(AL879=AL880,1,LOOKUP(MOD(AL879,$AL$1),$AN$1:$AN$5,$AO$1:$AO$5))</f>
        <v>1</v>
      </c>
      <c r="AP879" s="5">
        <f t="shared" si="111"/>
        <v>4.3337926388603099E+24</v>
      </c>
      <c r="AQ879" s="5">
        <f>AM879*$AR$3</f>
        <v>1.1367324954387707E+24</v>
      </c>
      <c r="AR879" s="5">
        <f>AM879*AL879*$AR$4</f>
        <v>3.1970601434215425E+24</v>
      </c>
      <c r="AS879" s="5">
        <f>SUM($AP$9:AP878)</f>
        <v>1.011516799283861E+26</v>
      </c>
    </row>
    <row r="880" spans="1:45" x14ac:dyDescent="0.15">
      <c r="A880" s="5">
        <v>872</v>
      </c>
      <c r="J880" s="5">
        <f t="shared" si="104"/>
        <v>872</v>
      </c>
      <c r="K880" s="5">
        <f>SUM($AP$9:AP879)</f>
        <v>1.054854725672464E+26</v>
      </c>
      <c r="L880" s="5">
        <f>LOOKUP(K880,AI:AI,AE:AE)</f>
        <v>0</v>
      </c>
      <c r="M880" s="5" t="e">
        <f>LOOKUP(L880,AE:AE,AG:AG)</f>
        <v>#N/A</v>
      </c>
      <c r="N880" s="5" t="e">
        <f>AM880/M880/$K$1</f>
        <v>#N/A</v>
      </c>
      <c r="O880" s="5" t="e">
        <f>SUM($N$9:N880)</f>
        <v>#DIV/0!</v>
      </c>
      <c r="AE880" s="5">
        <f t="shared" si="105"/>
        <v>872</v>
      </c>
      <c r="AF880" s="5">
        <f t="shared" si="106"/>
        <v>2.6276825388631101E+21</v>
      </c>
      <c r="AG880" s="5">
        <f t="shared" si="107"/>
        <v>2.6156839884573397E+21</v>
      </c>
      <c r="AH880" s="5">
        <f>AG880*$AF$1</f>
        <v>2.61568398845734E+22</v>
      </c>
      <c r="AI880" s="5">
        <f>SUM($AF$9:AF879)</f>
        <v>5.1293802984656649E+22</v>
      </c>
      <c r="AK880" s="5">
        <f t="shared" si="108"/>
        <v>872</v>
      </c>
      <c r="AL880" s="5">
        <f t="shared" si="109"/>
        <v>125</v>
      </c>
      <c r="AM880" s="5">
        <f t="shared" si="110"/>
        <v>8.5254937157907801E+24</v>
      </c>
      <c r="AN880" s="5">
        <f>$AL$4*$AL$3^AL880*$AL$2</f>
        <v>8.525493715790779E+24</v>
      </c>
      <c r="AO880" s="5">
        <f>IF(AL880=AL881,1,LOOKUP(MOD(AL880,$AL$1),$AN$1:$AN$5,$AO$1:$AO$5))</f>
        <v>1</v>
      </c>
      <c r="AP880" s="5">
        <f t="shared" si="111"/>
        <v>4.3337926388603099E+24</v>
      </c>
      <c r="AQ880" s="5">
        <f>AM880*$AR$3</f>
        <v>1.1367324954387707E+24</v>
      </c>
      <c r="AR880" s="5">
        <f>AM880*AL880*$AR$4</f>
        <v>3.1970601434215425E+24</v>
      </c>
      <c r="AS880" s="5">
        <f>SUM($AP$9:AP879)</f>
        <v>1.054854725672464E+26</v>
      </c>
    </row>
    <row r="881" spans="1:45" x14ac:dyDescent="0.15">
      <c r="A881" s="5">
        <v>873</v>
      </c>
      <c r="J881" s="5">
        <f t="shared" si="104"/>
        <v>873</v>
      </c>
      <c r="K881" s="5">
        <f>SUM($AP$9:AP880)</f>
        <v>1.0981926520610671E+26</v>
      </c>
      <c r="L881" s="5">
        <f>LOOKUP(K881,AI:AI,AE:AE)</f>
        <v>0</v>
      </c>
      <c r="M881" s="5" t="e">
        <f>LOOKUP(L881,AE:AE,AG:AG)</f>
        <v>#N/A</v>
      </c>
      <c r="N881" s="5" t="e">
        <f>AM881/M881/$K$1</f>
        <v>#N/A</v>
      </c>
      <c r="O881" s="5" t="e">
        <f>SUM($N$9:N881)</f>
        <v>#DIV/0!</v>
      </c>
      <c r="AE881" s="5">
        <f t="shared" si="105"/>
        <v>873</v>
      </c>
      <c r="AF881" s="5">
        <f t="shared" si="106"/>
        <v>2.7622162852877802E+21</v>
      </c>
      <c r="AG881" s="5">
        <f t="shared" si="107"/>
        <v>2.7496178073617302E+21</v>
      </c>
      <c r="AH881" s="5">
        <f>AG881*$AF$1</f>
        <v>2.7496178073617302E+22</v>
      </c>
      <c r="AI881" s="5">
        <f>SUM($AF$9:AF880)</f>
        <v>5.3921485523519755E+22</v>
      </c>
      <c r="AK881" s="5">
        <f t="shared" si="108"/>
        <v>873</v>
      </c>
      <c r="AL881" s="5">
        <f t="shared" si="109"/>
        <v>125</v>
      </c>
      <c r="AM881" s="5">
        <f t="shared" si="110"/>
        <v>8.5254937157907801E+24</v>
      </c>
      <c r="AN881" s="5">
        <f>$AL$4*$AL$3^AL881*$AL$2</f>
        <v>8.525493715790779E+24</v>
      </c>
      <c r="AO881" s="5">
        <f>IF(AL881=AL882,1,LOOKUP(MOD(AL881,$AL$1),$AN$1:$AN$5,$AO$1:$AO$5))</f>
        <v>1</v>
      </c>
      <c r="AP881" s="5">
        <f t="shared" si="111"/>
        <v>4.3337926388603099E+24</v>
      </c>
      <c r="AQ881" s="5">
        <f>AM881*$AR$3</f>
        <v>1.1367324954387707E+24</v>
      </c>
      <c r="AR881" s="5">
        <f>AM881*AL881*$AR$4</f>
        <v>3.1970601434215425E+24</v>
      </c>
      <c r="AS881" s="5">
        <f>SUM($AP$9:AP880)</f>
        <v>1.0981926520610671E+26</v>
      </c>
    </row>
    <row r="882" spans="1:45" x14ac:dyDescent="0.15">
      <c r="A882" s="5">
        <v>874</v>
      </c>
      <c r="J882" s="5">
        <f t="shared" si="104"/>
        <v>874</v>
      </c>
      <c r="K882" s="5">
        <f>SUM($AP$9:AP881)</f>
        <v>1.1415305784496702E+26</v>
      </c>
      <c r="L882" s="5">
        <f>LOOKUP(K882,AI:AI,AE:AE)</f>
        <v>0</v>
      </c>
      <c r="M882" s="5" t="e">
        <f>LOOKUP(L882,AE:AE,AG:AG)</f>
        <v>#N/A</v>
      </c>
      <c r="N882" s="5" t="e">
        <f>AM882/M882/$K$1</f>
        <v>#N/A</v>
      </c>
      <c r="O882" s="5" t="e">
        <f>SUM($N$9:N882)</f>
        <v>#DIV/0!</v>
      </c>
      <c r="AE882" s="5">
        <f t="shared" si="105"/>
        <v>874</v>
      </c>
      <c r="AF882" s="5">
        <f t="shared" si="106"/>
        <v>2.9036342000077599E+21</v>
      </c>
      <c r="AG882" s="5">
        <f t="shared" si="107"/>
        <v>2.8904057981853997E+21</v>
      </c>
      <c r="AH882" s="5">
        <f>AG882*$AF$1</f>
        <v>2.8904057981853996E+22</v>
      </c>
      <c r="AI882" s="5">
        <f>SUM($AF$9:AF881)</f>
        <v>5.6683701808807532E+22</v>
      </c>
      <c r="AK882" s="5">
        <f t="shared" si="108"/>
        <v>874</v>
      </c>
      <c r="AL882" s="5">
        <f t="shared" si="109"/>
        <v>125</v>
      </c>
      <c r="AM882" s="5">
        <f t="shared" si="110"/>
        <v>8.5254937157907801E+24</v>
      </c>
      <c r="AN882" s="5">
        <f>$AL$4*$AL$3^AL882*$AL$2</f>
        <v>8.525493715790779E+24</v>
      </c>
      <c r="AO882" s="5">
        <f>IF(AL882=AL883,1,LOOKUP(MOD(AL882,$AL$1),$AN$1:$AN$5,$AO$1:$AO$5))</f>
        <v>1</v>
      </c>
      <c r="AP882" s="5">
        <f t="shared" si="111"/>
        <v>4.3337926388603099E+24</v>
      </c>
      <c r="AQ882" s="5">
        <f>AM882*$AR$3</f>
        <v>1.1367324954387707E+24</v>
      </c>
      <c r="AR882" s="5">
        <f>AM882*AL882*$AR$4</f>
        <v>3.1970601434215425E+24</v>
      </c>
      <c r="AS882" s="5">
        <f>SUM($AP$9:AP881)</f>
        <v>1.1415305784496702E+26</v>
      </c>
    </row>
    <row r="883" spans="1:45" x14ac:dyDescent="0.15">
      <c r="A883" s="5">
        <v>875</v>
      </c>
      <c r="J883" s="5">
        <f t="shared" si="104"/>
        <v>875</v>
      </c>
      <c r="K883" s="5">
        <f>SUM($AP$9:AP882)</f>
        <v>1.1848685048382733E+26</v>
      </c>
      <c r="L883" s="5">
        <f>LOOKUP(K883,AI:AI,AE:AE)</f>
        <v>0</v>
      </c>
      <c r="M883" s="5" t="e">
        <f>LOOKUP(L883,AE:AE,AG:AG)</f>
        <v>#N/A</v>
      </c>
      <c r="N883" s="5" t="e">
        <f>AM883/M883/$K$1</f>
        <v>#N/A</v>
      </c>
      <c r="O883" s="5" t="e">
        <f>SUM($N$9:N883)</f>
        <v>#DIV/0!</v>
      </c>
      <c r="AE883" s="5">
        <f t="shared" si="105"/>
        <v>875</v>
      </c>
      <c r="AF883" s="5">
        <f t="shared" si="106"/>
        <v>3.0522883654865199E+21</v>
      </c>
      <c r="AG883" s="5">
        <f t="shared" si="107"/>
        <v>3.03839854357304E+21</v>
      </c>
      <c r="AH883" s="5">
        <f>AG883*$AF$1</f>
        <v>3.0383985435730399E+22</v>
      </c>
      <c r="AI883" s="5">
        <f>SUM($AF$9:AF882)</f>
        <v>5.9587336008815291E+22</v>
      </c>
      <c r="AK883" s="5">
        <f t="shared" si="108"/>
        <v>875</v>
      </c>
      <c r="AL883" s="5">
        <f t="shared" si="109"/>
        <v>125</v>
      </c>
      <c r="AM883" s="5">
        <f t="shared" si="110"/>
        <v>5.9678456010535504E+25</v>
      </c>
      <c r="AN883" s="5">
        <f>$AL$4*$AL$3^AL883*$AL$2</f>
        <v>8.525493715790779E+24</v>
      </c>
      <c r="AO883" s="5">
        <f>IF(AL883=AL884,1,LOOKUP(MOD(AL883,$AL$1),$AN$1:$AN$5,$AO$1:$AO$5))</f>
        <v>7</v>
      </c>
      <c r="AP883" s="5">
        <f t="shared" si="111"/>
        <v>3.03365484720222E+25</v>
      </c>
      <c r="AQ883" s="5">
        <f>AM883*$AR$3</f>
        <v>7.9571274680713999E+24</v>
      </c>
      <c r="AR883" s="5">
        <f>AM883*AL883*$AR$4</f>
        <v>2.2379421003950817E+25</v>
      </c>
      <c r="AS883" s="5">
        <f>SUM($AP$9:AP882)</f>
        <v>1.1848685048382733E+26</v>
      </c>
    </row>
    <row r="884" spans="1:45" x14ac:dyDescent="0.15">
      <c r="A884" s="5">
        <v>876</v>
      </c>
      <c r="J884" s="5">
        <f t="shared" si="104"/>
        <v>876</v>
      </c>
      <c r="K884" s="5">
        <f>SUM($AP$9:AP883)</f>
        <v>1.4882339895584953E+26</v>
      </c>
      <c r="L884" s="5">
        <f>LOOKUP(K884,AI:AI,AE:AE)</f>
        <v>0</v>
      </c>
      <c r="M884" s="5" t="e">
        <f>LOOKUP(L884,AE:AE,AG:AG)</f>
        <v>#N/A</v>
      </c>
      <c r="N884" s="5" t="e">
        <f>AM884/M884/$K$1</f>
        <v>#N/A</v>
      </c>
      <c r="O884" s="5" t="e">
        <f>SUM($N$9:N884)</f>
        <v>#DIV/0!</v>
      </c>
      <c r="AE884" s="5">
        <f t="shared" si="105"/>
        <v>876</v>
      </c>
      <c r="AF884" s="5">
        <f t="shared" si="106"/>
        <v>3.2085488620131299E+21</v>
      </c>
      <c r="AG884" s="5">
        <f t="shared" si="107"/>
        <v>3.1939645490039798E+21</v>
      </c>
      <c r="AH884" s="5">
        <f>AG884*$AF$1</f>
        <v>3.19396454900398E+22</v>
      </c>
      <c r="AI884" s="5">
        <f>SUM($AF$9:AF883)</f>
        <v>6.2639624374301808E+22</v>
      </c>
      <c r="AK884" s="5">
        <f t="shared" si="108"/>
        <v>876</v>
      </c>
      <c r="AL884" s="5">
        <f t="shared" si="109"/>
        <v>126</v>
      </c>
      <c r="AM884" s="5">
        <f t="shared" si="110"/>
        <v>1.33850251337915E+25</v>
      </c>
      <c r="AN884" s="5">
        <f>$AL$4*$AL$3^AL884*$AL$2</f>
        <v>1.3385025133791526E+25</v>
      </c>
      <c r="AO884" s="5">
        <f>IF(AL884=AL885,1,LOOKUP(MOD(AL884,$AL$1),$AN$1:$AN$5,$AO$1:$AO$5))</f>
        <v>1</v>
      </c>
      <c r="AP884" s="5">
        <f t="shared" si="111"/>
        <v>6.8442095184120503E+24</v>
      </c>
      <c r="AQ884" s="5">
        <f>AM884*$AR$3</f>
        <v>1.7846700178388666E+24</v>
      </c>
      <c r="AR884" s="5">
        <f>AM884*AL884*$AR$4</f>
        <v>5.0595395005731872E+24</v>
      </c>
      <c r="AS884" s="5">
        <f>SUM($AP$9:AP883)</f>
        <v>1.4882339895584953E+26</v>
      </c>
    </row>
    <row r="885" spans="1:45" x14ac:dyDescent="0.15">
      <c r="A885" s="5">
        <v>877</v>
      </c>
      <c r="J885" s="5">
        <f t="shared" si="104"/>
        <v>877</v>
      </c>
      <c r="K885" s="5">
        <f>SUM($AP$9:AP884)</f>
        <v>1.5566760847426159E+26</v>
      </c>
      <c r="L885" s="5">
        <f>LOOKUP(K885,AI:AI,AE:AE)</f>
        <v>0</v>
      </c>
      <c r="M885" s="5" t="e">
        <f>LOOKUP(L885,AE:AE,AG:AG)</f>
        <v>#N/A</v>
      </c>
      <c r="N885" s="5" t="e">
        <f>AM885/M885/$K$1</f>
        <v>#N/A</v>
      </c>
      <c r="O885" s="5" t="e">
        <f>SUM($N$9:N885)</f>
        <v>#DIV/0!</v>
      </c>
      <c r="AE885" s="5">
        <f t="shared" si="105"/>
        <v>877</v>
      </c>
      <c r="AF885" s="5">
        <f t="shared" si="106"/>
        <v>3.37280468727869E+21</v>
      </c>
      <c r="AG885" s="5">
        <f t="shared" si="107"/>
        <v>3.3574911586190801E+21</v>
      </c>
      <c r="AH885" s="5">
        <f>AG885*$AF$1</f>
        <v>3.3574911586190802E+22</v>
      </c>
      <c r="AI885" s="5">
        <f>SUM($AF$9:AF884)</f>
        <v>6.5848173236314939E+22</v>
      </c>
      <c r="AK885" s="5">
        <f t="shared" si="108"/>
        <v>877</v>
      </c>
      <c r="AL885" s="5">
        <f t="shared" si="109"/>
        <v>126</v>
      </c>
      <c r="AM885" s="5">
        <f t="shared" si="110"/>
        <v>1.33850251337915E+25</v>
      </c>
      <c r="AN885" s="5">
        <f>$AL$4*$AL$3^AL885*$AL$2</f>
        <v>1.3385025133791526E+25</v>
      </c>
      <c r="AO885" s="5">
        <f>IF(AL885=AL886,1,LOOKUP(MOD(AL885,$AL$1),$AN$1:$AN$5,$AO$1:$AO$5))</f>
        <v>1</v>
      </c>
      <c r="AP885" s="5">
        <f t="shared" si="111"/>
        <v>6.8442095184120503E+24</v>
      </c>
      <c r="AQ885" s="5">
        <f>AM885*$AR$3</f>
        <v>1.7846700178388666E+24</v>
      </c>
      <c r="AR885" s="5">
        <f>AM885*AL885*$AR$4</f>
        <v>5.0595395005731872E+24</v>
      </c>
      <c r="AS885" s="5">
        <f>SUM($AP$9:AP884)</f>
        <v>1.5566760847426159E+26</v>
      </c>
    </row>
    <row r="886" spans="1:45" x14ac:dyDescent="0.15">
      <c r="A886" s="5">
        <v>878</v>
      </c>
      <c r="J886" s="5">
        <f t="shared" si="104"/>
        <v>878</v>
      </c>
      <c r="K886" s="5">
        <f>SUM($AP$9:AP885)</f>
        <v>1.6251181799267363E+26</v>
      </c>
      <c r="L886" s="5">
        <f>LOOKUP(K886,AI:AI,AE:AE)</f>
        <v>0</v>
      </c>
      <c r="M886" s="5" t="e">
        <f>LOOKUP(L886,AE:AE,AG:AG)</f>
        <v>#N/A</v>
      </c>
      <c r="N886" s="5" t="e">
        <f>AM886/M886/$K$1</f>
        <v>#N/A</v>
      </c>
      <c r="O886" s="5" t="e">
        <f>SUM($N$9:N886)</f>
        <v>#DIV/0!</v>
      </c>
      <c r="AE886" s="5">
        <f t="shared" si="105"/>
        <v>878</v>
      </c>
      <c r="AF886" s="5">
        <f t="shared" si="106"/>
        <v>3.54546472291577E+21</v>
      </c>
      <c r="AG886" s="5">
        <f t="shared" si="107"/>
        <v>3.5293855178231801E+21</v>
      </c>
      <c r="AH886" s="5">
        <f>AG886*$AF$1</f>
        <v>3.5293855178231801E+22</v>
      </c>
      <c r="AI886" s="5">
        <f>SUM($AF$9:AF885)</f>
        <v>6.9220977923593632E+22</v>
      </c>
      <c r="AK886" s="5">
        <f t="shared" si="108"/>
        <v>878</v>
      </c>
      <c r="AL886" s="5">
        <f t="shared" si="109"/>
        <v>126</v>
      </c>
      <c r="AM886" s="5">
        <f t="shared" si="110"/>
        <v>1.33850251337915E+25</v>
      </c>
      <c r="AN886" s="5">
        <f>$AL$4*$AL$3^AL886*$AL$2</f>
        <v>1.3385025133791526E+25</v>
      </c>
      <c r="AO886" s="5">
        <f>IF(AL886=AL887,1,LOOKUP(MOD(AL886,$AL$1),$AN$1:$AN$5,$AO$1:$AO$5))</f>
        <v>1</v>
      </c>
      <c r="AP886" s="5">
        <f t="shared" si="111"/>
        <v>6.8442095184120503E+24</v>
      </c>
      <c r="AQ886" s="5">
        <f>AM886*$AR$3</f>
        <v>1.7846700178388666E+24</v>
      </c>
      <c r="AR886" s="5">
        <f>AM886*AL886*$AR$4</f>
        <v>5.0595395005731872E+24</v>
      </c>
      <c r="AS886" s="5">
        <f>SUM($AP$9:AP885)</f>
        <v>1.6251181799267363E+26</v>
      </c>
    </row>
    <row r="887" spans="1:45" x14ac:dyDescent="0.15">
      <c r="A887" s="5">
        <v>879</v>
      </c>
      <c r="J887" s="5">
        <f t="shared" si="104"/>
        <v>879</v>
      </c>
      <c r="K887" s="5">
        <f>SUM($AP$9:AP886)</f>
        <v>1.6935602751108567E+26</v>
      </c>
      <c r="L887" s="5">
        <f>LOOKUP(K887,AI:AI,AE:AE)</f>
        <v>0</v>
      </c>
      <c r="M887" s="5" t="e">
        <f>LOOKUP(L887,AE:AE,AG:AG)</f>
        <v>#N/A</v>
      </c>
      <c r="N887" s="5" t="e">
        <f>AM887/M887/$K$1</f>
        <v>#N/A</v>
      </c>
      <c r="O887" s="5" t="e">
        <f>SUM($N$9:N887)</f>
        <v>#DIV/0!</v>
      </c>
      <c r="AE887" s="5">
        <f t="shared" si="105"/>
        <v>879</v>
      </c>
      <c r="AF887" s="5">
        <f t="shared" si="106"/>
        <v>3.7269587503983698E+21</v>
      </c>
      <c r="AG887" s="5">
        <f t="shared" si="107"/>
        <v>3.71007558505115E+21</v>
      </c>
      <c r="AH887" s="5">
        <f>AG887*$AF$1</f>
        <v>3.7100755850511501E+22</v>
      </c>
      <c r="AI887" s="5">
        <f>SUM($AF$9:AF886)</f>
        <v>7.2766442646509399E+22</v>
      </c>
      <c r="AK887" s="5">
        <f t="shared" si="108"/>
        <v>879</v>
      </c>
      <c r="AL887" s="5">
        <f t="shared" si="109"/>
        <v>126</v>
      </c>
      <c r="AM887" s="5">
        <f t="shared" si="110"/>
        <v>1.33850251337915E+25</v>
      </c>
      <c r="AN887" s="5">
        <f>$AL$4*$AL$3^AL887*$AL$2</f>
        <v>1.3385025133791526E+25</v>
      </c>
      <c r="AO887" s="5">
        <f>IF(AL887=AL888,1,LOOKUP(MOD(AL887,$AL$1),$AN$1:$AN$5,$AO$1:$AO$5))</f>
        <v>1</v>
      </c>
      <c r="AP887" s="5">
        <f t="shared" si="111"/>
        <v>6.8442095184120503E+24</v>
      </c>
      <c r="AQ887" s="5">
        <f>AM887*$AR$3</f>
        <v>1.7846700178388666E+24</v>
      </c>
      <c r="AR887" s="5">
        <f>AM887*AL887*$AR$4</f>
        <v>5.0595395005731872E+24</v>
      </c>
      <c r="AS887" s="5">
        <f>SUM($AP$9:AP886)</f>
        <v>1.6935602751108567E+26</v>
      </c>
    </row>
    <row r="888" spans="1:45" x14ac:dyDescent="0.15">
      <c r="A888" s="5">
        <v>880</v>
      </c>
      <c r="J888" s="5">
        <f t="shared" si="104"/>
        <v>880</v>
      </c>
      <c r="K888" s="5">
        <f>SUM($AP$9:AP887)</f>
        <v>1.762002370294977E+26</v>
      </c>
      <c r="L888" s="5">
        <f>LOOKUP(K888,AI:AI,AE:AE)</f>
        <v>0</v>
      </c>
      <c r="M888" s="5" t="e">
        <f>LOOKUP(L888,AE:AE,AG:AG)</f>
        <v>#N/A</v>
      </c>
      <c r="N888" s="5" t="e">
        <f>AM888/M888/$K$1</f>
        <v>#N/A</v>
      </c>
      <c r="O888" s="5" t="e">
        <f>SUM($N$9:N888)</f>
        <v>#DIV/0!</v>
      </c>
      <c r="AE888" s="5">
        <f t="shared" si="105"/>
        <v>880</v>
      </c>
      <c r="AF888" s="5">
        <f t="shared" si="106"/>
        <v>3.91773851882193E+21</v>
      </c>
      <c r="AG888" s="5">
        <f t="shared" si="107"/>
        <v>3.90001119520735E+21</v>
      </c>
      <c r="AH888" s="5">
        <f>AG888*$AF$1</f>
        <v>3.9000111952073496E+22</v>
      </c>
      <c r="AI888" s="5">
        <f>SUM($AF$9:AF887)</f>
        <v>7.6493401396907776E+22</v>
      </c>
      <c r="AK888" s="5">
        <f t="shared" si="108"/>
        <v>880</v>
      </c>
      <c r="AL888" s="5">
        <f t="shared" si="109"/>
        <v>126</v>
      </c>
      <c r="AM888" s="5">
        <f t="shared" si="110"/>
        <v>1.33850251337915E+25</v>
      </c>
      <c r="AN888" s="5">
        <f>$AL$4*$AL$3^AL888*$AL$2</f>
        <v>1.3385025133791526E+25</v>
      </c>
      <c r="AO888" s="5">
        <f>IF(AL888=AL889,1,LOOKUP(MOD(AL888,$AL$1),$AN$1:$AN$5,$AO$1:$AO$5))</f>
        <v>1</v>
      </c>
      <c r="AP888" s="5">
        <f t="shared" si="111"/>
        <v>6.8442095184120503E+24</v>
      </c>
      <c r="AQ888" s="5">
        <f>AM888*$AR$3</f>
        <v>1.7846700178388666E+24</v>
      </c>
      <c r="AR888" s="5">
        <f>AM888*AL888*$AR$4</f>
        <v>5.0595395005731872E+24</v>
      </c>
      <c r="AS888" s="5">
        <f>SUM($AP$9:AP887)</f>
        <v>1.762002370294977E+26</v>
      </c>
    </row>
    <row r="889" spans="1:45" x14ac:dyDescent="0.15">
      <c r="A889" s="5">
        <v>881</v>
      </c>
      <c r="J889" s="5">
        <f t="shared" si="104"/>
        <v>881</v>
      </c>
      <c r="K889" s="5">
        <f>SUM($AP$9:AP888)</f>
        <v>1.8304444654790974E+26</v>
      </c>
      <c r="L889" s="5">
        <f>LOOKUP(K889,AI:AI,AE:AE)</f>
        <v>0</v>
      </c>
      <c r="M889" s="5" t="e">
        <f>LOOKUP(L889,AE:AE,AG:AG)</f>
        <v>#N/A</v>
      </c>
      <c r="N889" s="5" t="e">
        <f>AM889/M889/$K$1</f>
        <v>#N/A</v>
      </c>
      <c r="O889" s="5" t="e">
        <f>SUM($N$9:N889)</f>
        <v>#DIV/0!</v>
      </c>
      <c r="AE889" s="5">
        <f t="shared" si="105"/>
        <v>881</v>
      </c>
      <c r="AF889" s="5">
        <f t="shared" si="106"/>
        <v>4.1182788672118498E+21</v>
      </c>
      <c r="AG889" s="5">
        <f t="shared" si="107"/>
        <v>4.0996651774165401E+21</v>
      </c>
      <c r="AH889" s="5">
        <f>AG889*$AF$1</f>
        <v>4.09966517741654E+22</v>
      </c>
      <c r="AI889" s="5">
        <f>SUM($AF$9:AF888)</f>
        <v>8.0411139915729703E+22</v>
      </c>
      <c r="AK889" s="5">
        <f t="shared" si="108"/>
        <v>881</v>
      </c>
      <c r="AL889" s="5">
        <f t="shared" si="109"/>
        <v>126</v>
      </c>
      <c r="AM889" s="5">
        <f t="shared" si="110"/>
        <v>1.33850251337915E+25</v>
      </c>
      <c r="AN889" s="5">
        <f>$AL$4*$AL$3^AL889*$AL$2</f>
        <v>1.3385025133791526E+25</v>
      </c>
      <c r="AO889" s="5">
        <f>IF(AL889=AL890,1,LOOKUP(MOD(AL889,$AL$1),$AN$1:$AN$5,$AO$1:$AO$5))</f>
        <v>1</v>
      </c>
      <c r="AP889" s="5">
        <f t="shared" si="111"/>
        <v>6.8442095184120503E+24</v>
      </c>
      <c r="AQ889" s="5">
        <f>AM889*$AR$3</f>
        <v>1.7846700178388666E+24</v>
      </c>
      <c r="AR889" s="5">
        <f>AM889*AL889*$AR$4</f>
        <v>5.0595395005731872E+24</v>
      </c>
      <c r="AS889" s="5">
        <f>SUM($AP$9:AP888)</f>
        <v>1.8304444654790974E+26</v>
      </c>
    </row>
    <row r="890" spans="1:45" x14ac:dyDescent="0.15">
      <c r="A890" s="5">
        <v>882</v>
      </c>
      <c r="J890" s="5">
        <f t="shared" si="104"/>
        <v>882</v>
      </c>
      <c r="K890" s="5">
        <f>SUM($AP$9:AP889)</f>
        <v>1.8988865606632178E+26</v>
      </c>
      <c r="L890" s="5">
        <f>LOOKUP(K890,AI:AI,AE:AE)</f>
        <v>0</v>
      </c>
      <c r="M890" s="5" t="e">
        <f>LOOKUP(L890,AE:AE,AG:AG)</f>
        <v>#N/A</v>
      </c>
      <c r="N890" s="5" t="e">
        <f>AM890/M890/$K$1</f>
        <v>#N/A</v>
      </c>
      <c r="O890" s="5" t="e">
        <f>SUM($N$9:N890)</f>
        <v>#DIV/0!</v>
      </c>
      <c r="AE890" s="5">
        <f t="shared" si="105"/>
        <v>882</v>
      </c>
      <c r="AF890" s="5">
        <f t="shared" si="106"/>
        <v>4.32907890414371E+21</v>
      </c>
      <c r="AG890" s="5">
        <f t="shared" si="107"/>
        <v>4.30953452985864E+21</v>
      </c>
      <c r="AH890" s="5">
        <f>AG890*$AF$1</f>
        <v>4.3095345298586403E+22</v>
      </c>
      <c r="AI890" s="5">
        <f>SUM($AF$9:AF889)</f>
        <v>8.4529418782941546E+22</v>
      </c>
      <c r="AK890" s="5">
        <f t="shared" si="108"/>
        <v>882</v>
      </c>
      <c r="AL890" s="5">
        <f t="shared" si="109"/>
        <v>126</v>
      </c>
      <c r="AM890" s="5">
        <f t="shared" si="110"/>
        <v>1.3385025133791499E+26</v>
      </c>
      <c r="AN890" s="5">
        <f>$AL$4*$AL$3^AL890*$AL$2</f>
        <v>1.3385025133791526E+25</v>
      </c>
      <c r="AO890" s="5">
        <f>IF(AL890=AL891,1,LOOKUP(MOD(AL890,$AL$1),$AN$1:$AN$5,$AO$1:$AO$5))</f>
        <v>10</v>
      </c>
      <c r="AP890" s="5">
        <f t="shared" si="111"/>
        <v>6.8442095184120497E+25</v>
      </c>
      <c r="AQ890" s="5">
        <f>AM890*$AR$3</f>
        <v>1.7846700178388666E+25</v>
      </c>
      <c r="AR890" s="5">
        <f>AM890*AL890*$AR$4</f>
        <v>5.0595395005731869E+25</v>
      </c>
      <c r="AS890" s="5">
        <f>SUM($AP$9:AP889)</f>
        <v>1.8988865606632178E+26</v>
      </c>
    </row>
    <row r="891" spans="1:45" x14ac:dyDescent="0.15">
      <c r="A891" s="5">
        <v>883</v>
      </c>
      <c r="J891" s="5">
        <f t="shared" si="104"/>
        <v>883</v>
      </c>
      <c r="K891" s="5">
        <f>SUM($AP$9:AP890)</f>
        <v>2.5833075125044227E+26</v>
      </c>
      <c r="L891" s="5">
        <f>LOOKUP(K891,AI:AI,AE:AE)</f>
        <v>0</v>
      </c>
      <c r="M891" s="5" t="e">
        <f>LOOKUP(L891,AE:AE,AG:AG)</f>
        <v>#N/A</v>
      </c>
      <c r="N891" s="5" t="e">
        <f>AM891/M891/$K$1</f>
        <v>#N/A</v>
      </c>
      <c r="O891" s="5" t="e">
        <f>SUM($N$9:N891)</f>
        <v>#DIV/0!</v>
      </c>
      <c r="AE891" s="5">
        <f t="shared" si="105"/>
        <v>883</v>
      </c>
      <c r="AF891" s="5">
        <f t="shared" si="106"/>
        <v>4.5506632476007302E+21</v>
      </c>
      <c r="AG891" s="5">
        <f t="shared" si="107"/>
        <v>4.5301416546014001E+21</v>
      </c>
      <c r="AH891" s="5">
        <f>AG891*$AF$1</f>
        <v>4.5301416546014004E+22</v>
      </c>
      <c r="AI891" s="5">
        <f>SUM($AF$9:AF890)</f>
        <v>8.8858497687085254E+22</v>
      </c>
      <c r="AK891" s="5">
        <f t="shared" si="108"/>
        <v>883</v>
      </c>
      <c r="AL891" s="5">
        <f t="shared" si="109"/>
        <v>127</v>
      </c>
      <c r="AM891" s="5">
        <f t="shared" si="110"/>
        <v>2.1014489460052698E+25</v>
      </c>
      <c r="AN891" s="5">
        <f>$AL$4*$AL$3^AL891*$AL$2</f>
        <v>2.1014489460052694E+25</v>
      </c>
      <c r="AO891" s="5">
        <f>IF(AL891=AL892,1,LOOKUP(MOD(AL891,$AL$1),$AN$1:$AN$5,$AO$1:$AO$5))</f>
        <v>1</v>
      </c>
      <c r="AP891" s="5">
        <f t="shared" si="111"/>
        <v>1.0808452412287101E+25</v>
      </c>
      <c r="AQ891" s="5">
        <f>AM891*$AR$3</f>
        <v>2.8019319280070265E+24</v>
      </c>
      <c r="AR891" s="5">
        <f>AM891*AL891*$AR$4</f>
        <v>8.0065204842800779E+24</v>
      </c>
      <c r="AS891" s="5">
        <f>SUM($AP$9:AP890)</f>
        <v>2.5833075125044227E+26</v>
      </c>
    </row>
    <row r="892" spans="1:45" x14ac:dyDescent="0.15">
      <c r="A892" s="5">
        <v>884</v>
      </c>
      <c r="J892" s="5">
        <f t="shared" si="104"/>
        <v>884</v>
      </c>
      <c r="K892" s="5">
        <f>SUM($AP$9:AP891)</f>
        <v>2.6913920366272936E+26</v>
      </c>
      <c r="L892" s="5">
        <f>LOOKUP(K892,AI:AI,AE:AE)</f>
        <v>0</v>
      </c>
      <c r="M892" s="5" t="e">
        <f>LOOKUP(L892,AE:AE,AG:AG)</f>
        <v>#N/A</v>
      </c>
      <c r="N892" s="5" t="e">
        <f>AM892/M892/$K$1</f>
        <v>#N/A</v>
      </c>
      <c r="O892" s="5" t="e">
        <f>SUM($N$9:N892)</f>
        <v>#DIV/0!</v>
      </c>
      <c r="AE892" s="5">
        <f t="shared" si="105"/>
        <v>884</v>
      </c>
      <c r="AF892" s="5">
        <f t="shared" si="106"/>
        <v>4.7835833281430904E+21</v>
      </c>
      <c r="AG892" s="5">
        <f t="shared" si="107"/>
        <v>4.7620356554937996E+21</v>
      </c>
      <c r="AH892" s="5">
        <f>AG892*$AF$1</f>
        <v>4.7620356554938001E+22</v>
      </c>
      <c r="AI892" s="5">
        <f>SUM($AF$9:AF891)</f>
        <v>9.3409160934685984E+22</v>
      </c>
      <c r="AK892" s="5">
        <f t="shared" si="108"/>
        <v>884</v>
      </c>
      <c r="AL892" s="5">
        <f t="shared" si="109"/>
        <v>127</v>
      </c>
      <c r="AM892" s="5">
        <f t="shared" si="110"/>
        <v>2.1014489460052698E+25</v>
      </c>
      <c r="AN892" s="5">
        <f>$AL$4*$AL$3^AL892*$AL$2</f>
        <v>2.1014489460052694E+25</v>
      </c>
      <c r="AO892" s="5">
        <f>IF(AL892=AL893,1,LOOKUP(MOD(AL892,$AL$1),$AN$1:$AN$5,$AO$1:$AO$5))</f>
        <v>1</v>
      </c>
      <c r="AP892" s="5">
        <f t="shared" si="111"/>
        <v>1.0808452412287101E+25</v>
      </c>
      <c r="AQ892" s="5">
        <f>AM892*$AR$3</f>
        <v>2.8019319280070265E+24</v>
      </c>
      <c r="AR892" s="5">
        <f>AM892*AL892*$AR$4</f>
        <v>8.0065204842800779E+24</v>
      </c>
      <c r="AS892" s="5">
        <f>SUM($AP$9:AP891)</f>
        <v>2.6913920366272936E+26</v>
      </c>
    </row>
    <row r="893" spans="1:45" x14ac:dyDescent="0.15">
      <c r="A893" s="5">
        <v>885</v>
      </c>
      <c r="J893" s="5">
        <f t="shared" si="104"/>
        <v>885</v>
      </c>
      <c r="K893" s="5">
        <f>SUM($AP$9:AP892)</f>
        <v>2.7994765607501646E+26</v>
      </c>
      <c r="L893" s="5">
        <f>LOOKUP(K893,AI:AI,AE:AE)</f>
        <v>0</v>
      </c>
      <c r="M893" s="5" t="e">
        <f>LOOKUP(L893,AE:AE,AG:AG)</f>
        <v>#N/A</v>
      </c>
      <c r="N893" s="5" t="e">
        <f>AM893/M893/$K$1</f>
        <v>#N/A</v>
      </c>
      <c r="O893" s="5" t="e">
        <f>SUM($N$9:N893)</f>
        <v>#DIV/0!</v>
      </c>
      <c r="AE893" s="5">
        <f t="shared" si="105"/>
        <v>885</v>
      </c>
      <c r="AF893" s="5">
        <f t="shared" si="106"/>
        <v>5.0284187586206798E+21</v>
      </c>
      <c r="AG893" s="5">
        <f t="shared" si="107"/>
        <v>5.0057937023389296E+21</v>
      </c>
      <c r="AH893" s="5">
        <f>AG893*$AF$1</f>
        <v>5.00579370233893E+22</v>
      </c>
      <c r="AI893" s="5">
        <f>SUM($AF$9:AF892)</f>
        <v>9.8192744262829078E+22</v>
      </c>
      <c r="AK893" s="5">
        <f t="shared" si="108"/>
        <v>885</v>
      </c>
      <c r="AL893" s="5">
        <f t="shared" si="109"/>
        <v>127</v>
      </c>
      <c r="AM893" s="5">
        <f t="shared" si="110"/>
        <v>2.1014489460052698E+25</v>
      </c>
      <c r="AN893" s="5">
        <f>$AL$4*$AL$3^AL893*$AL$2</f>
        <v>2.1014489460052694E+25</v>
      </c>
      <c r="AO893" s="5">
        <f>IF(AL893=AL894,1,LOOKUP(MOD(AL893,$AL$1),$AN$1:$AN$5,$AO$1:$AO$5))</f>
        <v>1</v>
      </c>
      <c r="AP893" s="5">
        <f t="shared" si="111"/>
        <v>1.0808452412287101E+25</v>
      </c>
      <c r="AQ893" s="5">
        <f>AM893*$AR$3</f>
        <v>2.8019319280070265E+24</v>
      </c>
      <c r="AR893" s="5">
        <f>AM893*AL893*$AR$4</f>
        <v>8.0065204842800779E+24</v>
      </c>
      <c r="AS893" s="5">
        <f>SUM($AP$9:AP892)</f>
        <v>2.7994765607501646E+26</v>
      </c>
    </row>
    <row r="894" spans="1:45" x14ac:dyDescent="0.15">
      <c r="A894" s="5">
        <v>886</v>
      </c>
      <c r="J894" s="5">
        <f t="shared" si="104"/>
        <v>886</v>
      </c>
      <c r="K894" s="5">
        <f>SUM($AP$9:AP893)</f>
        <v>2.9075610848730355E+26</v>
      </c>
      <c r="L894" s="5">
        <f>LOOKUP(K894,AI:AI,AE:AE)</f>
        <v>0</v>
      </c>
      <c r="M894" s="5" t="e">
        <f>LOOKUP(L894,AE:AE,AG:AG)</f>
        <v>#N/A</v>
      </c>
      <c r="N894" s="5" t="e">
        <f>AM894/M894/$K$1</f>
        <v>#N/A</v>
      </c>
      <c r="O894" s="5" t="e">
        <f>SUM($N$9:N894)</f>
        <v>#DIV/0!</v>
      </c>
      <c r="AE894" s="5">
        <f t="shared" si="105"/>
        <v>886</v>
      </c>
      <c r="AF894" s="5">
        <f t="shared" si="106"/>
        <v>5.2857787738256803E+21</v>
      </c>
      <c r="AG894" s="5">
        <f t="shared" si="107"/>
        <v>5.2620224647298296E+21</v>
      </c>
      <c r="AH894" s="5">
        <f>AG894*$AF$1</f>
        <v>5.2620224647298298E+22</v>
      </c>
      <c r="AI894" s="5">
        <f>SUM($AF$9:AF893)</f>
        <v>1.0322116302144975E+23</v>
      </c>
      <c r="AK894" s="5">
        <f t="shared" si="108"/>
        <v>886</v>
      </c>
      <c r="AL894" s="5">
        <f t="shared" si="109"/>
        <v>127</v>
      </c>
      <c r="AM894" s="5">
        <f t="shared" si="110"/>
        <v>2.1014489460052698E+25</v>
      </c>
      <c r="AN894" s="5">
        <f>$AL$4*$AL$3^AL894*$AL$2</f>
        <v>2.1014489460052694E+25</v>
      </c>
      <c r="AO894" s="5">
        <f>IF(AL894=AL895,1,LOOKUP(MOD(AL894,$AL$1),$AN$1:$AN$5,$AO$1:$AO$5))</f>
        <v>1</v>
      </c>
      <c r="AP894" s="5">
        <f t="shared" si="111"/>
        <v>1.0808452412287101E+25</v>
      </c>
      <c r="AQ894" s="5">
        <f>AM894*$AR$3</f>
        <v>2.8019319280070265E+24</v>
      </c>
      <c r="AR894" s="5">
        <f>AM894*AL894*$AR$4</f>
        <v>8.0065204842800779E+24</v>
      </c>
      <c r="AS894" s="5">
        <f>SUM($AP$9:AP893)</f>
        <v>2.9075610848730355E+26</v>
      </c>
    </row>
    <row r="895" spans="1:45" x14ac:dyDescent="0.15">
      <c r="A895" s="5">
        <v>887</v>
      </c>
      <c r="J895" s="5">
        <f t="shared" si="104"/>
        <v>887</v>
      </c>
      <c r="K895" s="5">
        <f>SUM($AP$9:AP894)</f>
        <v>3.0156456089959065E+26</v>
      </c>
      <c r="L895" s="5">
        <f>LOOKUP(K895,AI:AI,AE:AE)</f>
        <v>0</v>
      </c>
      <c r="M895" s="5" t="e">
        <f>LOOKUP(L895,AE:AE,AG:AG)</f>
        <v>#N/A</v>
      </c>
      <c r="N895" s="5" t="e">
        <f>AM895/M895/$K$1</f>
        <v>#N/A</v>
      </c>
      <c r="O895" s="5" t="e">
        <f>SUM($N$9:N895)</f>
        <v>#DIV/0!</v>
      </c>
      <c r="AE895" s="5">
        <f t="shared" si="105"/>
        <v>887</v>
      </c>
      <c r="AF895" s="5">
        <f t="shared" si="106"/>
        <v>5.5563037436546195E+21</v>
      </c>
      <c r="AG895" s="5">
        <f t="shared" si="107"/>
        <v>5.53135961910399E+21</v>
      </c>
      <c r="AH895" s="5">
        <f>AG895*$AF$1</f>
        <v>5.5313596191039897E+22</v>
      </c>
      <c r="AI895" s="5">
        <f>SUM($AF$9:AF894)</f>
        <v>1.0850694179527542E+23</v>
      </c>
      <c r="AK895" s="5">
        <f t="shared" si="108"/>
        <v>887</v>
      </c>
      <c r="AL895" s="5">
        <f t="shared" si="109"/>
        <v>127</v>
      </c>
      <c r="AM895" s="5">
        <f t="shared" si="110"/>
        <v>2.1014489460052698E+25</v>
      </c>
      <c r="AN895" s="5">
        <f>$AL$4*$AL$3^AL895*$AL$2</f>
        <v>2.1014489460052694E+25</v>
      </c>
      <c r="AO895" s="5">
        <f>IF(AL895=AL896,1,LOOKUP(MOD(AL895,$AL$1),$AN$1:$AN$5,$AO$1:$AO$5))</f>
        <v>1</v>
      </c>
      <c r="AP895" s="5">
        <f t="shared" si="111"/>
        <v>1.0808452412287101E+25</v>
      </c>
      <c r="AQ895" s="5">
        <f>AM895*$AR$3</f>
        <v>2.8019319280070265E+24</v>
      </c>
      <c r="AR895" s="5">
        <f>AM895*AL895*$AR$4</f>
        <v>8.0065204842800779E+24</v>
      </c>
      <c r="AS895" s="5">
        <f>SUM($AP$9:AP894)</f>
        <v>3.0156456089959065E+26</v>
      </c>
    </row>
    <row r="896" spans="1:45" x14ac:dyDescent="0.15">
      <c r="A896" s="5">
        <v>888</v>
      </c>
      <c r="J896" s="5">
        <f t="shared" si="104"/>
        <v>888</v>
      </c>
      <c r="K896" s="5">
        <f>SUM($AP$9:AP895)</f>
        <v>3.1237301331187774E+26</v>
      </c>
      <c r="L896" s="5">
        <f>LOOKUP(K896,AI:AI,AE:AE)</f>
        <v>0</v>
      </c>
      <c r="M896" s="5" t="e">
        <f>LOOKUP(L896,AE:AE,AG:AG)</f>
        <v>#N/A</v>
      </c>
      <c r="N896" s="5" t="e">
        <f>AM896/M896/$K$1</f>
        <v>#N/A</v>
      </c>
      <c r="O896" s="5" t="e">
        <f>SUM($N$9:N896)</f>
        <v>#DIV/0!</v>
      </c>
      <c r="AE896" s="5">
        <f t="shared" si="105"/>
        <v>888</v>
      </c>
      <c r="AF896" s="5">
        <f t="shared" si="106"/>
        <v>5.8406667635318996E+21</v>
      </c>
      <c r="AG896" s="5">
        <f t="shared" si="107"/>
        <v>5.8144754327537299E+21</v>
      </c>
      <c r="AH896" s="5">
        <f>AG896*$AF$1</f>
        <v>5.8144754327537299E+22</v>
      </c>
      <c r="AI896" s="5">
        <f>SUM($AF$9:AF895)</f>
        <v>1.1406324553893005E+23</v>
      </c>
      <c r="AK896" s="5">
        <f t="shared" si="108"/>
        <v>888</v>
      </c>
      <c r="AL896" s="5">
        <f t="shared" si="109"/>
        <v>127</v>
      </c>
      <c r="AM896" s="5">
        <f t="shared" si="110"/>
        <v>2.1014489460052698E+25</v>
      </c>
      <c r="AN896" s="5">
        <f>$AL$4*$AL$3^AL896*$AL$2</f>
        <v>2.1014489460052694E+25</v>
      </c>
      <c r="AO896" s="5">
        <f>IF(AL896=AL897,1,LOOKUP(MOD(AL896,$AL$1),$AN$1:$AN$5,$AO$1:$AO$5))</f>
        <v>1</v>
      </c>
      <c r="AP896" s="5">
        <f t="shared" si="111"/>
        <v>1.0808452412287101E+25</v>
      </c>
      <c r="AQ896" s="5">
        <f>AM896*$AR$3</f>
        <v>2.8019319280070265E+24</v>
      </c>
      <c r="AR896" s="5">
        <f>AM896*AL896*$AR$4</f>
        <v>8.0065204842800779E+24</v>
      </c>
      <c r="AS896" s="5">
        <f>SUM($AP$9:AP895)</f>
        <v>3.1237301331187774E+26</v>
      </c>
    </row>
    <row r="897" spans="1:45" x14ac:dyDescent="0.15">
      <c r="A897" s="5">
        <v>889</v>
      </c>
      <c r="J897" s="5">
        <f t="shared" si="104"/>
        <v>889</v>
      </c>
      <c r="K897" s="5">
        <f>SUM($AP$9:AP896)</f>
        <v>3.2318146572416483E+26</v>
      </c>
      <c r="L897" s="5">
        <f>LOOKUP(K897,AI:AI,AE:AE)</f>
        <v>0</v>
      </c>
      <c r="M897" s="5" t="e">
        <f>LOOKUP(L897,AE:AE,AG:AG)</f>
        <v>#N/A</v>
      </c>
      <c r="N897" s="5" t="e">
        <f>AM897/M897/$K$1</f>
        <v>#N/A</v>
      </c>
      <c r="O897" s="5" t="e">
        <f>SUM($N$9:N897)</f>
        <v>#DIV/0!</v>
      </c>
      <c r="AE897" s="5">
        <f t="shared" si="105"/>
        <v>889</v>
      </c>
      <c r="AF897" s="5">
        <f t="shared" si="106"/>
        <v>6.1395753260377598E+21</v>
      </c>
      <c r="AG897" s="5">
        <f t="shared" si="107"/>
        <v>6.1120744287206795E+21</v>
      </c>
      <c r="AH897" s="5">
        <f>AG897*$AF$1</f>
        <v>6.1120744287206797E+22</v>
      </c>
      <c r="AI897" s="5">
        <f>SUM($AF$9:AF896)</f>
        <v>1.1990391230246194E+23</v>
      </c>
      <c r="AK897" s="5">
        <f t="shared" si="108"/>
        <v>889</v>
      </c>
      <c r="AL897" s="5">
        <f t="shared" si="109"/>
        <v>127</v>
      </c>
      <c r="AM897" s="5">
        <f t="shared" si="110"/>
        <v>4.2028978920105397E+25</v>
      </c>
      <c r="AN897" s="5">
        <f>$AL$4*$AL$3^AL897*$AL$2</f>
        <v>2.1014489460052694E+25</v>
      </c>
      <c r="AO897" s="5">
        <f>IF(AL897=AL898,1,LOOKUP(MOD(AL897,$AL$1),$AN$1:$AN$5,$AO$1:$AO$5))</f>
        <v>2</v>
      </c>
      <c r="AP897" s="5">
        <f t="shared" si="111"/>
        <v>2.1616904824574201E+25</v>
      </c>
      <c r="AQ897" s="5">
        <f>AM897*$AR$3</f>
        <v>5.603863856014053E+24</v>
      </c>
      <c r="AR897" s="5">
        <f>AM897*AL897*$AR$4</f>
        <v>1.6013040968560156E+25</v>
      </c>
      <c r="AS897" s="5">
        <f>SUM($AP$9:AP896)</f>
        <v>3.2318146572416483E+26</v>
      </c>
    </row>
    <row r="898" spans="1:45" x14ac:dyDescent="0.15">
      <c r="A898" s="5">
        <v>890</v>
      </c>
      <c r="J898" s="5">
        <f t="shared" si="104"/>
        <v>890</v>
      </c>
      <c r="K898" s="5">
        <f>SUM($AP$9:AP897)</f>
        <v>3.4479837054873902E+26</v>
      </c>
      <c r="L898" s="5">
        <f>LOOKUP(K898,AI:AI,AE:AE)</f>
        <v>0</v>
      </c>
      <c r="M898" s="5" t="e">
        <f>LOOKUP(L898,AE:AE,AG:AG)</f>
        <v>#N/A</v>
      </c>
      <c r="N898" s="5" t="e">
        <f>AM898/M898/$K$1</f>
        <v>#N/A</v>
      </c>
      <c r="O898" s="5" t="e">
        <f>SUM($N$9:N898)</f>
        <v>#DIV/0!</v>
      </c>
      <c r="AE898" s="5">
        <f t="shared" si="105"/>
        <v>890</v>
      </c>
      <c r="AF898" s="5">
        <f t="shared" si="106"/>
        <v>6.4537730778853802E+21</v>
      </c>
      <c r="AG898" s="5">
        <f t="shared" si="107"/>
        <v>6.4248971357024504E+21</v>
      </c>
      <c r="AH898" s="5">
        <f>AG898*$AF$1</f>
        <v>6.4248971357024504E+22</v>
      </c>
      <c r="AI898" s="5">
        <f>SUM($AF$9:AF897)</f>
        <v>1.2604348762849971E+23</v>
      </c>
      <c r="AK898" s="5">
        <f t="shared" si="108"/>
        <v>890</v>
      </c>
      <c r="AL898" s="5">
        <f t="shared" si="109"/>
        <v>128</v>
      </c>
      <c r="AM898" s="5">
        <f t="shared" si="110"/>
        <v>3.29927484522827E+25</v>
      </c>
      <c r="AN898" s="5">
        <f>$AL$4*$AL$3^AL898*$AL$2</f>
        <v>3.2992748452282717E+25</v>
      </c>
      <c r="AO898" s="5">
        <f>IF(AL898=AL899,1,LOOKUP(MOD(AL898,$AL$1),$AN$1:$AN$5,$AO$1:$AO$5))</f>
        <v>1</v>
      </c>
      <c r="AP898" s="5">
        <f t="shared" si="111"/>
        <v>1.70682485326476E+25</v>
      </c>
      <c r="AQ898" s="5">
        <f>AM898*$AR$3</f>
        <v>4.3990331269710264E+24</v>
      </c>
      <c r="AR898" s="5">
        <f>AM898*AL898*$AR$4</f>
        <v>1.2669215405676558E+25</v>
      </c>
      <c r="AS898" s="5">
        <f>SUM($AP$9:AP897)</f>
        <v>3.4479837054873902E+26</v>
      </c>
    </row>
    <row r="899" spans="1:45" x14ac:dyDescent="0.15">
      <c r="A899" s="5">
        <v>891</v>
      </c>
      <c r="J899" s="5">
        <f t="shared" si="104"/>
        <v>891</v>
      </c>
      <c r="K899" s="5">
        <f>SUM($AP$9:AP898)</f>
        <v>3.6186661908138664E+26</v>
      </c>
      <c r="L899" s="5">
        <f>LOOKUP(K899,AI:AI,AE:AE)</f>
        <v>0</v>
      </c>
      <c r="M899" s="5" t="e">
        <f>LOOKUP(L899,AE:AE,AG:AG)</f>
        <v>#N/A</v>
      </c>
      <c r="N899" s="5" t="e">
        <f>AM899/M899/$K$1</f>
        <v>#N/A</v>
      </c>
      <c r="O899" s="5" t="e">
        <f>SUM($N$9:N899)</f>
        <v>#DIV/0!</v>
      </c>
      <c r="AE899" s="5">
        <f t="shared" si="105"/>
        <v>891</v>
      </c>
      <c r="AF899" s="5">
        <f t="shared" si="106"/>
        <v>6.7840416666026697E+21</v>
      </c>
      <c r="AG899" s="5">
        <f t="shared" si="107"/>
        <v>6.7537219273106003E+21</v>
      </c>
      <c r="AH899" s="5">
        <f>AG899*$AF$1</f>
        <v>6.7537219273106007E+22</v>
      </c>
      <c r="AI899" s="5">
        <f>SUM($AF$9:AF898)</f>
        <v>1.324972607063851E+23</v>
      </c>
      <c r="AK899" s="5">
        <f t="shared" si="108"/>
        <v>891</v>
      </c>
      <c r="AL899" s="5">
        <f t="shared" si="109"/>
        <v>128</v>
      </c>
      <c r="AM899" s="5">
        <f t="shared" si="110"/>
        <v>3.29927484522827E+25</v>
      </c>
      <c r="AN899" s="5">
        <f>$AL$4*$AL$3^AL899*$AL$2</f>
        <v>3.2992748452282717E+25</v>
      </c>
      <c r="AO899" s="5">
        <f>IF(AL899=AL900,1,LOOKUP(MOD(AL899,$AL$1),$AN$1:$AN$5,$AO$1:$AO$5))</f>
        <v>1</v>
      </c>
      <c r="AP899" s="5">
        <f t="shared" si="111"/>
        <v>1.70682485326476E+25</v>
      </c>
      <c r="AQ899" s="5">
        <f>AM899*$AR$3</f>
        <v>4.3990331269710264E+24</v>
      </c>
      <c r="AR899" s="5">
        <f>AM899*AL899*$AR$4</f>
        <v>1.2669215405676558E+25</v>
      </c>
      <c r="AS899" s="5">
        <f>SUM($AP$9:AP898)</f>
        <v>3.6186661908138664E+26</v>
      </c>
    </row>
    <row r="900" spans="1:45" x14ac:dyDescent="0.15">
      <c r="A900" s="5">
        <v>892</v>
      </c>
      <c r="J900" s="5">
        <f t="shared" si="104"/>
        <v>892</v>
      </c>
      <c r="K900" s="5">
        <f>SUM($AP$9:AP899)</f>
        <v>3.7893486761403425E+26</v>
      </c>
      <c r="L900" s="5">
        <f>LOOKUP(K900,AI:AI,AE:AE)</f>
        <v>0</v>
      </c>
      <c r="M900" s="5" t="e">
        <f>LOOKUP(L900,AE:AE,AG:AG)</f>
        <v>#N/A</v>
      </c>
      <c r="N900" s="5" t="e">
        <f>AM900/M900/$K$1</f>
        <v>#N/A</v>
      </c>
      <c r="O900" s="5" t="e">
        <f>SUM($N$9:N900)</f>
        <v>#DIV/0!</v>
      </c>
      <c r="AE900" s="5">
        <f t="shared" si="105"/>
        <v>892</v>
      </c>
      <c r="AF900" s="5">
        <f t="shared" si="106"/>
        <v>7.1312026814969796E+21</v>
      </c>
      <c r="AG900" s="5">
        <f t="shared" si="107"/>
        <v>7.09936695524029E+21</v>
      </c>
      <c r="AH900" s="5">
        <f>AG900*$AF$1</f>
        <v>7.09936695524029E+22</v>
      </c>
      <c r="AI900" s="5">
        <f>SUM($AF$9:AF899)</f>
        <v>1.3928130237298776E+23</v>
      </c>
      <c r="AK900" s="5">
        <f t="shared" si="108"/>
        <v>892</v>
      </c>
      <c r="AL900" s="5">
        <f t="shared" si="109"/>
        <v>128</v>
      </c>
      <c r="AM900" s="5">
        <f t="shared" si="110"/>
        <v>3.29927484522827E+25</v>
      </c>
      <c r="AN900" s="5">
        <f>$AL$4*$AL$3^AL900*$AL$2</f>
        <v>3.2992748452282717E+25</v>
      </c>
      <c r="AO900" s="5">
        <f>IF(AL900=AL901,1,LOOKUP(MOD(AL900,$AL$1),$AN$1:$AN$5,$AO$1:$AO$5))</f>
        <v>1</v>
      </c>
      <c r="AP900" s="5">
        <f t="shared" si="111"/>
        <v>1.70682485326476E+25</v>
      </c>
      <c r="AQ900" s="5">
        <f>AM900*$AR$3</f>
        <v>4.3990331269710264E+24</v>
      </c>
      <c r="AR900" s="5">
        <f>AM900*AL900*$AR$4</f>
        <v>1.2669215405676558E+25</v>
      </c>
      <c r="AS900" s="5">
        <f>SUM($AP$9:AP899)</f>
        <v>3.7893486761403425E+26</v>
      </c>
    </row>
    <row r="901" spans="1:45" x14ac:dyDescent="0.15">
      <c r="A901" s="5">
        <v>893</v>
      </c>
      <c r="J901" s="5">
        <f t="shared" si="104"/>
        <v>893</v>
      </c>
      <c r="K901" s="5">
        <f>SUM($AP$9:AP900)</f>
        <v>3.9600311614668187E+26</v>
      </c>
      <c r="L901" s="5">
        <f>LOOKUP(K901,AI:AI,AE:AE)</f>
        <v>0</v>
      </c>
      <c r="M901" s="5" t="e">
        <f>LOOKUP(L901,AE:AE,AG:AG)</f>
        <v>#N/A</v>
      </c>
      <c r="N901" s="5" t="e">
        <f>AM901/M901/$K$1</f>
        <v>#N/A</v>
      </c>
      <c r="O901" s="5" t="e">
        <f>SUM($N$9:N901)</f>
        <v>#DIV/0!</v>
      </c>
      <c r="AE901" s="5">
        <f t="shared" si="105"/>
        <v>893</v>
      </c>
      <c r="AF901" s="5">
        <f t="shared" si="106"/>
        <v>7.4961196937142096E+21</v>
      </c>
      <c r="AG901" s="5">
        <f t="shared" si="107"/>
        <v>7.46269218114469E+21</v>
      </c>
      <c r="AH901" s="5">
        <f>AG901*$AF$1</f>
        <v>7.4626921811446898E+22</v>
      </c>
      <c r="AI901" s="5">
        <f>SUM($AF$9:AF900)</f>
        <v>1.4641250505448475E+23</v>
      </c>
      <c r="AK901" s="5">
        <f t="shared" si="108"/>
        <v>893</v>
      </c>
      <c r="AL901" s="5">
        <f t="shared" si="109"/>
        <v>128</v>
      </c>
      <c r="AM901" s="5">
        <f t="shared" si="110"/>
        <v>3.29927484522827E+25</v>
      </c>
      <c r="AN901" s="5">
        <f>$AL$4*$AL$3^AL901*$AL$2</f>
        <v>3.2992748452282717E+25</v>
      </c>
      <c r="AO901" s="5">
        <f>IF(AL901=AL902,1,LOOKUP(MOD(AL901,$AL$1),$AN$1:$AN$5,$AO$1:$AO$5))</f>
        <v>1</v>
      </c>
      <c r="AP901" s="5">
        <f t="shared" si="111"/>
        <v>1.70682485326476E+25</v>
      </c>
      <c r="AQ901" s="5">
        <f>AM901*$AR$3</f>
        <v>4.3990331269710264E+24</v>
      </c>
      <c r="AR901" s="5">
        <f>AM901*AL901*$AR$4</f>
        <v>1.2669215405676558E+25</v>
      </c>
      <c r="AS901" s="5">
        <f>SUM($AP$9:AP900)</f>
        <v>3.9600311614668187E+26</v>
      </c>
    </row>
    <row r="902" spans="1:45" x14ac:dyDescent="0.15">
      <c r="A902" s="5">
        <v>894</v>
      </c>
      <c r="J902" s="5">
        <f t="shared" si="104"/>
        <v>894</v>
      </c>
      <c r="K902" s="5">
        <f>SUM($AP$9:AP901)</f>
        <v>4.1307136467932948E+26</v>
      </c>
      <c r="L902" s="5">
        <f>LOOKUP(K902,AI:AI,AE:AE)</f>
        <v>0</v>
      </c>
      <c r="M902" s="5" t="e">
        <f>LOOKUP(L902,AE:AE,AG:AG)</f>
        <v>#N/A</v>
      </c>
      <c r="N902" s="5" t="e">
        <f>AM902/M902/$K$1</f>
        <v>#N/A</v>
      </c>
      <c r="O902" s="5" t="e">
        <f>SUM($N$9:N902)</f>
        <v>#DIV/0!</v>
      </c>
      <c r="AE902" s="5">
        <f t="shared" si="105"/>
        <v>894</v>
      </c>
      <c r="AF902" s="5">
        <f t="shared" si="106"/>
        <v>7.8797004004494095E+21</v>
      </c>
      <c r="AG902" s="5">
        <f t="shared" si="107"/>
        <v>7.84460151225142E+21</v>
      </c>
      <c r="AH902" s="5">
        <f>AG902*$AF$1</f>
        <v>7.84460151225142E+22</v>
      </c>
      <c r="AI902" s="5">
        <f>SUM($AF$9:AF901)</f>
        <v>1.5390862474819897E+23</v>
      </c>
      <c r="AK902" s="5">
        <f t="shared" si="108"/>
        <v>894</v>
      </c>
      <c r="AL902" s="5">
        <f t="shared" si="109"/>
        <v>128</v>
      </c>
      <c r="AM902" s="5">
        <f t="shared" si="110"/>
        <v>3.29927484522827E+25</v>
      </c>
      <c r="AN902" s="5">
        <f>$AL$4*$AL$3^AL902*$AL$2</f>
        <v>3.2992748452282717E+25</v>
      </c>
      <c r="AO902" s="5">
        <f>IF(AL902=AL903,1,LOOKUP(MOD(AL902,$AL$1),$AN$1:$AN$5,$AO$1:$AO$5))</f>
        <v>1</v>
      </c>
      <c r="AP902" s="5">
        <f t="shared" si="111"/>
        <v>1.70682485326476E+25</v>
      </c>
      <c r="AQ902" s="5">
        <f>AM902*$AR$3</f>
        <v>4.3990331269710264E+24</v>
      </c>
      <c r="AR902" s="5">
        <f>AM902*AL902*$AR$4</f>
        <v>1.2669215405676558E+25</v>
      </c>
      <c r="AS902" s="5">
        <f>SUM($AP$9:AP901)</f>
        <v>4.1307136467932948E+26</v>
      </c>
    </row>
    <row r="903" spans="1:45" x14ac:dyDescent="0.15">
      <c r="A903" s="5">
        <v>895</v>
      </c>
      <c r="J903" s="5">
        <f t="shared" si="104"/>
        <v>895</v>
      </c>
      <c r="K903" s="5">
        <f>SUM($AP$9:AP902)</f>
        <v>4.301396132119771E+26</v>
      </c>
      <c r="L903" s="5">
        <f>LOOKUP(K903,AI:AI,AE:AE)</f>
        <v>0</v>
      </c>
      <c r="M903" s="5" t="e">
        <f>LOOKUP(L903,AE:AE,AG:AG)</f>
        <v>#N/A</v>
      </c>
      <c r="N903" s="5" t="e">
        <f>AM903/M903/$K$1</f>
        <v>#N/A</v>
      </c>
      <c r="O903" s="5" t="e">
        <f>SUM($N$9:N903)</f>
        <v>#DIV/0!</v>
      </c>
      <c r="AE903" s="5">
        <f t="shared" si="105"/>
        <v>895</v>
      </c>
      <c r="AF903" s="5">
        <f t="shared" si="106"/>
        <v>8.2828988786238596E+21</v>
      </c>
      <c r="AG903" s="5">
        <f t="shared" si="107"/>
        <v>8.2460450460159705E+21</v>
      </c>
      <c r="AH903" s="5">
        <f>AG903*$AF$1</f>
        <v>8.2460450460159711E+22</v>
      </c>
      <c r="AI903" s="5">
        <f>SUM($AF$9:AF902)</f>
        <v>1.6178832514864837E+23</v>
      </c>
      <c r="AK903" s="5">
        <f t="shared" si="108"/>
        <v>895</v>
      </c>
      <c r="AL903" s="5">
        <f t="shared" si="109"/>
        <v>128</v>
      </c>
      <c r="AM903" s="5">
        <f t="shared" si="110"/>
        <v>3.29927484522827E+25</v>
      </c>
      <c r="AN903" s="5">
        <f>$AL$4*$AL$3^AL903*$AL$2</f>
        <v>3.2992748452282717E+25</v>
      </c>
      <c r="AO903" s="5">
        <f>IF(AL903=AL904,1,LOOKUP(MOD(AL903,$AL$1),$AN$1:$AN$5,$AO$1:$AO$5))</f>
        <v>1</v>
      </c>
      <c r="AP903" s="5">
        <f t="shared" si="111"/>
        <v>1.70682485326476E+25</v>
      </c>
      <c r="AQ903" s="5">
        <f>AM903*$AR$3</f>
        <v>4.3990331269710264E+24</v>
      </c>
      <c r="AR903" s="5">
        <f>AM903*AL903*$AR$4</f>
        <v>1.2669215405676558E+25</v>
      </c>
      <c r="AS903" s="5">
        <f>SUM($AP$9:AP902)</f>
        <v>4.301396132119771E+26</v>
      </c>
    </row>
    <row r="904" spans="1:45" x14ac:dyDescent="0.15">
      <c r="A904" s="5">
        <v>896</v>
      </c>
      <c r="J904" s="5">
        <f t="shared" si="104"/>
        <v>896</v>
      </c>
      <c r="K904" s="5">
        <f>SUM($AP$9:AP903)</f>
        <v>4.4720786174462471E+26</v>
      </c>
      <c r="L904" s="5">
        <f>LOOKUP(K904,AI:AI,AE:AE)</f>
        <v>0</v>
      </c>
      <c r="M904" s="5" t="e">
        <f>LOOKUP(L904,AE:AE,AG:AG)</f>
        <v>#N/A</v>
      </c>
      <c r="N904" s="5" t="e">
        <f>AM904/M904/$K$1</f>
        <v>#N/A</v>
      </c>
      <c r="O904" s="5" t="e">
        <f>SUM($N$9:N904)</f>
        <v>#DIV/0!</v>
      </c>
      <c r="AE904" s="5">
        <f t="shared" si="105"/>
        <v>896</v>
      </c>
      <c r="AF904" s="5">
        <f t="shared" si="106"/>
        <v>8.7067179536146204E+21</v>
      </c>
      <c r="AG904" s="5">
        <f t="shared" si="107"/>
        <v>8.6680214293763399E+21</v>
      </c>
      <c r="AH904" s="5">
        <f>AG904*$AF$1</f>
        <v>8.6680214293763393E+22</v>
      </c>
      <c r="AI904" s="5">
        <f>SUM($AF$9:AF903)</f>
        <v>1.7007122402727223E+23</v>
      </c>
      <c r="AK904" s="5">
        <f t="shared" si="108"/>
        <v>896</v>
      </c>
      <c r="AL904" s="5">
        <f t="shared" si="109"/>
        <v>128</v>
      </c>
      <c r="AM904" s="5">
        <f t="shared" si="110"/>
        <v>1.3197099380913101E+26</v>
      </c>
      <c r="AN904" s="5">
        <f>$AL$4*$AL$3^AL904*$AL$2</f>
        <v>3.2992748452282717E+25</v>
      </c>
      <c r="AO904" s="5">
        <f>IF(AL904=AL905,1,LOOKUP(MOD(AL904,$AL$1),$AN$1:$AN$5,$AO$1:$AO$5))</f>
        <v>4</v>
      </c>
      <c r="AP904" s="5">
        <f t="shared" si="111"/>
        <v>6.8272994130590399E+25</v>
      </c>
      <c r="AQ904" s="5">
        <f>AM904*$AR$3</f>
        <v>1.7596132507884133E+25</v>
      </c>
      <c r="AR904" s="5">
        <f>AM904*AL904*$AR$4</f>
        <v>5.0676861622706309E+25</v>
      </c>
      <c r="AS904" s="5">
        <f>SUM($AP$9:AP903)</f>
        <v>4.4720786174462471E+26</v>
      </c>
    </row>
    <row r="905" spans="1:45" x14ac:dyDescent="0.15">
      <c r="A905" s="5">
        <v>897</v>
      </c>
      <c r="J905" s="5">
        <f t="shared" si="104"/>
        <v>897</v>
      </c>
      <c r="K905" s="5">
        <f>SUM($AP$9:AP904)</f>
        <v>5.154808558752151E+26</v>
      </c>
      <c r="L905" s="5">
        <f>LOOKUP(K905,AI:AI,AE:AE)</f>
        <v>0</v>
      </c>
      <c r="M905" s="5" t="e">
        <f>LOOKUP(L905,AE:AE,AG:AG)</f>
        <v>#N/A</v>
      </c>
      <c r="N905" s="5" t="e">
        <f>AM905/M905/$K$1</f>
        <v>#N/A</v>
      </c>
      <c r="O905" s="5" t="e">
        <f>SUM($N$9:N905)</f>
        <v>#DIV/0!</v>
      </c>
      <c r="AE905" s="5">
        <f t="shared" si="105"/>
        <v>897</v>
      </c>
      <c r="AF905" s="5">
        <f t="shared" si="106"/>
        <v>9.1522116889078997E+21</v>
      </c>
      <c r="AG905" s="5">
        <f t="shared" si="107"/>
        <v>9.1115803384576999E+21</v>
      </c>
      <c r="AH905" s="5">
        <f>AG905*$AF$1</f>
        <v>9.1115803384577002E+22</v>
      </c>
      <c r="AI905" s="5">
        <f>SUM($AF$9:AF904)</f>
        <v>1.7877794198088686E+23</v>
      </c>
      <c r="AK905" s="5">
        <f t="shared" si="108"/>
        <v>897</v>
      </c>
      <c r="AL905" s="5">
        <f t="shared" si="109"/>
        <v>129</v>
      </c>
      <c r="AM905" s="5">
        <f t="shared" si="110"/>
        <v>5.1798615070083901E+25</v>
      </c>
      <c r="AN905" s="5">
        <f>$AL$4*$AL$3^AL905*$AL$2</f>
        <v>5.1798615070083867E+25</v>
      </c>
      <c r="AO905" s="5">
        <f>IF(AL905=AL906,1,LOOKUP(MOD(AL905,$AL$1),$AN$1:$AN$5,$AO$1:$AO$5))</f>
        <v>1</v>
      </c>
      <c r="AP905" s="5">
        <f t="shared" si="111"/>
        <v>2.6952546041467002E+25</v>
      </c>
      <c r="AQ905" s="5">
        <f>AM905*$AR$3</f>
        <v>6.9064820093445203E+24</v>
      </c>
      <c r="AR905" s="5">
        <f>AM905*AL905*$AR$4</f>
        <v>2.0046064032122471E+25</v>
      </c>
      <c r="AS905" s="5">
        <f>SUM($AP$9:AP904)</f>
        <v>5.154808558752151E+26</v>
      </c>
    </row>
    <row r="906" spans="1:45" x14ac:dyDescent="0.15">
      <c r="A906" s="5">
        <v>898</v>
      </c>
      <c r="J906" s="5">
        <f t="shared" ref="J906:J969" si="112">A906</f>
        <v>898</v>
      </c>
      <c r="K906" s="5">
        <f>SUM($AP$9:AP905)</f>
        <v>5.4243340191668208E+26</v>
      </c>
      <c r="L906" s="5">
        <f>LOOKUP(K906,AI:AI,AE:AE)</f>
        <v>0</v>
      </c>
      <c r="M906" s="5" t="e">
        <f>LOOKUP(L906,AE:AE,AG:AG)</f>
        <v>#N/A</v>
      </c>
      <c r="N906" s="5" t="e">
        <f>AM906/M906/$K$1</f>
        <v>#N/A</v>
      </c>
      <c r="O906" s="5" t="e">
        <f>SUM($N$9:N906)</f>
        <v>#DIV/0!</v>
      </c>
      <c r="AE906" s="5">
        <f t="shared" ref="AE906:AE969" si="113">A906</f>
        <v>898</v>
      </c>
      <c r="AF906" s="5">
        <f t="shared" ref="AF906:AF969" si="114">ROUND(1.05^AE906*(AE906+4),0)</f>
        <v>9.6204880028464799E+21</v>
      </c>
      <c r="AG906" s="5">
        <f t="shared" ref="AG906:AG969" si="115">ROUND(1.05^AE906*AE906,0)</f>
        <v>9.57782508487377E+21</v>
      </c>
      <c r="AH906" s="5">
        <f>AG906*$AF$1</f>
        <v>9.5778250848737696E+22</v>
      </c>
      <c r="AI906" s="5">
        <f>SUM($AF$9:AF905)</f>
        <v>1.8793015366979477E+23</v>
      </c>
      <c r="AK906" s="5">
        <f t="shared" ref="AK906:AK969" si="116">A906</f>
        <v>898</v>
      </c>
      <c r="AL906" s="5">
        <f t="shared" ref="AL906:AL969" si="117">ROUNDUP(AK906/$AL$1,0)</f>
        <v>129</v>
      </c>
      <c r="AM906" s="5">
        <f t="shared" ref="AM906:AM969" si="118">ROUND(AN906*AO906,0)</f>
        <v>5.1798615070083901E+25</v>
      </c>
      <c r="AN906" s="5">
        <f>$AL$4*$AL$3^AL906*$AL$2</f>
        <v>5.1798615070083867E+25</v>
      </c>
      <c r="AO906" s="5">
        <f>IF(AL906=AL907,1,LOOKUP(MOD(AL906,$AL$1),$AN$1:$AN$5,$AO$1:$AO$5))</f>
        <v>1</v>
      </c>
      <c r="AP906" s="5">
        <f t="shared" ref="AP906:AP969" si="119">ROUND(AQ906+AR906,0)</f>
        <v>2.6952546041467002E+25</v>
      </c>
      <c r="AQ906" s="5">
        <f>AM906*$AR$3</f>
        <v>6.9064820093445203E+24</v>
      </c>
      <c r="AR906" s="5">
        <f>AM906*AL906*$AR$4</f>
        <v>2.0046064032122471E+25</v>
      </c>
      <c r="AS906" s="5">
        <f>SUM($AP$9:AP905)</f>
        <v>5.4243340191668208E+26</v>
      </c>
    </row>
    <row r="907" spans="1:45" x14ac:dyDescent="0.15">
      <c r="A907" s="5">
        <v>899</v>
      </c>
      <c r="J907" s="5">
        <f t="shared" si="112"/>
        <v>899</v>
      </c>
      <c r="K907" s="5">
        <f>SUM($AP$9:AP906)</f>
        <v>5.6938594795814905E+26</v>
      </c>
      <c r="L907" s="5">
        <f>LOOKUP(K907,AI:AI,AE:AE)</f>
        <v>0</v>
      </c>
      <c r="M907" s="5" t="e">
        <f>LOOKUP(L907,AE:AE,AG:AG)</f>
        <v>#N/A</v>
      </c>
      <c r="N907" s="5" t="e">
        <f>AM907/M907/$K$1</f>
        <v>#N/A</v>
      </c>
      <c r="O907" s="5" t="e">
        <f>SUM($N$9:N907)</f>
        <v>#DIV/0!</v>
      </c>
      <c r="AE907" s="5">
        <f t="shared" si="113"/>
        <v>899</v>
      </c>
      <c r="AF907" s="5">
        <f t="shared" si="114"/>
        <v>1.01127114189566E+22</v>
      </c>
      <c r="AG907" s="5">
        <f t="shared" si="115"/>
        <v>1.0067915355085301E+22</v>
      </c>
      <c r="AH907" s="5">
        <f>AG907*$AF$1</f>
        <v>1.00679153550853E+23</v>
      </c>
      <c r="AI907" s="5">
        <f>SUM($AF$9:AF906)</f>
        <v>1.9755064167264125E+23</v>
      </c>
      <c r="AK907" s="5">
        <f t="shared" si="116"/>
        <v>899</v>
      </c>
      <c r="AL907" s="5">
        <f t="shared" si="117"/>
        <v>129</v>
      </c>
      <c r="AM907" s="5">
        <f t="shared" si="118"/>
        <v>5.1798615070083901E+25</v>
      </c>
      <c r="AN907" s="5">
        <f>$AL$4*$AL$3^AL907*$AL$2</f>
        <v>5.1798615070083867E+25</v>
      </c>
      <c r="AO907" s="5">
        <f>IF(AL907=AL908,1,LOOKUP(MOD(AL907,$AL$1),$AN$1:$AN$5,$AO$1:$AO$5))</f>
        <v>1</v>
      </c>
      <c r="AP907" s="5">
        <f t="shared" si="119"/>
        <v>2.6952546041467002E+25</v>
      </c>
      <c r="AQ907" s="5">
        <f>AM907*$AR$3</f>
        <v>6.9064820093445203E+24</v>
      </c>
      <c r="AR907" s="5">
        <f>AM907*AL907*$AR$4</f>
        <v>2.0046064032122471E+25</v>
      </c>
      <c r="AS907" s="5">
        <f>SUM($AP$9:AP906)</f>
        <v>5.6938594795814905E+26</v>
      </c>
    </row>
    <row r="908" spans="1:45" x14ac:dyDescent="0.15">
      <c r="A908" s="5">
        <v>900</v>
      </c>
      <c r="J908" s="5">
        <f t="shared" si="112"/>
        <v>900</v>
      </c>
      <c r="K908" s="5">
        <f>SUM($AP$9:AP907)</f>
        <v>5.9633849399961603E+26</v>
      </c>
      <c r="L908" s="5">
        <f>LOOKUP(K908,AI:AI,AE:AE)</f>
        <v>0</v>
      </c>
      <c r="M908" s="5" t="e">
        <f>LOOKUP(L908,AE:AE,AG:AG)</f>
        <v>#N/A</v>
      </c>
      <c r="N908" s="5" t="e">
        <f>AM908/M908/$K$1</f>
        <v>#N/A</v>
      </c>
      <c r="O908" s="5" t="e">
        <f>SUM($N$9:N908)</f>
        <v>#DIV/0!</v>
      </c>
      <c r="AE908" s="5">
        <f t="shared" si="113"/>
        <v>900</v>
      </c>
      <c r="AF908" s="5">
        <f t="shared" si="114"/>
        <v>1.06301059566707E+22</v>
      </c>
      <c r="AG908" s="5">
        <f t="shared" si="115"/>
        <v>1.05830700896058E+22</v>
      </c>
      <c r="AH908" s="5">
        <f>AG908*$AF$1</f>
        <v>1.0583070089605799E+23</v>
      </c>
      <c r="AI908" s="5">
        <f>SUM($AF$9:AF907)</f>
        <v>2.0766335309159784E+23</v>
      </c>
      <c r="AK908" s="5">
        <f t="shared" si="116"/>
        <v>900</v>
      </c>
      <c r="AL908" s="5">
        <f t="shared" si="117"/>
        <v>129</v>
      </c>
      <c r="AM908" s="5">
        <f t="shared" si="118"/>
        <v>5.1798615070083901E+25</v>
      </c>
      <c r="AN908" s="5">
        <f>$AL$4*$AL$3^AL908*$AL$2</f>
        <v>5.1798615070083867E+25</v>
      </c>
      <c r="AO908" s="5">
        <f>IF(AL908=AL909,1,LOOKUP(MOD(AL908,$AL$1),$AN$1:$AN$5,$AO$1:$AO$5))</f>
        <v>1</v>
      </c>
      <c r="AP908" s="5">
        <f t="shared" si="119"/>
        <v>2.6952546041467002E+25</v>
      </c>
      <c r="AQ908" s="5">
        <f>AM908*$AR$3</f>
        <v>6.9064820093445203E+24</v>
      </c>
      <c r="AR908" s="5">
        <f>AM908*AL908*$AR$4</f>
        <v>2.0046064032122471E+25</v>
      </c>
      <c r="AS908" s="5">
        <f>SUM($AP$9:AP907)</f>
        <v>5.9633849399961603E+26</v>
      </c>
    </row>
    <row r="909" spans="1:45" x14ac:dyDescent="0.15">
      <c r="A909" s="5">
        <v>901</v>
      </c>
      <c r="J909" s="5">
        <f t="shared" si="112"/>
        <v>901</v>
      </c>
      <c r="K909" s="5">
        <f>SUM($AP$9:AP908)</f>
        <v>6.2329104004108308E+26</v>
      </c>
      <c r="L909" s="5">
        <f>LOOKUP(K909,AI:AI,AE:AE)</f>
        <v>0</v>
      </c>
      <c r="M909" s="5" t="e">
        <f>LOOKUP(L909,AE:AE,AG:AG)</f>
        <v>#N/A</v>
      </c>
      <c r="N909" s="5" t="e">
        <f>AM909/M909/$K$1</f>
        <v>#N/A</v>
      </c>
      <c r="O909" s="5" t="e">
        <f>SUM($N$9:N909)</f>
        <v>#DIV/0!</v>
      </c>
      <c r="AE909" s="5">
        <f t="shared" si="113"/>
        <v>901</v>
      </c>
      <c r="AF909" s="5">
        <f t="shared" si="114"/>
        <v>1.1173958169608799E+22</v>
      </c>
      <c r="AG909" s="5">
        <f t="shared" si="115"/>
        <v>1.11245705091906E+22</v>
      </c>
      <c r="AH909" s="5">
        <f>AG909*$AF$1</f>
        <v>1.11245705091906E+23</v>
      </c>
      <c r="AI909" s="5">
        <f>SUM($AF$9:AF908)</f>
        <v>2.1829345904826856E+23</v>
      </c>
      <c r="AK909" s="5">
        <f t="shared" si="116"/>
        <v>901</v>
      </c>
      <c r="AL909" s="5">
        <f t="shared" si="117"/>
        <v>129</v>
      </c>
      <c r="AM909" s="5">
        <f t="shared" si="118"/>
        <v>5.1798615070083901E+25</v>
      </c>
      <c r="AN909" s="5">
        <f>$AL$4*$AL$3^AL909*$AL$2</f>
        <v>5.1798615070083867E+25</v>
      </c>
      <c r="AO909" s="5">
        <f>IF(AL909=AL910,1,LOOKUP(MOD(AL909,$AL$1),$AN$1:$AN$5,$AO$1:$AO$5))</f>
        <v>1</v>
      </c>
      <c r="AP909" s="5">
        <f t="shared" si="119"/>
        <v>2.6952546041467002E+25</v>
      </c>
      <c r="AQ909" s="5">
        <f>AM909*$AR$3</f>
        <v>6.9064820093445203E+24</v>
      </c>
      <c r="AR909" s="5">
        <f>AM909*AL909*$AR$4</f>
        <v>2.0046064032122471E+25</v>
      </c>
      <c r="AS909" s="5">
        <f>SUM($AP$9:AP908)</f>
        <v>6.2329104004108308E+26</v>
      </c>
    </row>
    <row r="910" spans="1:45" x14ac:dyDescent="0.15">
      <c r="A910" s="5">
        <v>902</v>
      </c>
      <c r="J910" s="5">
        <f t="shared" si="112"/>
        <v>902</v>
      </c>
      <c r="K910" s="5">
        <f>SUM($AP$9:AP909)</f>
        <v>6.5024358608255005E+26</v>
      </c>
      <c r="L910" s="5">
        <f>LOOKUP(K910,AI:AI,AE:AE)</f>
        <v>0</v>
      </c>
      <c r="M910" s="5" t="e">
        <f>LOOKUP(L910,AE:AE,AG:AG)</f>
        <v>#N/A</v>
      </c>
      <c r="N910" s="5" t="e">
        <f>AM910/M910/$K$1</f>
        <v>#N/A</v>
      </c>
      <c r="O910" s="5" t="e">
        <f>SUM($N$9:N910)</f>
        <v>#DIV/0!</v>
      </c>
      <c r="AE910" s="5">
        <f t="shared" si="113"/>
        <v>902</v>
      </c>
      <c r="AF910" s="5">
        <f t="shared" si="114"/>
        <v>1.1745620338949E+22</v>
      </c>
      <c r="AG910" s="5">
        <f t="shared" si="115"/>
        <v>1.1693763295509901E+22</v>
      </c>
      <c r="AH910" s="5">
        <f>AG910*$AF$1</f>
        <v>1.1693763295509901E+23</v>
      </c>
      <c r="AI910" s="5">
        <f>SUM($AF$9:AF909)</f>
        <v>2.2946741721787735E+23</v>
      </c>
      <c r="AK910" s="5">
        <f t="shared" si="116"/>
        <v>902</v>
      </c>
      <c r="AL910" s="5">
        <f t="shared" si="117"/>
        <v>129</v>
      </c>
      <c r="AM910" s="5">
        <f t="shared" si="118"/>
        <v>5.1798615070083901E+25</v>
      </c>
      <c r="AN910" s="5">
        <f>$AL$4*$AL$3^AL910*$AL$2</f>
        <v>5.1798615070083867E+25</v>
      </c>
      <c r="AO910" s="5">
        <f>IF(AL910=AL911,1,LOOKUP(MOD(AL910,$AL$1),$AN$1:$AN$5,$AO$1:$AO$5))</f>
        <v>1</v>
      </c>
      <c r="AP910" s="5">
        <f t="shared" si="119"/>
        <v>2.6952546041467002E+25</v>
      </c>
      <c r="AQ910" s="5">
        <f>AM910*$AR$3</f>
        <v>6.9064820093445203E+24</v>
      </c>
      <c r="AR910" s="5">
        <f>AM910*AL910*$AR$4</f>
        <v>2.0046064032122471E+25</v>
      </c>
      <c r="AS910" s="5">
        <f>SUM($AP$9:AP909)</f>
        <v>6.5024358608255005E+26</v>
      </c>
    </row>
    <row r="911" spans="1:45" x14ac:dyDescent="0.15">
      <c r="A911" s="5">
        <v>903</v>
      </c>
      <c r="J911" s="5">
        <f t="shared" si="112"/>
        <v>903</v>
      </c>
      <c r="K911" s="5">
        <f>SUM($AP$9:AP910)</f>
        <v>6.7719613212401703E+26</v>
      </c>
      <c r="L911" s="5">
        <f>LOOKUP(K911,AI:AI,AE:AE)</f>
        <v>0</v>
      </c>
      <c r="M911" s="5" t="e">
        <f>LOOKUP(L911,AE:AE,AG:AG)</f>
        <v>#N/A</v>
      </c>
      <c r="N911" s="5" t="e">
        <f>AM911/M911/$K$1</f>
        <v>#N/A</v>
      </c>
      <c r="O911" s="5" t="e">
        <f>SUM($N$9:N911)</f>
        <v>#DIV/0!</v>
      </c>
      <c r="AE911" s="5">
        <f t="shared" si="113"/>
        <v>903</v>
      </c>
      <c r="AF911" s="5">
        <f t="shared" si="114"/>
        <v>1.23465138297992E+22</v>
      </c>
      <c r="AG911" s="5">
        <f t="shared" si="115"/>
        <v>1.22920639341882E+22</v>
      </c>
      <c r="AH911" s="5">
        <f>AG911*$AF$1</f>
        <v>1.22920639341882E+23</v>
      </c>
      <c r="AI911" s="5">
        <f>SUM($AF$9:AF910)</f>
        <v>2.4121303755682634E+23</v>
      </c>
      <c r="AK911" s="5">
        <f t="shared" si="116"/>
        <v>903</v>
      </c>
      <c r="AL911" s="5">
        <f t="shared" si="117"/>
        <v>129</v>
      </c>
      <c r="AM911" s="5">
        <f t="shared" si="118"/>
        <v>3.1079169042050301E+26</v>
      </c>
      <c r="AN911" s="5">
        <f>$AL$4*$AL$3^AL911*$AL$2</f>
        <v>5.1798615070083867E+25</v>
      </c>
      <c r="AO911" s="5">
        <f>IF(AL911=AL912,1,LOOKUP(MOD(AL911,$AL$1),$AN$1:$AN$5,$AO$1:$AO$5))</f>
        <v>6</v>
      </c>
      <c r="AP911" s="5">
        <f t="shared" si="119"/>
        <v>1.6171527624880199E+26</v>
      </c>
      <c r="AQ911" s="5">
        <f>AM911*$AR$3</f>
        <v>4.1438892056067066E+25</v>
      </c>
      <c r="AR911" s="5">
        <f>AM911*AL911*$AR$4</f>
        <v>1.2027638419273465E+26</v>
      </c>
      <c r="AS911" s="5">
        <f>SUM($AP$9:AP910)</f>
        <v>6.7719613212401703E+26</v>
      </c>
    </row>
    <row r="912" spans="1:45" x14ac:dyDescent="0.15">
      <c r="A912" s="5">
        <v>904</v>
      </c>
      <c r="J912" s="5">
        <f t="shared" si="112"/>
        <v>904</v>
      </c>
      <c r="K912" s="5">
        <f>SUM($AP$9:AP911)</f>
        <v>8.3891140837281902E+26</v>
      </c>
      <c r="L912" s="5">
        <f>LOOKUP(K912,AI:AI,AE:AE)</f>
        <v>0</v>
      </c>
      <c r="M912" s="5" t="e">
        <f>LOOKUP(L912,AE:AE,AG:AG)</f>
        <v>#N/A</v>
      </c>
      <c r="N912" s="5" t="e">
        <f>AM912/M912/$K$1</f>
        <v>#N/A</v>
      </c>
      <c r="O912" s="5" t="e">
        <f>SUM($N$9:N912)</f>
        <v>#DIV/0!</v>
      </c>
      <c r="AE912" s="5">
        <f t="shared" si="113"/>
        <v>904</v>
      </c>
      <c r="AF912" s="5">
        <f t="shared" si="114"/>
        <v>1.2978132618886999E+22</v>
      </c>
      <c r="AG912" s="5">
        <f t="shared" si="115"/>
        <v>1.29209602284955E+22</v>
      </c>
      <c r="AH912" s="5">
        <f>AG912*$AF$1</f>
        <v>1.2920960228495501E+23</v>
      </c>
      <c r="AI912" s="5">
        <f>SUM($AF$9:AF911)</f>
        <v>2.5355955138662553E+23</v>
      </c>
      <c r="AK912" s="5">
        <f t="shared" si="116"/>
        <v>904</v>
      </c>
      <c r="AL912" s="5">
        <f t="shared" si="117"/>
        <v>130</v>
      </c>
      <c r="AM912" s="5">
        <f t="shared" si="118"/>
        <v>8.1323825660031701E+25</v>
      </c>
      <c r="AN912" s="5">
        <f>$AL$4*$AL$3^AL912*$AL$2</f>
        <v>8.1323825660031684E+25</v>
      </c>
      <c r="AO912" s="5">
        <f>IF(AL912=AL913,1,LOOKUP(MOD(AL912,$AL$1),$AN$1:$AN$5,$AO$1:$AO$5))</f>
        <v>1</v>
      </c>
      <c r="AP912" s="5">
        <f t="shared" si="119"/>
        <v>4.2559468762083297E+25</v>
      </c>
      <c r="AQ912" s="5">
        <f>AM912*$AR$3</f>
        <v>1.0843176754670894E+25</v>
      </c>
      <c r="AR912" s="5">
        <f>AM912*AL912*$AR$4</f>
        <v>3.1716292007412362E+25</v>
      </c>
      <c r="AS912" s="5">
        <f>SUM($AP$9:AP911)</f>
        <v>8.3891140837281902E+26</v>
      </c>
    </row>
    <row r="913" spans="1:45" x14ac:dyDescent="0.15">
      <c r="A913" s="5">
        <v>905</v>
      </c>
      <c r="J913" s="5">
        <f t="shared" si="112"/>
        <v>905</v>
      </c>
      <c r="K913" s="5">
        <f>SUM($AP$9:AP912)</f>
        <v>8.8147087713490237E+26</v>
      </c>
      <c r="L913" s="5">
        <f>LOOKUP(K913,AI:AI,AE:AE)</f>
        <v>0</v>
      </c>
      <c r="M913" s="5" t="e">
        <f>LOOKUP(L913,AE:AE,AG:AG)</f>
        <v>#N/A</v>
      </c>
      <c r="N913" s="5" t="e">
        <f>AM913/M913/$K$1</f>
        <v>#N/A</v>
      </c>
      <c r="O913" s="5" t="e">
        <f>SUM($N$9:N913)</f>
        <v>#DIV/0!</v>
      </c>
      <c r="AE913" s="5">
        <f t="shared" si="113"/>
        <v>905</v>
      </c>
      <c r="AF913" s="5">
        <f t="shared" si="114"/>
        <v>1.36420470023092E+22</v>
      </c>
      <c r="AG913" s="5">
        <f t="shared" si="115"/>
        <v>1.3582015992398E+22</v>
      </c>
      <c r="AH913" s="5">
        <f>AG913*$AF$1</f>
        <v>1.3582015992398001E+23</v>
      </c>
      <c r="AI913" s="5">
        <f>SUM($AF$9:AF912)</f>
        <v>2.6653768400551253E+23</v>
      </c>
      <c r="AK913" s="5">
        <f t="shared" si="116"/>
        <v>905</v>
      </c>
      <c r="AL913" s="5">
        <f t="shared" si="117"/>
        <v>130</v>
      </c>
      <c r="AM913" s="5">
        <f t="shared" si="118"/>
        <v>8.1323825660031701E+25</v>
      </c>
      <c r="AN913" s="5">
        <f>$AL$4*$AL$3^AL913*$AL$2</f>
        <v>8.1323825660031684E+25</v>
      </c>
      <c r="AO913" s="5">
        <f>IF(AL913=AL914,1,LOOKUP(MOD(AL913,$AL$1),$AN$1:$AN$5,$AO$1:$AO$5))</f>
        <v>1</v>
      </c>
      <c r="AP913" s="5">
        <f t="shared" si="119"/>
        <v>4.2559468762083297E+25</v>
      </c>
      <c r="AQ913" s="5">
        <f>AM913*$AR$3</f>
        <v>1.0843176754670894E+25</v>
      </c>
      <c r="AR913" s="5">
        <f>AM913*AL913*$AR$4</f>
        <v>3.1716292007412362E+25</v>
      </c>
      <c r="AS913" s="5">
        <f>SUM($AP$9:AP912)</f>
        <v>8.8147087713490237E+26</v>
      </c>
    </row>
    <row r="914" spans="1:45" x14ac:dyDescent="0.15">
      <c r="A914" s="5">
        <v>906</v>
      </c>
      <c r="J914" s="5">
        <f t="shared" si="112"/>
        <v>906</v>
      </c>
      <c r="K914" s="5">
        <f>SUM($AP$9:AP913)</f>
        <v>9.2403034589698572E+26</v>
      </c>
      <c r="L914" s="5">
        <f>LOOKUP(K914,AI:AI,AE:AE)</f>
        <v>0</v>
      </c>
      <c r="M914" s="5" t="e">
        <f>LOOKUP(L914,AE:AE,AG:AG)</f>
        <v>#N/A</v>
      </c>
      <c r="N914" s="5" t="e">
        <f>AM914/M914/$K$1</f>
        <v>#N/A</v>
      </c>
      <c r="O914" s="5" t="e">
        <f>SUM($N$9:N914)</f>
        <v>#DIV/0!</v>
      </c>
      <c r="AE914" s="5">
        <f t="shared" si="113"/>
        <v>906</v>
      </c>
      <c r="AF914" s="5">
        <f t="shared" si="114"/>
        <v>1.43399074925263E+22</v>
      </c>
      <c r="AG914" s="5">
        <f t="shared" si="115"/>
        <v>1.42768749321196E+22</v>
      </c>
      <c r="AH914" s="5">
        <f>AG914*$AF$1</f>
        <v>1.42768749321196E+23</v>
      </c>
      <c r="AI914" s="5">
        <f>SUM($AF$9:AF913)</f>
        <v>2.8017973100782173E+23</v>
      </c>
      <c r="AK914" s="5">
        <f t="shared" si="116"/>
        <v>906</v>
      </c>
      <c r="AL914" s="5">
        <f t="shared" si="117"/>
        <v>130</v>
      </c>
      <c r="AM914" s="5">
        <f t="shared" si="118"/>
        <v>8.1323825660031701E+25</v>
      </c>
      <c r="AN914" s="5">
        <f>$AL$4*$AL$3^AL914*$AL$2</f>
        <v>8.1323825660031684E+25</v>
      </c>
      <c r="AO914" s="5">
        <f>IF(AL914=AL915,1,LOOKUP(MOD(AL914,$AL$1),$AN$1:$AN$5,$AO$1:$AO$5))</f>
        <v>1</v>
      </c>
      <c r="AP914" s="5">
        <f t="shared" si="119"/>
        <v>4.2559468762083297E+25</v>
      </c>
      <c r="AQ914" s="5">
        <f>AM914*$AR$3</f>
        <v>1.0843176754670894E+25</v>
      </c>
      <c r="AR914" s="5">
        <f>AM914*AL914*$AR$4</f>
        <v>3.1716292007412362E+25</v>
      </c>
      <c r="AS914" s="5">
        <f>SUM($AP$9:AP913)</f>
        <v>9.2403034589698572E+26</v>
      </c>
    </row>
    <row r="915" spans="1:45" x14ac:dyDescent="0.15">
      <c r="A915" s="5">
        <v>907</v>
      </c>
      <c r="J915" s="5">
        <f t="shared" si="112"/>
        <v>907</v>
      </c>
      <c r="K915" s="5">
        <f>SUM($AP$9:AP914)</f>
        <v>9.6658981465906907E+26</v>
      </c>
      <c r="L915" s="5">
        <f>LOOKUP(K915,AI:AI,AE:AE)</f>
        <v>0</v>
      </c>
      <c r="M915" s="5" t="e">
        <f>LOOKUP(L915,AE:AE,AG:AG)</f>
        <v>#N/A</v>
      </c>
      <c r="N915" s="5" t="e">
        <f>AM915/M915/$K$1</f>
        <v>#N/A</v>
      </c>
      <c r="O915" s="5" t="e">
        <f>SUM($N$9:N915)</f>
        <v>#DIV/0!</v>
      </c>
      <c r="AE915" s="5">
        <f t="shared" si="113"/>
        <v>907</v>
      </c>
      <c r="AF915" s="5">
        <f t="shared" si="114"/>
        <v>1.5073448914259399E+22</v>
      </c>
      <c r="AG915" s="5">
        <f t="shared" si="115"/>
        <v>1.50072647258323E+22</v>
      </c>
      <c r="AH915" s="5">
        <f>AG915*$AF$1</f>
        <v>1.50072647258323E+23</v>
      </c>
      <c r="AI915" s="5">
        <f>SUM($AF$9:AF914)</f>
        <v>2.9451963850034802E+23</v>
      </c>
      <c r="AK915" s="5">
        <f t="shared" si="116"/>
        <v>907</v>
      </c>
      <c r="AL915" s="5">
        <f t="shared" si="117"/>
        <v>130</v>
      </c>
      <c r="AM915" s="5">
        <f t="shared" si="118"/>
        <v>8.1323825660031701E+25</v>
      </c>
      <c r="AN915" s="5">
        <f>$AL$4*$AL$3^AL915*$AL$2</f>
        <v>8.1323825660031684E+25</v>
      </c>
      <c r="AO915" s="5">
        <f>IF(AL915=AL916,1,LOOKUP(MOD(AL915,$AL$1),$AN$1:$AN$5,$AO$1:$AO$5))</f>
        <v>1</v>
      </c>
      <c r="AP915" s="5">
        <f t="shared" si="119"/>
        <v>4.2559468762083297E+25</v>
      </c>
      <c r="AQ915" s="5">
        <f>AM915*$AR$3</f>
        <v>1.0843176754670894E+25</v>
      </c>
      <c r="AR915" s="5">
        <f>AM915*AL915*$AR$4</f>
        <v>3.1716292007412362E+25</v>
      </c>
      <c r="AS915" s="5">
        <f>SUM($AP$9:AP914)</f>
        <v>9.6658981465906907E+26</v>
      </c>
    </row>
    <row r="916" spans="1:45" x14ac:dyDescent="0.15">
      <c r="A916" s="5">
        <v>908</v>
      </c>
      <c r="J916" s="5">
        <f t="shared" si="112"/>
        <v>908</v>
      </c>
      <c r="K916" s="5">
        <f>SUM($AP$9:AP915)</f>
        <v>1.0091492834211524E+27</v>
      </c>
      <c r="L916" s="5">
        <f>LOOKUP(K916,AI:AI,AE:AE)</f>
        <v>0</v>
      </c>
      <c r="M916" s="5" t="e">
        <f>LOOKUP(L916,AE:AE,AG:AG)</f>
        <v>#N/A</v>
      </c>
      <c r="N916" s="5" t="e">
        <f>AM916/M916/$K$1</f>
        <v>#N/A</v>
      </c>
      <c r="O916" s="5" t="e">
        <f>SUM($N$9:N916)</f>
        <v>#DIV/0!</v>
      </c>
      <c r="AE916" s="5">
        <f t="shared" si="113"/>
        <v>908</v>
      </c>
      <c r="AF916" s="5">
        <f t="shared" si="114"/>
        <v>1.5844494709434501E+22</v>
      </c>
      <c r="AG916" s="5">
        <f t="shared" si="115"/>
        <v>1.5775001311586101E+22</v>
      </c>
      <c r="AH916" s="5">
        <f>AG916*$AF$1</f>
        <v>1.5775001311586102E+23</v>
      </c>
      <c r="AI916" s="5">
        <f>SUM($AF$9:AF915)</f>
        <v>3.095930874146074E+23</v>
      </c>
      <c r="AK916" s="5">
        <f t="shared" si="116"/>
        <v>908</v>
      </c>
      <c r="AL916" s="5">
        <f t="shared" si="117"/>
        <v>130</v>
      </c>
      <c r="AM916" s="5">
        <f t="shared" si="118"/>
        <v>8.1323825660031701E+25</v>
      </c>
      <c r="AN916" s="5">
        <f>$AL$4*$AL$3^AL916*$AL$2</f>
        <v>8.1323825660031684E+25</v>
      </c>
      <c r="AO916" s="5">
        <f>IF(AL916=AL917,1,LOOKUP(MOD(AL916,$AL$1),$AN$1:$AN$5,$AO$1:$AO$5))</f>
        <v>1</v>
      </c>
      <c r="AP916" s="5">
        <f t="shared" si="119"/>
        <v>4.2559468762083297E+25</v>
      </c>
      <c r="AQ916" s="5">
        <f>AM916*$AR$3</f>
        <v>1.0843176754670894E+25</v>
      </c>
      <c r="AR916" s="5">
        <f>AM916*AL916*$AR$4</f>
        <v>3.1716292007412362E+25</v>
      </c>
      <c r="AS916" s="5">
        <f>SUM($AP$9:AP915)</f>
        <v>1.0091492834211524E+27</v>
      </c>
    </row>
    <row r="917" spans="1:45" x14ac:dyDescent="0.15">
      <c r="A917" s="5">
        <v>909</v>
      </c>
      <c r="J917" s="5">
        <f t="shared" si="112"/>
        <v>909</v>
      </c>
      <c r="K917" s="5">
        <f>SUM($AP$9:AP916)</f>
        <v>1.0517087521832358E+27</v>
      </c>
      <c r="L917" s="5">
        <f>LOOKUP(K917,AI:AI,AE:AE)</f>
        <v>0</v>
      </c>
      <c r="M917" s="5" t="e">
        <f>LOOKUP(L917,AE:AE,AG:AG)</f>
        <v>#N/A</v>
      </c>
      <c r="N917" s="5" t="e">
        <f>AM917/M917/$K$1</f>
        <v>#N/A</v>
      </c>
      <c r="O917" s="5" t="e">
        <f>SUM($N$9:N917)</f>
        <v>#DIV/0!</v>
      </c>
      <c r="AE917" s="5">
        <f t="shared" si="113"/>
        <v>909</v>
      </c>
      <c r="AF917" s="5">
        <f t="shared" si="114"/>
        <v>1.6654961461841401E+22</v>
      </c>
      <c r="AG917" s="5">
        <f t="shared" si="115"/>
        <v>1.6581993394100599E+22</v>
      </c>
      <c r="AH917" s="5">
        <f>AG917*$AF$1</f>
        <v>1.65819933941006E+23</v>
      </c>
      <c r="AI917" s="5">
        <f>SUM($AF$9:AF916)</f>
        <v>3.2543758212404191E+23</v>
      </c>
      <c r="AK917" s="5">
        <f t="shared" si="116"/>
        <v>909</v>
      </c>
      <c r="AL917" s="5">
        <f t="shared" si="117"/>
        <v>130</v>
      </c>
      <c r="AM917" s="5">
        <f t="shared" si="118"/>
        <v>8.1323825660031701E+25</v>
      </c>
      <c r="AN917" s="5">
        <f>$AL$4*$AL$3^AL917*$AL$2</f>
        <v>8.1323825660031684E+25</v>
      </c>
      <c r="AO917" s="5">
        <f>IF(AL917=AL918,1,LOOKUP(MOD(AL917,$AL$1),$AN$1:$AN$5,$AO$1:$AO$5))</f>
        <v>1</v>
      </c>
      <c r="AP917" s="5">
        <f t="shared" si="119"/>
        <v>4.2559468762083297E+25</v>
      </c>
      <c r="AQ917" s="5">
        <f>AM917*$AR$3</f>
        <v>1.0843176754670894E+25</v>
      </c>
      <c r="AR917" s="5">
        <f>AM917*AL917*$AR$4</f>
        <v>3.1716292007412362E+25</v>
      </c>
      <c r="AS917" s="5">
        <f>SUM($AP$9:AP916)</f>
        <v>1.0517087521832358E+27</v>
      </c>
    </row>
    <row r="918" spans="1:45" x14ac:dyDescent="0.15">
      <c r="A918" s="5">
        <v>910</v>
      </c>
      <c r="J918" s="5">
        <f t="shared" si="112"/>
        <v>910</v>
      </c>
      <c r="K918" s="5">
        <f>SUM($AP$9:AP917)</f>
        <v>1.0942682209453191E+27</v>
      </c>
      <c r="L918" s="5">
        <f>LOOKUP(K918,AI:AI,AE:AE)</f>
        <v>0</v>
      </c>
      <c r="M918" s="5" t="e">
        <f>LOOKUP(L918,AE:AE,AG:AG)</f>
        <v>#N/A</v>
      </c>
      <c r="N918" s="5" t="e">
        <f>AM918/M918/$K$1</f>
        <v>#N/A</v>
      </c>
      <c r="O918" s="5" t="e">
        <f>SUM($N$9:N918)</f>
        <v>#DIV/0!</v>
      </c>
      <c r="AE918" s="5">
        <f t="shared" si="113"/>
        <v>910</v>
      </c>
      <c r="AF918" s="5">
        <f t="shared" si="114"/>
        <v>1.75068636527154E+22</v>
      </c>
      <c r="AG918" s="5">
        <f t="shared" si="115"/>
        <v>1.74302471815876E+22</v>
      </c>
      <c r="AH918" s="5">
        <f>AG918*$AF$1</f>
        <v>1.7430247181587598E+23</v>
      </c>
      <c r="AI918" s="5">
        <f>SUM($AF$9:AF917)</f>
        <v>3.4209254358588329E+23</v>
      </c>
      <c r="AK918" s="5">
        <f t="shared" si="116"/>
        <v>910</v>
      </c>
      <c r="AL918" s="5">
        <f t="shared" si="117"/>
        <v>130</v>
      </c>
      <c r="AM918" s="5">
        <f t="shared" si="118"/>
        <v>5.6926677962022199E+26</v>
      </c>
      <c r="AN918" s="5">
        <f>$AL$4*$AL$3^AL918*$AL$2</f>
        <v>8.1323825660031684E+25</v>
      </c>
      <c r="AO918" s="5">
        <f>IF(AL918=AL919,1,LOOKUP(MOD(AL918,$AL$1),$AN$1:$AN$5,$AO$1:$AO$5))</f>
        <v>7</v>
      </c>
      <c r="AP918" s="5">
        <f t="shared" si="119"/>
        <v>2.9791628133458299E+26</v>
      </c>
      <c r="AQ918" s="5">
        <f>AM918*$AR$3</f>
        <v>7.5902237282696266E+25</v>
      </c>
      <c r="AR918" s="5">
        <f>AM918*AL918*$AR$4</f>
        <v>2.2201404405188659E+26</v>
      </c>
      <c r="AS918" s="5">
        <f>SUM($AP$9:AP917)</f>
        <v>1.0942682209453191E+27</v>
      </c>
    </row>
    <row r="919" spans="1:45" x14ac:dyDescent="0.15">
      <c r="A919" s="5">
        <v>911</v>
      </c>
      <c r="J919" s="5">
        <f t="shared" si="112"/>
        <v>911</v>
      </c>
      <c r="K919" s="5">
        <f>SUM($AP$9:AP918)</f>
        <v>1.392184502279902E+27</v>
      </c>
      <c r="L919" s="5">
        <f>LOOKUP(K919,AI:AI,AE:AE)</f>
        <v>0</v>
      </c>
      <c r="M919" s="5" t="e">
        <f>LOOKUP(L919,AE:AE,AG:AG)</f>
        <v>#N/A</v>
      </c>
      <c r="N919" s="5" t="e">
        <f>AM919/M919/$K$1</f>
        <v>#N/A</v>
      </c>
      <c r="O919" s="5" t="e">
        <f>SUM($N$9:N919)</f>
        <v>#DIV/0!</v>
      </c>
      <c r="AE919" s="5">
        <f t="shared" si="113"/>
        <v>911</v>
      </c>
      <c r="AF919" s="5">
        <f t="shared" si="114"/>
        <v>1.8402318659022301E+22</v>
      </c>
      <c r="AG919" s="5">
        <f t="shared" si="115"/>
        <v>1.8321871364338001E+22</v>
      </c>
      <c r="AH919" s="5">
        <f>AG919*$AF$1</f>
        <v>1.8321871364338002E+23</v>
      </c>
      <c r="AI919" s="5">
        <f>SUM($AF$9:AF918)</f>
        <v>3.5959940723859871E+23</v>
      </c>
      <c r="AK919" s="5">
        <f t="shared" si="116"/>
        <v>911</v>
      </c>
      <c r="AL919" s="5">
        <f t="shared" si="117"/>
        <v>131</v>
      </c>
      <c r="AM919" s="5">
        <f t="shared" si="118"/>
        <v>1.2767840628624999E+26</v>
      </c>
      <c r="AN919" s="5">
        <f>$AL$4*$AL$3^AL919*$AL$2</f>
        <v>1.2767840628624975E+26</v>
      </c>
      <c r="AO919" s="5">
        <f>IF(AL919=AL920,1,LOOKUP(MOD(AL919,$AL$1),$AN$1:$AN$5,$AO$1:$AO$5))</f>
        <v>1</v>
      </c>
      <c r="AP919" s="5">
        <f t="shared" si="119"/>
        <v>6.7201401175329601E+25</v>
      </c>
      <c r="AQ919" s="5">
        <f>AM919*$AR$3</f>
        <v>1.7023787504833332E+25</v>
      </c>
      <c r="AR919" s="5">
        <f>AM919*AL919*$AR$4</f>
        <v>5.0177613670496252E+25</v>
      </c>
      <c r="AS919" s="5">
        <f>SUM($AP$9:AP918)</f>
        <v>1.392184502279902E+27</v>
      </c>
    </row>
    <row r="920" spans="1:45" x14ac:dyDescent="0.15">
      <c r="A920" s="5">
        <v>912</v>
      </c>
      <c r="J920" s="5">
        <f t="shared" si="112"/>
        <v>912</v>
      </c>
      <c r="K920" s="5">
        <f>SUM($AP$9:AP919)</f>
        <v>1.4593859034552315E+27</v>
      </c>
      <c r="L920" s="5">
        <f>LOOKUP(K920,AI:AI,AE:AE)</f>
        <v>0</v>
      </c>
      <c r="M920" s="5" t="e">
        <f>LOOKUP(L920,AE:AE,AG:AG)</f>
        <v>#N/A</v>
      </c>
      <c r="N920" s="5" t="e">
        <f>AM920/M920/$K$1</f>
        <v>#N/A</v>
      </c>
      <c r="O920" s="5" t="e">
        <f>SUM($N$9:N920)</f>
        <v>#DIV/0!</v>
      </c>
      <c r="AE920" s="5">
        <f t="shared" si="113"/>
        <v>912</v>
      </c>
      <c r="AF920" s="5">
        <f t="shared" si="114"/>
        <v>1.9343552006828002E+22</v>
      </c>
      <c r="AG920" s="5">
        <f t="shared" si="115"/>
        <v>1.9259082347409501E+22</v>
      </c>
      <c r="AH920" s="5">
        <f>AG920*$AF$1</f>
        <v>1.9259082347409502E+23</v>
      </c>
      <c r="AI920" s="5">
        <f>SUM($AF$9:AF919)</f>
        <v>3.7800172589762102E+23</v>
      </c>
      <c r="AK920" s="5">
        <f t="shared" si="116"/>
        <v>912</v>
      </c>
      <c r="AL920" s="5">
        <f t="shared" si="117"/>
        <v>131</v>
      </c>
      <c r="AM920" s="5">
        <f t="shared" si="118"/>
        <v>1.2767840628624999E+26</v>
      </c>
      <c r="AN920" s="5">
        <f>$AL$4*$AL$3^AL920*$AL$2</f>
        <v>1.2767840628624975E+26</v>
      </c>
      <c r="AO920" s="5">
        <f>IF(AL920=AL921,1,LOOKUP(MOD(AL920,$AL$1),$AN$1:$AN$5,$AO$1:$AO$5))</f>
        <v>1</v>
      </c>
      <c r="AP920" s="5">
        <f t="shared" si="119"/>
        <v>6.7201401175329601E+25</v>
      </c>
      <c r="AQ920" s="5">
        <f>AM920*$AR$3</f>
        <v>1.7023787504833332E+25</v>
      </c>
      <c r="AR920" s="5">
        <f>AM920*AL920*$AR$4</f>
        <v>5.0177613670496252E+25</v>
      </c>
      <c r="AS920" s="5">
        <f>SUM($AP$9:AP919)</f>
        <v>1.4593859034552315E+27</v>
      </c>
    </row>
    <row r="921" spans="1:45" x14ac:dyDescent="0.15">
      <c r="A921" s="5">
        <v>913</v>
      </c>
      <c r="J921" s="5">
        <f t="shared" si="112"/>
        <v>913</v>
      </c>
      <c r="K921" s="5">
        <f>SUM($AP$9:AP920)</f>
        <v>1.5265873046305611E+27</v>
      </c>
      <c r="L921" s="5">
        <f>LOOKUP(K921,AI:AI,AE:AE)</f>
        <v>0</v>
      </c>
      <c r="M921" s="5" t="e">
        <f>LOOKUP(L921,AE:AE,AG:AG)</f>
        <v>#N/A</v>
      </c>
      <c r="N921" s="5" t="e">
        <f>AM921/M921/$K$1</f>
        <v>#N/A</v>
      </c>
      <c r="O921" s="5" t="e">
        <f>SUM($N$9:N921)</f>
        <v>#DIV/0!</v>
      </c>
      <c r="AE921" s="5">
        <f t="shared" si="113"/>
        <v>913</v>
      </c>
      <c r="AF921" s="5">
        <f t="shared" si="114"/>
        <v>2.0332902892766698E+22</v>
      </c>
      <c r="AG921" s="5">
        <f t="shared" si="115"/>
        <v>2.0244209750377299E+22</v>
      </c>
      <c r="AH921" s="5">
        <f>AG921*$AF$1</f>
        <v>2.0244209750377299E+23</v>
      </c>
      <c r="AI921" s="5">
        <f>SUM($AF$9:AF920)</f>
        <v>3.97345277904449E+23</v>
      </c>
      <c r="AK921" s="5">
        <f t="shared" si="116"/>
        <v>913</v>
      </c>
      <c r="AL921" s="5">
        <f t="shared" si="117"/>
        <v>131</v>
      </c>
      <c r="AM921" s="5">
        <f t="shared" si="118"/>
        <v>1.2767840628624999E+26</v>
      </c>
      <c r="AN921" s="5">
        <f>$AL$4*$AL$3^AL921*$AL$2</f>
        <v>1.2767840628624975E+26</v>
      </c>
      <c r="AO921" s="5">
        <f>IF(AL921=AL922,1,LOOKUP(MOD(AL921,$AL$1),$AN$1:$AN$5,$AO$1:$AO$5))</f>
        <v>1</v>
      </c>
      <c r="AP921" s="5">
        <f t="shared" si="119"/>
        <v>6.7201401175329601E+25</v>
      </c>
      <c r="AQ921" s="5">
        <f>AM921*$AR$3</f>
        <v>1.7023787504833332E+25</v>
      </c>
      <c r="AR921" s="5">
        <f>AM921*AL921*$AR$4</f>
        <v>5.0177613670496252E+25</v>
      </c>
      <c r="AS921" s="5">
        <f>SUM($AP$9:AP920)</f>
        <v>1.5265873046305611E+27</v>
      </c>
    </row>
    <row r="922" spans="1:45" x14ac:dyDescent="0.15">
      <c r="A922" s="5">
        <v>914</v>
      </c>
      <c r="J922" s="5">
        <f t="shared" si="112"/>
        <v>914</v>
      </c>
      <c r="K922" s="5">
        <f>SUM($AP$9:AP921)</f>
        <v>1.5937887058058906E+27</v>
      </c>
      <c r="L922" s="5">
        <f>LOOKUP(K922,AI:AI,AE:AE)</f>
        <v>0</v>
      </c>
      <c r="M922" s="5" t="e">
        <f>LOOKUP(L922,AE:AE,AG:AG)</f>
        <v>#N/A</v>
      </c>
      <c r="N922" s="5" t="e">
        <f>AM922/M922/$K$1</f>
        <v>#N/A</v>
      </c>
      <c r="O922" s="5" t="e">
        <f>SUM($N$9:N922)</f>
        <v>#DIV/0!</v>
      </c>
      <c r="AE922" s="5">
        <f t="shared" si="113"/>
        <v>914</v>
      </c>
      <c r="AF922" s="5">
        <f t="shared" si="114"/>
        <v>2.13728299872823E+22</v>
      </c>
      <c r="AG922" s="5">
        <f t="shared" si="115"/>
        <v>2.12797021877734E+22</v>
      </c>
      <c r="AH922" s="5">
        <f>AG922*$AF$1</f>
        <v>2.1279702187773399E+23</v>
      </c>
      <c r="AI922" s="5">
        <f>SUM($AF$9:AF921)</f>
        <v>4.1767818079721571E+23</v>
      </c>
      <c r="AK922" s="5">
        <f t="shared" si="116"/>
        <v>914</v>
      </c>
      <c r="AL922" s="5">
        <f t="shared" si="117"/>
        <v>131</v>
      </c>
      <c r="AM922" s="5">
        <f t="shared" si="118"/>
        <v>1.2767840628624999E+26</v>
      </c>
      <c r="AN922" s="5">
        <f>$AL$4*$AL$3^AL922*$AL$2</f>
        <v>1.2767840628624975E+26</v>
      </c>
      <c r="AO922" s="5">
        <f>IF(AL922=AL923,1,LOOKUP(MOD(AL922,$AL$1),$AN$1:$AN$5,$AO$1:$AO$5))</f>
        <v>1</v>
      </c>
      <c r="AP922" s="5">
        <f t="shared" si="119"/>
        <v>6.7201401175329601E+25</v>
      </c>
      <c r="AQ922" s="5">
        <f>AM922*$AR$3</f>
        <v>1.7023787504833332E+25</v>
      </c>
      <c r="AR922" s="5">
        <f>AM922*AL922*$AR$4</f>
        <v>5.0177613670496252E+25</v>
      </c>
      <c r="AS922" s="5">
        <f>SUM($AP$9:AP921)</f>
        <v>1.5937887058058906E+27</v>
      </c>
    </row>
    <row r="923" spans="1:45" x14ac:dyDescent="0.15">
      <c r="A923" s="5">
        <v>915</v>
      </c>
      <c r="J923" s="5">
        <f t="shared" si="112"/>
        <v>915</v>
      </c>
      <c r="K923" s="5">
        <f>SUM($AP$9:AP922)</f>
        <v>1.6609901069812202E+27</v>
      </c>
      <c r="L923" s="5">
        <f>LOOKUP(K923,AI:AI,AE:AE)</f>
        <v>0</v>
      </c>
      <c r="M923" s="5" t="e">
        <f>LOOKUP(L923,AE:AE,AG:AG)</f>
        <v>#N/A</v>
      </c>
      <c r="N923" s="5" t="e">
        <f>AM923/M923/$K$1</f>
        <v>#N/A</v>
      </c>
      <c r="O923" s="5" t="e">
        <f>SUM($N$9:N923)</f>
        <v>#DIV/0!</v>
      </c>
      <c r="AE923" s="5">
        <f t="shared" si="113"/>
        <v>915</v>
      </c>
      <c r="AF923" s="5">
        <f t="shared" si="114"/>
        <v>2.2465917534017499E+22</v>
      </c>
      <c r="AG923" s="5">
        <f t="shared" si="115"/>
        <v>2.2368133344533202E+22</v>
      </c>
      <c r="AH923" s="5">
        <f>AG923*$AF$1</f>
        <v>2.2368133344533203E+23</v>
      </c>
      <c r="AI923" s="5">
        <f>SUM($AF$9:AF922)</f>
        <v>4.3905101078449797E+23</v>
      </c>
      <c r="AK923" s="5">
        <f t="shared" si="116"/>
        <v>915</v>
      </c>
      <c r="AL923" s="5">
        <f t="shared" si="117"/>
        <v>131</v>
      </c>
      <c r="AM923" s="5">
        <f t="shared" si="118"/>
        <v>1.2767840628624999E+26</v>
      </c>
      <c r="AN923" s="5">
        <f>$AL$4*$AL$3^AL923*$AL$2</f>
        <v>1.2767840628624975E+26</v>
      </c>
      <c r="AO923" s="5">
        <f>IF(AL923=AL924,1,LOOKUP(MOD(AL923,$AL$1),$AN$1:$AN$5,$AO$1:$AO$5))</f>
        <v>1</v>
      </c>
      <c r="AP923" s="5">
        <f t="shared" si="119"/>
        <v>6.7201401175329601E+25</v>
      </c>
      <c r="AQ923" s="5">
        <f>AM923*$AR$3</f>
        <v>1.7023787504833332E+25</v>
      </c>
      <c r="AR923" s="5">
        <f>AM923*AL923*$AR$4</f>
        <v>5.0177613670496252E+25</v>
      </c>
      <c r="AS923" s="5">
        <f>SUM($AP$9:AP922)</f>
        <v>1.6609901069812202E+27</v>
      </c>
    </row>
    <row r="924" spans="1:45" x14ac:dyDescent="0.15">
      <c r="A924" s="5">
        <v>916</v>
      </c>
      <c r="J924" s="5">
        <f t="shared" si="112"/>
        <v>916</v>
      </c>
      <c r="K924" s="5">
        <f>SUM($AP$9:AP923)</f>
        <v>1.7281915081565497E+27</v>
      </c>
      <c r="L924" s="5">
        <f>LOOKUP(K924,AI:AI,AE:AE)</f>
        <v>0</v>
      </c>
      <c r="M924" s="5" t="e">
        <f>LOOKUP(L924,AE:AE,AG:AG)</f>
        <v>#N/A</v>
      </c>
      <c r="N924" s="5" t="e">
        <f>AM924/M924/$K$1</f>
        <v>#N/A</v>
      </c>
      <c r="O924" s="5" t="e">
        <f>SUM($N$9:N924)</f>
        <v>#DIV/0!</v>
      </c>
      <c r="AE924" s="5">
        <f t="shared" si="113"/>
        <v>916</v>
      </c>
      <c r="AF924" s="5">
        <f t="shared" si="114"/>
        <v>2.3614881760457999E+22</v>
      </c>
      <c r="AG924" s="5">
        <f t="shared" si="115"/>
        <v>2.3512208361499501E+22</v>
      </c>
      <c r="AH924" s="5">
        <f>AG924*$AF$1</f>
        <v>2.3512208361499501E+23</v>
      </c>
      <c r="AI924" s="5">
        <f>SUM($AF$9:AF923)</f>
        <v>4.6151692831851546E+23</v>
      </c>
      <c r="AK924" s="5">
        <f t="shared" si="116"/>
        <v>916</v>
      </c>
      <c r="AL924" s="5">
        <f t="shared" si="117"/>
        <v>131</v>
      </c>
      <c r="AM924" s="5">
        <f t="shared" si="118"/>
        <v>1.2767840628624999E+26</v>
      </c>
      <c r="AN924" s="5">
        <f>$AL$4*$AL$3^AL924*$AL$2</f>
        <v>1.2767840628624975E+26</v>
      </c>
      <c r="AO924" s="5">
        <f>IF(AL924=AL925,1,LOOKUP(MOD(AL924,$AL$1),$AN$1:$AN$5,$AO$1:$AO$5))</f>
        <v>1</v>
      </c>
      <c r="AP924" s="5">
        <f t="shared" si="119"/>
        <v>6.7201401175329601E+25</v>
      </c>
      <c r="AQ924" s="5">
        <f>AM924*$AR$3</f>
        <v>1.7023787504833332E+25</v>
      </c>
      <c r="AR924" s="5">
        <f>AM924*AL924*$AR$4</f>
        <v>5.0177613670496252E+25</v>
      </c>
      <c r="AS924" s="5">
        <f>SUM($AP$9:AP923)</f>
        <v>1.7281915081565497E+27</v>
      </c>
    </row>
    <row r="925" spans="1:45" x14ac:dyDescent="0.15">
      <c r="A925" s="5">
        <v>917</v>
      </c>
      <c r="J925" s="5">
        <f t="shared" si="112"/>
        <v>917</v>
      </c>
      <c r="K925" s="5">
        <f>SUM($AP$9:AP924)</f>
        <v>1.7953929093318792E+27</v>
      </c>
      <c r="L925" s="5">
        <f>LOOKUP(K925,AI:AI,AE:AE)</f>
        <v>0</v>
      </c>
      <c r="M925" s="5" t="e">
        <f>LOOKUP(L925,AE:AE,AG:AG)</f>
        <v>#N/A</v>
      </c>
      <c r="N925" s="5" t="e">
        <f>AM925/M925/$K$1</f>
        <v>#N/A</v>
      </c>
      <c r="O925" s="5" t="e">
        <f>SUM($N$9:N925)</f>
        <v>#DIV/0!</v>
      </c>
      <c r="AE925" s="5">
        <f t="shared" si="113"/>
        <v>917</v>
      </c>
      <c r="AF925" s="5">
        <f t="shared" si="114"/>
        <v>2.4822577615707499E+22</v>
      </c>
      <c r="AG925" s="5">
        <f t="shared" si="115"/>
        <v>2.4714770546800999E+22</v>
      </c>
      <c r="AH925" s="5">
        <f>AG925*$AF$1</f>
        <v>2.4714770546800998E+23</v>
      </c>
      <c r="AI925" s="5">
        <f>SUM($AF$9:AF924)</f>
        <v>4.8513181007897349E+23</v>
      </c>
      <c r="AK925" s="5">
        <f t="shared" si="116"/>
        <v>917</v>
      </c>
      <c r="AL925" s="5">
        <f t="shared" si="117"/>
        <v>131</v>
      </c>
      <c r="AM925" s="5">
        <f t="shared" si="118"/>
        <v>8.9374884400374797E+26</v>
      </c>
      <c r="AN925" s="5">
        <f>$AL$4*$AL$3^AL925*$AL$2</f>
        <v>1.2767840628624975E+26</v>
      </c>
      <c r="AO925" s="5">
        <f>IF(AL925=AL926,1,LOOKUP(MOD(AL925,$AL$1),$AN$1:$AN$5,$AO$1:$AO$5))</f>
        <v>7</v>
      </c>
      <c r="AP925" s="5">
        <f t="shared" si="119"/>
        <v>4.7040980822730603E+26</v>
      </c>
      <c r="AQ925" s="5">
        <f>AM925*$AR$3</f>
        <v>1.1916651253383307E+26</v>
      </c>
      <c r="AR925" s="5">
        <f>AM925*AL925*$AR$4</f>
        <v>3.5124329569347294E+26</v>
      </c>
      <c r="AS925" s="5">
        <f>SUM($AP$9:AP924)</f>
        <v>1.7953929093318792E+27</v>
      </c>
    </row>
    <row r="926" spans="1:45" x14ac:dyDescent="0.15">
      <c r="A926" s="5">
        <v>918</v>
      </c>
      <c r="J926" s="5">
        <f t="shared" si="112"/>
        <v>918</v>
      </c>
      <c r="K926" s="5">
        <f>SUM($AP$9:AP925)</f>
        <v>2.2658027175591852E+27</v>
      </c>
      <c r="L926" s="5">
        <f>LOOKUP(K926,AI:AI,AE:AE)</f>
        <v>0</v>
      </c>
      <c r="M926" s="5" t="e">
        <f>LOOKUP(L926,AE:AE,AG:AG)</f>
        <v>#N/A</v>
      </c>
      <c r="N926" s="5" t="e">
        <f>AM926/M926/$K$1</f>
        <v>#N/A</v>
      </c>
      <c r="O926" s="5" t="e">
        <f>SUM($N$9:N926)</f>
        <v>#DIV/0!</v>
      </c>
      <c r="AE926" s="5">
        <f t="shared" si="113"/>
        <v>918</v>
      </c>
      <c r="AF926" s="5">
        <f t="shared" si="114"/>
        <v>2.6092005852080801E+22</v>
      </c>
      <c r="AG926" s="5">
        <f t="shared" si="115"/>
        <v>2.5978808429728999E+22</v>
      </c>
      <c r="AH926" s="5">
        <f>AG926*$AF$1</f>
        <v>2.5978808429728997E+23</v>
      </c>
      <c r="AI926" s="5">
        <f>SUM($AF$9:AF925)</f>
        <v>5.0995438769468098E+23</v>
      </c>
      <c r="AK926" s="5">
        <f t="shared" si="116"/>
        <v>918</v>
      </c>
      <c r="AL926" s="5">
        <f t="shared" si="117"/>
        <v>132</v>
      </c>
      <c r="AM926" s="5">
        <f t="shared" si="118"/>
        <v>2.0045509786941199E+26</v>
      </c>
      <c r="AN926" s="5">
        <f>$AL$4*$AL$3^AL926*$AL$2</f>
        <v>2.0045509786941209E+26</v>
      </c>
      <c r="AO926" s="5">
        <f>IF(AL926=AL927,1,LOOKUP(MOD(AL926,$AL$1),$AN$1:$AN$5,$AO$1:$AO$5))</f>
        <v>1</v>
      </c>
      <c r="AP926" s="5">
        <f t="shared" si="119"/>
        <v>1.06107565138875E+26</v>
      </c>
      <c r="AQ926" s="5">
        <f>AM926*$AR$3</f>
        <v>2.6727346382588266E+25</v>
      </c>
      <c r="AR926" s="5">
        <f>AM926*AL926*$AR$4</f>
        <v>7.9380218756287152E+25</v>
      </c>
      <c r="AS926" s="5">
        <f>SUM($AP$9:AP925)</f>
        <v>2.2658027175591852E+27</v>
      </c>
    </row>
    <row r="927" spans="1:45" x14ac:dyDescent="0.15">
      <c r="A927" s="5">
        <v>919</v>
      </c>
      <c r="J927" s="5">
        <f t="shared" si="112"/>
        <v>919</v>
      </c>
      <c r="K927" s="5">
        <f>SUM($AP$9:AP926)</f>
        <v>2.3719102826980603E+27</v>
      </c>
      <c r="L927" s="5">
        <f>LOOKUP(K927,AI:AI,AE:AE)</f>
        <v>0</v>
      </c>
      <c r="M927" s="5" t="e">
        <f>LOOKUP(L927,AE:AE,AG:AG)</f>
        <v>#N/A</v>
      </c>
      <c r="N927" s="5" t="e">
        <f>AM927/M927/$K$1</f>
        <v>#N/A</v>
      </c>
      <c r="O927" s="5" t="e">
        <f>SUM($N$9:N927)</f>
        <v>#DIV/0!</v>
      </c>
      <c r="AE927" s="5">
        <f t="shared" si="113"/>
        <v>919</v>
      </c>
      <c r="AF927" s="5">
        <f t="shared" si="114"/>
        <v>2.74263204680522E+22</v>
      </c>
      <c r="AG927" s="5">
        <f t="shared" si="115"/>
        <v>2.7307463174582799E+22</v>
      </c>
      <c r="AH927" s="5">
        <f>AG927*$AF$1</f>
        <v>2.7307463174582797E+23</v>
      </c>
      <c r="AI927" s="5">
        <f>SUM($AF$9:AF926)</f>
        <v>5.3604639354676176E+23</v>
      </c>
      <c r="AK927" s="5">
        <f t="shared" si="116"/>
        <v>919</v>
      </c>
      <c r="AL927" s="5">
        <f t="shared" si="117"/>
        <v>132</v>
      </c>
      <c r="AM927" s="5">
        <f t="shared" si="118"/>
        <v>2.0045509786941199E+26</v>
      </c>
      <c r="AN927" s="5">
        <f>$AL$4*$AL$3^AL927*$AL$2</f>
        <v>2.0045509786941209E+26</v>
      </c>
      <c r="AO927" s="5">
        <f>IF(AL927=AL928,1,LOOKUP(MOD(AL927,$AL$1),$AN$1:$AN$5,$AO$1:$AO$5))</f>
        <v>1</v>
      </c>
      <c r="AP927" s="5">
        <f t="shared" si="119"/>
        <v>1.06107565138875E+26</v>
      </c>
      <c r="AQ927" s="5">
        <f>AM927*$AR$3</f>
        <v>2.6727346382588266E+25</v>
      </c>
      <c r="AR927" s="5">
        <f>AM927*AL927*$AR$4</f>
        <v>7.9380218756287152E+25</v>
      </c>
      <c r="AS927" s="5">
        <f>SUM($AP$9:AP926)</f>
        <v>2.3719102826980603E+27</v>
      </c>
    </row>
    <row r="928" spans="1:45" x14ac:dyDescent="0.15">
      <c r="A928" s="5">
        <v>920</v>
      </c>
      <c r="J928" s="5">
        <f t="shared" si="112"/>
        <v>920</v>
      </c>
      <c r="K928" s="5">
        <f>SUM($AP$9:AP927)</f>
        <v>2.4780178478369354E+27</v>
      </c>
      <c r="L928" s="5">
        <f>LOOKUP(K928,AI:AI,AE:AE)</f>
        <v>0</v>
      </c>
      <c r="M928" s="5" t="e">
        <f>LOOKUP(L928,AE:AE,AG:AG)</f>
        <v>#N/A</v>
      </c>
      <c r="N928" s="5" t="e">
        <f>AM928/M928/$K$1</f>
        <v>#N/A</v>
      </c>
      <c r="O928" s="5" t="e">
        <f>SUM($N$9:N928)</f>
        <v>#DIV/0!</v>
      </c>
      <c r="AE928" s="5">
        <f t="shared" si="113"/>
        <v>920</v>
      </c>
      <c r="AF928" s="5">
        <f t="shared" si="114"/>
        <v>2.8828836530990499E+22</v>
      </c>
      <c r="AG928" s="5">
        <f t="shared" si="115"/>
        <v>2.8704036372847702E+22</v>
      </c>
      <c r="AH928" s="5">
        <f>AG928*$AF$1</f>
        <v>2.8704036372847701E+23</v>
      </c>
      <c r="AI928" s="5">
        <f>SUM($AF$9:AF927)</f>
        <v>5.6347271401481395E+23</v>
      </c>
      <c r="AK928" s="5">
        <f t="shared" si="116"/>
        <v>920</v>
      </c>
      <c r="AL928" s="5">
        <f t="shared" si="117"/>
        <v>132</v>
      </c>
      <c r="AM928" s="5">
        <f t="shared" si="118"/>
        <v>2.0045509786941199E+26</v>
      </c>
      <c r="AN928" s="5">
        <f>$AL$4*$AL$3^AL928*$AL$2</f>
        <v>2.0045509786941209E+26</v>
      </c>
      <c r="AO928" s="5">
        <f>IF(AL928=AL929,1,LOOKUP(MOD(AL928,$AL$1),$AN$1:$AN$5,$AO$1:$AO$5))</f>
        <v>1</v>
      </c>
      <c r="AP928" s="5">
        <f t="shared" si="119"/>
        <v>1.06107565138875E+26</v>
      </c>
      <c r="AQ928" s="5">
        <f>AM928*$AR$3</f>
        <v>2.6727346382588266E+25</v>
      </c>
      <c r="AR928" s="5">
        <f>AM928*AL928*$AR$4</f>
        <v>7.9380218756287152E+25</v>
      </c>
      <c r="AS928" s="5">
        <f>SUM($AP$9:AP927)</f>
        <v>2.4780178478369354E+27</v>
      </c>
    </row>
    <row r="929" spans="1:45" x14ac:dyDescent="0.15">
      <c r="A929" s="5">
        <v>921</v>
      </c>
      <c r="J929" s="5">
        <f t="shared" si="112"/>
        <v>921</v>
      </c>
      <c r="K929" s="5">
        <f>SUM($AP$9:AP928)</f>
        <v>2.5841254129758102E+27</v>
      </c>
      <c r="L929" s="5">
        <f>LOOKUP(K929,AI:AI,AE:AE)</f>
        <v>0</v>
      </c>
      <c r="M929" s="5" t="e">
        <f>LOOKUP(L929,AE:AE,AG:AG)</f>
        <v>#N/A</v>
      </c>
      <c r="N929" s="5" t="e">
        <f>AM929/M929/$K$1</f>
        <v>#N/A</v>
      </c>
      <c r="O929" s="5" t="e">
        <f>SUM($N$9:N929)</f>
        <v>#DIV/0!</v>
      </c>
      <c r="AE929" s="5">
        <f t="shared" si="113"/>
        <v>921</v>
      </c>
      <c r="AF929" s="5">
        <f t="shared" si="114"/>
        <v>3.0303038399052499E+22</v>
      </c>
      <c r="AG929" s="5">
        <f t="shared" si="115"/>
        <v>3.0171998233002502E+22</v>
      </c>
      <c r="AH929" s="5">
        <f>AG929*$AF$1</f>
        <v>3.0171998233002503E+23</v>
      </c>
      <c r="AI929" s="5">
        <f>SUM($AF$9:AF928)</f>
        <v>5.9230155054580443E+23</v>
      </c>
      <c r="AK929" s="5">
        <f t="shared" si="116"/>
        <v>921</v>
      </c>
      <c r="AL929" s="5">
        <f t="shared" si="117"/>
        <v>132</v>
      </c>
      <c r="AM929" s="5">
        <f t="shared" si="118"/>
        <v>2.0045509786941199E+26</v>
      </c>
      <c r="AN929" s="5">
        <f>$AL$4*$AL$3^AL929*$AL$2</f>
        <v>2.0045509786941209E+26</v>
      </c>
      <c r="AO929" s="5">
        <f>IF(AL929=AL930,1,LOOKUP(MOD(AL929,$AL$1),$AN$1:$AN$5,$AO$1:$AO$5))</f>
        <v>1</v>
      </c>
      <c r="AP929" s="5">
        <f t="shared" si="119"/>
        <v>1.06107565138875E+26</v>
      </c>
      <c r="AQ929" s="5">
        <f>AM929*$AR$3</f>
        <v>2.6727346382588266E+25</v>
      </c>
      <c r="AR929" s="5">
        <f>AM929*AL929*$AR$4</f>
        <v>7.9380218756287152E+25</v>
      </c>
      <c r="AS929" s="5">
        <f>SUM($AP$9:AP928)</f>
        <v>2.5841254129758102E+27</v>
      </c>
    </row>
    <row r="930" spans="1:45" x14ac:dyDescent="0.15">
      <c r="A930" s="5">
        <v>922</v>
      </c>
      <c r="J930" s="5">
        <f t="shared" si="112"/>
        <v>922</v>
      </c>
      <c r="K930" s="5">
        <f>SUM($AP$9:AP929)</f>
        <v>2.690232978114685E+27</v>
      </c>
      <c r="L930" s="5">
        <f>LOOKUP(K930,AI:AI,AE:AE)</f>
        <v>0</v>
      </c>
      <c r="M930" s="5" t="e">
        <f>LOOKUP(L930,AE:AE,AG:AG)</f>
        <v>#N/A</v>
      </c>
      <c r="N930" s="5" t="e">
        <f>AM930/M930/$K$1</f>
        <v>#N/A</v>
      </c>
      <c r="O930" s="5" t="e">
        <f>SUM($N$9:N930)</f>
        <v>#DIV/0!</v>
      </c>
      <c r="AE930" s="5">
        <f t="shared" si="113"/>
        <v>922</v>
      </c>
      <c r="AF930" s="5">
        <f t="shared" si="114"/>
        <v>3.18525883625932E+22</v>
      </c>
      <c r="AG930" s="5">
        <f t="shared" si="115"/>
        <v>3.1714996188240799E+22</v>
      </c>
      <c r="AH930" s="5">
        <f>AG930*$AF$1</f>
        <v>3.1714996188240797E+23</v>
      </c>
      <c r="AI930" s="5">
        <f>SUM($AF$9:AF929)</f>
        <v>6.2260458894485696E+23</v>
      </c>
      <c r="AK930" s="5">
        <f t="shared" si="116"/>
        <v>922</v>
      </c>
      <c r="AL930" s="5">
        <f t="shared" si="117"/>
        <v>132</v>
      </c>
      <c r="AM930" s="5">
        <f t="shared" si="118"/>
        <v>2.0045509786941199E+26</v>
      </c>
      <c r="AN930" s="5">
        <f>$AL$4*$AL$3^AL930*$AL$2</f>
        <v>2.0045509786941209E+26</v>
      </c>
      <c r="AO930" s="5">
        <f>IF(AL930=AL931,1,LOOKUP(MOD(AL930,$AL$1),$AN$1:$AN$5,$AO$1:$AO$5))</f>
        <v>1</v>
      </c>
      <c r="AP930" s="5">
        <f t="shared" si="119"/>
        <v>1.06107565138875E+26</v>
      </c>
      <c r="AQ930" s="5">
        <f>AM930*$AR$3</f>
        <v>2.6727346382588266E+25</v>
      </c>
      <c r="AR930" s="5">
        <f>AM930*AL930*$AR$4</f>
        <v>7.9380218756287152E+25</v>
      </c>
      <c r="AS930" s="5">
        <f>SUM($AP$9:AP929)</f>
        <v>2.690232978114685E+27</v>
      </c>
    </row>
    <row r="931" spans="1:45" x14ac:dyDescent="0.15">
      <c r="A931" s="5">
        <v>923</v>
      </c>
      <c r="J931" s="5">
        <f t="shared" si="112"/>
        <v>923</v>
      </c>
      <c r="K931" s="5">
        <f>SUM($AP$9:AP930)</f>
        <v>2.7963405432535598E+27</v>
      </c>
      <c r="L931" s="5">
        <f>LOOKUP(K931,AI:AI,AE:AE)</f>
        <v>0</v>
      </c>
      <c r="M931" s="5" t="e">
        <f>LOOKUP(L931,AE:AE,AG:AG)</f>
        <v>#N/A</v>
      </c>
      <c r="N931" s="5" t="e">
        <f>AM931/M931/$K$1</f>
        <v>#N/A</v>
      </c>
      <c r="O931" s="5" t="e">
        <f>SUM($N$9:N931)</f>
        <v>#DIV/0!</v>
      </c>
      <c r="AE931" s="5">
        <f t="shared" si="113"/>
        <v>923</v>
      </c>
      <c r="AF931" s="5">
        <f t="shared" si="114"/>
        <v>3.34813357264904E+22</v>
      </c>
      <c r="AG931" s="5">
        <f t="shared" si="115"/>
        <v>3.3336863943420302E+22</v>
      </c>
      <c r="AH931" s="5">
        <f>AG931*$AF$1</f>
        <v>3.3336863943420305E+23</v>
      </c>
      <c r="AI931" s="5">
        <f>SUM($AF$9:AF930)</f>
        <v>6.5445717730745021E+23</v>
      </c>
      <c r="AK931" s="5">
        <f t="shared" si="116"/>
        <v>923</v>
      </c>
      <c r="AL931" s="5">
        <f t="shared" si="117"/>
        <v>132</v>
      </c>
      <c r="AM931" s="5">
        <f t="shared" si="118"/>
        <v>2.0045509786941199E+26</v>
      </c>
      <c r="AN931" s="5">
        <f>$AL$4*$AL$3^AL931*$AL$2</f>
        <v>2.0045509786941209E+26</v>
      </c>
      <c r="AO931" s="5">
        <f>IF(AL931=AL932,1,LOOKUP(MOD(AL931,$AL$1),$AN$1:$AN$5,$AO$1:$AO$5))</f>
        <v>1</v>
      </c>
      <c r="AP931" s="5">
        <f t="shared" si="119"/>
        <v>1.06107565138875E+26</v>
      </c>
      <c r="AQ931" s="5">
        <f>AM931*$AR$3</f>
        <v>2.6727346382588266E+25</v>
      </c>
      <c r="AR931" s="5">
        <f>AM931*AL931*$AR$4</f>
        <v>7.9380218756287152E+25</v>
      </c>
      <c r="AS931" s="5">
        <f>SUM($AP$9:AP930)</f>
        <v>2.7963405432535598E+27</v>
      </c>
    </row>
    <row r="932" spans="1:45" x14ac:dyDescent="0.15">
      <c r="A932" s="5">
        <v>924</v>
      </c>
      <c r="J932" s="5">
        <f t="shared" si="112"/>
        <v>924</v>
      </c>
      <c r="K932" s="5">
        <f>SUM($AP$9:AP931)</f>
        <v>2.9024481083924346E+27</v>
      </c>
      <c r="L932" s="5">
        <f>LOOKUP(K932,AI:AI,AE:AE)</f>
        <v>0</v>
      </c>
      <c r="M932" s="5" t="e">
        <f>LOOKUP(L932,AE:AE,AG:AG)</f>
        <v>#N/A</v>
      </c>
      <c r="N932" s="5" t="e">
        <f>AM932/M932/$K$1</f>
        <v>#N/A</v>
      </c>
      <c r="O932" s="5" t="e">
        <f>SUM($N$9:N932)</f>
        <v>#DIV/0!</v>
      </c>
      <c r="AE932" s="5">
        <f t="shared" si="113"/>
        <v>924</v>
      </c>
      <c r="AF932" s="5">
        <f t="shared" si="114"/>
        <v>3.5193326355870801E+22</v>
      </c>
      <c r="AG932" s="5">
        <f t="shared" si="115"/>
        <v>3.5041630983647299E+22</v>
      </c>
      <c r="AH932" s="5">
        <f>AG932*$AF$1</f>
        <v>3.5041630983647299E+23</v>
      </c>
      <c r="AI932" s="5">
        <f>SUM($AF$9:AF931)</f>
        <v>6.8793851303394062E+23</v>
      </c>
      <c r="AK932" s="5">
        <f t="shared" si="116"/>
        <v>924</v>
      </c>
      <c r="AL932" s="5">
        <f t="shared" si="117"/>
        <v>132</v>
      </c>
      <c r="AM932" s="5">
        <f t="shared" si="118"/>
        <v>1.4031856850858801E+27</v>
      </c>
      <c r="AN932" s="5">
        <f>$AL$4*$AL$3^AL932*$AL$2</f>
        <v>2.0045509786941209E+26</v>
      </c>
      <c r="AO932" s="5">
        <f>IF(AL932=AL933,1,LOOKUP(MOD(AL932,$AL$1),$AN$1:$AN$5,$AO$1:$AO$5))</f>
        <v>7</v>
      </c>
      <c r="AP932" s="5">
        <f t="shared" si="119"/>
        <v>7.4275295597212599E+26</v>
      </c>
      <c r="AQ932" s="5">
        <f>AM932*$AR$3</f>
        <v>1.8709142467811734E+26</v>
      </c>
      <c r="AR932" s="5">
        <f>AM932*AL932*$AR$4</f>
        <v>5.5566153129400855E+26</v>
      </c>
      <c r="AS932" s="5">
        <f>SUM($AP$9:AP931)</f>
        <v>2.9024481083924346E+27</v>
      </c>
    </row>
    <row r="933" spans="1:45" x14ac:dyDescent="0.15">
      <c r="A933" s="5">
        <v>925</v>
      </c>
      <c r="J933" s="5">
        <f t="shared" si="112"/>
        <v>925</v>
      </c>
      <c r="K933" s="5">
        <f>SUM($AP$9:AP932)</f>
        <v>3.6452010643645605E+27</v>
      </c>
      <c r="L933" s="5">
        <f>LOOKUP(K933,AI:AI,AE:AE)</f>
        <v>0</v>
      </c>
      <c r="M933" s="5" t="e">
        <f>LOOKUP(L933,AE:AE,AG:AG)</f>
        <v>#N/A</v>
      </c>
      <c r="N933" s="5" t="e">
        <f>AM933/M933/$K$1</f>
        <v>#N/A</v>
      </c>
      <c r="O933" s="5" t="e">
        <f>SUM($N$9:N933)</f>
        <v>#DIV/0!</v>
      </c>
      <c r="AE933" s="5">
        <f t="shared" si="113"/>
        <v>925</v>
      </c>
      <c r="AF933" s="5">
        <f t="shared" si="114"/>
        <v>3.6992812708873101E+22</v>
      </c>
      <c r="AG933" s="5">
        <f t="shared" si="115"/>
        <v>3.68335325680383E+22</v>
      </c>
      <c r="AH933" s="5">
        <f>AG933*$AF$1</f>
        <v>3.6833532568038299E+23</v>
      </c>
      <c r="AI933" s="5">
        <f>SUM($AF$9:AF932)</f>
        <v>7.2313183938981142E+23</v>
      </c>
      <c r="AK933" s="5">
        <f t="shared" si="116"/>
        <v>925</v>
      </c>
      <c r="AL933" s="5">
        <f t="shared" si="117"/>
        <v>133</v>
      </c>
      <c r="AM933" s="5">
        <f t="shared" si="118"/>
        <v>3.14714503654977E+26</v>
      </c>
      <c r="AN933" s="5">
        <f>$AL$4*$AL$3^AL933*$AL$2</f>
        <v>3.14714503654977E+26</v>
      </c>
      <c r="AO933" s="5">
        <f>IF(AL933=AL934,1,LOOKUP(MOD(AL933,$AL$1),$AN$1:$AN$5,$AO$1:$AO$5))</f>
        <v>1</v>
      </c>
      <c r="AP933" s="5">
        <f t="shared" si="119"/>
        <v>1.6753302077899902E+26</v>
      </c>
      <c r="AQ933" s="5">
        <f>AM933*$AR$3</f>
        <v>4.1961933820663597E+25</v>
      </c>
      <c r="AR933" s="5">
        <f>AM933*AL933*$AR$4</f>
        <v>1.2557108695833584E+26</v>
      </c>
      <c r="AS933" s="5">
        <f>SUM($AP$9:AP932)</f>
        <v>3.6452010643645605E+27</v>
      </c>
    </row>
    <row r="934" spans="1:45" x14ac:dyDescent="0.15">
      <c r="A934" s="5">
        <v>926</v>
      </c>
      <c r="J934" s="5">
        <f t="shared" si="112"/>
        <v>926</v>
      </c>
      <c r="K934" s="5">
        <f>SUM($AP$9:AP933)</f>
        <v>3.8127340851435595E+27</v>
      </c>
      <c r="L934" s="5">
        <f>LOOKUP(K934,AI:AI,AE:AE)</f>
        <v>0</v>
      </c>
      <c r="M934" s="5" t="e">
        <f>LOOKUP(L934,AE:AE,AG:AG)</f>
        <v>#N/A</v>
      </c>
      <c r="N934" s="5" t="e">
        <f>AM934/M934/$K$1</f>
        <v>#N/A</v>
      </c>
      <c r="O934" s="5" t="e">
        <f>SUM($N$9:N934)</f>
        <v>#DIV/0!</v>
      </c>
      <c r="AE934" s="5">
        <f t="shared" si="113"/>
        <v>926</v>
      </c>
      <c r="AF934" s="5">
        <f t="shared" si="114"/>
        <v>3.8884264381285801E+22</v>
      </c>
      <c r="AG934" s="5">
        <f t="shared" si="115"/>
        <v>3.8717020233409296E+22</v>
      </c>
      <c r="AH934" s="5">
        <f>AG934*$AF$1</f>
        <v>3.8717020233409294E+23</v>
      </c>
      <c r="AI934" s="5">
        <f>SUM($AF$9:AF933)</f>
        <v>7.6012465209868451E+23</v>
      </c>
      <c r="AK934" s="5">
        <f t="shared" si="116"/>
        <v>926</v>
      </c>
      <c r="AL934" s="5">
        <f t="shared" si="117"/>
        <v>133</v>
      </c>
      <c r="AM934" s="5">
        <f t="shared" si="118"/>
        <v>3.14714503654977E+26</v>
      </c>
      <c r="AN934" s="5">
        <f>$AL$4*$AL$3^AL934*$AL$2</f>
        <v>3.14714503654977E+26</v>
      </c>
      <c r="AO934" s="5">
        <f>IF(AL934=AL935,1,LOOKUP(MOD(AL934,$AL$1),$AN$1:$AN$5,$AO$1:$AO$5))</f>
        <v>1</v>
      </c>
      <c r="AP934" s="5">
        <f t="shared" si="119"/>
        <v>1.6753302077899902E+26</v>
      </c>
      <c r="AQ934" s="5">
        <f>AM934*$AR$3</f>
        <v>4.1961933820663597E+25</v>
      </c>
      <c r="AR934" s="5">
        <f>AM934*AL934*$AR$4</f>
        <v>1.2557108695833584E+26</v>
      </c>
      <c r="AS934" s="5">
        <f>SUM($AP$9:AP933)</f>
        <v>3.8127340851435595E+27</v>
      </c>
    </row>
    <row r="935" spans="1:45" x14ac:dyDescent="0.15">
      <c r="A935" s="5">
        <v>927</v>
      </c>
      <c r="J935" s="5">
        <f t="shared" si="112"/>
        <v>927</v>
      </c>
      <c r="K935" s="5">
        <f>SUM($AP$9:AP934)</f>
        <v>3.9802671059225585E+27</v>
      </c>
      <c r="L935" s="5">
        <f>LOOKUP(K935,AI:AI,AE:AE)</f>
        <v>0</v>
      </c>
      <c r="M935" s="5" t="e">
        <f>LOOKUP(L935,AE:AE,AG:AG)</f>
        <v>#N/A</v>
      </c>
      <c r="N935" s="5" t="e">
        <f>AM935/M935/$K$1</f>
        <v>#N/A</v>
      </c>
      <c r="O935" s="5" t="e">
        <f>SUM($N$9:N935)</f>
        <v>#DIV/0!</v>
      </c>
      <c r="AE935" s="5">
        <f t="shared" si="113"/>
        <v>927</v>
      </c>
      <c r="AF935" s="5">
        <f t="shared" si="114"/>
        <v>4.0872379189167699E+22</v>
      </c>
      <c r="AG935" s="5">
        <f t="shared" si="115"/>
        <v>4.0696772833897404E+22</v>
      </c>
      <c r="AH935" s="5">
        <f>AG935*$AF$1</f>
        <v>4.0696772833897404E+23</v>
      </c>
      <c r="AI935" s="5">
        <f>SUM($AF$9:AF934)</f>
        <v>7.9900891647997027E+23</v>
      </c>
      <c r="AK935" s="5">
        <f t="shared" si="116"/>
        <v>927</v>
      </c>
      <c r="AL935" s="5">
        <f t="shared" si="117"/>
        <v>133</v>
      </c>
      <c r="AM935" s="5">
        <f t="shared" si="118"/>
        <v>3.14714503654977E+26</v>
      </c>
      <c r="AN935" s="5">
        <f>$AL$4*$AL$3^AL935*$AL$2</f>
        <v>3.14714503654977E+26</v>
      </c>
      <c r="AO935" s="5">
        <f>IF(AL935=AL936,1,LOOKUP(MOD(AL935,$AL$1),$AN$1:$AN$5,$AO$1:$AO$5))</f>
        <v>1</v>
      </c>
      <c r="AP935" s="5">
        <f t="shared" si="119"/>
        <v>1.6753302077899902E+26</v>
      </c>
      <c r="AQ935" s="5">
        <f>AM935*$AR$3</f>
        <v>4.1961933820663597E+25</v>
      </c>
      <c r="AR935" s="5">
        <f>AM935*AL935*$AR$4</f>
        <v>1.2557108695833584E+26</v>
      </c>
      <c r="AS935" s="5">
        <f>SUM($AP$9:AP934)</f>
        <v>3.9802671059225585E+27</v>
      </c>
    </row>
    <row r="936" spans="1:45" x14ac:dyDescent="0.15">
      <c r="A936" s="5">
        <v>928</v>
      </c>
      <c r="J936" s="5">
        <f t="shared" si="112"/>
        <v>928</v>
      </c>
      <c r="K936" s="5">
        <f>SUM($AP$9:AP935)</f>
        <v>4.1478001267015575E+27</v>
      </c>
      <c r="L936" s="5">
        <f>LOOKUP(K936,AI:AI,AE:AE)</f>
        <v>0</v>
      </c>
      <c r="M936" s="5" t="e">
        <f>LOOKUP(L936,AE:AE,AG:AG)</f>
        <v>#N/A</v>
      </c>
      <c r="N936" s="5" t="e">
        <f>AM936/M936/$K$1</f>
        <v>#N/A</v>
      </c>
      <c r="O936" s="5" t="e">
        <f>SUM($N$9:N936)</f>
        <v>#DIV/0!</v>
      </c>
      <c r="AE936" s="5">
        <f t="shared" si="113"/>
        <v>928</v>
      </c>
      <c r="AF936" s="5">
        <f t="shared" si="114"/>
        <v>4.2962094816884603E+22</v>
      </c>
      <c r="AG936" s="5">
        <f t="shared" si="115"/>
        <v>4.2777708143850698E+22</v>
      </c>
      <c r="AH936" s="5">
        <f>AG936*$AF$1</f>
        <v>4.27777081438507E+23</v>
      </c>
      <c r="AI936" s="5">
        <f>SUM($AF$9:AF935)</f>
        <v>8.3988129566913795E+23</v>
      </c>
      <c r="AK936" s="5">
        <f t="shared" si="116"/>
        <v>928</v>
      </c>
      <c r="AL936" s="5">
        <f t="shared" si="117"/>
        <v>133</v>
      </c>
      <c r="AM936" s="5">
        <f t="shared" si="118"/>
        <v>3.14714503654977E+26</v>
      </c>
      <c r="AN936" s="5">
        <f>$AL$4*$AL$3^AL936*$AL$2</f>
        <v>3.14714503654977E+26</v>
      </c>
      <c r="AO936" s="5">
        <f>IF(AL936=AL937,1,LOOKUP(MOD(AL936,$AL$1),$AN$1:$AN$5,$AO$1:$AO$5))</f>
        <v>1</v>
      </c>
      <c r="AP936" s="5">
        <f t="shared" si="119"/>
        <v>1.6753302077899902E+26</v>
      </c>
      <c r="AQ936" s="5">
        <f>AM936*$AR$3</f>
        <v>4.1961933820663597E+25</v>
      </c>
      <c r="AR936" s="5">
        <f>AM936*AL936*$AR$4</f>
        <v>1.2557108695833584E+26</v>
      </c>
      <c r="AS936" s="5">
        <f>SUM($AP$9:AP935)</f>
        <v>4.1478001267015575E+27</v>
      </c>
    </row>
    <row r="937" spans="1:45" x14ac:dyDescent="0.15">
      <c r="A937" s="5">
        <v>929</v>
      </c>
      <c r="J937" s="5">
        <f t="shared" si="112"/>
        <v>929</v>
      </c>
      <c r="K937" s="5">
        <f>SUM($AP$9:AP936)</f>
        <v>4.3153331474805565E+27</v>
      </c>
      <c r="L937" s="5">
        <f>LOOKUP(K937,AI:AI,AE:AE)</f>
        <v>0</v>
      </c>
      <c r="M937" s="5" t="e">
        <f>LOOKUP(L937,AE:AE,AG:AG)</f>
        <v>#N/A</v>
      </c>
      <c r="N937" s="5" t="e">
        <f>AM937/M937/$K$1</f>
        <v>#N/A</v>
      </c>
      <c r="O937" s="5" t="e">
        <f>SUM($N$9:N937)</f>
        <v>#DIV/0!</v>
      </c>
      <c r="AE937" s="5">
        <f t="shared" si="113"/>
        <v>929</v>
      </c>
      <c r="AF937" s="5">
        <f t="shared" si="114"/>
        <v>4.5158601059400197E+22</v>
      </c>
      <c r="AG937" s="5">
        <f t="shared" si="115"/>
        <v>4.4964995052714599E+22</v>
      </c>
      <c r="AH937" s="5">
        <f>AG937*$AF$1</f>
        <v>4.4964995052714597E+23</v>
      </c>
      <c r="AI937" s="5">
        <f>SUM($AF$9:AF936)</f>
        <v>8.8284339048602253E+23</v>
      </c>
      <c r="AK937" s="5">
        <f t="shared" si="116"/>
        <v>929</v>
      </c>
      <c r="AL937" s="5">
        <f t="shared" si="117"/>
        <v>133</v>
      </c>
      <c r="AM937" s="5">
        <f t="shared" si="118"/>
        <v>3.14714503654977E+26</v>
      </c>
      <c r="AN937" s="5">
        <f>$AL$4*$AL$3^AL937*$AL$2</f>
        <v>3.14714503654977E+26</v>
      </c>
      <c r="AO937" s="5">
        <f>IF(AL937=AL938,1,LOOKUP(MOD(AL937,$AL$1),$AN$1:$AN$5,$AO$1:$AO$5))</f>
        <v>1</v>
      </c>
      <c r="AP937" s="5">
        <f t="shared" si="119"/>
        <v>1.6753302077899902E+26</v>
      </c>
      <c r="AQ937" s="5">
        <f>AM937*$AR$3</f>
        <v>4.1961933820663597E+25</v>
      </c>
      <c r="AR937" s="5">
        <f>AM937*AL937*$AR$4</f>
        <v>1.2557108695833584E+26</v>
      </c>
      <c r="AS937" s="5">
        <f>SUM($AP$9:AP936)</f>
        <v>4.3153331474805565E+27</v>
      </c>
    </row>
    <row r="938" spans="1:45" x14ac:dyDescent="0.15">
      <c r="A938" s="5">
        <v>930</v>
      </c>
      <c r="J938" s="5">
        <f t="shared" si="112"/>
        <v>930</v>
      </c>
      <c r="K938" s="5">
        <f>SUM($AP$9:AP937)</f>
        <v>4.4828661682595555E+27</v>
      </c>
      <c r="L938" s="5">
        <f>LOOKUP(K938,AI:AI,AE:AE)</f>
        <v>0</v>
      </c>
      <c r="M938" s="5" t="e">
        <f>LOOKUP(L938,AE:AE,AG:AG)</f>
        <v>#N/A</v>
      </c>
      <c r="N938" s="5" t="e">
        <f>AM938/M938/$K$1</f>
        <v>#N/A</v>
      </c>
      <c r="O938" s="5" t="e">
        <f>SUM($N$9:N938)</f>
        <v>#DIV/0!</v>
      </c>
      <c r="AE938" s="5">
        <f t="shared" si="113"/>
        <v>930</v>
      </c>
      <c r="AF938" s="5">
        <f t="shared" si="114"/>
        <v>4.74673526891251E+22</v>
      </c>
      <c r="AG938" s="5">
        <f t="shared" si="115"/>
        <v>4.7264066382105303E+22</v>
      </c>
      <c r="AH938" s="5">
        <f>AG938*$AF$1</f>
        <v>4.7264066382105301E+23</v>
      </c>
      <c r="AI938" s="5">
        <f>SUM($AF$9:AF937)</f>
        <v>9.2800199154542273E+23</v>
      </c>
      <c r="AK938" s="5">
        <f t="shared" si="116"/>
        <v>930</v>
      </c>
      <c r="AL938" s="5">
        <f t="shared" si="117"/>
        <v>133</v>
      </c>
      <c r="AM938" s="5">
        <f t="shared" si="118"/>
        <v>3.14714503654977E+26</v>
      </c>
      <c r="AN938" s="5">
        <f>$AL$4*$AL$3^AL938*$AL$2</f>
        <v>3.14714503654977E+26</v>
      </c>
      <c r="AO938" s="5">
        <f>IF(AL938=AL939,1,LOOKUP(MOD(AL938,$AL$1),$AN$1:$AN$5,$AO$1:$AO$5))</f>
        <v>1</v>
      </c>
      <c r="AP938" s="5">
        <f t="shared" si="119"/>
        <v>1.6753302077899902E+26</v>
      </c>
      <c r="AQ938" s="5">
        <f>AM938*$AR$3</f>
        <v>4.1961933820663597E+25</v>
      </c>
      <c r="AR938" s="5">
        <f>AM938*AL938*$AR$4</f>
        <v>1.2557108695833584E+26</v>
      </c>
      <c r="AS938" s="5">
        <f>SUM($AP$9:AP937)</f>
        <v>4.4828661682595555E+27</v>
      </c>
    </row>
    <row r="939" spans="1:45" x14ac:dyDescent="0.15">
      <c r="A939" s="5">
        <v>931</v>
      </c>
      <c r="J939" s="5">
        <f t="shared" si="112"/>
        <v>931</v>
      </c>
      <c r="K939" s="5">
        <f>SUM($AP$9:AP938)</f>
        <v>4.6503991890385546E+27</v>
      </c>
      <c r="L939" s="5">
        <f>LOOKUP(K939,AI:AI,AE:AE)</f>
        <v>0</v>
      </c>
      <c r="M939" s="5" t="e">
        <f>LOOKUP(L939,AE:AE,AG:AG)</f>
        <v>#N/A</v>
      </c>
      <c r="N939" s="5" t="e">
        <f>AM939/M939/$K$1</f>
        <v>#N/A</v>
      </c>
      <c r="O939" s="5" t="e">
        <f>SUM($N$9:N939)</f>
        <v>#DIV/0!</v>
      </c>
      <c r="AE939" s="5">
        <f t="shared" si="113"/>
        <v>931</v>
      </c>
      <c r="AF939" s="5">
        <f t="shared" si="114"/>
        <v>4.9894082979174103E+22</v>
      </c>
      <c r="AG939" s="5">
        <f t="shared" si="115"/>
        <v>4.9680632356803296E+22</v>
      </c>
      <c r="AH939" s="5">
        <f>AG939*$AF$1</f>
        <v>4.9680632356803296E+23</v>
      </c>
      <c r="AI939" s="5">
        <f>SUM($AF$9:AF938)</f>
        <v>9.7546934423454789E+23</v>
      </c>
      <c r="AK939" s="5">
        <f t="shared" si="116"/>
        <v>931</v>
      </c>
      <c r="AL939" s="5">
        <f t="shared" si="117"/>
        <v>133</v>
      </c>
      <c r="AM939" s="5">
        <f t="shared" si="118"/>
        <v>3.1471450365497701E+27</v>
      </c>
      <c r="AN939" s="5">
        <f>$AL$4*$AL$3^AL939*$AL$2</f>
        <v>3.14714503654977E+26</v>
      </c>
      <c r="AO939" s="5">
        <f>IF(AL939=AL940,1,LOOKUP(MOD(AL939,$AL$1),$AN$1:$AN$5,$AO$1:$AO$5))</f>
        <v>10</v>
      </c>
      <c r="AP939" s="5">
        <f t="shared" si="119"/>
        <v>1.6753302077899899E+27</v>
      </c>
      <c r="AQ939" s="5">
        <f>AM939*$AR$3</f>
        <v>4.1961933820663602E+26</v>
      </c>
      <c r="AR939" s="5">
        <f>AM939*AL939*$AR$4</f>
        <v>1.2557108695833582E+27</v>
      </c>
      <c r="AS939" s="5">
        <f>SUM($AP$9:AP938)</f>
        <v>4.6503991890385546E+27</v>
      </c>
    </row>
    <row r="940" spans="1:45" x14ac:dyDescent="0.15">
      <c r="A940" s="5">
        <v>932</v>
      </c>
      <c r="J940" s="5">
        <f t="shared" si="112"/>
        <v>932</v>
      </c>
      <c r="K940" s="5">
        <f>SUM($AP$9:AP939)</f>
        <v>6.3257293968285442E+27</v>
      </c>
      <c r="L940" s="5">
        <f>LOOKUP(K940,AI:AI,AE:AE)</f>
        <v>0</v>
      </c>
      <c r="M940" s="5" t="e">
        <f>LOOKUP(L940,AE:AE,AG:AG)</f>
        <v>#N/A</v>
      </c>
      <c r="N940" s="5" t="e">
        <f>AM940/M940/$K$1</f>
        <v>#N/A</v>
      </c>
      <c r="O940" s="5" t="e">
        <f>SUM($N$9:N940)</f>
        <v>#DIV/0!</v>
      </c>
      <c r="AE940" s="5">
        <f t="shared" si="113"/>
        <v>932</v>
      </c>
      <c r="AF940" s="5">
        <f t="shared" si="114"/>
        <v>5.2444817916505102E+22</v>
      </c>
      <c r="AG940" s="5">
        <f t="shared" si="115"/>
        <v>5.2220694763015804E+22</v>
      </c>
      <c r="AH940" s="5">
        <f>AG940*$AF$1</f>
        <v>5.2220694763015802E+23</v>
      </c>
      <c r="AI940" s="5">
        <f>SUM($AF$9:AF939)</f>
        <v>1.025363427213722E+24</v>
      </c>
      <c r="AK940" s="5">
        <f t="shared" si="116"/>
        <v>932</v>
      </c>
      <c r="AL940" s="5">
        <f t="shared" si="117"/>
        <v>134</v>
      </c>
      <c r="AM940" s="5">
        <f t="shared" si="118"/>
        <v>4.9410177073831397E+26</v>
      </c>
      <c r="AN940" s="5">
        <f>$AL$4*$AL$3^AL940*$AL$2</f>
        <v>4.941017707383139E+26</v>
      </c>
      <c r="AO940" s="5">
        <f>IF(AL940=AL941,1,LOOKUP(MOD(AL940,$AL$1),$AN$1:$AN$5,$AO$1:$AO$5))</f>
        <v>1</v>
      </c>
      <c r="AP940" s="5">
        <f t="shared" si="119"/>
        <v>2.6450914793524399E+26</v>
      </c>
      <c r="AQ940" s="5">
        <f>AM940*$AR$3</f>
        <v>6.5880236098441864E+25</v>
      </c>
      <c r="AR940" s="5">
        <f>AM940*AL940*$AR$4</f>
        <v>1.9862891183680222E+26</v>
      </c>
      <c r="AS940" s="5">
        <f>SUM($AP$9:AP939)</f>
        <v>6.3257293968285442E+27</v>
      </c>
    </row>
    <row r="941" spans="1:45" x14ac:dyDescent="0.15">
      <c r="A941" s="5">
        <v>933</v>
      </c>
      <c r="J941" s="5">
        <f t="shared" si="112"/>
        <v>933</v>
      </c>
      <c r="K941" s="5">
        <f>SUM($AP$9:AP940)</f>
        <v>6.5902385447637881E+27</v>
      </c>
      <c r="L941" s="5">
        <f>LOOKUP(K941,AI:AI,AE:AE)</f>
        <v>0</v>
      </c>
      <c r="M941" s="5" t="e">
        <f>LOOKUP(L941,AE:AE,AG:AG)</f>
        <v>#N/A</v>
      </c>
      <c r="N941" s="5" t="e">
        <f>AM941/M941/$K$1</f>
        <v>#N/A</v>
      </c>
      <c r="O941" s="5" t="e">
        <f>SUM($N$9:N941)</f>
        <v>#DIV/0!</v>
      </c>
      <c r="AE941" s="5">
        <f t="shared" si="113"/>
        <v>933</v>
      </c>
      <c r="AF941" s="5">
        <f t="shared" si="114"/>
        <v>5.5125891140121403E+22</v>
      </c>
      <c r="AG941" s="5">
        <f t="shared" si="115"/>
        <v>5.4890561828957496E+22</v>
      </c>
      <c r="AH941" s="5">
        <f>AG941*$AF$1</f>
        <v>5.4890561828957498E+23</v>
      </c>
      <c r="AI941" s="5">
        <f>SUM($AF$9:AF940)</f>
        <v>1.0778082451302271E+24</v>
      </c>
      <c r="AK941" s="5">
        <f t="shared" si="116"/>
        <v>933</v>
      </c>
      <c r="AL941" s="5">
        <f t="shared" si="117"/>
        <v>134</v>
      </c>
      <c r="AM941" s="5">
        <f t="shared" si="118"/>
        <v>4.9410177073831397E+26</v>
      </c>
      <c r="AN941" s="5">
        <f>$AL$4*$AL$3^AL941*$AL$2</f>
        <v>4.941017707383139E+26</v>
      </c>
      <c r="AO941" s="5">
        <f>IF(AL941=AL942,1,LOOKUP(MOD(AL941,$AL$1),$AN$1:$AN$5,$AO$1:$AO$5))</f>
        <v>1</v>
      </c>
      <c r="AP941" s="5">
        <f t="shared" si="119"/>
        <v>2.6450914793524399E+26</v>
      </c>
      <c r="AQ941" s="5">
        <f>AM941*$AR$3</f>
        <v>6.5880236098441864E+25</v>
      </c>
      <c r="AR941" s="5">
        <f>AM941*AL941*$AR$4</f>
        <v>1.9862891183680222E+26</v>
      </c>
      <c r="AS941" s="5">
        <f>SUM($AP$9:AP940)</f>
        <v>6.5902385447637881E+27</v>
      </c>
    </row>
    <row r="942" spans="1:45" x14ac:dyDescent="0.15">
      <c r="A942" s="5">
        <v>934</v>
      </c>
      <c r="J942" s="5">
        <f t="shared" si="112"/>
        <v>934</v>
      </c>
      <c r="K942" s="5">
        <f>SUM($AP$9:AP941)</f>
        <v>6.8547476926990319E+27</v>
      </c>
      <c r="L942" s="5">
        <f>LOOKUP(K942,AI:AI,AE:AE)</f>
        <v>0</v>
      </c>
      <c r="M942" s="5" t="e">
        <f>LOOKUP(L942,AE:AE,AG:AG)</f>
        <v>#N/A</v>
      </c>
      <c r="N942" s="5" t="e">
        <f>AM942/M942/$K$1</f>
        <v>#N/A</v>
      </c>
      <c r="O942" s="5" t="e">
        <f>SUM($N$9:N942)</f>
        <v>#DIV/0!</v>
      </c>
      <c r="AE942" s="5">
        <f t="shared" si="113"/>
        <v>934</v>
      </c>
      <c r="AF942" s="5">
        <f t="shared" si="114"/>
        <v>5.7943959641307897E+22</v>
      </c>
      <c r="AG942" s="5">
        <f t="shared" si="115"/>
        <v>5.7696863864585898E+22</v>
      </c>
      <c r="AH942" s="5">
        <f>AG942*$AF$1</f>
        <v>5.7696863864585898E+23</v>
      </c>
      <c r="AI942" s="5">
        <f>SUM($AF$9:AF941)</f>
        <v>1.1329341362703485E+24</v>
      </c>
      <c r="AK942" s="5">
        <f t="shared" si="116"/>
        <v>934</v>
      </c>
      <c r="AL942" s="5">
        <f t="shared" si="117"/>
        <v>134</v>
      </c>
      <c r="AM942" s="5">
        <f t="shared" si="118"/>
        <v>4.9410177073831397E+26</v>
      </c>
      <c r="AN942" s="5">
        <f>$AL$4*$AL$3^AL942*$AL$2</f>
        <v>4.941017707383139E+26</v>
      </c>
      <c r="AO942" s="5">
        <f>IF(AL942=AL943,1,LOOKUP(MOD(AL942,$AL$1),$AN$1:$AN$5,$AO$1:$AO$5))</f>
        <v>1</v>
      </c>
      <c r="AP942" s="5">
        <f t="shared" si="119"/>
        <v>2.6450914793524399E+26</v>
      </c>
      <c r="AQ942" s="5">
        <f>AM942*$AR$3</f>
        <v>6.5880236098441864E+25</v>
      </c>
      <c r="AR942" s="5">
        <f>AM942*AL942*$AR$4</f>
        <v>1.9862891183680222E+26</v>
      </c>
      <c r="AS942" s="5">
        <f>SUM($AP$9:AP941)</f>
        <v>6.8547476926990319E+27</v>
      </c>
    </row>
    <row r="943" spans="1:45" x14ac:dyDescent="0.15">
      <c r="A943" s="5">
        <v>935</v>
      </c>
      <c r="J943" s="5">
        <f t="shared" si="112"/>
        <v>935</v>
      </c>
      <c r="K943" s="5">
        <f>SUM($AP$9:AP942)</f>
        <v>7.1192568406342758E+27</v>
      </c>
      <c r="L943" s="5">
        <f>LOOKUP(K943,AI:AI,AE:AE)</f>
        <v>0</v>
      </c>
      <c r="M943" s="5" t="e">
        <f>LOOKUP(L943,AE:AE,AG:AG)</f>
        <v>#N/A</v>
      </c>
      <c r="N943" s="5" t="e">
        <f>AM943/M943/$K$1</f>
        <v>#N/A</v>
      </c>
      <c r="O943" s="5" t="e">
        <f>SUM($N$9:N943)</f>
        <v>#DIV/0!</v>
      </c>
      <c r="AE943" s="5">
        <f t="shared" si="113"/>
        <v>935</v>
      </c>
      <c r="AF943" s="5">
        <f t="shared" si="114"/>
        <v>6.0906020264762799E+22</v>
      </c>
      <c r="AG943" s="5">
        <f t="shared" si="115"/>
        <v>6.0646569699204703E+22</v>
      </c>
      <c r="AH943" s="5">
        <f>AG943*$AF$1</f>
        <v>6.06465696992047E+23</v>
      </c>
      <c r="AI943" s="5">
        <f>SUM($AF$9:AF942)</f>
        <v>1.1908780959116564E+24</v>
      </c>
      <c r="AK943" s="5">
        <f t="shared" si="116"/>
        <v>935</v>
      </c>
      <c r="AL943" s="5">
        <f t="shared" si="117"/>
        <v>134</v>
      </c>
      <c r="AM943" s="5">
        <f t="shared" si="118"/>
        <v>4.9410177073831397E+26</v>
      </c>
      <c r="AN943" s="5">
        <f>$AL$4*$AL$3^AL943*$AL$2</f>
        <v>4.941017707383139E+26</v>
      </c>
      <c r="AO943" s="5">
        <f>IF(AL943=AL944,1,LOOKUP(MOD(AL943,$AL$1),$AN$1:$AN$5,$AO$1:$AO$5))</f>
        <v>1</v>
      </c>
      <c r="AP943" s="5">
        <f t="shared" si="119"/>
        <v>2.6450914793524399E+26</v>
      </c>
      <c r="AQ943" s="5">
        <f>AM943*$AR$3</f>
        <v>6.5880236098441864E+25</v>
      </c>
      <c r="AR943" s="5">
        <f>AM943*AL943*$AR$4</f>
        <v>1.9862891183680222E+26</v>
      </c>
      <c r="AS943" s="5">
        <f>SUM($AP$9:AP942)</f>
        <v>7.1192568406342758E+27</v>
      </c>
    </row>
    <row r="944" spans="1:45" x14ac:dyDescent="0.15">
      <c r="A944" s="5">
        <v>936</v>
      </c>
      <c r="J944" s="5">
        <f t="shared" si="112"/>
        <v>936</v>
      </c>
      <c r="K944" s="5">
        <f>SUM($AP$9:AP943)</f>
        <v>7.3837659885695197E+27</v>
      </c>
      <c r="L944" s="5">
        <f>LOOKUP(K944,AI:AI,AE:AE)</f>
        <v>0</v>
      </c>
      <c r="M944" s="5" t="e">
        <f>LOOKUP(L944,AE:AE,AG:AG)</f>
        <v>#N/A</v>
      </c>
      <c r="N944" s="5" t="e">
        <f>AM944/M944/$K$1</f>
        <v>#N/A</v>
      </c>
      <c r="O944" s="5" t="e">
        <f>SUM($N$9:N944)</f>
        <v>#DIV/0!</v>
      </c>
      <c r="AE944" s="5">
        <f t="shared" si="113"/>
        <v>936</v>
      </c>
      <c r="AF944" s="5">
        <f t="shared" si="114"/>
        <v>6.4019427051459999E+22</v>
      </c>
      <c r="AG944" s="5">
        <f t="shared" si="115"/>
        <v>6.3747003957624003E+22</v>
      </c>
      <c r="AH944" s="5">
        <f>AG944*$AF$1</f>
        <v>6.3747003957624006E+23</v>
      </c>
      <c r="AI944" s="5">
        <f>SUM($AF$9:AF943)</f>
        <v>1.2517841161764192E+24</v>
      </c>
      <c r="AK944" s="5">
        <f t="shared" si="116"/>
        <v>936</v>
      </c>
      <c r="AL944" s="5">
        <f t="shared" si="117"/>
        <v>134</v>
      </c>
      <c r="AM944" s="5">
        <f t="shared" si="118"/>
        <v>4.9410177073831397E+26</v>
      </c>
      <c r="AN944" s="5">
        <f>$AL$4*$AL$3^AL944*$AL$2</f>
        <v>4.941017707383139E+26</v>
      </c>
      <c r="AO944" s="5">
        <f>IF(AL944=AL945,1,LOOKUP(MOD(AL944,$AL$1),$AN$1:$AN$5,$AO$1:$AO$5))</f>
        <v>1</v>
      </c>
      <c r="AP944" s="5">
        <f t="shared" si="119"/>
        <v>2.6450914793524399E+26</v>
      </c>
      <c r="AQ944" s="5">
        <f>AM944*$AR$3</f>
        <v>6.5880236098441864E+25</v>
      </c>
      <c r="AR944" s="5">
        <f>AM944*AL944*$AR$4</f>
        <v>1.9862891183680222E+26</v>
      </c>
      <c r="AS944" s="5">
        <f>SUM($AP$9:AP943)</f>
        <v>7.3837659885695197E+27</v>
      </c>
    </row>
    <row r="945" spans="1:45" x14ac:dyDescent="0.15">
      <c r="A945" s="5">
        <v>937</v>
      </c>
      <c r="J945" s="5">
        <f t="shared" si="112"/>
        <v>937</v>
      </c>
      <c r="K945" s="5">
        <f>SUM($AP$9:AP944)</f>
        <v>7.6482751365047636E+27</v>
      </c>
      <c r="L945" s="5">
        <f>LOOKUP(K945,AI:AI,AE:AE)</f>
        <v>0</v>
      </c>
      <c r="M945" s="5" t="e">
        <f>LOOKUP(L945,AE:AE,AG:AG)</f>
        <v>#N/A</v>
      </c>
      <c r="N945" s="5" t="e">
        <f>AM945/M945/$K$1</f>
        <v>#N/A</v>
      </c>
      <c r="O945" s="5" t="e">
        <f>SUM($N$9:N945)</f>
        <v>#DIV/0!</v>
      </c>
      <c r="AE945" s="5">
        <f t="shared" si="113"/>
        <v>937</v>
      </c>
      <c r="AF945" s="5">
        <f t="shared" si="114"/>
        <v>6.7291909466164898E+22</v>
      </c>
      <c r="AG945" s="5">
        <f t="shared" si="115"/>
        <v>6.7005865217637099E+22</v>
      </c>
      <c r="AH945" s="5">
        <f>AG945*$AF$1</f>
        <v>6.70058652176371E+23</v>
      </c>
      <c r="AI945" s="5">
        <f>SUM($AF$9:AF944)</f>
        <v>1.3158035432278792E+24</v>
      </c>
      <c r="AK945" s="5">
        <f t="shared" si="116"/>
        <v>937</v>
      </c>
      <c r="AL945" s="5">
        <f t="shared" si="117"/>
        <v>134</v>
      </c>
      <c r="AM945" s="5">
        <f t="shared" si="118"/>
        <v>4.9410177073831397E+26</v>
      </c>
      <c r="AN945" s="5">
        <f>$AL$4*$AL$3^AL945*$AL$2</f>
        <v>4.941017707383139E+26</v>
      </c>
      <c r="AO945" s="5">
        <f>IF(AL945=AL946,1,LOOKUP(MOD(AL945,$AL$1),$AN$1:$AN$5,$AO$1:$AO$5))</f>
        <v>1</v>
      </c>
      <c r="AP945" s="5">
        <f t="shared" si="119"/>
        <v>2.6450914793524399E+26</v>
      </c>
      <c r="AQ945" s="5">
        <f>AM945*$AR$3</f>
        <v>6.5880236098441864E+25</v>
      </c>
      <c r="AR945" s="5">
        <f>AM945*AL945*$AR$4</f>
        <v>1.9862891183680222E+26</v>
      </c>
      <c r="AS945" s="5">
        <f>SUM($AP$9:AP944)</f>
        <v>7.6482751365047636E+27</v>
      </c>
    </row>
    <row r="946" spans="1:45" x14ac:dyDescent="0.15">
      <c r="A946" s="5">
        <v>938</v>
      </c>
      <c r="J946" s="5">
        <f t="shared" si="112"/>
        <v>938</v>
      </c>
      <c r="K946" s="5">
        <f>SUM($AP$9:AP945)</f>
        <v>7.9127842844400075E+27</v>
      </c>
      <c r="L946" s="5">
        <f>LOOKUP(K946,AI:AI,AE:AE)</f>
        <v>0</v>
      </c>
      <c r="M946" s="5" t="e">
        <f>LOOKUP(L946,AE:AE,AG:AG)</f>
        <v>#N/A</v>
      </c>
      <c r="N946" s="5" t="e">
        <f>AM946/M946/$K$1</f>
        <v>#N/A</v>
      </c>
      <c r="O946" s="5" t="e">
        <f>SUM($N$9:N946)</f>
        <v>#DIV/0!</v>
      </c>
      <c r="AE946" s="5">
        <f t="shared" si="113"/>
        <v>938</v>
      </c>
      <c r="AF946" s="5">
        <f t="shared" si="114"/>
        <v>7.0731591554711702E+22</v>
      </c>
      <c r="AG946" s="5">
        <f t="shared" si="115"/>
        <v>7.0431245093757499E+22</v>
      </c>
      <c r="AH946" s="5">
        <f>AG946*$AF$1</f>
        <v>7.0431245093757501E+23</v>
      </c>
      <c r="AI946" s="5">
        <f>SUM($AF$9:AF945)</f>
        <v>1.3830954526940442E+24</v>
      </c>
      <c r="AK946" s="5">
        <f t="shared" si="116"/>
        <v>938</v>
      </c>
      <c r="AL946" s="5">
        <f t="shared" si="117"/>
        <v>134</v>
      </c>
      <c r="AM946" s="5">
        <f t="shared" si="118"/>
        <v>9.8820354147662794E+26</v>
      </c>
      <c r="AN946" s="5">
        <f>$AL$4*$AL$3^AL946*$AL$2</f>
        <v>4.941017707383139E+26</v>
      </c>
      <c r="AO946" s="5">
        <f>IF(AL946=AL947,1,LOOKUP(MOD(AL946,$AL$1),$AN$1:$AN$5,$AO$1:$AO$5))</f>
        <v>2</v>
      </c>
      <c r="AP946" s="5">
        <f t="shared" si="119"/>
        <v>5.2901829587048799E+26</v>
      </c>
      <c r="AQ946" s="5">
        <f>AM946*$AR$3</f>
        <v>1.3176047219688373E+26</v>
      </c>
      <c r="AR946" s="5">
        <f>AM946*AL946*$AR$4</f>
        <v>3.9725782367360443E+26</v>
      </c>
      <c r="AS946" s="5">
        <f>SUM($AP$9:AP945)</f>
        <v>7.9127842844400075E+27</v>
      </c>
    </row>
    <row r="947" spans="1:45" x14ac:dyDescent="0.15">
      <c r="A947" s="5">
        <v>939</v>
      </c>
      <c r="J947" s="5">
        <f t="shared" si="112"/>
        <v>939</v>
      </c>
      <c r="K947" s="5">
        <f>SUM($AP$9:AP946)</f>
        <v>8.4418025803104953E+27</v>
      </c>
      <c r="L947" s="5">
        <f>LOOKUP(K947,AI:AI,AE:AE)</f>
        <v>0</v>
      </c>
      <c r="M947" s="5" t="e">
        <f>LOOKUP(L947,AE:AE,AG:AG)</f>
        <v>#N/A</v>
      </c>
      <c r="N947" s="5" t="e">
        <f>AM947/M947/$K$1</f>
        <v>#N/A</v>
      </c>
      <c r="O947" s="5" t="e">
        <f>SUM($N$9:N947)</f>
        <v>#DIV/0!</v>
      </c>
      <c r="AE947" s="5">
        <f t="shared" si="113"/>
        <v>939</v>
      </c>
      <c r="AF947" s="5">
        <f t="shared" si="114"/>
        <v>7.4347012078447802E+22</v>
      </c>
      <c r="AG947" s="5">
        <f t="shared" si="115"/>
        <v>7.4031648294445899E+22</v>
      </c>
      <c r="AH947" s="5">
        <f>AG947*$AF$1</f>
        <v>7.4031648294445895E+23</v>
      </c>
      <c r="AI947" s="5">
        <f>SUM($AF$9:AF946)</f>
        <v>1.4538270442487558E+24</v>
      </c>
      <c r="AK947" s="5">
        <f t="shared" si="116"/>
        <v>939</v>
      </c>
      <c r="AL947" s="5">
        <f t="shared" si="117"/>
        <v>135</v>
      </c>
      <c r="AM947" s="5">
        <f t="shared" si="118"/>
        <v>7.7573978005915294E+26</v>
      </c>
      <c r="AN947" s="5">
        <f>$AL$4*$AL$3^AL947*$AL$2</f>
        <v>7.7573978005915281E+26</v>
      </c>
      <c r="AO947" s="5">
        <f>IF(AL947=AL948,1,LOOKUP(MOD(AL947,$AL$1),$AN$1:$AN$5,$AO$1:$AO$5))</f>
        <v>1</v>
      </c>
      <c r="AP947" s="5">
        <f t="shared" si="119"/>
        <v>4.1760658159851103E+26</v>
      </c>
      <c r="AQ947" s="5">
        <f>AM947*$AR$3</f>
        <v>1.0343197067455373E+26</v>
      </c>
      <c r="AR947" s="5">
        <f>AM947*AL947*$AR$4</f>
        <v>3.1417461092395696E+26</v>
      </c>
      <c r="AS947" s="5">
        <f>SUM($AP$9:AP946)</f>
        <v>8.4418025803104953E+27</v>
      </c>
    </row>
    <row r="948" spans="1:45" x14ac:dyDescent="0.15">
      <c r="A948" s="5">
        <v>940</v>
      </c>
      <c r="J948" s="5">
        <f t="shared" si="112"/>
        <v>940</v>
      </c>
      <c r="K948" s="5">
        <f>SUM($AP$9:AP947)</f>
        <v>8.8594091619090065E+27</v>
      </c>
      <c r="L948" s="5">
        <f>LOOKUP(K948,AI:AI,AE:AE)</f>
        <v>0</v>
      </c>
      <c r="M948" s="5" t="e">
        <f>LOOKUP(L948,AE:AE,AG:AG)</f>
        <v>#N/A</v>
      </c>
      <c r="N948" s="5" t="e">
        <f>AM948/M948/$K$1</f>
        <v>#N/A</v>
      </c>
      <c r="O948" s="5" t="e">
        <f>SUM($N$9:N948)</f>
        <v>#DIV/0!</v>
      </c>
      <c r="AE948" s="5">
        <f t="shared" si="113"/>
        <v>940</v>
      </c>
      <c r="AF948" s="5">
        <f t="shared" si="114"/>
        <v>7.8147145675670706E+22</v>
      </c>
      <c r="AG948" s="5">
        <f t="shared" si="115"/>
        <v>7.7816013702468695E+22</v>
      </c>
      <c r="AH948" s="5">
        <f>AG948*$AF$1</f>
        <v>7.7816013702468695E+23</v>
      </c>
      <c r="AI948" s="5">
        <f>SUM($AF$9:AF947)</f>
        <v>1.5281740563272036E+24</v>
      </c>
      <c r="AK948" s="5">
        <f t="shared" si="116"/>
        <v>940</v>
      </c>
      <c r="AL948" s="5">
        <f t="shared" si="117"/>
        <v>135</v>
      </c>
      <c r="AM948" s="5">
        <f t="shared" si="118"/>
        <v>7.7573978005915294E+26</v>
      </c>
      <c r="AN948" s="5">
        <f>$AL$4*$AL$3^AL948*$AL$2</f>
        <v>7.7573978005915281E+26</v>
      </c>
      <c r="AO948" s="5">
        <f>IF(AL948=AL949,1,LOOKUP(MOD(AL948,$AL$1),$AN$1:$AN$5,$AO$1:$AO$5))</f>
        <v>1</v>
      </c>
      <c r="AP948" s="5">
        <f t="shared" si="119"/>
        <v>4.1760658159851103E+26</v>
      </c>
      <c r="AQ948" s="5">
        <f>AM948*$AR$3</f>
        <v>1.0343197067455373E+26</v>
      </c>
      <c r="AR948" s="5">
        <f>AM948*AL948*$AR$4</f>
        <v>3.1417461092395696E+26</v>
      </c>
      <c r="AS948" s="5">
        <f>SUM($AP$9:AP947)</f>
        <v>8.8594091619090065E+27</v>
      </c>
    </row>
    <row r="949" spans="1:45" x14ac:dyDescent="0.15">
      <c r="A949" s="5">
        <v>941</v>
      </c>
      <c r="J949" s="5">
        <f t="shared" si="112"/>
        <v>941</v>
      </c>
      <c r="K949" s="5">
        <f>SUM($AP$9:AP948)</f>
        <v>9.2770157435075178E+27</v>
      </c>
      <c r="L949" s="5">
        <f>LOOKUP(K949,AI:AI,AE:AE)</f>
        <v>0</v>
      </c>
      <c r="M949" s="5" t="e">
        <f>LOOKUP(L949,AE:AE,AG:AG)</f>
        <v>#N/A</v>
      </c>
      <c r="N949" s="5" t="e">
        <f>AM949/M949/$K$1</f>
        <v>#N/A</v>
      </c>
      <c r="O949" s="5" t="e">
        <f>SUM($N$9:N949)</f>
        <v>#DIV/0!</v>
      </c>
      <c r="AE949" s="5">
        <f t="shared" si="113"/>
        <v>941</v>
      </c>
      <c r="AF949" s="5">
        <f t="shared" si="114"/>
        <v>8.2141425102419705E+22</v>
      </c>
      <c r="AG949" s="5">
        <f t="shared" si="115"/>
        <v>8.1793736530557594E+22</v>
      </c>
      <c r="AH949" s="5">
        <f>AG949*$AF$1</f>
        <v>8.1793736530557591E+23</v>
      </c>
      <c r="AI949" s="5">
        <f>SUM($AF$9:AF948)</f>
        <v>1.6063212020028743E+24</v>
      </c>
      <c r="AK949" s="5">
        <f t="shared" si="116"/>
        <v>941</v>
      </c>
      <c r="AL949" s="5">
        <f t="shared" si="117"/>
        <v>135</v>
      </c>
      <c r="AM949" s="5">
        <f t="shared" si="118"/>
        <v>7.7573978005915294E+26</v>
      </c>
      <c r="AN949" s="5">
        <f>$AL$4*$AL$3^AL949*$AL$2</f>
        <v>7.7573978005915281E+26</v>
      </c>
      <c r="AO949" s="5">
        <f>IF(AL949=AL950,1,LOOKUP(MOD(AL949,$AL$1),$AN$1:$AN$5,$AO$1:$AO$5))</f>
        <v>1</v>
      </c>
      <c r="AP949" s="5">
        <f t="shared" si="119"/>
        <v>4.1760658159851103E+26</v>
      </c>
      <c r="AQ949" s="5">
        <f>AM949*$AR$3</f>
        <v>1.0343197067455373E+26</v>
      </c>
      <c r="AR949" s="5">
        <f>AM949*AL949*$AR$4</f>
        <v>3.1417461092395696E+26</v>
      </c>
      <c r="AS949" s="5">
        <f>SUM($AP$9:AP948)</f>
        <v>9.2770157435075178E+27</v>
      </c>
    </row>
    <row r="950" spans="1:45" x14ac:dyDescent="0.15">
      <c r="A950" s="5">
        <v>942</v>
      </c>
      <c r="J950" s="5">
        <f t="shared" si="112"/>
        <v>942</v>
      </c>
      <c r="K950" s="5">
        <f>SUM($AP$9:AP949)</f>
        <v>9.694622325106029E+27</v>
      </c>
      <c r="L950" s="5">
        <f>LOOKUP(K950,AI:AI,AE:AE)</f>
        <v>0</v>
      </c>
      <c r="M950" s="5" t="e">
        <f>LOOKUP(L950,AE:AE,AG:AG)</f>
        <v>#N/A</v>
      </c>
      <c r="N950" s="5" t="e">
        <f>AM950/M950/$K$1</f>
        <v>#N/A</v>
      </c>
      <c r="O950" s="5" t="e">
        <f>SUM($N$9:N950)</f>
        <v>#DIV/0!</v>
      </c>
      <c r="AE950" s="5">
        <f t="shared" si="113"/>
        <v>942</v>
      </c>
      <c r="AF950" s="5">
        <f t="shared" si="114"/>
        <v>8.6339764607654497E+22</v>
      </c>
      <c r="AG950" s="5">
        <f t="shared" si="115"/>
        <v>8.59746916071993E+22</v>
      </c>
      <c r="AH950" s="5">
        <f>AG950*$AF$1</f>
        <v>8.59746916071993E+23</v>
      </c>
      <c r="AI950" s="5">
        <f>SUM($AF$9:AF949)</f>
        <v>1.6884626271052939E+24</v>
      </c>
      <c r="AK950" s="5">
        <f t="shared" si="116"/>
        <v>942</v>
      </c>
      <c r="AL950" s="5">
        <f t="shared" si="117"/>
        <v>135</v>
      </c>
      <c r="AM950" s="5">
        <f t="shared" si="118"/>
        <v>7.7573978005915294E+26</v>
      </c>
      <c r="AN950" s="5">
        <f>$AL$4*$AL$3^AL950*$AL$2</f>
        <v>7.7573978005915281E+26</v>
      </c>
      <c r="AO950" s="5">
        <f>IF(AL950=AL951,1,LOOKUP(MOD(AL950,$AL$1),$AN$1:$AN$5,$AO$1:$AO$5))</f>
        <v>1</v>
      </c>
      <c r="AP950" s="5">
        <f t="shared" si="119"/>
        <v>4.1760658159851103E+26</v>
      </c>
      <c r="AQ950" s="5">
        <f>AM950*$AR$3</f>
        <v>1.0343197067455373E+26</v>
      </c>
      <c r="AR950" s="5">
        <f>AM950*AL950*$AR$4</f>
        <v>3.1417461092395696E+26</v>
      </c>
      <c r="AS950" s="5">
        <f>SUM($AP$9:AP949)</f>
        <v>9.694622325106029E+27</v>
      </c>
    </row>
    <row r="951" spans="1:45" x14ac:dyDescent="0.15">
      <c r="A951" s="5">
        <v>943</v>
      </c>
      <c r="J951" s="5">
        <f t="shared" si="112"/>
        <v>943</v>
      </c>
      <c r="K951" s="5">
        <f>SUM($AP$9:AP950)</f>
        <v>1.011222890670454E+28</v>
      </c>
      <c r="L951" s="5">
        <f>LOOKUP(K951,AI:AI,AE:AE)</f>
        <v>0</v>
      </c>
      <c r="M951" s="5" t="e">
        <f>LOOKUP(L951,AE:AE,AG:AG)</f>
        <v>#N/A</v>
      </c>
      <c r="N951" s="5" t="e">
        <f>AM951/M951/$K$1</f>
        <v>#N/A</v>
      </c>
      <c r="O951" s="5" t="e">
        <f>SUM($N$9:N951)</f>
        <v>#DIV/0!</v>
      </c>
      <c r="AE951" s="5">
        <f t="shared" si="113"/>
        <v>943</v>
      </c>
      <c r="AF951" s="5">
        <f t="shared" si="114"/>
        <v>9.0752584500656707E+22</v>
      </c>
      <c r="AG951" s="5">
        <f t="shared" si="115"/>
        <v>9.0369257850178799E+22</v>
      </c>
      <c r="AH951" s="5">
        <f>AG951*$AF$1</f>
        <v>9.0369257850178799E+23</v>
      </c>
      <c r="AI951" s="5">
        <f>SUM($AF$9:AF950)</f>
        <v>1.7748023917129485E+24</v>
      </c>
      <c r="AK951" s="5">
        <f t="shared" si="116"/>
        <v>943</v>
      </c>
      <c r="AL951" s="5">
        <f t="shared" si="117"/>
        <v>135</v>
      </c>
      <c r="AM951" s="5">
        <f t="shared" si="118"/>
        <v>7.7573978005915294E+26</v>
      </c>
      <c r="AN951" s="5">
        <f>$AL$4*$AL$3^AL951*$AL$2</f>
        <v>7.7573978005915281E+26</v>
      </c>
      <c r="AO951" s="5">
        <f>IF(AL951=AL952,1,LOOKUP(MOD(AL951,$AL$1),$AN$1:$AN$5,$AO$1:$AO$5))</f>
        <v>1</v>
      </c>
      <c r="AP951" s="5">
        <f t="shared" si="119"/>
        <v>4.1760658159851103E+26</v>
      </c>
      <c r="AQ951" s="5">
        <f>AM951*$AR$3</f>
        <v>1.0343197067455373E+26</v>
      </c>
      <c r="AR951" s="5">
        <f>AM951*AL951*$AR$4</f>
        <v>3.1417461092395696E+26</v>
      </c>
      <c r="AS951" s="5">
        <f>SUM($AP$9:AP950)</f>
        <v>1.011222890670454E+28</v>
      </c>
    </row>
    <row r="952" spans="1:45" x14ac:dyDescent="0.15">
      <c r="A952" s="5">
        <v>944</v>
      </c>
      <c r="J952" s="5">
        <f t="shared" si="112"/>
        <v>944</v>
      </c>
      <c r="K952" s="5">
        <f>SUM($AP$9:AP951)</f>
        <v>1.0529835488303051E+28</v>
      </c>
      <c r="L952" s="5">
        <f>LOOKUP(K952,AI:AI,AE:AE)</f>
        <v>0</v>
      </c>
      <c r="M952" s="5" t="e">
        <f>LOOKUP(L952,AE:AE,AG:AG)</f>
        <v>#N/A</v>
      </c>
      <c r="N952" s="5" t="e">
        <f>AM952/M952/$K$1</f>
        <v>#N/A</v>
      </c>
      <c r="O952" s="5" t="e">
        <f>SUM($N$9:N952)</f>
        <v>#DIV/0!</v>
      </c>
      <c r="AE952" s="5">
        <f t="shared" si="113"/>
        <v>944</v>
      </c>
      <c r="AF952" s="5">
        <f t="shared" si="114"/>
        <v>9.5390836971439999E+22</v>
      </c>
      <c r="AG952" s="5">
        <f t="shared" si="115"/>
        <v>9.4988343988438193E+22</v>
      </c>
      <c r="AH952" s="5">
        <f>AG952*$AF$1</f>
        <v>9.4988343988438199E+23</v>
      </c>
      <c r="AI952" s="5">
        <f>SUM($AF$9:AF951)</f>
        <v>1.8655549762136051E+24</v>
      </c>
      <c r="AK952" s="5">
        <f t="shared" si="116"/>
        <v>944</v>
      </c>
      <c r="AL952" s="5">
        <f t="shared" si="117"/>
        <v>135</v>
      </c>
      <c r="AM952" s="5">
        <f t="shared" si="118"/>
        <v>7.7573978005915294E+26</v>
      </c>
      <c r="AN952" s="5">
        <f>$AL$4*$AL$3^AL952*$AL$2</f>
        <v>7.7573978005915281E+26</v>
      </c>
      <c r="AO952" s="5">
        <f>IF(AL952=AL953,1,LOOKUP(MOD(AL952,$AL$1),$AN$1:$AN$5,$AO$1:$AO$5))</f>
        <v>1</v>
      </c>
      <c r="AP952" s="5">
        <f t="shared" si="119"/>
        <v>4.1760658159851103E+26</v>
      </c>
      <c r="AQ952" s="5">
        <f>AM952*$AR$3</f>
        <v>1.0343197067455373E+26</v>
      </c>
      <c r="AR952" s="5">
        <f>AM952*AL952*$AR$4</f>
        <v>3.1417461092395696E+26</v>
      </c>
      <c r="AS952" s="5">
        <f>SUM($AP$9:AP951)</f>
        <v>1.0529835488303051E+28</v>
      </c>
    </row>
    <row r="953" spans="1:45" x14ac:dyDescent="0.15">
      <c r="A953" s="5">
        <v>945</v>
      </c>
      <c r="J953" s="5">
        <f t="shared" si="112"/>
        <v>945</v>
      </c>
      <c r="K953" s="5">
        <f>SUM($AP$9:AP952)</f>
        <v>1.0947442069901563E+28</v>
      </c>
      <c r="L953" s="5">
        <f>LOOKUP(K953,AI:AI,AE:AE)</f>
        <v>0</v>
      </c>
      <c r="M953" s="5" t="e">
        <f>LOOKUP(L953,AE:AE,AG:AG)</f>
        <v>#N/A</v>
      </c>
      <c r="N953" s="5" t="e">
        <f>AM953/M953/$K$1</f>
        <v>#N/A</v>
      </c>
      <c r="O953" s="5" t="e">
        <f>SUM($N$9:N953)</f>
        <v>#DIV/0!</v>
      </c>
      <c r="AE953" s="5">
        <f t="shared" si="113"/>
        <v>945</v>
      </c>
      <c r="AF953" s="5">
        <f t="shared" si="114"/>
        <v>1.0026603322805E+23</v>
      </c>
      <c r="AG953" s="5">
        <f t="shared" si="115"/>
        <v>9.9843415595898108E+22</v>
      </c>
      <c r="AH953" s="5">
        <f>AG953*$AF$1</f>
        <v>9.9843415595898111E+23</v>
      </c>
      <c r="AI953" s="5">
        <f>SUM($AF$9:AF952)</f>
        <v>1.9609458131850453E+24</v>
      </c>
      <c r="AK953" s="5">
        <f t="shared" si="116"/>
        <v>945</v>
      </c>
      <c r="AL953" s="5">
        <f t="shared" si="117"/>
        <v>135</v>
      </c>
      <c r="AM953" s="5">
        <f t="shared" si="118"/>
        <v>3.1029591202366101E+27</v>
      </c>
      <c r="AN953" s="5">
        <f>$AL$4*$AL$3^AL953*$AL$2</f>
        <v>7.7573978005915281E+26</v>
      </c>
      <c r="AO953" s="5">
        <f>IF(AL953=AL954,1,LOOKUP(MOD(AL953,$AL$1),$AN$1:$AN$5,$AO$1:$AO$5))</f>
        <v>4</v>
      </c>
      <c r="AP953" s="5">
        <f t="shared" si="119"/>
        <v>1.67042632639404E+27</v>
      </c>
      <c r="AQ953" s="5">
        <f>AM953*$AR$3</f>
        <v>4.137278826982147E+26</v>
      </c>
      <c r="AR953" s="5">
        <f>AM953*AL953*$AR$4</f>
        <v>1.256698443695827E+27</v>
      </c>
      <c r="AS953" s="5">
        <f>SUM($AP$9:AP952)</f>
        <v>1.0947442069901563E+28</v>
      </c>
    </row>
    <row r="954" spans="1:45" x14ac:dyDescent="0.15">
      <c r="A954" s="5">
        <v>946</v>
      </c>
      <c r="J954" s="5">
        <f t="shared" si="112"/>
        <v>946</v>
      </c>
      <c r="K954" s="5">
        <f>SUM($AP$9:AP953)</f>
        <v>1.2617868396295603E+28</v>
      </c>
      <c r="L954" s="5">
        <f>LOOKUP(K954,AI:AI,AE:AE)</f>
        <v>0</v>
      </c>
      <c r="M954" s="5" t="e">
        <f>LOOKUP(L954,AE:AE,AG:AG)</f>
        <v>#N/A</v>
      </c>
      <c r="N954" s="5" t="e">
        <f>AM954/M954/$K$1</f>
        <v>#N/A</v>
      </c>
      <c r="O954" s="5" t="e">
        <f>SUM($N$9:N954)</f>
        <v>#DIV/0!</v>
      </c>
      <c r="AE954" s="5">
        <f t="shared" si="113"/>
        <v>946</v>
      </c>
      <c r="AF954" s="5">
        <f t="shared" si="114"/>
        <v>1.05390272017892E+23</v>
      </c>
      <c r="AG954" s="5">
        <f t="shared" si="115"/>
        <v>1.0494652350413299E+23</v>
      </c>
      <c r="AH954" s="5">
        <f>AG954*$AF$1</f>
        <v>1.04946523504133E+24</v>
      </c>
      <c r="AI954" s="5">
        <f>SUM($AF$9:AF953)</f>
        <v>2.0612118464130954E+24</v>
      </c>
      <c r="AK954" s="5">
        <f t="shared" si="116"/>
        <v>946</v>
      </c>
      <c r="AL954" s="5">
        <f t="shared" si="117"/>
        <v>136</v>
      </c>
      <c r="AM954" s="5">
        <f t="shared" si="118"/>
        <v>1.21791145469287E+27</v>
      </c>
      <c r="AN954" s="5">
        <f>$AL$4*$AL$3^AL954*$AL$2</f>
        <v>1.2179114546928697E+27</v>
      </c>
      <c r="AO954" s="5">
        <f>IF(AL954=AL955,1,LOOKUP(MOD(AL954,$AL$1),$AN$1:$AN$5,$AO$1:$AO$5))</f>
        <v>1</v>
      </c>
      <c r="AP954" s="5">
        <f t="shared" si="119"/>
        <v>6.5929606747373996E+26</v>
      </c>
      <c r="AQ954" s="5">
        <f>AM954*$AR$3</f>
        <v>1.6238819395904933E+26</v>
      </c>
      <c r="AR954" s="5">
        <f>AM954*AL954*$AR$4</f>
        <v>4.9690787351469097E+26</v>
      </c>
      <c r="AS954" s="5">
        <f>SUM($AP$9:AP953)</f>
        <v>1.2617868396295603E+28</v>
      </c>
    </row>
    <row r="955" spans="1:45" x14ac:dyDescent="0.15">
      <c r="A955" s="5">
        <v>947</v>
      </c>
      <c r="J955" s="5">
        <f t="shared" si="112"/>
        <v>947</v>
      </c>
      <c r="K955" s="5">
        <f>SUM($AP$9:AP954)</f>
        <v>1.3277164463769344E+28</v>
      </c>
      <c r="L955" s="5">
        <f>LOOKUP(K955,AI:AI,AE:AE)</f>
        <v>0</v>
      </c>
      <c r="M955" s="5" t="e">
        <f>LOOKUP(L955,AE:AE,AG:AG)</f>
        <v>#N/A</v>
      </c>
      <c r="N955" s="5" t="e">
        <f>AM955/M955/$K$1</f>
        <v>#N/A</v>
      </c>
      <c r="O955" s="5" t="e">
        <f>SUM($N$9:N955)</f>
        <v>#DIV/0!</v>
      </c>
      <c r="AE955" s="5">
        <f t="shared" si="113"/>
        <v>947</v>
      </c>
      <c r="AF955" s="5">
        <f t="shared" si="114"/>
        <v>1.1077626960364901E+23</v>
      </c>
      <c r="AG955" s="5">
        <f t="shared" si="115"/>
        <v>1.10310333664201E+23</v>
      </c>
      <c r="AH955" s="5">
        <f>AG955*$AF$1</f>
        <v>1.1031033366420101E+24</v>
      </c>
      <c r="AI955" s="5">
        <f>SUM($AF$9:AF954)</f>
        <v>2.1666021184309873E+24</v>
      </c>
      <c r="AK955" s="5">
        <f t="shared" si="116"/>
        <v>947</v>
      </c>
      <c r="AL955" s="5">
        <f t="shared" si="117"/>
        <v>136</v>
      </c>
      <c r="AM955" s="5">
        <f t="shared" si="118"/>
        <v>1.21791145469287E+27</v>
      </c>
      <c r="AN955" s="5">
        <f>$AL$4*$AL$3^AL955*$AL$2</f>
        <v>1.2179114546928697E+27</v>
      </c>
      <c r="AO955" s="5">
        <f>IF(AL955=AL956,1,LOOKUP(MOD(AL955,$AL$1),$AN$1:$AN$5,$AO$1:$AO$5))</f>
        <v>1</v>
      </c>
      <c r="AP955" s="5">
        <f t="shared" si="119"/>
        <v>6.5929606747373996E+26</v>
      </c>
      <c r="AQ955" s="5">
        <f>AM955*$AR$3</f>
        <v>1.6238819395904933E+26</v>
      </c>
      <c r="AR955" s="5">
        <f>AM955*AL955*$AR$4</f>
        <v>4.9690787351469097E+26</v>
      </c>
      <c r="AS955" s="5">
        <f>SUM($AP$9:AP954)</f>
        <v>1.3277164463769344E+28</v>
      </c>
    </row>
    <row r="956" spans="1:45" x14ac:dyDescent="0.15">
      <c r="A956" s="5">
        <v>948</v>
      </c>
      <c r="J956" s="5">
        <f t="shared" si="112"/>
        <v>948</v>
      </c>
      <c r="K956" s="5">
        <f>SUM($AP$9:AP955)</f>
        <v>1.3936460531243084E+28</v>
      </c>
      <c r="L956" s="5">
        <f>LOOKUP(K956,AI:AI,AE:AE)</f>
        <v>0</v>
      </c>
      <c r="M956" s="5" t="e">
        <f>LOOKUP(L956,AE:AE,AG:AG)</f>
        <v>#N/A</v>
      </c>
      <c r="N956" s="5" t="e">
        <f>AM956/M956/$K$1</f>
        <v>#N/A</v>
      </c>
      <c r="O956" s="5" t="e">
        <f>SUM($N$9:N956)</f>
        <v>#DIV/0!</v>
      </c>
      <c r="AE956" s="5">
        <f t="shared" si="113"/>
        <v>948</v>
      </c>
      <c r="AF956" s="5">
        <f t="shared" si="114"/>
        <v>1.1643739126793599E+23</v>
      </c>
      <c r="AG956" s="5">
        <f t="shared" si="115"/>
        <v>1.15948158531516E+23</v>
      </c>
      <c r="AH956" s="5">
        <f>AG956*$AF$1</f>
        <v>1.15948158531516E+24</v>
      </c>
      <c r="AI956" s="5">
        <f>SUM($AF$9:AF955)</f>
        <v>2.2773783880346363E+24</v>
      </c>
      <c r="AK956" s="5">
        <f t="shared" si="116"/>
        <v>948</v>
      </c>
      <c r="AL956" s="5">
        <f t="shared" si="117"/>
        <v>136</v>
      </c>
      <c r="AM956" s="5">
        <f t="shared" si="118"/>
        <v>1.21791145469287E+27</v>
      </c>
      <c r="AN956" s="5">
        <f>$AL$4*$AL$3^AL956*$AL$2</f>
        <v>1.2179114546928697E+27</v>
      </c>
      <c r="AO956" s="5">
        <f>IF(AL956=AL957,1,LOOKUP(MOD(AL956,$AL$1),$AN$1:$AN$5,$AO$1:$AO$5))</f>
        <v>1</v>
      </c>
      <c r="AP956" s="5">
        <f t="shared" si="119"/>
        <v>6.5929606747373996E+26</v>
      </c>
      <c r="AQ956" s="5">
        <f>AM956*$AR$3</f>
        <v>1.6238819395904933E+26</v>
      </c>
      <c r="AR956" s="5">
        <f>AM956*AL956*$AR$4</f>
        <v>4.9690787351469097E+26</v>
      </c>
      <c r="AS956" s="5">
        <f>SUM($AP$9:AP955)</f>
        <v>1.3936460531243084E+28</v>
      </c>
    </row>
    <row r="957" spans="1:45" x14ac:dyDescent="0.15">
      <c r="A957" s="5">
        <v>949</v>
      </c>
      <c r="J957" s="5">
        <f t="shared" si="112"/>
        <v>949</v>
      </c>
      <c r="K957" s="5">
        <f>SUM($AP$9:AP956)</f>
        <v>1.4595756598716825E+28</v>
      </c>
      <c r="L957" s="5">
        <f>LOOKUP(K957,AI:AI,AE:AE)</f>
        <v>0</v>
      </c>
      <c r="M957" s="5" t="e">
        <f>LOOKUP(L957,AE:AE,AG:AG)</f>
        <v>#N/A</v>
      </c>
      <c r="N957" s="5" t="e">
        <f>AM957/M957/$K$1</f>
        <v>#N/A</v>
      </c>
      <c r="O957" s="5" t="e">
        <f>SUM($N$9:N957)</f>
        <v>#DIV/0!</v>
      </c>
      <c r="AE957" s="5">
        <f t="shared" si="113"/>
        <v>949</v>
      </c>
      <c r="AF957" s="5">
        <f t="shared" si="114"/>
        <v>1.22387684424643E+23</v>
      </c>
      <c r="AG957" s="5">
        <f t="shared" si="115"/>
        <v>1.21873990051402E+23</v>
      </c>
      <c r="AH957" s="5">
        <f>AG957*$AF$1</f>
        <v>1.21873990051402E+24</v>
      </c>
      <c r="AI957" s="5">
        <f>SUM($AF$9:AF956)</f>
        <v>2.3938157793025723E+24</v>
      </c>
      <c r="AK957" s="5">
        <f t="shared" si="116"/>
        <v>949</v>
      </c>
      <c r="AL957" s="5">
        <f t="shared" si="117"/>
        <v>136</v>
      </c>
      <c r="AM957" s="5">
        <f t="shared" si="118"/>
        <v>1.21791145469287E+27</v>
      </c>
      <c r="AN957" s="5">
        <f>$AL$4*$AL$3^AL957*$AL$2</f>
        <v>1.2179114546928697E+27</v>
      </c>
      <c r="AO957" s="5">
        <f>IF(AL957=AL958,1,LOOKUP(MOD(AL957,$AL$1),$AN$1:$AN$5,$AO$1:$AO$5))</f>
        <v>1</v>
      </c>
      <c r="AP957" s="5">
        <f t="shared" si="119"/>
        <v>6.5929606747373996E+26</v>
      </c>
      <c r="AQ957" s="5">
        <f>AM957*$AR$3</f>
        <v>1.6238819395904933E+26</v>
      </c>
      <c r="AR957" s="5">
        <f>AM957*AL957*$AR$4</f>
        <v>4.9690787351469097E+26</v>
      </c>
      <c r="AS957" s="5">
        <f>SUM($AP$9:AP956)</f>
        <v>1.4595756598716825E+28</v>
      </c>
    </row>
    <row r="958" spans="1:45" x14ac:dyDescent="0.15">
      <c r="A958" s="5">
        <v>950</v>
      </c>
      <c r="J958" s="5">
        <f t="shared" si="112"/>
        <v>950</v>
      </c>
      <c r="K958" s="5">
        <f>SUM($AP$9:AP957)</f>
        <v>1.5255052666190565E+28</v>
      </c>
      <c r="L958" s="5">
        <f>LOOKUP(K958,AI:AI,AE:AE)</f>
        <v>0</v>
      </c>
      <c r="M958" s="5" t="e">
        <f>LOOKUP(L958,AE:AE,AG:AG)</f>
        <v>#N/A</v>
      </c>
      <c r="N958" s="5" t="e">
        <f>AM958/M958/$K$1</f>
        <v>#N/A</v>
      </c>
      <c r="O958" s="5" t="e">
        <f>SUM($N$9:N958)</f>
        <v>#DIV/0!</v>
      </c>
      <c r="AE958" s="5">
        <f t="shared" si="113"/>
        <v>950</v>
      </c>
      <c r="AF958" s="5">
        <f t="shared" si="114"/>
        <v>1.2864191341885099E+23</v>
      </c>
      <c r="AG958" s="5">
        <f t="shared" si="115"/>
        <v>1.2810253432694799E+23</v>
      </c>
      <c r="AH958" s="5">
        <f>AG958*$AF$1</f>
        <v>1.28102534326948E+24</v>
      </c>
      <c r="AI958" s="5">
        <f>SUM($AF$9:AF957)</f>
        <v>2.5162034637272153E+24</v>
      </c>
      <c r="AK958" s="5">
        <f t="shared" si="116"/>
        <v>950</v>
      </c>
      <c r="AL958" s="5">
        <f t="shared" si="117"/>
        <v>136</v>
      </c>
      <c r="AM958" s="5">
        <f t="shared" si="118"/>
        <v>1.21791145469287E+27</v>
      </c>
      <c r="AN958" s="5">
        <f>$AL$4*$AL$3^AL958*$AL$2</f>
        <v>1.2179114546928697E+27</v>
      </c>
      <c r="AO958" s="5">
        <f>IF(AL958=AL959,1,LOOKUP(MOD(AL958,$AL$1),$AN$1:$AN$5,$AO$1:$AO$5))</f>
        <v>1</v>
      </c>
      <c r="AP958" s="5">
        <f t="shared" si="119"/>
        <v>6.5929606747373996E+26</v>
      </c>
      <c r="AQ958" s="5">
        <f>AM958*$AR$3</f>
        <v>1.6238819395904933E+26</v>
      </c>
      <c r="AR958" s="5">
        <f>AM958*AL958*$AR$4</f>
        <v>4.9690787351469097E+26</v>
      </c>
      <c r="AS958" s="5">
        <f>SUM($AP$9:AP957)</f>
        <v>1.5255052666190565E+28</v>
      </c>
    </row>
    <row r="959" spans="1:45" x14ac:dyDescent="0.15">
      <c r="A959" s="5">
        <v>951</v>
      </c>
      <c r="J959" s="5">
        <f t="shared" si="112"/>
        <v>951</v>
      </c>
      <c r="K959" s="5">
        <f>SUM($AP$9:AP958)</f>
        <v>1.5914348733664306E+28</v>
      </c>
      <c r="L959" s="5">
        <f>LOOKUP(K959,AI:AI,AE:AE)</f>
        <v>0</v>
      </c>
      <c r="M959" s="5" t="e">
        <f>LOOKUP(L959,AE:AE,AG:AG)</f>
        <v>#N/A</v>
      </c>
      <c r="N959" s="5" t="e">
        <f>AM959/M959/$K$1</f>
        <v>#N/A</v>
      </c>
      <c r="O959" s="5" t="e">
        <f>SUM($N$9:N959)</f>
        <v>#DIV/0!</v>
      </c>
      <c r="AE959" s="5">
        <f t="shared" si="113"/>
        <v>951</v>
      </c>
      <c r="AF959" s="5">
        <f t="shared" si="114"/>
        <v>1.3521559610141799E+23</v>
      </c>
      <c r="AG959" s="5">
        <f t="shared" si="115"/>
        <v>1.3464924805492001E+23</v>
      </c>
      <c r="AH959" s="5">
        <f>AG959*$AF$1</f>
        <v>1.3464924805491999E+24</v>
      </c>
      <c r="AI959" s="5">
        <f>SUM($AF$9:AF958)</f>
        <v>2.6448453771460666E+24</v>
      </c>
      <c r="AK959" s="5">
        <f t="shared" si="116"/>
        <v>951</v>
      </c>
      <c r="AL959" s="5">
        <f t="shared" si="117"/>
        <v>136</v>
      </c>
      <c r="AM959" s="5">
        <f t="shared" si="118"/>
        <v>1.21791145469287E+27</v>
      </c>
      <c r="AN959" s="5">
        <f>$AL$4*$AL$3^AL959*$AL$2</f>
        <v>1.2179114546928697E+27</v>
      </c>
      <c r="AO959" s="5">
        <f>IF(AL959=AL960,1,LOOKUP(MOD(AL959,$AL$1),$AN$1:$AN$5,$AO$1:$AO$5))</f>
        <v>1</v>
      </c>
      <c r="AP959" s="5">
        <f t="shared" si="119"/>
        <v>6.5929606747373996E+26</v>
      </c>
      <c r="AQ959" s="5">
        <f>AM959*$AR$3</f>
        <v>1.6238819395904933E+26</v>
      </c>
      <c r="AR959" s="5">
        <f>AM959*AL959*$AR$4</f>
        <v>4.9690787351469097E+26</v>
      </c>
      <c r="AS959" s="5">
        <f>SUM($AP$9:AP958)</f>
        <v>1.5914348733664306E+28</v>
      </c>
    </row>
    <row r="960" spans="1:45" x14ac:dyDescent="0.15">
      <c r="A960" s="5">
        <v>952</v>
      </c>
      <c r="J960" s="5">
        <f t="shared" si="112"/>
        <v>952</v>
      </c>
      <c r="K960" s="5">
        <f>SUM($AP$9:AP959)</f>
        <v>1.6573644801138046E+28</v>
      </c>
      <c r="L960" s="5">
        <f>LOOKUP(K960,AI:AI,AE:AE)</f>
        <v>0</v>
      </c>
      <c r="M960" s="5" t="e">
        <f>LOOKUP(L960,AE:AE,AG:AG)</f>
        <v>#N/A</v>
      </c>
      <c r="N960" s="5" t="e">
        <f>AM960/M960/$K$1</f>
        <v>#N/A</v>
      </c>
      <c r="O960" s="5" t="e">
        <f>SUM($N$9:N960)</f>
        <v>#DIV/0!</v>
      </c>
      <c r="AE960" s="5">
        <f t="shared" si="113"/>
        <v>952</v>
      </c>
      <c r="AF960" s="5">
        <f t="shared" si="114"/>
        <v>1.42125042268695E+23</v>
      </c>
      <c r="AG960" s="5">
        <f t="shared" si="115"/>
        <v>1.41530376819872E+23</v>
      </c>
      <c r="AH960" s="5">
        <f>AG960*$AF$1</f>
        <v>1.4153037681987199E+24</v>
      </c>
      <c r="AI960" s="5">
        <f>SUM($AF$9:AF959)</f>
        <v>2.7800609732474848E+24</v>
      </c>
      <c r="AK960" s="5">
        <f t="shared" si="116"/>
        <v>952</v>
      </c>
      <c r="AL960" s="5">
        <f t="shared" si="117"/>
        <v>136</v>
      </c>
      <c r="AM960" s="5">
        <f t="shared" si="118"/>
        <v>7.30746872815722E+27</v>
      </c>
      <c r="AN960" s="5">
        <f>$AL$4*$AL$3^AL960*$AL$2</f>
        <v>1.2179114546928697E+27</v>
      </c>
      <c r="AO960" s="5">
        <f>IF(AL960=AL961,1,LOOKUP(MOD(AL960,$AL$1),$AN$1:$AN$5,$AO$1:$AO$5))</f>
        <v>6</v>
      </c>
      <c r="AP960" s="5">
        <f t="shared" si="119"/>
        <v>3.9557764048424398E+27</v>
      </c>
      <c r="AQ960" s="5">
        <f>AM960*$AR$3</f>
        <v>9.74329163754296E+26</v>
      </c>
      <c r="AR960" s="5">
        <f>AM960*AL960*$AR$4</f>
        <v>2.981447241088146E+27</v>
      </c>
      <c r="AS960" s="5">
        <f>SUM($AP$9:AP959)</f>
        <v>1.6573644801138046E+28</v>
      </c>
    </row>
    <row r="961" spans="1:45" x14ac:dyDescent="0.15">
      <c r="A961" s="5">
        <v>953</v>
      </c>
      <c r="J961" s="5">
        <f t="shared" si="112"/>
        <v>953</v>
      </c>
      <c r="K961" s="5">
        <f>SUM($AP$9:AP960)</f>
        <v>2.0529421205980487E+28</v>
      </c>
      <c r="L961" s="5">
        <f>LOOKUP(K961,AI:AI,AE:AE)</f>
        <v>0</v>
      </c>
      <c r="M961" s="5" t="e">
        <f>LOOKUP(L961,AE:AE,AG:AG)</f>
        <v>#N/A</v>
      </c>
      <c r="N961" s="5" t="e">
        <f>AM961/M961/$K$1</f>
        <v>#N/A</v>
      </c>
      <c r="O961" s="5" t="e">
        <f>SUM($N$9:N961)</f>
        <v>#DIV/0!</v>
      </c>
      <c r="AE961" s="5">
        <f t="shared" si="113"/>
        <v>953</v>
      </c>
      <c r="AF961" s="5">
        <f t="shared" si="114"/>
        <v>1.4938739406244599E+23</v>
      </c>
      <c r="AG961" s="5">
        <f t="shared" si="115"/>
        <v>1.4876299534118201E+23</v>
      </c>
      <c r="AH961" s="5">
        <f>AG961*$AF$1</f>
        <v>1.4876299534118199E+24</v>
      </c>
      <c r="AI961" s="5">
        <f>SUM($AF$9:AF960)</f>
        <v>2.9221860155161796E+24</v>
      </c>
      <c r="AK961" s="5">
        <f t="shared" si="116"/>
        <v>953</v>
      </c>
      <c r="AL961" s="5">
        <f t="shared" si="117"/>
        <v>137</v>
      </c>
      <c r="AM961" s="5">
        <f t="shared" si="118"/>
        <v>1.91212098386781E+27</v>
      </c>
      <c r="AN961" s="5">
        <f>$AL$4*$AL$3^AL961*$AL$2</f>
        <v>1.9121209838678056E+27</v>
      </c>
      <c r="AO961" s="5">
        <f>IF(AL961=AL962,1,LOOKUP(MOD(AL961,$AL$1),$AN$1:$AN$5,$AO$1:$AO$5))</f>
        <v>1</v>
      </c>
      <c r="AP961" s="5">
        <f t="shared" si="119"/>
        <v>1.04083118888538E+27</v>
      </c>
      <c r="AQ961" s="5">
        <f>AM961*$AR$3</f>
        <v>2.54949464515708E+26</v>
      </c>
      <c r="AR961" s="5">
        <f>AM961*AL961*$AR$4</f>
        <v>7.8588172436966988E+26</v>
      </c>
      <c r="AS961" s="5">
        <f>SUM($AP$9:AP960)</f>
        <v>2.0529421205980487E+28</v>
      </c>
    </row>
    <row r="962" spans="1:45" x14ac:dyDescent="0.15">
      <c r="A962" s="5">
        <v>954</v>
      </c>
      <c r="J962" s="5">
        <f t="shared" si="112"/>
        <v>954</v>
      </c>
      <c r="K962" s="5">
        <f>SUM($AP$9:AP961)</f>
        <v>2.1570252394865868E+28</v>
      </c>
      <c r="L962" s="5">
        <f>LOOKUP(K962,AI:AI,AE:AE)</f>
        <v>0</v>
      </c>
      <c r="M962" s="5" t="e">
        <f>LOOKUP(L962,AE:AE,AG:AG)</f>
        <v>#N/A</v>
      </c>
      <c r="N962" s="5" t="e">
        <f>AM962/M962/$K$1</f>
        <v>#N/A</v>
      </c>
      <c r="O962" s="5" t="e">
        <f>SUM($N$9:N962)</f>
        <v>#DIV/0!</v>
      </c>
      <c r="AE962" s="5">
        <f t="shared" si="113"/>
        <v>954</v>
      </c>
      <c r="AF962" s="5">
        <f t="shared" si="114"/>
        <v>1.5702066842989999E+23</v>
      </c>
      <c r="AG962" s="5">
        <f t="shared" si="115"/>
        <v>1.5636504977257299E+23</v>
      </c>
      <c r="AH962" s="5">
        <f>AG962*$AF$1</f>
        <v>1.5636504977257299E+24</v>
      </c>
      <c r="AI962" s="5">
        <f>SUM($AF$9:AF961)</f>
        <v>3.0715734095786253E+24</v>
      </c>
      <c r="AK962" s="5">
        <f t="shared" si="116"/>
        <v>954</v>
      </c>
      <c r="AL962" s="5">
        <f t="shared" si="117"/>
        <v>137</v>
      </c>
      <c r="AM962" s="5">
        <f t="shared" si="118"/>
        <v>1.91212098386781E+27</v>
      </c>
      <c r="AN962" s="5">
        <f>$AL$4*$AL$3^AL962*$AL$2</f>
        <v>1.9121209838678056E+27</v>
      </c>
      <c r="AO962" s="5">
        <f>IF(AL962=AL963,1,LOOKUP(MOD(AL962,$AL$1),$AN$1:$AN$5,$AO$1:$AO$5))</f>
        <v>1</v>
      </c>
      <c r="AP962" s="5">
        <f t="shared" si="119"/>
        <v>1.04083118888538E+27</v>
      </c>
      <c r="AQ962" s="5">
        <f>AM962*$AR$3</f>
        <v>2.54949464515708E+26</v>
      </c>
      <c r="AR962" s="5">
        <f>AM962*AL962*$AR$4</f>
        <v>7.8588172436966988E+26</v>
      </c>
      <c r="AS962" s="5">
        <f>SUM($AP$9:AP961)</f>
        <v>2.1570252394865868E+28</v>
      </c>
    </row>
    <row r="963" spans="1:45" x14ac:dyDescent="0.15">
      <c r="A963" s="5">
        <v>955</v>
      </c>
      <c r="J963" s="5">
        <f t="shared" si="112"/>
        <v>955</v>
      </c>
      <c r="K963" s="5">
        <f>SUM($AP$9:AP962)</f>
        <v>2.2611083583751249E+28</v>
      </c>
      <c r="L963" s="5">
        <f>LOOKUP(K963,AI:AI,AE:AE)</f>
        <v>0</v>
      </c>
      <c r="M963" s="5" t="e">
        <f>LOOKUP(L963,AE:AE,AG:AG)</f>
        <v>#N/A</v>
      </c>
      <c r="N963" s="5" t="e">
        <f>AM963/M963/$K$1</f>
        <v>#N/A</v>
      </c>
      <c r="O963" s="5" t="e">
        <f>SUM($N$9:N963)</f>
        <v>#DIV/0!</v>
      </c>
      <c r="AE963" s="5">
        <f t="shared" si="113"/>
        <v>955</v>
      </c>
      <c r="AF963" s="5">
        <f t="shared" si="114"/>
        <v>1.6504380174894301E+23</v>
      </c>
      <c r="AG963" s="5">
        <f t="shared" si="115"/>
        <v>1.6435540215875001E+23</v>
      </c>
      <c r="AH963" s="5">
        <f>AG963*$AF$1</f>
        <v>1.6435540215875003E+24</v>
      </c>
      <c r="AI963" s="5">
        <f>SUM($AF$9:AF962)</f>
        <v>3.2285940780085254E+24</v>
      </c>
      <c r="AK963" s="5">
        <f t="shared" si="116"/>
        <v>955</v>
      </c>
      <c r="AL963" s="5">
        <f t="shared" si="117"/>
        <v>137</v>
      </c>
      <c r="AM963" s="5">
        <f t="shared" si="118"/>
        <v>1.91212098386781E+27</v>
      </c>
      <c r="AN963" s="5">
        <f>$AL$4*$AL$3^AL963*$AL$2</f>
        <v>1.9121209838678056E+27</v>
      </c>
      <c r="AO963" s="5">
        <f>IF(AL963=AL964,1,LOOKUP(MOD(AL963,$AL$1),$AN$1:$AN$5,$AO$1:$AO$5))</f>
        <v>1</v>
      </c>
      <c r="AP963" s="5">
        <f t="shared" si="119"/>
        <v>1.04083118888538E+27</v>
      </c>
      <c r="AQ963" s="5">
        <f>AM963*$AR$3</f>
        <v>2.54949464515708E+26</v>
      </c>
      <c r="AR963" s="5">
        <f>AM963*AL963*$AR$4</f>
        <v>7.8588172436966988E+26</v>
      </c>
      <c r="AS963" s="5">
        <f>SUM($AP$9:AP962)</f>
        <v>2.2611083583751249E+28</v>
      </c>
    </row>
    <row r="964" spans="1:45" x14ac:dyDescent="0.15">
      <c r="A964" s="5">
        <v>956</v>
      </c>
      <c r="J964" s="5">
        <f t="shared" si="112"/>
        <v>956</v>
      </c>
      <c r="K964" s="5">
        <f>SUM($AP$9:AP963)</f>
        <v>2.365191477263663E+28</v>
      </c>
      <c r="L964" s="5">
        <f>LOOKUP(K964,AI:AI,AE:AE)</f>
        <v>0</v>
      </c>
      <c r="M964" s="5" t="e">
        <f>LOOKUP(L964,AE:AE,AG:AG)</f>
        <v>#N/A</v>
      </c>
      <c r="N964" s="5" t="e">
        <f>AM964/M964/$K$1</f>
        <v>#N/A</v>
      </c>
      <c r="O964" s="5" t="e">
        <f>SUM($N$9:N964)</f>
        <v>#DIV/0!</v>
      </c>
      <c r="AE964" s="5">
        <f t="shared" si="113"/>
        <v>956</v>
      </c>
      <c r="AF964" s="5">
        <f t="shared" si="114"/>
        <v>1.7347669672881599E+23</v>
      </c>
      <c r="AG964" s="5">
        <f t="shared" si="115"/>
        <v>1.7275387715911299E+23</v>
      </c>
      <c r="AH964" s="5">
        <f>AG964*$AF$1</f>
        <v>1.72753877159113E+24</v>
      </c>
      <c r="AI964" s="5">
        <f>SUM($AF$9:AF963)</f>
        <v>3.3936378797574682E+24</v>
      </c>
      <c r="AK964" s="5">
        <f t="shared" si="116"/>
        <v>956</v>
      </c>
      <c r="AL964" s="5">
        <f t="shared" si="117"/>
        <v>137</v>
      </c>
      <c r="AM964" s="5">
        <f t="shared" si="118"/>
        <v>1.91212098386781E+27</v>
      </c>
      <c r="AN964" s="5">
        <f>$AL$4*$AL$3^AL964*$AL$2</f>
        <v>1.9121209838678056E+27</v>
      </c>
      <c r="AO964" s="5">
        <f>IF(AL964=AL965,1,LOOKUP(MOD(AL964,$AL$1),$AN$1:$AN$5,$AO$1:$AO$5))</f>
        <v>1</v>
      </c>
      <c r="AP964" s="5">
        <f t="shared" si="119"/>
        <v>1.04083118888538E+27</v>
      </c>
      <c r="AQ964" s="5">
        <f>AM964*$AR$3</f>
        <v>2.54949464515708E+26</v>
      </c>
      <c r="AR964" s="5">
        <f>AM964*AL964*$AR$4</f>
        <v>7.8588172436966988E+26</v>
      </c>
      <c r="AS964" s="5">
        <f>SUM($AP$9:AP963)</f>
        <v>2.365191477263663E+28</v>
      </c>
    </row>
    <row r="965" spans="1:45" x14ac:dyDescent="0.15">
      <c r="A965" s="5">
        <v>957</v>
      </c>
      <c r="J965" s="5">
        <f t="shared" si="112"/>
        <v>957</v>
      </c>
      <c r="K965" s="5">
        <f>SUM($AP$9:AP964)</f>
        <v>2.4692745961522012E+28</v>
      </c>
      <c r="L965" s="5">
        <f>LOOKUP(K965,AI:AI,AE:AE)</f>
        <v>0</v>
      </c>
      <c r="M965" s="5" t="e">
        <f>LOOKUP(L965,AE:AE,AG:AG)</f>
        <v>#N/A</v>
      </c>
      <c r="N965" s="5" t="e">
        <f>AM965/M965/$K$1</f>
        <v>#N/A</v>
      </c>
      <c r="O965" s="5" t="e">
        <f>SUM($N$9:N965)</f>
        <v>#DIV/0!</v>
      </c>
      <c r="AE965" s="5">
        <f t="shared" si="113"/>
        <v>957</v>
      </c>
      <c r="AF965" s="5">
        <f t="shared" si="114"/>
        <v>1.8234027170230401E+23</v>
      </c>
      <c r="AG965" s="5">
        <f t="shared" si="115"/>
        <v>1.8158131115411601E+23</v>
      </c>
      <c r="AH965" s="5">
        <f>AG965*$AF$1</f>
        <v>1.8158131115411601E+24</v>
      </c>
      <c r="AI965" s="5">
        <f>SUM($AF$9:AF964)</f>
        <v>3.5671145764862842E+24</v>
      </c>
      <c r="AK965" s="5">
        <f t="shared" si="116"/>
        <v>957</v>
      </c>
      <c r="AL965" s="5">
        <f t="shared" si="117"/>
        <v>137</v>
      </c>
      <c r="AM965" s="5">
        <f t="shared" si="118"/>
        <v>1.91212098386781E+27</v>
      </c>
      <c r="AN965" s="5">
        <f>$AL$4*$AL$3^AL965*$AL$2</f>
        <v>1.9121209838678056E+27</v>
      </c>
      <c r="AO965" s="5">
        <f>IF(AL965=AL966,1,LOOKUP(MOD(AL965,$AL$1),$AN$1:$AN$5,$AO$1:$AO$5))</f>
        <v>1</v>
      </c>
      <c r="AP965" s="5">
        <f t="shared" si="119"/>
        <v>1.04083118888538E+27</v>
      </c>
      <c r="AQ965" s="5">
        <f>AM965*$AR$3</f>
        <v>2.54949464515708E+26</v>
      </c>
      <c r="AR965" s="5">
        <f>AM965*AL965*$AR$4</f>
        <v>7.8588172436966988E+26</v>
      </c>
      <c r="AS965" s="5">
        <f>SUM($AP$9:AP964)</f>
        <v>2.4692745961522012E+28</v>
      </c>
    </row>
    <row r="966" spans="1:45" x14ac:dyDescent="0.15">
      <c r="A966" s="5">
        <v>958</v>
      </c>
      <c r="J966" s="5">
        <f t="shared" si="112"/>
        <v>958</v>
      </c>
      <c r="K966" s="5">
        <f>SUM($AP$9:AP965)</f>
        <v>2.5733577150407393E+28</v>
      </c>
      <c r="L966" s="5">
        <f>LOOKUP(K966,AI:AI,AE:AE)</f>
        <v>0</v>
      </c>
      <c r="M966" s="5" t="e">
        <f>LOOKUP(L966,AE:AE,AG:AG)</f>
        <v>#N/A</v>
      </c>
      <c r="N966" s="5" t="e">
        <f>AM966/M966/$K$1</f>
        <v>#N/A</v>
      </c>
      <c r="O966" s="5" t="e">
        <f>SUM($N$9:N966)</f>
        <v>#DIV/0!</v>
      </c>
      <c r="AE966" s="5">
        <f t="shared" si="113"/>
        <v>958</v>
      </c>
      <c r="AF966" s="5">
        <f t="shared" si="114"/>
        <v>1.9165651243131899E+23</v>
      </c>
      <c r="AG966" s="5">
        <f t="shared" si="115"/>
        <v>1.9085960385572102E+23</v>
      </c>
      <c r="AH966" s="5">
        <f>AG966*$AF$1</f>
        <v>1.9085960385572101E+24</v>
      </c>
      <c r="AI966" s="5">
        <f>SUM($AF$9:AF965)</f>
        <v>3.7494548481885881E+24</v>
      </c>
      <c r="AK966" s="5">
        <f t="shared" si="116"/>
        <v>958</v>
      </c>
      <c r="AL966" s="5">
        <f t="shared" si="117"/>
        <v>137</v>
      </c>
      <c r="AM966" s="5">
        <f t="shared" si="118"/>
        <v>1.91212098386781E+27</v>
      </c>
      <c r="AN966" s="5">
        <f>$AL$4*$AL$3^AL966*$AL$2</f>
        <v>1.9121209838678056E+27</v>
      </c>
      <c r="AO966" s="5">
        <f>IF(AL966=AL967,1,LOOKUP(MOD(AL966,$AL$1),$AN$1:$AN$5,$AO$1:$AO$5))</f>
        <v>1</v>
      </c>
      <c r="AP966" s="5">
        <f t="shared" si="119"/>
        <v>1.04083118888538E+27</v>
      </c>
      <c r="AQ966" s="5">
        <f>AM966*$AR$3</f>
        <v>2.54949464515708E+26</v>
      </c>
      <c r="AR966" s="5">
        <f>AM966*AL966*$AR$4</f>
        <v>7.8588172436966988E+26</v>
      </c>
      <c r="AS966" s="5">
        <f>SUM($AP$9:AP965)</f>
        <v>2.5733577150407393E+28</v>
      </c>
    </row>
    <row r="967" spans="1:45" x14ac:dyDescent="0.15">
      <c r="A967" s="5">
        <v>959</v>
      </c>
      <c r="J967" s="5">
        <f t="shared" si="112"/>
        <v>959</v>
      </c>
      <c r="K967" s="5">
        <f>SUM($AP$9:AP966)</f>
        <v>2.6774408339292774E+28</v>
      </c>
      <c r="L967" s="5">
        <f>LOOKUP(K967,AI:AI,AE:AE)</f>
        <v>0</v>
      </c>
      <c r="M967" s="5" t="e">
        <f>LOOKUP(L967,AE:AE,AG:AG)</f>
        <v>#N/A</v>
      </c>
      <c r="N967" s="5" t="e">
        <f>AM967/M967/$K$1</f>
        <v>#N/A</v>
      </c>
      <c r="O967" s="5" t="e">
        <f>SUM($N$9:N967)</f>
        <v>#DIV/0!</v>
      </c>
      <c r="AE967" s="5">
        <f t="shared" si="113"/>
        <v>959</v>
      </c>
      <c r="AF967" s="5">
        <f t="shared" si="114"/>
        <v>2.0144852655398001E+23</v>
      </c>
      <c r="AG967" s="5">
        <f t="shared" si="115"/>
        <v>2.0061177254960201E+23</v>
      </c>
      <c r="AH967" s="5">
        <f>AG967*$AF$1</f>
        <v>2.0061177254960201E+24</v>
      </c>
      <c r="AI967" s="5">
        <f>SUM($AF$9:AF966)</f>
        <v>3.9411113606199071E+24</v>
      </c>
      <c r="AK967" s="5">
        <f t="shared" si="116"/>
        <v>959</v>
      </c>
      <c r="AL967" s="5">
        <f t="shared" si="117"/>
        <v>137</v>
      </c>
      <c r="AM967" s="5">
        <f t="shared" si="118"/>
        <v>1.33848468870746E+28</v>
      </c>
      <c r="AN967" s="5">
        <f>$AL$4*$AL$3^AL967*$AL$2</f>
        <v>1.9121209838678056E+27</v>
      </c>
      <c r="AO967" s="5">
        <f>IF(AL967=AL968,1,LOOKUP(MOD(AL967,$AL$1),$AN$1:$AN$5,$AO$1:$AO$5))</f>
        <v>7</v>
      </c>
      <c r="AP967" s="5">
        <f t="shared" si="119"/>
        <v>7.2858183221976103E+27</v>
      </c>
      <c r="AQ967" s="5">
        <f>AM967*$AR$3</f>
        <v>1.7846462516099467E+27</v>
      </c>
      <c r="AR967" s="5">
        <f>AM967*AL967*$AR$4</f>
        <v>5.50117207058766E+27</v>
      </c>
      <c r="AS967" s="5">
        <f>SUM($AP$9:AP966)</f>
        <v>2.6774408339292774E+28</v>
      </c>
    </row>
    <row r="968" spans="1:45" x14ac:dyDescent="0.15">
      <c r="A968" s="5">
        <v>960</v>
      </c>
      <c r="J968" s="5">
        <f t="shared" si="112"/>
        <v>960</v>
      </c>
      <c r="K968" s="5">
        <f>SUM($AP$9:AP967)</f>
        <v>3.4060226661490384E+28</v>
      </c>
      <c r="L968" s="5">
        <f>LOOKUP(K968,AI:AI,AE:AE)</f>
        <v>0</v>
      </c>
      <c r="M968" s="5" t="e">
        <f>LOOKUP(L968,AE:AE,AG:AG)</f>
        <v>#N/A</v>
      </c>
      <c r="N968" s="5" t="e">
        <f>AM968/M968/$K$1</f>
        <v>#N/A</v>
      </c>
      <c r="O968" s="5" t="e">
        <f>SUM($N$9:N968)</f>
        <v>#DIV/0!</v>
      </c>
      <c r="AE968" s="5">
        <f t="shared" si="113"/>
        <v>960</v>
      </c>
      <c r="AF968" s="5">
        <f t="shared" si="114"/>
        <v>2.1174060080782801E+23</v>
      </c>
      <c r="AG968" s="5">
        <f t="shared" si="115"/>
        <v>2.10862009103231E+23</v>
      </c>
      <c r="AH968" s="5">
        <f>AG968*$AF$1</f>
        <v>2.1086200910323099E+24</v>
      </c>
      <c r="AI968" s="5">
        <f>SUM($AF$9:AF967)</f>
        <v>4.1425598871738874E+24</v>
      </c>
      <c r="AK968" s="5">
        <f t="shared" si="116"/>
        <v>960</v>
      </c>
      <c r="AL968" s="5">
        <f t="shared" si="117"/>
        <v>138</v>
      </c>
      <c r="AM968" s="5">
        <f t="shared" si="118"/>
        <v>3.0020299446724498E+27</v>
      </c>
      <c r="AN968" s="5">
        <f>$AL$4*$AL$3^AL968*$AL$2</f>
        <v>3.0020299446724548E+27</v>
      </c>
      <c r="AO968" s="5">
        <f>IF(AL968=AL969,1,LOOKUP(MOD(AL968,$AL$1),$AN$1:$AN$5,$AO$1:$AO$5))</f>
        <v>1</v>
      </c>
      <c r="AP968" s="5">
        <f t="shared" si="119"/>
        <v>1.6431110563840501E+27</v>
      </c>
      <c r="AQ968" s="5">
        <f>AM968*$AR$3</f>
        <v>4.0027065928966E+26</v>
      </c>
      <c r="AR968" s="5">
        <f>AM968*AL968*$AR$4</f>
        <v>1.2428403970943942E+27</v>
      </c>
      <c r="AS968" s="5">
        <f>SUM($AP$9:AP967)</f>
        <v>3.4060226661490384E+28</v>
      </c>
    </row>
    <row r="969" spans="1:45" x14ac:dyDescent="0.15">
      <c r="A969" s="5">
        <v>961</v>
      </c>
      <c r="J969" s="5">
        <f t="shared" si="112"/>
        <v>961</v>
      </c>
      <c r="K969" s="5">
        <f>SUM($AP$9:AP968)</f>
        <v>3.5703337717874433E+28</v>
      </c>
      <c r="L969" s="5">
        <f>LOOKUP(K969,AI:AI,AE:AE)</f>
        <v>0</v>
      </c>
      <c r="M969" s="5" t="e">
        <f>LOOKUP(L969,AE:AE,AG:AG)</f>
        <v>#N/A</v>
      </c>
      <c r="N969" s="5" t="e">
        <f>AM969/M969/$K$1</f>
        <v>#N/A</v>
      </c>
      <c r="O969" s="5" t="e">
        <f>SUM($N$9:N969)</f>
        <v>#DIV/0!</v>
      </c>
      <c r="AE969" s="5">
        <f t="shared" si="113"/>
        <v>961</v>
      </c>
      <c r="AF969" s="5">
        <f t="shared" si="114"/>
        <v>2.2255826117067601E+23</v>
      </c>
      <c r="AG969" s="5">
        <f t="shared" si="115"/>
        <v>2.21635739880849E+23</v>
      </c>
      <c r="AH969" s="5">
        <f>AG969*$AF$1</f>
        <v>2.2163573988084899E+24</v>
      </c>
      <c r="AI969" s="5">
        <f>SUM($AF$9:AF968)</f>
        <v>4.3543004879817152E+24</v>
      </c>
      <c r="AK969" s="5">
        <f t="shared" si="116"/>
        <v>961</v>
      </c>
      <c r="AL969" s="5">
        <f t="shared" si="117"/>
        <v>138</v>
      </c>
      <c r="AM969" s="5">
        <f t="shared" si="118"/>
        <v>3.0020299446724498E+27</v>
      </c>
      <c r="AN969" s="5">
        <f>$AL$4*$AL$3^AL969*$AL$2</f>
        <v>3.0020299446724548E+27</v>
      </c>
      <c r="AO969" s="5">
        <f>IF(AL969=AL970,1,LOOKUP(MOD(AL969,$AL$1),$AN$1:$AN$5,$AO$1:$AO$5))</f>
        <v>1</v>
      </c>
      <c r="AP969" s="5">
        <f t="shared" si="119"/>
        <v>1.6431110563840501E+27</v>
      </c>
      <c r="AQ969" s="5">
        <f>AM969*$AR$3</f>
        <v>4.0027065928966E+26</v>
      </c>
      <c r="AR969" s="5">
        <f>AM969*AL969*$AR$4</f>
        <v>1.2428403970943942E+27</v>
      </c>
      <c r="AS969" s="5">
        <f>SUM($AP$9:AP968)</f>
        <v>3.5703337717874433E+28</v>
      </c>
    </row>
    <row r="970" spans="1:45" x14ac:dyDescent="0.15">
      <c r="A970" s="5">
        <v>962</v>
      </c>
      <c r="J970" s="5">
        <f t="shared" ref="J970:J1009" si="120">A970</f>
        <v>962</v>
      </c>
      <c r="K970" s="5">
        <f>SUM($AP$9:AP969)</f>
        <v>3.7346448774258483E+28</v>
      </c>
      <c r="L970" s="5">
        <f>LOOKUP(K970,AI:AI,AE:AE)</f>
        <v>0</v>
      </c>
      <c r="M970" s="5" t="e">
        <f>LOOKUP(L970,AE:AE,AG:AG)</f>
        <v>#N/A</v>
      </c>
      <c r="N970" s="5" t="e">
        <f>AM970/M970/$K$1</f>
        <v>#N/A</v>
      </c>
      <c r="O970" s="5" t="e">
        <f>SUM($N$9:N970)</f>
        <v>#DIV/0!</v>
      </c>
      <c r="AE970" s="5">
        <f t="shared" ref="AE970:AE1009" si="121">A970</f>
        <v>962</v>
      </c>
      <c r="AF970" s="5">
        <f t="shared" ref="AF970:AF1009" si="122">ROUND(1.05^AE970*(AE970+4),0)</f>
        <v>2.33928336067789E+23</v>
      </c>
      <c r="AG970" s="5">
        <f t="shared" ref="AG970:AG1009" si="123">ROUND(1.05^AE970*AE970,0)</f>
        <v>2.3295968871347101E+23</v>
      </c>
      <c r="AH970" s="5">
        <f>AG970*$AF$1</f>
        <v>2.3295968871347101E+24</v>
      </c>
      <c r="AI970" s="5">
        <f>SUM($AF$9:AF969)</f>
        <v>4.5768587491523912E+24</v>
      </c>
      <c r="AK970" s="5">
        <f t="shared" ref="AK970:AK1009" si="124">A970</f>
        <v>962</v>
      </c>
      <c r="AL970" s="5">
        <f t="shared" ref="AL970:AL1009" si="125">ROUNDUP(AK970/$AL$1,0)</f>
        <v>138</v>
      </c>
      <c r="AM970" s="5">
        <f t="shared" ref="AM970:AM1009" si="126">ROUND(AN970*AO970,0)</f>
        <v>3.0020299446724498E+27</v>
      </c>
      <c r="AN970" s="5">
        <f>$AL$4*$AL$3^AL970*$AL$2</f>
        <v>3.0020299446724548E+27</v>
      </c>
      <c r="AO970" s="5">
        <f>IF(AL970=AL971,1,LOOKUP(MOD(AL970,$AL$1),$AN$1:$AN$5,$AO$1:$AO$5))</f>
        <v>1</v>
      </c>
      <c r="AP970" s="5">
        <f t="shared" ref="AP970:AP1009" si="127">ROUND(AQ970+AR970,0)</f>
        <v>1.6431110563840501E+27</v>
      </c>
      <c r="AQ970" s="5">
        <f>AM970*$AR$3</f>
        <v>4.0027065928966E+26</v>
      </c>
      <c r="AR970" s="5">
        <f>AM970*AL970*$AR$4</f>
        <v>1.2428403970943942E+27</v>
      </c>
      <c r="AS970" s="5">
        <f>SUM($AP$9:AP969)</f>
        <v>3.7346448774258483E+28</v>
      </c>
    </row>
    <row r="971" spans="1:45" x14ac:dyDescent="0.15">
      <c r="A971" s="5">
        <v>963</v>
      </c>
      <c r="J971" s="5">
        <f t="shared" si="120"/>
        <v>963</v>
      </c>
      <c r="K971" s="5">
        <f>SUM($AP$9:AP970)</f>
        <v>3.8989559830642532E+28</v>
      </c>
      <c r="L971" s="5">
        <f>LOOKUP(K971,AI:AI,AE:AE)</f>
        <v>0</v>
      </c>
      <c r="M971" s="5" t="e">
        <f>LOOKUP(L971,AE:AE,AG:AG)</f>
        <v>#N/A</v>
      </c>
      <c r="N971" s="5" t="e">
        <f>AM971/M971/$K$1</f>
        <v>#N/A</v>
      </c>
      <c r="O971" s="5" t="e">
        <f>SUM($N$9:N971)</f>
        <v>#DIV/0!</v>
      </c>
      <c r="AE971" s="5">
        <f t="shared" si="121"/>
        <v>963</v>
      </c>
      <c r="AF971" s="5">
        <f t="shared" si="122"/>
        <v>2.4587902280168701E+23</v>
      </c>
      <c r="AG971" s="5">
        <f t="shared" si="123"/>
        <v>2.44861943079653E+23</v>
      </c>
      <c r="AH971" s="5">
        <f>AG971*$AF$1</f>
        <v>2.4486194307965302E+24</v>
      </c>
      <c r="AI971" s="5">
        <f>SUM($AF$9:AF970)</f>
        <v>4.81078708522018E+24</v>
      </c>
      <c r="AK971" s="5">
        <f t="shared" si="124"/>
        <v>963</v>
      </c>
      <c r="AL971" s="5">
        <f t="shared" si="125"/>
        <v>138</v>
      </c>
      <c r="AM971" s="5">
        <f t="shared" si="126"/>
        <v>3.0020299446724498E+27</v>
      </c>
      <c r="AN971" s="5">
        <f>$AL$4*$AL$3^AL971*$AL$2</f>
        <v>3.0020299446724548E+27</v>
      </c>
      <c r="AO971" s="5">
        <f>IF(AL971=AL972,1,LOOKUP(MOD(AL971,$AL$1),$AN$1:$AN$5,$AO$1:$AO$5))</f>
        <v>1</v>
      </c>
      <c r="AP971" s="5">
        <f t="shared" si="127"/>
        <v>1.6431110563840501E+27</v>
      </c>
      <c r="AQ971" s="5">
        <f>AM971*$AR$3</f>
        <v>4.0027065928966E+26</v>
      </c>
      <c r="AR971" s="5">
        <f>AM971*AL971*$AR$4</f>
        <v>1.2428403970943942E+27</v>
      </c>
      <c r="AS971" s="5">
        <f>SUM($AP$9:AP970)</f>
        <v>3.8989559830642532E+28</v>
      </c>
    </row>
    <row r="972" spans="1:45" x14ac:dyDescent="0.15">
      <c r="A972" s="5">
        <v>964</v>
      </c>
      <c r="J972" s="5">
        <f t="shared" si="120"/>
        <v>964</v>
      </c>
      <c r="K972" s="5">
        <f>SUM($AP$9:AP971)</f>
        <v>4.0632670887026581E+28</v>
      </c>
      <c r="L972" s="5">
        <f>LOOKUP(K972,AI:AI,AE:AE)</f>
        <v>0</v>
      </c>
      <c r="M972" s="5" t="e">
        <f>LOOKUP(L972,AE:AE,AG:AG)</f>
        <v>#N/A</v>
      </c>
      <c r="N972" s="5" t="e">
        <f>AM972/M972/$K$1</f>
        <v>#N/A</v>
      </c>
      <c r="O972" s="5" t="e">
        <f>SUM($N$9:N972)</f>
        <v>#DIV/0!</v>
      </c>
      <c r="AE972" s="5">
        <f t="shared" si="121"/>
        <v>964</v>
      </c>
      <c r="AF972" s="5">
        <f t="shared" si="122"/>
        <v>2.5843995736880499E+23</v>
      </c>
      <c r="AG972" s="5">
        <f t="shared" si="123"/>
        <v>2.5737202366066999E+23</v>
      </c>
      <c r="AH972" s="5">
        <f>AG972*$AF$1</f>
        <v>2.5737202366067001E+24</v>
      </c>
      <c r="AI972" s="5">
        <f>SUM($AF$9:AF971)</f>
        <v>5.0566661080218675E+24</v>
      </c>
      <c r="AK972" s="5">
        <f t="shared" si="124"/>
        <v>964</v>
      </c>
      <c r="AL972" s="5">
        <f t="shared" si="125"/>
        <v>138</v>
      </c>
      <c r="AM972" s="5">
        <f t="shared" si="126"/>
        <v>3.0020299446724498E+27</v>
      </c>
      <c r="AN972" s="5">
        <f>$AL$4*$AL$3^AL972*$AL$2</f>
        <v>3.0020299446724548E+27</v>
      </c>
      <c r="AO972" s="5">
        <f>IF(AL972=AL973,1,LOOKUP(MOD(AL972,$AL$1),$AN$1:$AN$5,$AO$1:$AO$5))</f>
        <v>1</v>
      </c>
      <c r="AP972" s="5">
        <f t="shared" si="127"/>
        <v>1.6431110563840501E+27</v>
      </c>
      <c r="AQ972" s="5">
        <f>AM972*$AR$3</f>
        <v>4.0027065928966E+26</v>
      </c>
      <c r="AR972" s="5">
        <f>AM972*AL972*$AR$4</f>
        <v>1.2428403970943942E+27</v>
      </c>
      <c r="AS972" s="5">
        <f>SUM($AP$9:AP971)</f>
        <v>4.0632670887026581E+28</v>
      </c>
    </row>
    <row r="973" spans="1:45" x14ac:dyDescent="0.15">
      <c r="A973" s="5">
        <v>965</v>
      </c>
      <c r="J973" s="5">
        <f t="shared" si="120"/>
        <v>965</v>
      </c>
      <c r="K973" s="5">
        <f>SUM($AP$9:AP972)</f>
        <v>4.2275781943410635E+28</v>
      </c>
      <c r="L973" s="5">
        <f>LOOKUP(K973,AI:AI,AE:AE)</f>
        <v>0</v>
      </c>
      <c r="M973" s="5" t="e">
        <f>LOOKUP(L973,AE:AE,AG:AG)</f>
        <v>#N/A</v>
      </c>
      <c r="N973" s="5" t="e">
        <f>AM973/M973/$K$1</f>
        <v>#N/A</v>
      </c>
      <c r="O973" s="5" t="e">
        <f>SUM($N$9:N973)</f>
        <v>#DIV/0!</v>
      </c>
      <c r="AE973" s="5">
        <f t="shared" si="121"/>
        <v>965</v>
      </c>
      <c r="AF973" s="5">
        <f t="shared" si="122"/>
        <v>2.7164228783563101E+23</v>
      </c>
      <c r="AG973" s="5">
        <f t="shared" si="123"/>
        <v>2.70520957442089E+23</v>
      </c>
      <c r="AH973" s="5">
        <f>AG973*$AF$1</f>
        <v>2.7052095744208898E+24</v>
      </c>
      <c r="AI973" s="5">
        <f>SUM($AF$9:AF972)</f>
        <v>5.3151060653906725E+24</v>
      </c>
      <c r="AK973" s="5">
        <f t="shared" si="124"/>
        <v>965</v>
      </c>
      <c r="AL973" s="5">
        <f t="shared" si="125"/>
        <v>138</v>
      </c>
      <c r="AM973" s="5">
        <f t="shared" si="126"/>
        <v>3.0020299446724498E+27</v>
      </c>
      <c r="AN973" s="5">
        <f>$AL$4*$AL$3^AL973*$AL$2</f>
        <v>3.0020299446724548E+27</v>
      </c>
      <c r="AO973" s="5">
        <f>IF(AL973=AL974,1,LOOKUP(MOD(AL973,$AL$1),$AN$1:$AN$5,$AO$1:$AO$5))</f>
        <v>1</v>
      </c>
      <c r="AP973" s="5">
        <f t="shared" si="127"/>
        <v>1.6431110563840501E+27</v>
      </c>
      <c r="AQ973" s="5">
        <f>AM973*$AR$3</f>
        <v>4.0027065928966E+26</v>
      </c>
      <c r="AR973" s="5">
        <f>AM973*AL973*$AR$4</f>
        <v>1.2428403970943942E+27</v>
      </c>
      <c r="AS973" s="5">
        <f>SUM($AP$9:AP972)</f>
        <v>4.2275781943410635E+28</v>
      </c>
    </row>
    <row r="974" spans="1:45" x14ac:dyDescent="0.15">
      <c r="A974" s="5">
        <v>966</v>
      </c>
      <c r="J974" s="5">
        <f t="shared" si="120"/>
        <v>966</v>
      </c>
      <c r="K974" s="5">
        <f>SUM($AP$9:AP973)</f>
        <v>4.3918892999794689E+28</v>
      </c>
      <c r="L974" s="5">
        <f>LOOKUP(K974,AI:AI,AE:AE)</f>
        <v>0</v>
      </c>
      <c r="M974" s="5" t="e">
        <f>LOOKUP(L974,AE:AE,AG:AG)</f>
        <v>#N/A</v>
      </c>
      <c r="N974" s="5" t="e">
        <f>AM974/M974/$K$1</f>
        <v>#N/A</v>
      </c>
      <c r="O974" s="5" t="e">
        <f>SUM($N$9:N974)</f>
        <v>#DIV/0!</v>
      </c>
      <c r="AE974" s="5">
        <f t="shared" si="121"/>
        <v>966</v>
      </c>
      <c r="AF974" s="5">
        <f t="shared" si="122"/>
        <v>2.8551875145571699E+23</v>
      </c>
      <c r="AG974" s="5">
        <f t="shared" si="123"/>
        <v>2.8434135454249799E+23</v>
      </c>
      <c r="AH974" s="5">
        <f>AG974*$AF$1</f>
        <v>2.8434135454249797E+24</v>
      </c>
      <c r="AI974" s="5">
        <f>SUM($AF$9:AF973)</f>
        <v>5.5867483532263038E+24</v>
      </c>
      <c r="AK974" s="5">
        <f t="shared" si="124"/>
        <v>966</v>
      </c>
      <c r="AL974" s="5">
        <f t="shared" si="125"/>
        <v>138</v>
      </c>
      <c r="AM974" s="5">
        <f t="shared" si="126"/>
        <v>2.1014209612707199E+28</v>
      </c>
      <c r="AN974" s="5">
        <f>$AL$4*$AL$3^AL974*$AL$2</f>
        <v>3.0020299446724548E+27</v>
      </c>
      <c r="AO974" s="5">
        <f>IF(AL974=AL975,1,LOOKUP(MOD(AL974,$AL$1),$AN$1:$AN$5,$AO$1:$AO$5))</f>
        <v>7</v>
      </c>
      <c r="AP974" s="5">
        <f t="shared" si="127"/>
        <v>1.15017773946884E+28</v>
      </c>
      <c r="AQ974" s="5">
        <f>AM974*$AR$3</f>
        <v>2.8018946150276268E+27</v>
      </c>
      <c r="AR974" s="5">
        <f>AM974*AL974*$AR$4</f>
        <v>8.6998827796607799E+27</v>
      </c>
      <c r="AS974" s="5">
        <f>SUM($AP$9:AP973)</f>
        <v>4.3918892999794689E+28</v>
      </c>
    </row>
    <row r="975" spans="1:45" x14ac:dyDescent="0.15">
      <c r="A975" s="5">
        <v>967</v>
      </c>
      <c r="J975" s="5">
        <f t="shared" si="120"/>
        <v>967</v>
      </c>
      <c r="K975" s="5">
        <f>SUM($AP$9:AP974)</f>
        <v>5.5420670394483091E+28</v>
      </c>
      <c r="L975" s="5">
        <f>LOOKUP(K975,AI:AI,AE:AE)</f>
        <v>0</v>
      </c>
      <c r="M975" s="5" t="e">
        <f>LOOKUP(L975,AE:AE,AG:AG)</f>
        <v>#N/A</v>
      </c>
      <c r="N975" s="5" t="e">
        <f>AM975/M975/$K$1</f>
        <v>#N/A</v>
      </c>
      <c r="O975" s="5" t="e">
        <f>SUM($N$9:N975)</f>
        <v>#DIV/0!</v>
      </c>
      <c r="AE975" s="5">
        <f t="shared" si="121"/>
        <v>967</v>
      </c>
      <c r="AF975" s="5">
        <f t="shared" si="122"/>
        <v>3.0010375571822399E+23</v>
      </c>
      <c r="AG975" s="5">
        <f t="shared" si="123"/>
        <v>2.9886748895934302E+23</v>
      </c>
      <c r="AH975" s="5">
        <f>AG975*$AF$1</f>
        <v>2.9886748895934303E+24</v>
      </c>
      <c r="AI975" s="5">
        <f>SUM($AF$9:AF974)</f>
        <v>5.8722671046820205E+24</v>
      </c>
      <c r="AK975" s="5">
        <f t="shared" si="124"/>
        <v>967</v>
      </c>
      <c r="AL975" s="5">
        <f t="shared" si="125"/>
        <v>139</v>
      </c>
      <c r="AM975" s="5">
        <f t="shared" si="126"/>
        <v>4.7131870131357502E+27</v>
      </c>
      <c r="AN975" s="5">
        <f>$AL$4*$AL$3^AL975*$AL$2</f>
        <v>4.713187013135754E+27</v>
      </c>
      <c r="AO975" s="5">
        <f>IF(AL975=AL976,1,LOOKUP(MOD(AL975,$AL$1),$AN$1:$AN$5,$AO$1:$AO$5))</f>
        <v>1</v>
      </c>
      <c r="AP975" s="5">
        <f t="shared" si="127"/>
        <v>2.59382391956237E+27</v>
      </c>
      <c r="AQ975" s="5">
        <f>AM975*$AR$3</f>
        <v>6.2842493508476664E+26</v>
      </c>
      <c r="AR975" s="5">
        <f>AM975*AL975*$AR$4</f>
        <v>1.9653989844776079E+27</v>
      </c>
      <c r="AS975" s="5">
        <f>SUM($AP$9:AP974)</f>
        <v>5.5420670394483091E+28</v>
      </c>
    </row>
    <row r="976" spans="1:45" x14ac:dyDescent="0.15">
      <c r="A976" s="5">
        <v>968</v>
      </c>
      <c r="J976" s="5">
        <f t="shared" si="120"/>
        <v>968</v>
      </c>
      <c r="K976" s="5">
        <f>SUM($AP$9:AP975)</f>
        <v>5.8014494314045459E+28</v>
      </c>
      <c r="L976" s="5">
        <f>LOOKUP(K976,AI:AI,AE:AE)</f>
        <v>0</v>
      </c>
      <c r="M976" s="5" t="e">
        <f>LOOKUP(L976,AE:AE,AG:AG)</f>
        <v>#N/A</v>
      </c>
      <c r="N976" s="5" t="e">
        <f>AM976/M976/$K$1</f>
        <v>#N/A</v>
      </c>
      <c r="O976" s="5" t="e">
        <f>SUM($N$9:N976)</f>
        <v>#DIV/0!</v>
      </c>
      <c r="AE976" s="5">
        <f t="shared" si="121"/>
        <v>968</v>
      </c>
      <c r="AF976" s="5">
        <f t="shared" si="122"/>
        <v>3.1543346352834101E+23</v>
      </c>
      <c r="AG976" s="5">
        <f t="shared" si="123"/>
        <v>3.1413538343151599E+23</v>
      </c>
      <c r="AH976" s="5">
        <f>AG976*$AF$1</f>
        <v>3.1413538343151599E+24</v>
      </c>
      <c r="AI976" s="5">
        <f>SUM($AF$9:AF975)</f>
        <v>6.1723708604002445E+24</v>
      </c>
      <c r="AK976" s="5">
        <f t="shared" si="124"/>
        <v>968</v>
      </c>
      <c r="AL976" s="5">
        <f t="shared" si="125"/>
        <v>139</v>
      </c>
      <c r="AM976" s="5">
        <f t="shared" si="126"/>
        <v>4.7131870131357502E+27</v>
      </c>
      <c r="AN976" s="5">
        <f>$AL$4*$AL$3^AL976*$AL$2</f>
        <v>4.713187013135754E+27</v>
      </c>
      <c r="AO976" s="5">
        <f>IF(AL976=AL977,1,LOOKUP(MOD(AL976,$AL$1),$AN$1:$AN$5,$AO$1:$AO$5))</f>
        <v>1</v>
      </c>
      <c r="AP976" s="5">
        <f t="shared" si="127"/>
        <v>2.59382391956237E+27</v>
      </c>
      <c r="AQ976" s="5">
        <f>AM976*$AR$3</f>
        <v>6.2842493508476664E+26</v>
      </c>
      <c r="AR976" s="5">
        <f>AM976*AL976*$AR$4</f>
        <v>1.9653989844776079E+27</v>
      </c>
      <c r="AS976" s="5">
        <f>SUM($AP$9:AP975)</f>
        <v>5.8014494314045459E+28</v>
      </c>
    </row>
    <row r="977" spans="1:45" x14ac:dyDescent="0.15">
      <c r="A977" s="5">
        <v>969</v>
      </c>
      <c r="J977" s="5">
        <f t="shared" si="120"/>
        <v>969</v>
      </c>
      <c r="K977" s="5">
        <f>SUM($AP$9:AP976)</f>
        <v>6.0608318233607828E+28</v>
      </c>
      <c r="L977" s="5">
        <f>LOOKUP(K977,AI:AI,AE:AE)</f>
        <v>0</v>
      </c>
      <c r="M977" s="5" t="e">
        <f>LOOKUP(L977,AE:AE,AG:AG)</f>
        <v>#N/A</v>
      </c>
      <c r="N977" s="5" t="e">
        <f>AM977/M977/$K$1</f>
        <v>#N/A</v>
      </c>
      <c r="O977" s="5" t="e">
        <f>SUM($N$9:N977)</f>
        <v>#DIV/0!</v>
      </c>
      <c r="AE977" s="5">
        <f t="shared" si="121"/>
        <v>969</v>
      </c>
      <c r="AF977" s="5">
        <f t="shared" si="122"/>
        <v>3.3154588273017402E+23</v>
      </c>
      <c r="AG977" s="5">
        <f t="shared" si="123"/>
        <v>3.3018289862850901E+23</v>
      </c>
      <c r="AH977" s="5">
        <f>AG977*$AF$1</f>
        <v>3.30182898628509E+24</v>
      </c>
      <c r="AI977" s="5">
        <f>SUM($AF$9:AF976)</f>
        <v>6.4878043239285853E+24</v>
      </c>
      <c r="AK977" s="5">
        <f t="shared" si="124"/>
        <v>969</v>
      </c>
      <c r="AL977" s="5">
        <f t="shared" si="125"/>
        <v>139</v>
      </c>
      <c r="AM977" s="5">
        <f t="shared" si="126"/>
        <v>4.7131870131357502E+27</v>
      </c>
      <c r="AN977" s="5">
        <f>$AL$4*$AL$3^AL977*$AL$2</f>
        <v>4.713187013135754E+27</v>
      </c>
      <c r="AO977" s="5">
        <f>IF(AL977=AL978,1,LOOKUP(MOD(AL977,$AL$1),$AN$1:$AN$5,$AO$1:$AO$5))</f>
        <v>1</v>
      </c>
      <c r="AP977" s="5">
        <f t="shared" si="127"/>
        <v>2.59382391956237E+27</v>
      </c>
      <c r="AQ977" s="5">
        <f>AM977*$AR$3</f>
        <v>6.2842493508476664E+26</v>
      </c>
      <c r="AR977" s="5">
        <f>AM977*AL977*$AR$4</f>
        <v>1.9653989844776079E+27</v>
      </c>
      <c r="AS977" s="5">
        <f>SUM($AP$9:AP976)</f>
        <v>6.0608318233607828E+28</v>
      </c>
    </row>
    <row r="978" spans="1:45" x14ac:dyDescent="0.15">
      <c r="A978" s="5">
        <v>970</v>
      </c>
      <c r="J978" s="5">
        <f t="shared" si="120"/>
        <v>970</v>
      </c>
      <c r="K978" s="5">
        <f>SUM($AP$9:AP977)</f>
        <v>6.3202142153170196E+28</v>
      </c>
      <c r="L978" s="5">
        <f>LOOKUP(K978,AI:AI,AE:AE)</f>
        <v>0</v>
      </c>
      <c r="M978" s="5" t="e">
        <f>LOOKUP(L978,AE:AE,AG:AG)</f>
        <v>#N/A</v>
      </c>
      <c r="N978" s="5" t="e">
        <f>AM978/M978/$K$1</f>
        <v>#N/A</v>
      </c>
      <c r="O978" s="5" t="e">
        <f>SUM($N$9:N978)</f>
        <v>#DIV/0!</v>
      </c>
      <c r="AE978" s="5">
        <f t="shared" si="121"/>
        <v>970</v>
      </c>
      <c r="AF978" s="5">
        <f t="shared" si="122"/>
        <v>3.4848096019337001E+23</v>
      </c>
      <c r="AG978" s="5">
        <f t="shared" si="123"/>
        <v>3.4704982688662101E+23</v>
      </c>
      <c r="AH978" s="5">
        <f>AG978*$AF$1</f>
        <v>3.4704982688662101E+24</v>
      </c>
      <c r="AI978" s="5">
        <f>SUM($AF$9:AF977)</f>
        <v>6.8193502066587591E+24</v>
      </c>
      <c r="AK978" s="5">
        <f t="shared" si="124"/>
        <v>970</v>
      </c>
      <c r="AL978" s="5">
        <f t="shared" si="125"/>
        <v>139</v>
      </c>
      <c r="AM978" s="5">
        <f t="shared" si="126"/>
        <v>4.7131870131357502E+27</v>
      </c>
      <c r="AN978" s="5">
        <f>$AL$4*$AL$3^AL978*$AL$2</f>
        <v>4.713187013135754E+27</v>
      </c>
      <c r="AO978" s="5">
        <f>IF(AL978=AL979,1,LOOKUP(MOD(AL978,$AL$1),$AN$1:$AN$5,$AO$1:$AO$5))</f>
        <v>1</v>
      </c>
      <c r="AP978" s="5">
        <f t="shared" si="127"/>
        <v>2.59382391956237E+27</v>
      </c>
      <c r="AQ978" s="5">
        <f>AM978*$AR$3</f>
        <v>6.2842493508476664E+26</v>
      </c>
      <c r="AR978" s="5">
        <f>AM978*AL978*$AR$4</f>
        <v>1.9653989844776079E+27</v>
      </c>
      <c r="AS978" s="5">
        <f>SUM($AP$9:AP977)</f>
        <v>6.3202142153170196E+28</v>
      </c>
    </row>
    <row r="979" spans="1:45" x14ac:dyDescent="0.15">
      <c r="A979" s="5">
        <v>971</v>
      </c>
      <c r="J979" s="5">
        <f t="shared" si="120"/>
        <v>971</v>
      </c>
      <c r="K979" s="5">
        <f>SUM($AP$9:AP978)</f>
        <v>6.5795966072732564E+28</v>
      </c>
      <c r="L979" s="5">
        <f>LOOKUP(K979,AI:AI,AE:AE)</f>
        <v>0</v>
      </c>
      <c r="M979" s="5" t="e">
        <f>LOOKUP(L979,AE:AE,AG:AG)</f>
        <v>#N/A</v>
      </c>
      <c r="N979" s="5" t="e">
        <f>AM979/M979/$K$1</f>
        <v>#N/A</v>
      </c>
      <c r="O979" s="5" t="e">
        <f>SUM($N$9:N979)</f>
        <v>#DIV/0!</v>
      </c>
      <c r="AE979" s="5">
        <f t="shared" si="121"/>
        <v>971</v>
      </c>
      <c r="AF979" s="5">
        <f t="shared" si="122"/>
        <v>3.6628068069606003E+23</v>
      </c>
      <c r="AG979" s="5">
        <f t="shared" si="123"/>
        <v>3.6477799072397402E+23</v>
      </c>
      <c r="AH979" s="5">
        <f>AG979*$AF$1</f>
        <v>3.6477799072397399E+24</v>
      </c>
      <c r="AI979" s="5">
        <f>SUM($AF$9:AF978)</f>
        <v>7.1678311668521286E+24</v>
      </c>
      <c r="AK979" s="5">
        <f t="shared" si="124"/>
        <v>971</v>
      </c>
      <c r="AL979" s="5">
        <f t="shared" si="125"/>
        <v>139</v>
      </c>
      <c r="AM979" s="5">
        <f t="shared" si="126"/>
        <v>4.7131870131357502E+27</v>
      </c>
      <c r="AN979" s="5">
        <f>$AL$4*$AL$3^AL979*$AL$2</f>
        <v>4.713187013135754E+27</v>
      </c>
      <c r="AO979" s="5">
        <f>IF(AL979=AL980,1,LOOKUP(MOD(AL979,$AL$1),$AN$1:$AN$5,$AO$1:$AO$5))</f>
        <v>1</v>
      </c>
      <c r="AP979" s="5">
        <f t="shared" si="127"/>
        <v>2.59382391956237E+27</v>
      </c>
      <c r="AQ979" s="5">
        <f>AM979*$AR$3</f>
        <v>6.2842493508476664E+26</v>
      </c>
      <c r="AR979" s="5">
        <f>AM979*AL979*$AR$4</f>
        <v>1.9653989844776079E+27</v>
      </c>
      <c r="AS979" s="5">
        <f>SUM($AP$9:AP978)</f>
        <v>6.5795966072732564E+28</v>
      </c>
    </row>
    <row r="980" spans="1:45" x14ac:dyDescent="0.15">
      <c r="A980" s="5">
        <v>972</v>
      </c>
      <c r="J980" s="5">
        <f t="shared" si="120"/>
        <v>972</v>
      </c>
      <c r="K980" s="5">
        <f>SUM($AP$9:AP979)</f>
        <v>6.8389789992294933E+28</v>
      </c>
      <c r="L980" s="5">
        <f>LOOKUP(K980,AI:AI,AE:AE)</f>
        <v>0</v>
      </c>
      <c r="M980" s="5" t="e">
        <f>LOOKUP(L980,AE:AE,AG:AG)</f>
        <v>#N/A</v>
      </c>
      <c r="N980" s="5" t="e">
        <f>AM980/M980/$K$1</f>
        <v>#N/A</v>
      </c>
      <c r="O980" s="5" t="e">
        <f>SUM($N$9:N980)</f>
        <v>#DIV/0!</v>
      </c>
      <c r="AE980" s="5">
        <f t="shared" si="121"/>
        <v>972</v>
      </c>
      <c r="AF980" s="5">
        <f t="shared" si="122"/>
        <v>3.84989170848536E+23</v>
      </c>
      <c r="AG980" s="5">
        <f t="shared" si="123"/>
        <v>3.83411346377845E+23</v>
      </c>
      <c r="AH980" s="5">
        <f>AG980*$AF$1</f>
        <v>3.8341134637784497E+24</v>
      </c>
      <c r="AI980" s="5">
        <f>SUM($AF$9:AF979)</f>
        <v>7.5341118475481891E+24</v>
      </c>
      <c r="AK980" s="5">
        <f t="shared" si="124"/>
        <v>972</v>
      </c>
      <c r="AL980" s="5">
        <f t="shared" si="125"/>
        <v>139</v>
      </c>
      <c r="AM980" s="5">
        <f t="shared" si="126"/>
        <v>4.7131870131357502E+27</v>
      </c>
      <c r="AN980" s="5">
        <f>$AL$4*$AL$3^AL980*$AL$2</f>
        <v>4.713187013135754E+27</v>
      </c>
      <c r="AO980" s="5">
        <f>IF(AL980=AL981,1,LOOKUP(MOD(AL980,$AL$1),$AN$1:$AN$5,$AO$1:$AO$5))</f>
        <v>1</v>
      </c>
      <c r="AP980" s="5">
        <f t="shared" si="127"/>
        <v>2.59382391956237E+27</v>
      </c>
      <c r="AQ980" s="5">
        <f>AM980*$AR$3</f>
        <v>6.2842493508476664E+26</v>
      </c>
      <c r="AR980" s="5">
        <f>AM980*AL980*$AR$4</f>
        <v>1.9653989844776079E+27</v>
      </c>
      <c r="AS980" s="5">
        <f>SUM($AP$9:AP979)</f>
        <v>6.8389789992294933E+28</v>
      </c>
    </row>
    <row r="981" spans="1:45" x14ac:dyDescent="0.15">
      <c r="A981" s="5">
        <v>973</v>
      </c>
      <c r="J981" s="5">
        <f t="shared" si="120"/>
        <v>973</v>
      </c>
      <c r="K981" s="5">
        <f>SUM($AP$9:AP980)</f>
        <v>7.0983613911857301E+28</v>
      </c>
      <c r="L981" s="5">
        <f>LOOKUP(K981,AI:AI,AE:AE)</f>
        <v>0</v>
      </c>
      <c r="M981" s="5" t="e">
        <f>LOOKUP(L981,AE:AE,AG:AG)</f>
        <v>#N/A</v>
      </c>
      <c r="N981" s="5" t="e">
        <f>AM981/M981/$K$1</f>
        <v>#N/A</v>
      </c>
      <c r="O981" s="5" t="e">
        <f>SUM($N$9:N981)</f>
        <v>#DIV/0!</v>
      </c>
      <c r="AE981" s="5">
        <f t="shared" si="121"/>
        <v>973</v>
      </c>
      <c r="AF981" s="5">
        <f t="shared" si="122"/>
        <v>4.0465280831451902E+23</v>
      </c>
      <c r="AG981" s="5">
        <f t="shared" si="123"/>
        <v>4.0299609262029401E+23</v>
      </c>
      <c r="AH981" s="5">
        <f>AG981*$AF$1</f>
        <v>4.02996092620294E+24</v>
      </c>
      <c r="AI981" s="5">
        <f>SUM($AF$9:AF980)</f>
        <v>7.9191010183967252E+24</v>
      </c>
      <c r="AK981" s="5">
        <f t="shared" si="124"/>
        <v>973</v>
      </c>
      <c r="AL981" s="5">
        <f t="shared" si="125"/>
        <v>139</v>
      </c>
      <c r="AM981" s="5">
        <f t="shared" si="126"/>
        <v>3.2992309091950301E+28</v>
      </c>
      <c r="AN981" s="5">
        <f>$AL$4*$AL$3^AL981*$AL$2</f>
        <v>4.713187013135754E+27</v>
      </c>
      <c r="AO981" s="5">
        <f>IF(AL981=AL982,1,LOOKUP(MOD(AL981,$AL$1),$AN$1:$AN$5,$AO$1:$AO$5))</f>
        <v>7</v>
      </c>
      <c r="AP981" s="5">
        <f t="shared" si="127"/>
        <v>1.8156767436936699E+28</v>
      </c>
      <c r="AQ981" s="5">
        <f>AM981*$AR$3</f>
        <v>4.3989745455933732E+27</v>
      </c>
      <c r="AR981" s="5">
        <f>AM981*AL981*$AR$4</f>
        <v>1.3757792891343277E+28</v>
      </c>
      <c r="AS981" s="5">
        <f>SUM($AP$9:AP980)</f>
        <v>7.0983613911857301E+28</v>
      </c>
    </row>
    <row r="982" spans="1:45" x14ac:dyDescent="0.15">
      <c r="A982" s="5">
        <v>974</v>
      </c>
      <c r="J982" s="5">
        <f t="shared" si="120"/>
        <v>974</v>
      </c>
      <c r="K982" s="5">
        <f>SUM($AP$9:AP981)</f>
        <v>8.9140381348794003E+28</v>
      </c>
      <c r="L982" s="5">
        <f>LOOKUP(K982,AI:AI,AE:AE)</f>
        <v>0</v>
      </c>
      <c r="M982" s="5" t="e">
        <f>LOOKUP(L982,AE:AE,AG:AG)</f>
        <v>#N/A</v>
      </c>
      <c r="N982" s="5" t="e">
        <f>AM982/M982/$K$1</f>
        <v>#N/A</v>
      </c>
      <c r="O982" s="5" t="e">
        <f>SUM($N$9:N982)</f>
        <v>#DIV/0!</v>
      </c>
      <c r="AE982" s="5">
        <f t="shared" si="121"/>
        <v>974</v>
      </c>
      <c r="AF982" s="5">
        <f t="shared" si="122"/>
        <v>4.2532033659997899E+23</v>
      </c>
      <c r="AG982" s="5">
        <f t="shared" si="123"/>
        <v>4.2358078512104302E+23</v>
      </c>
      <c r="AH982" s="5">
        <f>AG982*$AF$1</f>
        <v>4.2358078512104301E+24</v>
      </c>
      <c r="AI982" s="5">
        <f>SUM($AF$9:AF981)</f>
        <v>8.3237538267112447E+24</v>
      </c>
      <c r="AK982" s="5">
        <f t="shared" si="124"/>
        <v>974</v>
      </c>
      <c r="AL982" s="5">
        <f t="shared" si="125"/>
        <v>140</v>
      </c>
      <c r="AM982" s="5">
        <f t="shared" si="126"/>
        <v>7.3997036106231301E+27</v>
      </c>
      <c r="AN982" s="5">
        <f>$AL$4*$AL$3^AL982*$AL$2</f>
        <v>7.3997036106231334E+27</v>
      </c>
      <c r="AO982" s="5">
        <f>IF(AL982=AL983,1,LOOKUP(MOD(AL982,$AL$1),$AN$1:$AN$5,$AO$1:$AO$5))</f>
        <v>1</v>
      </c>
      <c r="AP982" s="5">
        <f t="shared" si="127"/>
        <v>4.0945026645448001E+27</v>
      </c>
      <c r="AQ982" s="5">
        <f>AM982*$AR$3</f>
        <v>9.8662714808308407E+26</v>
      </c>
      <c r="AR982" s="5">
        <f>AM982*AL982*$AR$4</f>
        <v>3.1078755164617147E+27</v>
      </c>
      <c r="AS982" s="5">
        <f>SUM($AP$9:AP981)</f>
        <v>8.9140381348794003E+28</v>
      </c>
    </row>
    <row r="983" spans="1:45" x14ac:dyDescent="0.15">
      <c r="A983" s="5">
        <v>975</v>
      </c>
      <c r="J983" s="5">
        <f t="shared" si="120"/>
        <v>975</v>
      </c>
      <c r="K983" s="5">
        <f>SUM($AP$9:AP982)</f>
        <v>9.323488401333881E+28</v>
      </c>
      <c r="L983" s="5">
        <f>LOOKUP(K983,AI:AI,AE:AE)</f>
        <v>0</v>
      </c>
      <c r="M983" s="5" t="e">
        <f>LOOKUP(L983,AE:AE,AG:AG)</f>
        <v>#N/A</v>
      </c>
      <c r="N983" s="5" t="e">
        <f>AM983/M983/$K$1</f>
        <v>#N/A</v>
      </c>
      <c r="O983" s="5" t="e">
        <f>SUM($N$9:N983)</f>
        <v>#DIV/0!</v>
      </c>
      <c r="AE983" s="5">
        <f t="shared" si="121"/>
        <v>975</v>
      </c>
      <c r="AF983" s="5">
        <f t="shared" si="122"/>
        <v>4.4704298569319901E+23</v>
      </c>
      <c r="AG983" s="5">
        <f t="shared" si="123"/>
        <v>4.4521645664031597E+23</v>
      </c>
      <c r="AH983" s="5">
        <f>AG983*$AF$1</f>
        <v>4.4521645664031594E+24</v>
      </c>
      <c r="AI983" s="5">
        <f>SUM($AF$9:AF982)</f>
        <v>8.7490741633112233E+24</v>
      </c>
      <c r="AK983" s="5">
        <f t="shared" si="124"/>
        <v>975</v>
      </c>
      <c r="AL983" s="5">
        <f t="shared" si="125"/>
        <v>140</v>
      </c>
      <c r="AM983" s="5">
        <f t="shared" si="126"/>
        <v>7.3997036106231301E+27</v>
      </c>
      <c r="AN983" s="5">
        <f>$AL$4*$AL$3^AL983*$AL$2</f>
        <v>7.3997036106231334E+27</v>
      </c>
      <c r="AO983" s="5">
        <f>IF(AL983=AL984,1,LOOKUP(MOD(AL983,$AL$1),$AN$1:$AN$5,$AO$1:$AO$5))</f>
        <v>1</v>
      </c>
      <c r="AP983" s="5">
        <f t="shared" si="127"/>
        <v>4.0945026645448001E+27</v>
      </c>
      <c r="AQ983" s="5">
        <f>AM983*$AR$3</f>
        <v>9.8662714808308407E+26</v>
      </c>
      <c r="AR983" s="5">
        <f>AM983*AL983*$AR$4</f>
        <v>3.1078755164617147E+27</v>
      </c>
      <c r="AS983" s="5">
        <f>SUM($AP$9:AP982)</f>
        <v>9.323488401333881E+28</v>
      </c>
    </row>
    <row r="984" spans="1:45" x14ac:dyDescent="0.15">
      <c r="A984" s="5">
        <v>976</v>
      </c>
      <c r="J984" s="5">
        <f t="shared" si="120"/>
        <v>976</v>
      </c>
      <c r="K984" s="5">
        <f>SUM($AP$9:AP983)</f>
        <v>9.7329386677883618E+28</v>
      </c>
      <c r="L984" s="5">
        <f>LOOKUP(K984,AI:AI,AE:AE)</f>
        <v>0</v>
      </c>
      <c r="M984" s="5" t="e">
        <f>LOOKUP(L984,AE:AE,AG:AG)</f>
        <v>#N/A</v>
      </c>
      <c r="N984" s="5" t="e">
        <f>AM984/M984/$K$1</f>
        <v>#N/A</v>
      </c>
      <c r="O984" s="5" t="e">
        <f>SUM($N$9:N984)</f>
        <v>#DIV/0!</v>
      </c>
      <c r="AE984" s="5">
        <f t="shared" si="121"/>
        <v>976</v>
      </c>
      <c r="AF984" s="5">
        <f t="shared" si="122"/>
        <v>4.6987459885424097E+23</v>
      </c>
      <c r="AG984" s="5">
        <f t="shared" si="123"/>
        <v>4.6795674334871297E+23</v>
      </c>
      <c r="AH984" s="5">
        <f>AG984*$AF$1</f>
        <v>4.6795674334871295E+24</v>
      </c>
      <c r="AI984" s="5">
        <f>SUM($AF$9:AF983)</f>
        <v>9.1961171490044227E+24</v>
      </c>
      <c r="AK984" s="5">
        <f t="shared" si="124"/>
        <v>976</v>
      </c>
      <c r="AL984" s="5">
        <f t="shared" si="125"/>
        <v>140</v>
      </c>
      <c r="AM984" s="5">
        <f t="shared" si="126"/>
        <v>7.3997036106231301E+27</v>
      </c>
      <c r="AN984" s="5">
        <f>$AL$4*$AL$3^AL984*$AL$2</f>
        <v>7.3997036106231334E+27</v>
      </c>
      <c r="AO984" s="5">
        <f>IF(AL984=AL985,1,LOOKUP(MOD(AL984,$AL$1),$AN$1:$AN$5,$AO$1:$AO$5))</f>
        <v>1</v>
      </c>
      <c r="AP984" s="5">
        <f t="shared" si="127"/>
        <v>4.0945026645448001E+27</v>
      </c>
      <c r="AQ984" s="5">
        <f>AM984*$AR$3</f>
        <v>9.8662714808308407E+26</v>
      </c>
      <c r="AR984" s="5">
        <f>AM984*AL984*$AR$4</f>
        <v>3.1078755164617147E+27</v>
      </c>
      <c r="AS984" s="5">
        <f>SUM($AP$9:AP983)</f>
        <v>9.7329386677883618E+28</v>
      </c>
    </row>
    <row r="985" spans="1:45" x14ac:dyDescent="0.15">
      <c r="A985" s="5">
        <v>977</v>
      </c>
      <c r="J985" s="5">
        <f t="shared" si="120"/>
        <v>977</v>
      </c>
      <c r="K985" s="5">
        <f>SUM($AP$9:AP984)</f>
        <v>1.0142388934242843E+29</v>
      </c>
      <c r="L985" s="5">
        <f>LOOKUP(K985,AI:AI,AE:AE)</f>
        <v>0</v>
      </c>
      <c r="M985" s="5" t="e">
        <f>LOOKUP(L985,AE:AE,AG:AG)</f>
        <v>#N/A</v>
      </c>
      <c r="N985" s="5" t="e">
        <f>AM985/M985/$K$1</f>
        <v>#N/A</v>
      </c>
      <c r="O985" s="5" t="e">
        <f>SUM($N$9:N985)</f>
        <v>#DIV/0!</v>
      </c>
      <c r="AE985" s="5">
        <f t="shared" si="121"/>
        <v>977</v>
      </c>
      <c r="AF985" s="5">
        <f t="shared" si="122"/>
        <v>4.9387176586715402E+23</v>
      </c>
      <c r="AG985" s="5">
        <f t="shared" si="123"/>
        <v>4.9185801758635002E+23</v>
      </c>
      <c r="AH985" s="5">
        <f>AG985*$AF$1</f>
        <v>4.9185801758635001E+24</v>
      </c>
      <c r="AI985" s="5">
        <f>SUM($AF$9:AF984)</f>
        <v>9.6659917478586638E+24</v>
      </c>
      <c r="AK985" s="5">
        <f t="shared" si="124"/>
        <v>977</v>
      </c>
      <c r="AL985" s="5">
        <f t="shared" si="125"/>
        <v>140</v>
      </c>
      <c r="AM985" s="5">
        <f t="shared" si="126"/>
        <v>7.3997036106231301E+27</v>
      </c>
      <c r="AN985" s="5">
        <f>$AL$4*$AL$3^AL985*$AL$2</f>
        <v>7.3997036106231334E+27</v>
      </c>
      <c r="AO985" s="5">
        <f>IF(AL985=AL986,1,LOOKUP(MOD(AL985,$AL$1),$AN$1:$AN$5,$AO$1:$AO$5))</f>
        <v>1</v>
      </c>
      <c r="AP985" s="5">
        <f t="shared" si="127"/>
        <v>4.0945026645448001E+27</v>
      </c>
      <c r="AQ985" s="5">
        <f>AM985*$AR$3</f>
        <v>9.8662714808308407E+26</v>
      </c>
      <c r="AR985" s="5">
        <f>AM985*AL985*$AR$4</f>
        <v>3.1078755164617147E+27</v>
      </c>
      <c r="AS985" s="5">
        <f>SUM($AP$9:AP984)</f>
        <v>1.0142388934242843E+29</v>
      </c>
    </row>
    <row r="986" spans="1:45" x14ac:dyDescent="0.15">
      <c r="A986" s="5">
        <v>978</v>
      </c>
      <c r="J986" s="5">
        <f t="shared" si="120"/>
        <v>978</v>
      </c>
      <c r="K986" s="5">
        <f>SUM($AP$9:AP985)</f>
        <v>1.0551839200697323E+29</v>
      </c>
      <c r="L986" s="5">
        <f>LOOKUP(K986,AI:AI,AE:AE)</f>
        <v>0</v>
      </c>
      <c r="M986" s="5" t="e">
        <f>LOOKUP(L986,AE:AE,AG:AG)</f>
        <v>#N/A</v>
      </c>
      <c r="N986" s="5" t="e">
        <f>AM986/M986/$K$1</f>
        <v>#N/A</v>
      </c>
      <c r="O986" s="5" t="e">
        <f>SUM($N$9:N986)</f>
        <v>#DIV/0!</v>
      </c>
      <c r="AE986" s="5">
        <f t="shared" si="121"/>
        <v>978</v>
      </c>
      <c r="AF986" s="5">
        <f t="shared" si="122"/>
        <v>5.1909396308422303E+23</v>
      </c>
      <c r="AG986" s="5">
        <f t="shared" si="123"/>
        <v>5.1697952738937901E+23</v>
      </c>
      <c r="AH986" s="5">
        <f>AG986*$AF$1</f>
        <v>5.1697952738937906E+24</v>
      </c>
      <c r="AI986" s="5">
        <f>SUM($AF$9:AF985)</f>
        <v>1.0159863513725817E+25</v>
      </c>
      <c r="AK986" s="5">
        <f t="shared" si="124"/>
        <v>978</v>
      </c>
      <c r="AL986" s="5">
        <f t="shared" si="125"/>
        <v>140</v>
      </c>
      <c r="AM986" s="5">
        <f t="shared" si="126"/>
        <v>7.3997036106231301E+27</v>
      </c>
      <c r="AN986" s="5">
        <f>$AL$4*$AL$3^AL986*$AL$2</f>
        <v>7.3997036106231334E+27</v>
      </c>
      <c r="AO986" s="5">
        <f>IF(AL986=AL987,1,LOOKUP(MOD(AL986,$AL$1),$AN$1:$AN$5,$AO$1:$AO$5))</f>
        <v>1</v>
      </c>
      <c r="AP986" s="5">
        <f t="shared" si="127"/>
        <v>4.0945026645448001E+27</v>
      </c>
      <c r="AQ986" s="5">
        <f>AM986*$AR$3</f>
        <v>9.8662714808308407E+26</v>
      </c>
      <c r="AR986" s="5">
        <f>AM986*AL986*$AR$4</f>
        <v>3.1078755164617147E+27</v>
      </c>
      <c r="AS986" s="5">
        <f>SUM($AP$9:AP985)</f>
        <v>1.0551839200697323E+29</v>
      </c>
    </row>
    <row r="987" spans="1:45" x14ac:dyDescent="0.15">
      <c r="A987" s="5">
        <v>979</v>
      </c>
      <c r="J987" s="5">
        <f t="shared" si="120"/>
        <v>979</v>
      </c>
      <c r="K987" s="5">
        <f>SUM($AP$9:AP986)</f>
        <v>1.0961289467151804E+29</v>
      </c>
      <c r="L987" s="5">
        <f>LOOKUP(K987,AI:AI,AE:AE)</f>
        <v>0</v>
      </c>
      <c r="M987" s="5" t="e">
        <f>LOOKUP(L987,AE:AE,AG:AG)</f>
        <v>#N/A</v>
      </c>
      <c r="N987" s="5" t="e">
        <f>AM987/M987/$K$1</f>
        <v>#N/A</v>
      </c>
      <c r="O987" s="5" t="e">
        <f>SUM($N$9:N987)</f>
        <v>#DIV/0!</v>
      </c>
      <c r="AE987" s="5">
        <f t="shared" si="121"/>
        <v>979</v>
      </c>
      <c r="AF987" s="5">
        <f t="shared" si="122"/>
        <v>5.4560370060833001E+23</v>
      </c>
      <c r="AG987" s="5">
        <f t="shared" si="123"/>
        <v>5.4338354312874398E+23</v>
      </c>
      <c r="AH987" s="5">
        <f>AG987*$AF$1</f>
        <v>5.4338354312874403E+24</v>
      </c>
      <c r="AI987" s="5">
        <f>SUM($AF$9:AF986)</f>
        <v>1.0678957476810039E+25</v>
      </c>
      <c r="AK987" s="5">
        <f t="shared" si="124"/>
        <v>979</v>
      </c>
      <c r="AL987" s="5">
        <f t="shared" si="125"/>
        <v>140</v>
      </c>
      <c r="AM987" s="5">
        <f t="shared" si="126"/>
        <v>7.3997036106231301E+27</v>
      </c>
      <c r="AN987" s="5">
        <f>$AL$4*$AL$3^AL987*$AL$2</f>
        <v>7.3997036106231334E+27</v>
      </c>
      <c r="AO987" s="5">
        <f>IF(AL987=AL988,1,LOOKUP(MOD(AL987,$AL$1),$AN$1:$AN$5,$AO$1:$AO$5))</f>
        <v>1</v>
      </c>
      <c r="AP987" s="5">
        <f t="shared" si="127"/>
        <v>4.0945026645448001E+27</v>
      </c>
      <c r="AQ987" s="5">
        <f>AM987*$AR$3</f>
        <v>9.8662714808308407E+26</v>
      </c>
      <c r="AR987" s="5">
        <f>AM987*AL987*$AR$4</f>
        <v>3.1078755164617147E+27</v>
      </c>
      <c r="AS987" s="5">
        <f>SUM($AP$9:AP986)</f>
        <v>1.0961289467151804E+29</v>
      </c>
    </row>
    <row r="988" spans="1:45" x14ac:dyDescent="0.15">
      <c r="A988" s="5">
        <v>980</v>
      </c>
      <c r="J988" s="5">
        <f t="shared" si="120"/>
        <v>980</v>
      </c>
      <c r="K988" s="5">
        <f>SUM($AP$9:AP987)</f>
        <v>1.1370739733606285E+29</v>
      </c>
      <c r="L988" s="5">
        <f>LOOKUP(K988,AI:AI,AE:AE)</f>
        <v>0</v>
      </c>
      <c r="M988" s="5" t="e">
        <f>LOOKUP(L988,AE:AE,AG:AG)</f>
        <v>#N/A</v>
      </c>
      <c r="N988" s="5" t="e">
        <f>AM988/M988/$K$1</f>
        <v>#N/A</v>
      </c>
      <c r="O988" s="5" t="e">
        <f>SUM($N$9:N988)</f>
        <v>#DIV/0!</v>
      </c>
      <c r="AE988" s="5">
        <f t="shared" si="121"/>
        <v>980</v>
      </c>
      <c r="AF988" s="5">
        <f t="shared" si="122"/>
        <v>5.73466676977138E+23</v>
      </c>
      <c r="AG988" s="5">
        <f t="shared" si="123"/>
        <v>5.71135511623573E+23</v>
      </c>
      <c r="AH988" s="5">
        <f>AG988*$AF$1</f>
        <v>5.7113551162357304E+24</v>
      </c>
      <c r="AI988" s="5">
        <f>SUM($AF$9:AF987)</f>
        <v>1.1224561177418369E+25</v>
      </c>
      <c r="AK988" s="5">
        <f t="shared" si="124"/>
        <v>980</v>
      </c>
      <c r="AL988" s="5">
        <f t="shared" si="125"/>
        <v>140</v>
      </c>
      <c r="AM988" s="5">
        <f t="shared" si="126"/>
        <v>7.3997036106231301E+28</v>
      </c>
      <c r="AN988" s="5">
        <f>$AL$4*$AL$3^AL988*$AL$2</f>
        <v>7.3997036106231334E+27</v>
      </c>
      <c r="AO988" s="5">
        <f>IF(AL988=AL989,1,LOOKUP(MOD(AL988,$AL$1),$AN$1:$AN$5,$AO$1:$AO$5))</f>
        <v>10</v>
      </c>
      <c r="AP988" s="5">
        <f t="shared" si="127"/>
        <v>4.0945026645447999E+28</v>
      </c>
      <c r="AQ988" s="5">
        <f>AM988*$AR$3</f>
        <v>9.8662714808308401E+27</v>
      </c>
      <c r="AR988" s="5">
        <f>AM988*AL988*$AR$4</f>
        <v>3.107875516461715E+28</v>
      </c>
      <c r="AS988" s="5">
        <f>SUM($AP$9:AP987)</f>
        <v>1.1370739733606285E+29</v>
      </c>
    </row>
    <row r="989" spans="1:45" x14ac:dyDescent="0.15">
      <c r="A989" s="5">
        <v>981</v>
      </c>
      <c r="J989" s="5">
        <f t="shared" si="120"/>
        <v>981</v>
      </c>
      <c r="K989" s="5">
        <f>SUM($AP$9:AP988)</f>
        <v>1.5465242398151086E+29</v>
      </c>
      <c r="L989" s="5">
        <f>LOOKUP(K989,AI:AI,AE:AE)</f>
        <v>0</v>
      </c>
      <c r="M989" s="5" t="e">
        <f>LOOKUP(L989,AE:AE,AG:AG)</f>
        <v>#N/A</v>
      </c>
      <c r="N989" s="5" t="e">
        <f>AM989/M989/$K$1</f>
        <v>#N/A</v>
      </c>
      <c r="O989" s="5" t="e">
        <f>SUM($N$9:N989)</f>
        <v>#DIV/0!</v>
      </c>
      <c r="AE989" s="5">
        <f t="shared" si="121"/>
        <v>981</v>
      </c>
      <c r="AF989" s="5">
        <f t="shared" si="122"/>
        <v>6.0275194173130602E+23</v>
      </c>
      <c r="AG989" s="5">
        <f t="shared" si="123"/>
        <v>6.0030421811006198E+23</v>
      </c>
      <c r="AH989" s="5">
        <f>AG989*$AF$1</f>
        <v>6.0030421811006199E+24</v>
      </c>
      <c r="AI989" s="5">
        <f>SUM($AF$9:AF988)</f>
        <v>1.1798027854395508E+25</v>
      </c>
      <c r="AK989" s="5">
        <f t="shared" si="124"/>
        <v>981</v>
      </c>
      <c r="AL989" s="5">
        <f t="shared" si="125"/>
        <v>141</v>
      </c>
      <c r="AM989" s="5">
        <f t="shared" si="126"/>
        <v>1.1617534668678301E+28</v>
      </c>
      <c r="AN989" s="5">
        <f>$AL$4*$AL$3^AL989*$AL$2</f>
        <v>1.1617534668678321E+28</v>
      </c>
      <c r="AO989" s="5">
        <f>IF(AL989=AL990,1,LOOKUP(MOD(AL989,$AL$1),$AN$1:$AN$5,$AO$1:$AO$5))</f>
        <v>1</v>
      </c>
      <c r="AP989" s="5">
        <f t="shared" si="127"/>
        <v>6.4632217873413595E+27</v>
      </c>
      <c r="AQ989" s="5">
        <f>AM989*$AR$3</f>
        <v>1.54900462249044E+27</v>
      </c>
      <c r="AR989" s="5">
        <f>AM989*AL989*$AR$4</f>
        <v>4.9142171648509217E+27</v>
      </c>
      <c r="AS989" s="5">
        <f>SUM($AP$9:AP988)</f>
        <v>1.5465242398151086E+29</v>
      </c>
    </row>
    <row r="990" spans="1:45" x14ac:dyDescent="0.15">
      <c r="A990" s="5">
        <v>982</v>
      </c>
      <c r="J990" s="5">
        <f t="shared" si="120"/>
        <v>982</v>
      </c>
      <c r="K990" s="5">
        <f>SUM($AP$9:AP989)</f>
        <v>1.6111564576885223E+29</v>
      </c>
      <c r="L990" s="5">
        <f>LOOKUP(K990,AI:AI,AE:AE)</f>
        <v>0</v>
      </c>
      <c r="M990" s="5" t="e">
        <f>LOOKUP(L990,AE:AE,AG:AG)</f>
        <v>#N/A</v>
      </c>
      <c r="N990" s="5" t="e">
        <f>AM990/M990/$K$1</f>
        <v>#N/A</v>
      </c>
      <c r="O990" s="5" t="e">
        <f>SUM($N$9:N990)</f>
        <v>#DIV/0!</v>
      </c>
      <c r="AE990" s="5">
        <f t="shared" si="121"/>
        <v>982</v>
      </c>
      <c r="AF990" s="5">
        <f t="shared" si="122"/>
        <v>6.3353206626844806E+23</v>
      </c>
      <c r="AG990" s="5">
        <f t="shared" si="123"/>
        <v>6.3096195646614204E+23</v>
      </c>
      <c r="AH990" s="5">
        <f>AG990*$AF$1</f>
        <v>6.3096195646614206E+24</v>
      </c>
      <c r="AI990" s="5">
        <f>SUM($AF$9:AF989)</f>
        <v>1.2400779796126813E+25</v>
      </c>
      <c r="AK990" s="5">
        <f t="shared" si="124"/>
        <v>982</v>
      </c>
      <c r="AL990" s="5">
        <f t="shared" si="125"/>
        <v>141</v>
      </c>
      <c r="AM990" s="5">
        <f t="shared" si="126"/>
        <v>1.1617534668678301E+28</v>
      </c>
      <c r="AN990" s="5">
        <f>$AL$4*$AL$3^AL990*$AL$2</f>
        <v>1.1617534668678321E+28</v>
      </c>
      <c r="AO990" s="5">
        <f>IF(AL990=AL991,1,LOOKUP(MOD(AL990,$AL$1),$AN$1:$AN$5,$AO$1:$AO$5))</f>
        <v>1</v>
      </c>
      <c r="AP990" s="5">
        <f t="shared" si="127"/>
        <v>6.4632217873413595E+27</v>
      </c>
      <c r="AQ990" s="5">
        <f>AM990*$AR$3</f>
        <v>1.54900462249044E+27</v>
      </c>
      <c r="AR990" s="5">
        <f>AM990*AL990*$AR$4</f>
        <v>4.9142171648509217E+27</v>
      </c>
      <c r="AS990" s="5">
        <f>SUM($AP$9:AP989)</f>
        <v>1.6111564576885223E+29</v>
      </c>
    </row>
    <row r="991" spans="1:45" x14ac:dyDescent="0.15">
      <c r="A991" s="5">
        <v>983</v>
      </c>
      <c r="J991" s="5">
        <f t="shared" si="120"/>
        <v>983</v>
      </c>
      <c r="K991" s="5">
        <f>SUM($AP$9:AP990)</f>
        <v>1.6757886755619361E+29</v>
      </c>
      <c r="L991" s="5">
        <f>LOOKUP(K991,AI:AI,AE:AE)</f>
        <v>0</v>
      </c>
      <c r="M991" s="5" t="e">
        <f>LOOKUP(L991,AE:AE,AG:AG)</f>
        <v>#N/A</v>
      </c>
      <c r="N991" s="5" t="e">
        <f>AM991/M991/$K$1</f>
        <v>#N/A</v>
      </c>
      <c r="O991" s="5" t="e">
        <f>SUM($N$9:N991)</f>
        <v>#DIV/0!</v>
      </c>
      <c r="AE991" s="5">
        <f t="shared" si="121"/>
        <v>983</v>
      </c>
      <c r="AF991" s="5">
        <f t="shared" si="122"/>
        <v>6.6588332340497606E+23</v>
      </c>
      <c r="AG991" s="5">
        <f t="shared" si="123"/>
        <v>6.6318470811255396E+23</v>
      </c>
      <c r="AH991" s="5">
        <f>AG991*$AF$1</f>
        <v>6.6318470811255399E+24</v>
      </c>
      <c r="AI991" s="5">
        <f>SUM($AF$9:AF990)</f>
        <v>1.3034311862395262E+25</v>
      </c>
      <c r="AK991" s="5">
        <f t="shared" si="124"/>
        <v>983</v>
      </c>
      <c r="AL991" s="5">
        <f t="shared" si="125"/>
        <v>141</v>
      </c>
      <c r="AM991" s="5">
        <f t="shared" si="126"/>
        <v>1.1617534668678301E+28</v>
      </c>
      <c r="AN991" s="5">
        <f>$AL$4*$AL$3^AL991*$AL$2</f>
        <v>1.1617534668678321E+28</v>
      </c>
      <c r="AO991" s="5">
        <f>IF(AL991=AL992,1,LOOKUP(MOD(AL991,$AL$1),$AN$1:$AN$5,$AO$1:$AO$5))</f>
        <v>1</v>
      </c>
      <c r="AP991" s="5">
        <f t="shared" si="127"/>
        <v>6.4632217873413595E+27</v>
      </c>
      <c r="AQ991" s="5">
        <f>AM991*$AR$3</f>
        <v>1.54900462249044E+27</v>
      </c>
      <c r="AR991" s="5">
        <f>AM991*AL991*$AR$4</f>
        <v>4.9142171648509217E+27</v>
      </c>
      <c r="AS991" s="5">
        <f>SUM($AP$9:AP990)</f>
        <v>1.6757886755619361E+29</v>
      </c>
    </row>
    <row r="992" spans="1:45" x14ac:dyDescent="0.15">
      <c r="A992" s="5">
        <v>984</v>
      </c>
      <c r="J992" s="5">
        <f t="shared" si="120"/>
        <v>984</v>
      </c>
      <c r="K992" s="5">
        <f>SUM($AP$9:AP991)</f>
        <v>1.7404208934353498E+29</v>
      </c>
      <c r="L992" s="5">
        <f>LOOKUP(K992,AI:AI,AE:AE)</f>
        <v>0</v>
      </c>
      <c r="M992" s="5" t="e">
        <f>LOOKUP(L992,AE:AE,AG:AG)</f>
        <v>#N/A</v>
      </c>
      <c r="N992" s="5" t="e">
        <f>AM992/M992/$K$1</f>
        <v>#N/A</v>
      </c>
      <c r="O992" s="5" t="e">
        <f>SUM($N$9:N992)</f>
        <v>#DIV/0!</v>
      </c>
      <c r="AE992" s="5">
        <f t="shared" si="121"/>
        <v>984</v>
      </c>
      <c r="AF992" s="5">
        <f t="shared" si="122"/>
        <v>6.9988587608948506E+23</v>
      </c>
      <c r="AG992" s="5">
        <f t="shared" si="123"/>
        <v>6.9705233003244294E+23</v>
      </c>
      <c r="AH992" s="5">
        <f>AG992*$AF$1</f>
        <v>6.9705233003244294E+24</v>
      </c>
      <c r="AI992" s="5">
        <f>SUM($AF$9:AF991)</f>
        <v>1.3700195185800238E+25</v>
      </c>
      <c r="AK992" s="5">
        <f t="shared" si="124"/>
        <v>984</v>
      </c>
      <c r="AL992" s="5">
        <f t="shared" si="125"/>
        <v>141</v>
      </c>
      <c r="AM992" s="5">
        <f t="shared" si="126"/>
        <v>1.1617534668678301E+28</v>
      </c>
      <c r="AN992" s="5">
        <f>$AL$4*$AL$3^AL992*$AL$2</f>
        <v>1.1617534668678321E+28</v>
      </c>
      <c r="AO992" s="5">
        <f>IF(AL992=AL993,1,LOOKUP(MOD(AL992,$AL$1),$AN$1:$AN$5,$AO$1:$AO$5))</f>
        <v>1</v>
      </c>
      <c r="AP992" s="5">
        <f t="shared" si="127"/>
        <v>6.4632217873413595E+27</v>
      </c>
      <c r="AQ992" s="5">
        <f>AM992*$AR$3</f>
        <v>1.54900462249044E+27</v>
      </c>
      <c r="AR992" s="5">
        <f>AM992*AL992*$AR$4</f>
        <v>4.9142171648509217E+27</v>
      </c>
      <c r="AS992" s="5">
        <f>SUM($AP$9:AP991)</f>
        <v>1.7404208934353498E+29</v>
      </c>
    </row>
    <row r="993" spans="1:45" x14ac:dyDescent="0.15">
      <c r="A993" s="5">
        <v>985</v>
      </c>
      <c r="J993" s="5">
        <f t="shared" si="120"/>
        <v>985</v>
      </c>
      <c r="K993" s="5">
        <f>SUM($AP$9:AP992)</f>
        <v>1.8050531113087636E+29</v>
      </c>
      <c r="L993" s="5">
        <f>LOOKUP(K993,AI:AI,AE:AE)</f>
        <v>0</v>
      </c>
      <c r="M993" s="5" t="e">
        <f>LOOKUP(L993,AE:AE,AG:AG)</f>
        <v>#N/A</v>
      </c>
      <c r="N993" s="5" t="e">
        <f>AM993/M993/$K$1</f>
        <v>#N/A</v>
      </c>
      <c r="O993" s="5" t="e">
        <f>SUM($N$9:N993)</f>
        <v>#DIV/0!</v>
      </c>
      <c r="AE993" s="5">
        <f t="shared" si="121"/>
        <v>985</v>
      </c>
      <c r="AF993" s="5">
        <f t="shared" si="122"/>
        <v>7.3562397573393297E+23</v>
      </c>
      <c r="AG993" s="5">
        <f t="shared" si="123"/>
        <v>7.32648752374038E+23</v>
      </c>
      <c r="AH993" s="5">
        <f>AG993*$AF$1</f>
        <v>7.3264875237403795E+24</v>
      </c>
      <c r="AI993" s="5">
        <f>SUM($AF$9:AF992)</f>
        <v>1.4400081061889724E+25</v>
      </c>
      <c r="AK993" s="5">
        <f t="shared" si="124"/>
        <v>985</v>
      </c>
      <c r="AL993" s="5">
        <f t="shared" si="125"/>
        <v>141</v>
      </c>
      <c r="AM993" s="5">
        <f t="shared" si="126"/>
        <v>1.1617534668678301E+28</v>
      </c>
      <c r="AN993" s="5">
        <f>$AL$4*$AL$3^AL993*$AL$2</f>
        <v>1.1617534668678321E+28</v>
      </c>
      <c r="AO993" s="5">
        <f>IF(AL993=AL994,1,LOOKUP(MOD(AL993,$AL$1),$AN$1:$AN$5,$AO$1:$AO$5))</f>
        <v>1</v>
      </c>
      <c r="AP993" s="5">
        <f t="shared" si="127"/>
        <v>6.4632217873413595E+27</v>
      </c>
      <c r="AQ993" s="5">
        <f>AM993*$AR$3</f>
        <v>1.54900462249044E+27</v>
      </c>
      <c r="AR993" s="5">
        <f>AM993*AL993*$AR$4</f>
        <v>4.9142171648509217E+27</v>
      </c>
      <c r="AS993" s="5">
        <f>SUM($AP$9:AP992)</f>
        <v>1.8050531113087636E+29</v>
      </c>
    </row>
    <row r="994" spans="1:45" x14ac:dyDescent="0.15">
      <c r="A994" s="5">
        <v>986</v>
      </c>
      <c r="J994" s="5">
        <f t="shared" si="120"/>
        <v>986</v>
      </c>
      <c r="K994" s="5">
        <f>SUM($AP$9:AP993)</f>
        <v>1.8696853291821773E+29</v>
      </c>
      <c r="L994" s="5">
        <f>LOOKUP(K994,AI:AI,AE:AE)</f>
        <v>0</v>
      </c>
      <c r="M994" s="5" t="e">
        <f>LOOKUP(L994,AE:AE,AG:AG)</f>
        <v>#N/A</v>
      </c>
      <c r="N994" s="5" t="e">
        <f>AM994/M994/$K$1</f>
        <v>#N/A</v>
      </c>
      <c r="O994" s="5" t="e">
        <f>SUM($N$9:N994)</f>
        <v>#DIV/0!</v>
      </c>
      <c r="AE994" s="5">
        <f t="shared" si="121"/>
        <v>986</v>
      </c>
      <c r="AF994" s="5">
        <f t="shared" si="122"/>
        <v>7.7318617065260197E+23</v>
      </c>
      <c r="AG994" s="5">
        <f t="shared" si="123"/>
        <v>7.7006218612471297E+23</v>
      </c>
      <c r="AH994" s="5">
        <f>AG994*$AF$1</f>
        <v>7.7006218612471297E+24</v>
      </c>
      <c r="AI994" s="5">
        <f>SUM($AF$9:AF993)</f>
        <v>1.5135705037623657E+25</v>
      </c>
      <c r="AK994" s="5">
        <f t="shared" si="124"/>
        <v>986</v>
      </c>
      <c r="AL994" s="5">
        <f t="shared" si="125"/>
        <v>141</v>
      </c>
      <c r="AM994" s="5">
        <f t="shared" si="126"/>
        <v>1.1617534668678301E+28</v>
      </c>
      <c r="AN994" s="5">
        <f>$AL$4*$AL$3^AL994*$AL$2</f>
        <v>1.1617534668678321E+28</v>
      </c>
      <c r="AO994" s="5">
        <f>IF(AL994=AL995,1,LOOKUP(MOD(AL994,$AL$1),$AN$1:$AN$5,$AO$1:$AO$5))</f>
        <v>1</v>
      </c>
      <c r="AP994" s="5">
        <f t="shared" si="127"/>
        <v>6.4632217873413595E+27</v>
      </c>
      <c r="AQ994" s="5">
        <f>AM994*$AR$3</f>
        <v>1.54900462249044E+27</v>
      </c>
      <c r="AR994" s="5">
        <f>AM994*AL994*$AR$4</f>
        <v>4.9142171648509217E+27</v>
      </c>
      <c r="AS994" s="5">
        <f>SUM($AP$9:AP993)</f>
        <v>1.8696853291821773E+29</v>
      </c>
    </row>
    <row r="995" spans="1:45" x14ac:dyDescent="0.15">
      <c r="A995" s="5">
        <v>987</v>
      </c>
      <c r="J995" s="5">
        <f t="shared" si="120"/>
        <v>987</v>
      </c>
      <c r="K995" s="5">
        <f>SUM($AP$9:AP994)</f>
        <v>1.9343175470555911E+29</v>
      </c>
      <c r="L995" s="5">
        <f>LOOKUP(K995,AI:AI,AE:AE)</f>
        <v>0</v>
      </c>
      <c r="M995" s="5" t="e">
        <f>LOOKUP(L995,AE:AE,AG:AG)</f>
        <v>#N/A</v>
      </c>
      <c r="N995" s="5" t="e">
        <f>AM995/M995/$K$1</f>
        <v>#N/A</v>
      </c>
      <c r="O995" s="5" t="e">
        <f>SUM($N$9:N995)</f>
        <v>#DIV/0!</v>
      </c>
      <c r="AE995" s="5">
        <f t="shared" si="121"/>
        <v>987</v>
      </c>
      <c r="AF995" s="5">
        <f t="shared" si="122"/>
        <v>8.1266552512380295E+23</v>
      </c>
      <c r="AG995" s="5">
        <f t="shared" si="123"/>
        <v>8.0938534136952004E+23</v>
      </c>
      <c r="AH995" s="5">
        <f>AG995*$AF$1</f>
        <v>8.0938534136952006E+24</v>
      </c>
      <c r="AI995" s="5">
        <f>SUM($AF$9:AF994)</f>
        <v>1.5908891208276259E+25</v>
      </c>
      <c r="AK995" s="5">
        <f t="shared" si="124"/>
        <v>987</v>
      </c>
      <c r="AL995" s="5">
        <f t="shared" si="125"/>
        <v>141</v>
      </c>
      <c r="AM995" s="5">
        <f t="shared" si="126"/>
        <v>2.3235069337356602E+28</v>
      </c>
      <c r="AN995" s="5">
        <f>$AL$4*$AL$3^AL995*$AL$2</f>
        <v>1.1617534668678321E+28</v>
      </c>
      <c r="AO995" s="5">
        <f>IF(AL995=AL996,1,LOOKUP(MOD(AL995,$AL$1),$AN$1:$AN$5,$AO$1:$AO$5))</f>
        <v>2</v>
      </c>
      <c r="AP995" s="5">
        <f t="shared" si="127"/>
        <v>1.2926443574682699E+28</v>
      </c>
      <c r="AQ995" s="5">
        <f>AM995*$AR$3</f>
        <v>3.09800924498088E+27</v>
      </c>
      <c r="AR995" s="5">
        <f>AM995*AL995*$AR$4</f>
        <v>9.8284343297018435E+27</v>
      </c>
      <c r="AS995" s="5">
        <f>SUM($AP$9:AP994)</f>
        <v>1.9343175470555911E+29</v>
      </c>
    </row>
    <row r="996" spans="1:45" x14ac:dyDescent="0.15">
      <c r="A996" s="5">
        <v>988</v>
      </c>
      <c r="J996" s="5">
        <f t="shared" si="120"/>
        <v>988</v>
      </c>
      <c r="K996" s="5">
        <f>SUM($AP$9:AP995)</f>
        <v>2.0635819828024182E+29</v>
      </c>
      <c r="L996" s="5">
        <f>LOOKUP(K996,AI:AI,AE:AE)</f>
        <v>0</v>
      </c>
      <c r="M996" s="5" t="e">
        <f>LOOKUP(L996,AE:AE,AG:AG)</f>
        <v>#N/A</v>
      </c>
      <c r="N996" s="5" t="e">
        <f>AM996/M996/$K$1</f>
        <v>#N/A</v>
      </c>
      <c r="O996" s="5" t="e">
        <f>SUM($N$9:N996)</f>
        <v>#DIV/0!</v>
      </c>
      <c r="AE996" s="5">
        <f t="shared" si="121"/>
        <v>988</v>
      </c>
      <c r="AF996" s="5">
        <f t="shared" si="122"/>
        <v>8.5415984961549299E+23</v>
      </c>
      <c r="AG996" s="5">
        <f t="shared" si="123"/>
        <v>8.5071565667349503E+23</v>
      </c>
      <c r="AH996" s="5">
        <f>AG996*$AF$1</f>
        <v>8.5071565667349505E+24</v>
      </c>
      <c r="AI996" s="5">
        <f>SUM($AF$9:AF995)</f>
        <v>1.6721556733400062E+25</v>
      </c>
      <c r="AK996" s="5">
        <f t="shared" si="124"/>
        <v>988</v>
      </c>
      <c r="AL996" s="5">
        <f t="shared" si="125"/>
        <v>142</v>
      </c>
      <c r="AM996" s="5">
        <f t="shared" si="126"/>
        <v>1.8239529429825E+28</v>
      </c>
      <c r="AN996" s="5">
        <f>$AL$4*$AL$3^AL996*$AL$2</f>
        <v>1.8239529429824967E+28</v>
      </c>
      <c r="AO996" s="5">
        <f>IF(AL996=AL997,1,LOOKUP(MOD(AL996,$AL$1),$AN$1:$AN$5,$AO$1:$AO$5))</f>
        <v>1</v>
      </c>
      <c r="AP996" s="5">
        <f t="shared" si="127"/>
        <v>1.0201976794415399E+28</v>
      </c>
      <c r="AQ996" s="5">
        <f>AM996*$AR$3</f>
        <v>2.43193725731E+27</v>
      </c>
      <c r="AR996" s="5">
        <f>AM996*AL996*$AR$4</f>
        <v>7.7700395371054504E+27</v>
      </c>
      <c r="AS996" s="5">
        <f>SUM($AP$9:AP995)</f>
        <v>2.0635819828024182E+29</v>
      </c>
    </row>
    <row r="997" spans="1:45" x14ac:dyDescent="0.15">
      <c r="A997" s="5">
        <v>989</v>
      </c>
      <c r="J997" s="5">
        <f t="shared" si="120"/>
        <v>989</v>
      </c>
      <c r="K997" s="5">
        <f>SUM($AP$9:AP996)</f>
        <v>2.1656017507465722E+29</v>
      </c>
      <c r="L997" s="5">
        <f>LOOKUP(K997,AI:AI,AE:AE)</f>
        <v>0</v>
      </c>
      <c r="M997" s="5" t="e">
        <f>LOOKUP(L997,AE:AE,AG:AG)</f>
        <v>#N/A</v>
      </c>
      <c r="N997" s="5" t="e">
        <f>AM997/M997/$K$1</f>
        <v>#N/A</v>
      </c>
      <c r="O997" s="5" t="e">
        <f>SUM($N$9:N997)</f>
        <v>#DIV/0!</v>
      </c>
      <c r="AE997" s="5">
        <f t="shared" si="121"/>
        <v>989</v>
      </c>
      <c r="AF997" s="5">
        <f t="shared" si="122"/>
        <v>8.97771942743542E+23</v>
      </c>
      <c r="AG997" s="5">
        <f t="shared" si="123"/>
        <v>8.9415554015444395E+23</v>
      </c>
      <c r="AH997" s="5">
        <f>AG997*$AF$1</f>
        <v>8.9415554015444393E+24</v>
      </c>
      <c r="AI997" s="5">
        <f>SUM($AF$9:AF996)</f>
        <v>1.7575716583015554E+25</v>
      </c>
      <c r="AK997" s="5">
        <f t="shared" si="124"/>
        <v>989</v>
      </c>
      <c r="AL997" s="5">
        <f t="shared" si="125"/>
        <v>142</v>
      </c>
      <c r="AM997" s="5">
        <f t="shared" si="126"/>
        <v>1.8239529429825E+28</v>
      </c>
      <c r="AN997" s="5">
        <f>$AL$4*$AL$3^AL997*$AL$2</f>
        <v>1.8239529429824967E+28</v>
      </c>
      <c r="AO997" s="5">
        <f>IF(AL997=AL998,1,LOOKUP(MOD(AL997,$AL$1),$AN$1:$AN$5,$AO$1:$AO$5))</f>
        <v>1</v>
      </c>
      <c r="AP997" s="5">
        <f t="shared" si="127"/>
        <v>1.0201976794415399E+28</v>
      </c>
      <c r="AQ997" s="5">
        <f>AM997*$AR$3</f>
        <v>2.43193725731E+27</v>
      </c>
      <c r="AR997" s="5">
        <f>AM997*AL997*$AR$4</f>
        <v>7.7700395371054504E+27</v>
      </c>
      <c r="AS997" s="5">
        <f>SUM($AP$9:AP996)</f>
        <v>2.1656017507465722E+29</v>
      </c>
    </row>
    <row r="998" spans="1:45" x14ac:dyDescent="0.15">
      <c r="A998" s="5">
        <v>990</v>
      </c>
      <c r="J998" s="5">
        <f t="shared" si="120"/>
        <v>990</v>
      </c>
      <c r="K998" s="5">
        <f>SUM($AP$9:AP997)</f>
        <v>2.2676215186907262E+29</v>
      </c>
      <c r="L998" s="5">
        <f>LOOKUP(K998,AI:AI,AE:AE)</f>
        <v>0</v>
      </c>
      <c r="M998" s="5" t="e">
        <f>LOOKUP(L998,AE:AE,AG:AG)</f>
        <v>#N/A</v>
      </c>
      <c r="N998" s="5" t="e">
        <f>AM998/M998/$K$1</f>
        <v>#N/A</v>
      </c>
      <c r="O998" s="5" t="e">
        <f>SUM($N$9:N998)</f>
        <v>#DIV/0!</v>
      </c>
      <c r="AE998" s="5">
        <f t="shared" si="121"/>
        <v>990</v>
      </c>
      <c r="AF998" s="5">
        <f t="shared" si="122"/>
        <v>9.4360984556035701E+23</v>
      </c>
      <c r="AG998" s="5">
        <f t="shared" si="123"/>
        <v>9.3981262284180405E+23</v>
      </c>
      <c r="AH998" s="5">
        <f>AG998*$AF$1</f>
        <v>9.3981262284180403E+24</v>
      </c>
      <c r="AI998" s="5">
        <f>SUM($AF$9:AF997)</f>
        <v>1.8473488525759096E+25</v>
      </c>
      <c r="AK998" s="5">
        <f t="shared" si="124"/>
        <v>990</v>
      </c>
      <c r="AL998" s="5">
        <f t="shared" si="125"/>
        <v>142</v>
      </c>
      <c r="AM998" s="5">
        <f t="shared" si="126"/>
        <v>1.8239529429825E+28</v>
      </c>
      <c r="AN998" s="5">
        <f>$AL$4*$AL$3^AL998*$AL$2</f>
        <v>1.8239529429824967E+28</v>
      </c>
      <c r="AO998" s="5">
        <f>IF(AL998=AL999,1,LOOKUP(MOD(AL998,$AL$1),$AN$1:$AN$5,$AO$1:$AO$5))</f>
        <v>1</v>
      </c>
      <c r="AP998" s="5">
        <f t="shared" si="127"/>
        <v>1.0201976794415399E+28</v>
      </c>
      <c r="AQ998" s="5">
        <f>AM998*$AR$3</f>
        <v>2.43193725731E+27</v>
      </c>
      <c r="AR998" s="5">
        <f>AM998*AL998*$AR$4</f>
        <v>7.7700395371054504E+27</v>
      </c>
      <c r="AS998" s="5">
        <f>SUM($AP$9:AP997)</f>
        <v>2.2676215186907262E+29</v>
      </c>
    </row>
    <row r="999" spans="1:45" x14ac:dyDescent="0.15">
      <c r="A999" s="5">
        <v>991</v>
      </c>
      <c r="J999" s="5">
        <f t="shared" si="120"/>
        <v>991</v>
      </c>
      <c r="K999" s="5">
        <f>SUM($AP$9:AP998)</f>
        <v>2.3696412866348802E+29</v>
      </c>
      <c r="L999" s="5">
        <f>LOOKUP(K999,AI:AI,AE:AE)</f>
        <v>0</v>
      </c>
      <c r="M999" s="5" t="e">
        <f>LOOKUP(L999,AE:AE,AG:AG)</f>
        <v>#N/A</v>
      </c>
      <c r="N999" s="5" t="e">
        <f>AM999/M999/$K$1</f>
        <v>#N/A</v>
      </c>
      <c r="O999" s="5" t="e">
        <f>SUM($N$9:N999)</f>
        <v>#DIV/0!</v>
      </c>
      <c r="AE999" s="5">
        <f t="shared" si="121"/>
        <v>991</v>
      </c>
      <c r="AF999" s="5">
        <f t="shared" si="122"/>
        <v>9.9178710880199506E+23</v>
      </c>
      <c r="AG999" s="5">
        <f t="shared" si="123"/>
        <v>9.8780002494751505E+23</v>
      </c>
      <c r="AH999" s="5">
        <f>AG999*$AF$1</f>
        <v>9.8780002494751502E+24</v>
      </c>
      <c r="AI999" s="5">
        <f>SUM($AF$9:AF998)</f>
        <v>1.9417098371319453E+25</v>
      </c>
      <c r="AK999" s="5">
        <f t="shared" si="124"/>
        <v>991</v>
      </c>
      <c r="AL999" s="5">
        <f t="shared" si="125"/>
        <v>142</v>
      </c>
      <c r="AM999" s="5">
        <f t="shared" si="126"/>
        <v>1.8239529429825E+28</v>
      </c>
      <c r="AN999" s="5">
        <f>$AL$4*$AL$3^AL999*$AL$2</f>
        <v>1.8239529429824967E+28</v>
      </c>
      <c r="AO999" s="5">
        <f>IF(AL999=AL1000,1,LOOKUP(MOD(AL999,$AL$1),$AN$1:$AN$5,$AO$1:$AO$5))</f>
        <v>1</v>
      </c>
      <c r="AP999" s="5">
        <f t="shared" si="127"/>
        <v>1.0201976794415399E+28</v>
      </c>
      <c r="AQ999" s="5">
        <f>AM999*$AR$3</f>
        <v>2.43193725731E+27</v>
      </c>
      <c r="AR999" s="5">
        <f>AM999*AL999*$AR$4</f>
        <v>7.7700395371054504E+27</v>
      </c>
      <c r="AS999" s="5">
        <f>SUM($AP$9:AP998)</f>
        <v>2.3696412866348802E+29</v>
      </c>
    </row>
    <row r="1000" spans="1:45" x14ac:dyDescent="0.15">
      <c r="A1000" s="5">
        <v>992</v>
      </c>
      <c r="J1000" s="5">
        <f t="shared" si="120"/>
        <v>992</v>
      </c>
      <c r="K1000" s="5">
        <f>SUM($AP$9:AP999)</f>
        <v>2.4716610545790342E+29</v>
      </c>
      <c r="L1000" s="5">
        <f>LOOKUP(K1000,AI:AI,AE:AE)</f>
        <v>0</v>
      </c>
      <c r="M1000" s="5" t="e">
        <f>LOOKUP(L1000,AE:AE,AG:AG)</f>
        <v>#N/A</v>
      </c>
      <c r="N1000" s="5" t="e">
        <f>AM1000/M1000/$K$1</f>
        <v>#N/A</v>
      </c>
      <c r="O1000" s="5" t="e">
        <f>SUM($N$9:N1000)</f>
        <v>#DIV/0!</v>
      </c>
      <c r="AE1000" s="5">
        <f t="shared" si="121"/>
        <v>992</v>
      </c>
      <c r="AF1000" s="5">
        <f t="shared" si="122"/>
        <v>1.0424230737539E+24</v>
      </c>
      <c r="AG1000" s="5">
        <f t="shared" si="123"/>
        <v>1.0382366357066899E+24</v>
      </c>
      <c r="AH1000" s="5">
        <f>AG1000*$AF$1</f>
        <v>1.03823663570669E+25</v>
      </c>
      <c r="AI1000" s="5">
        <f>SUM($AF$9:AF999)</f>
        <v>2.0408885480121449E+25</v>
      </c>
      <c r="AK1000" s="5">
        <f t="shared" si="124"/>
        <v>992</v>
      </c>
      <c r="AL1000" s="5">
        <f t="shared" si="125"/>
        <v>142</v>
      </c>
      <c r="AM1000" s="5">
        <f t="shared" si="126"/>
        <v>1.8239529429825E+28</v>
      </c>
      <c r="AN1000" s="5">
        <f>$AL$4*$AL$3^AL1000*$AL$2</f>
        <v>1.8239529429824967E+28</v>
      </c>
      <c r="AO1000" s="5">
        <f>IF(AL1000=AL1001,1,LOOKUP(MOD(AL1000,$AL$1),$AN$1:$AN$5,$AO$1:$AO$5))</f>
        <v>1</v>
      </c>
      <c r="AP1000" s="5">
        <f t="shared" si="127"/>
        <v>1.0201976794415399E+28</v>
      </c>
      <c r="AQ1000" s="5">
        <f>AM1000*$AR$3</f>
        <v>2.43193725731E+27</v>
      </c>
      <c r="AR1000" s="5">
        <f>AM1000*AL1000*$AR$4</f>
        <v>7.7700395371054504E+27</v>
      </c>
      <c r="AS1000" s="5">
        <f>SUM($AP$9:AP999)</f>
        <v>2.4716610545790342E+29</v>
      </c>
    </row>
    <row r="1001" spans="1:45" x14ac:dyDescent="0.15">
      <c r="A1001" s="5">
        <v>993</v>
      </c>
      <c r="J1001" s="5">
        <f t="shared" si="120"/>
        <v>993</v>
      </c>
      <c r="K1001" s="5">
        <f>SUM($AP$9:AP1000)</f>
        <v>2.5736808225231882E+29</v>
      </c>
      <c r="L1001" s="5">
        <f>LOOKUP(K1001,AI:AI,AE:AE)</f>
        <v>0</v>
      </c>
      <c r="M1001" s="5" t="e">
        <f>LOOKUP(L1001,AE:AE,AG:AG)</f>
        <v>#N/A</v>
      </c>
      <c r="N1001" s="5" t="e">
        <f>AM1001/M1001/$K$1</f>
        <v>#N/A</v>
      </c>
      <c r="O1001" s="5" t="e">
        <f>SUM($N$9:N1001)</f>
        <v>#DIV/0!</v>
      </c>
      <c r="AE1001" s="5">
        <f t="shared" si="121"/>
        <v>993</v>
      </c>
      <c r="AF1001" s="5">
        <f t="shared" si="122"/>
        <v>1.0956431674289801E+24</v>
      </c>
      <c r="AG1001" s="5">
        <f t="shared" si="123"/>
        <v>1.09124740747942E+24</v>
      </c>
      <c r="AH1001" s="5">
        <f>AG1001*$AF$1</f>
        <v>1.09124740747942E+25</v>
      </c>
      <c r="AI1001" s="5">
        <f>SUM($AF$9:AF1000)</f>
        <v>2.145130855387535E+25</v>
      </c>
      <c r="AK1001" s="5">
        <f t="shared" si="124"/>
        <v>993</v>
      </c>
      <c r="AL1001" s="5">
        <f t="shared" si="125"/>
        <v>142</v>
      </c>
      <c r="AM1001" s="5">
        <f t="shared" si="126"/>
        <v>7.2958117719299902E+28</v>
      </c>
      <c r="AN1001" s="5">
        <f>$AL$4*$AL$3^AL1001*$AL$2</f>
        <v>1.8239529429824967E+28</v>
      </c>
      <c r="AO1001" s="5">
        <f>IF(AL1001=AL1002,1,LOOKUP(MOD(AL1001,$AL$1),$AN$1:$AN$5,$AO$1:$AO$5))</f>
        <v>4</v>
      </c>
      <c r="AP1001" s="5">
        <f t="shared" si="127"/>
        <v>4.0807907177661703E+28</v>
      </c>
      <c r="AQ1001" s="5">
        <f>AM1001*$AR$3</f>
        <v>9.7277490292399868E+27</v>
      </c>
      <c r="AR1001" s="5">
        <f>AM1001*AL1001*$AR$4</f>
        <v>3.1080158148421758E+28</v>
      </c>
      <c r="AS1001" s="5">
        <f>SUM($AP$9:AP1000)</f>
        <v>2.5736808225231882E+29</v>
      </c>
    </row>
    <row r="1002" spans="1:45" x14ac:dyDescent="0.15">
      <c r="J1002" s="5">
        <f t="shared" si="120"/>
        <v>0</v>
      </c>
      <c r="K1002" s="5">
        <f>SUM($AP$9:AP1001)</f>
        <v>2.9817598942998052E+29</v>
      </c>
      <c r="L1002" s="5">
        <f>LOOKUP(K1002,AI:AI,AE:AE)</f>
        <v>0</v>
      </c>
      <c r="M1002" s="5" t="e">
        <f>LOOKUP(L1002,AE:AE,AG:AG)</f>
        <v>#N/A</v>
      </c>
      <c r="N1002" s="5" t="e">
        <f>AM1002/M1002/$K$1</f>
        <v>#N/A</v>
      </c>
      <c r="O1002" s="5" t="e">
        <f>SUM($N$9:N1002)</f>
        <v>#DIV/0!</v>
      </c>
      <c r="AE1002" s="5">
        <f t="shared" si="121"/>
        <v>0</v>
      </c>
      <c r="AF1002" s="5">
        <f t="shared" si="122"/>
        <v>4</v>
      </c>
      <c r="AG1002" s="5">
        <f t="shared" si="123"/>
        <v>0</v>
      </c>
      <c r="AH1002" s="5">
        <f>AG1002*$AF$1</f>
        <v>0</v>
      </c>
      <c r="AI1002" s="5">
        <f>SUM($AF$9:AF1001)</f>
        <v>2.254695172130433E+25</v>
      </c>
      <c r="AK1002" s="5">
        <f t="shared" si="124"/>
        <v>0</v>
      </c>
      <c r="AL1002" s="5">
        <f t="shared" si="125"/>
        <v>0</v>
      </c>
      <c r="AM1002" s="5">
        <f t="shared" si="126"/>
        <v>3</v>
      </c>
      <c r="AN1002" s="5">
        <f>$AL$4*$AL$3^AL1002*$AL$2</f>
        <v>2.7749999999999999</v>
      </c>
      <c r="AO1002" s="5">
        <f>IF(AL1002=AL1003,1,LOOKUP(MOD(AL1002,$AL$1),$AN$1:$AN$5,$AO$1:$AO$5))</f>
        <v>1</v>
      </c>
      <c r="AP1002" s="5">
        <f t="shared" si="127"/>
        <v>0</v>
      </c>
      <c r="AQ1002" s="5">
        <f>AM1002*$AR$3</f>
        <v>0.4</v>
      </c>
      <c r="AR1002" s="5">
        <f>AM1002*AL1002*$AR$4</f>
        <v>0</v>
      </c>
      <c r="AS1002" s="5">
        <f>SUM($AP$9:AP1001)</f>
        <v>2.9817598942998052E+29</v>
      </c>
    </row>
    <row r="1003" spans="1:45" x14ac:dyDescent="0.15">
      <c r="J1003" s="5">
        <f t="shared" si="120"/>
        <v>0</v>
      </c>
      <c r="K1003" s="5">
        <f>SUM($AP$9:AP1002)</f>
        <v>2.9817598942998052E+29</v>
      </c>
      <c r="L1003" s="5">
        <f>LOOKUP(K1003,AI:AI,AE:AE)</f>
        <v>0</v>
      </c>
      <c r="M1003" s="5" t="e">
        <f>LOOKUP(L1003,AE:AE,AG:AG)</f>
        <v>#N/A</v>
      </c>
      <c r="N1003" s="5" t="e">
        <f>AM1003/M1003/$K$1</f>
        <v>#N/A</v>
      </c>
      <c r="O1003" s="5" t="e">
        <f>SUM($N$9:N1003)</f>
        <v>#DIV/0!</v>
      </c>
      <c r="AE1003" s="5">
        <f t="shared" si="121"/>
        <v>0</v>
      </c>
      <c r="AF1003" s="5">
        <f t="shared" si="122"/>
        <v>4</v>
      </c>
      <c r="AG1003" s="5">
        <f t="shared" si="123"/>
        <v>0</v>
      </c>
      <c r="AH1003" s="5">
        <f>AG1003*$AF$1</f>
        <v>0</v>
      </c>
      <c r="AI1003" s="5">
        <f>SUM($AF$9:AF1002)</f>
        <v>2.254695172130433E+25</v>
      </c>
      <c r="AK1003" s="5">
        <f t="shared" si="124"/>
        <v>0</v>
      </c>
      <c r="AL1003" s="5">
        <f t="shared" si="125"/>
        <v>0</v>
      </c>
      <c r="AM1003" s="5">
        <f t="shared" si="126"/>
        <v>3</v>
      </c>
      <c r="AN1003" s="5">
        <f>$AL$4*$AL$3^AL1003*$AL$2</f>
        <v>2.7749999999999999</v>
      </c>
      <c r="AO1003" s="5">
        <f>IF(AL1003=AL1004,1,LOOKUP(MOD(AL1003,$AL$1),$AN$1:$AN$5,$AO$1:$AO$5))</f>
        <v>1</v>
      </c>
      <c r="AP1003" s="5">
        <f t="shared" si="127"/>
        <v>0</v>
      </c>
      <c r="AQ1003" s="5">
        <f>AM1003*$AR$3</f>
        <v>0.4</v>
      </c>
      <c r="AR1003" s="5">
        <f>AM1003*AL1003*$AR$4</f>
        <v>0</v>
      </c>
      <c r="AS1003" s="5">
        <f>SUM($AP$9:AP1002)</f>
        <v>2.9817598942998052E+29</v>
      </c>
    </row>
    <row r="1004" spans="1:45" x14ac:dyDescent="0.15">
      <c r="J1004" s="5">
        <f t="shared" si="120"/>
        <v>0</v>
      </c>
      <c r="K1004" s="5">
        <f>SUM($AP$9:AP1003)</f>
        <v>2.9817598942998052E+29</v>
      </c>
      <c r="L1004" s="5">
        <f>LOOKUP(K1004,AI:AI,AE:AE)</f>
        <v>0</v>
      </c>
      <c r="M1004" s="5" t="e">
        <f>LOOKUP(L1004,AE:AE,AG:AG)</f>
        <v>#N/A</v>
      </c>
      <c r="N1004" s="5" t="e">
        <f>AM1004/M1004/$K$1</f>
        <v>#N/A</v>
      </c>
      <c r="O1004" s="5" t="e">
        <f>SUM($N$9:N1004)</f>
        <v>#DIV/0!</v>
      </c>
      <c r="AE1004" s="5">
        <f t="shared" si="121"/>
        <v>0</v>
      </c>
      <c r="AF1004" s="5">
        <f t="shared" si="122"/>
        <v>4</v>
      </c>
      <c r="AG1004" s="5">
        <f t="shared" si="123"/>
        <v>0</v>
      </c>
      <c r="AH1004" s="5">
        <f>AG1004*$AF$1</f>
        <v>0</v>
      </c>
      <c r="AI1004" s="5">
        <f>SUM($AF$9:AF1003)</f>
        <v>2.254695172130433E+25</v>
      </c>
      <c r="AK1004" s="5">
        <f t="shared" si="124"/>
        <v>0</v>
      </c>
      <c r="AL1004" s="5">
        <f t="shared" si="125"/>
        <v>0</v>
      </c>
      <c r="AM1004" s="5">
        <f t="shared" si="126"/>
        <v>3</v>
      </c>
      <c r="AN1004" s="5">
        <f>$AL$4*$AL$3^AL1004*$AL$2</f>
        <v>2.7749999999999999</v>
      </c>
      <c r="AO1004" s="5">
        <f>IF(AL1004=AL1005,1,LOOKUP(MOD(AL1004,$AL$1),$AN$1:$AN$5,$AO$1:$AO$5))</f>
        <v>1</v>
      </c>
      <c r="AP1004" s="5">
        <f t="shared" si="127"/>
        <v>0</v>
      </c>
      <c r="AQ1004" s="5">
        <f>AM1004*$AR$3</f>
        <v>0.4</v>
      </c>
      <c r="AR1004" s="5">
        <f>AM1004*AL1004*$AR$4</f>
        <v>0</v>
      </c>
      <c r="AS1004" s="5">
        <f>SUM($AP$9:AP1003)</f>
        <v>2.9817598942998052E+29</v>
      </c>
    </row>
    <row r="1005" spans="1:45" x14ac:dyDescent="0.15">
      <c r="J1005" s="5">
        <f t="shared" si="120"/>
        <v>0</v>
      </c>
      <c r="K1005" s="5">
        <f>SUM($AP$9:AP1004)</f>
        <v>2.9817598942998052E+29</v>
      </c>
      <c r="L1005" s="5">
        <f>LOOKUP(K1005,AI:AI,AE:AE)</f>
        <v>0</v>
      </c>
      <c r="M1005" s="5" t="e">
        <f>LOOKUP(L1005,AE:AE,AG:AG)</f>
        <v>#N/A</v>
      </c>
      <c r="N1005" s="5" t="e">
        <f>AM1005/M1005/$K$1</f>
        <v>#N/A</v>
      </c>
      <c r="O1005" s="5" t="e">
        <f>SUM($N$9:N1005)</f>
        <v>#DIV/0!</v>
      </c>
      <c r="AE1005" s="5">
        <f t="shared" si="121"/>
        <v>0</v>
      </c>
      <c r="AF1005" s="5">
        <f t="shared" si="122"/>
        <v>4</v>
      </c>
      <c r="AG1005" s="5">
        <f t="shared" si="123"/>
        <v>0</v>
      </c>
      <c r="AH1005" s="5">
        <f>AG1005*$AF$1</f>
        <v>0</v>
      </c>
      <c r="AI1005" s="5">
        <f>SUM($AF$9:AF1004)</f>
        <v>2.254695172130433E+25</v>
      </c>
      <c r="AK1005" s="5">
        <f t="shared" si="124"/>
        <v>0</v>
      </c>
      <c r="AL1005" s="5">
        <f t="shared" si="125"/>
        <v>0</v>
      </c>
      <c r="AM1005" s="5">
        <f t="shared" si="126"/>
        <v>3</v>
      </c>
      <c r="AN1005" s="5">
        <f>$AL$4*$AL$3^AL1005*$AL$2</f>
        <v>2.7749999999999999</v>
      </c>
      <c r="AO1005" s="5">
        <f>IF(AL1005=AL1006,1,LOOKUP(MOD(AL1005,$AL$1),$AN$1:$AN$5,$AO$1:$AO$5))</f>
        <v>1</v>
      </c>
      <c r="AP1005" s="5">
        <f t="shared" si="127"/>
        <v>0</v>
      </c>
      <c r="AQ1005" s="5">
        <f>AM1005*$AR$3</f>
        <v>0.4</v>
      </c>
      <c r="AR1005" s="5">
        <f>AM1005*AL1005*$AR$4</f>
        <v>0</v>
      </c>
      <c r="AS1005" s="5">
        <f>SUM($AP$9:AP1004)</f>
        <v>2.9817598942998052E+29</v>
      </c>
    </row>
    <row r="1006" spans="1:45" x14ac:dyDescent="0.15">
      <c r="J1006" s="5">
        <f t="shared" si="120"/>
        <v>0</v>
      </c>
      <c r="K1006" s="5">
        <f>SUM($AP$9:AP1005)</f>
        <v>2.9817598942998052E+29</v>
      </c>
      <c r="L1006" s="5">
        <f>LOOKUP(K1006,AI:AI,AE:AE)</f>
        <v>0</v>
      </c>
      <c r="M1006" s="5" t="e">
        <f>LOOKUP(L1006,AE:AE,AG:AG)</f>
        <v>#N/A</v>
      </c>
      <c r="N1006" s="5" t="e">
        <f>AM1006/M1006/$K$1</f>
        <v>#N/A</v>
      </c>
      <c r="O1006" s="5" t="e">
        <f>SUM($N$9:N1006)</f>
        <v>#DIV/0!</v>
      </c>
      <c r="AE1006" s="5">
        <f t="shared" si="121"/>
        <v>0</v>
      </c>
      <c r="AF1006" s="5">
        <f t="shared" si="122"/>
        <v>4</v>
      </c>
      <c r="AG1006" s="5">
        <f t="shared" si="123"/>
        <v>0</v>
      </c>
      <c r="AH1006" s="5">
        <f>AG1006*$AF$1</f>
        <v>0</v>
      </c>
      <c r="AI1006" s="5">
        <f>SUM($AF$9:AF1005)</f>
        <v>2.254695172130433E+25</v>
      </c>
      <c r="AK1006" s="5">
        <f t="shared" si="124"/>
        <v>0</v>
      </c>
      <c r="AL1006" s="5">
        <f t="shared" si="125"/>
        <v>0</v>
      </c>
      <c r="AM1006" s="5">
        <f t="shared" si="126"/>
        <v>3</v>
      </c>
      <c r="AN1006" s="5">
        <f>$AL$4*$AL$3^AL1006*$AL$2</f>
        <v>2.7749999999999999</v>
      </c>
      <c r="AO1006" s="5">
        <f>IF(AL1006=AL1007,1,LOOKUP(MOD(AL1006,$AL$1),$AN$1:$AN$5,$AO$1:$AO$5))</f>
        <v>1</v>
      </c>
      <c r="AP1006" s="5">
        <f t="shared" si="127"/>
        <v>0</v>
      </c>
      <c r="AQ1006" s="5">
        <f>AM1006*$AR$3</f>
        <v>0.4</v>
      </c>
      <c r="AR1006" s="5">
        <f>AM1006*AL1006*$AR$4</f>
        <v>0</v>
      </c>
      <c r="AS1006" s="5">
        <f>SUM($AP$9:AP1005)</f>
        <v>2.9817598942998052E+29</v>
      </c>
    </row>
    <row r="1007" spans="1:45" x14ac:dyDescent="0.15">
      <c r="J1007" s="5">
        <f t="shared" si="120"/>
        <v>0</v>
      </c>
      <c r="K1007" s="5">
        <f>SUM($AP$9:AP1006)</f>
        <v>2.9817598942998052E+29</v>
      </c>
      <c r="L1007" s="5">
        <f>LOOKUP(K1007,AI:AI,AE:AE)</f>
        <v>0</v>
      </c>
      <c r="M1007" s="5" t="e">
        <f>LOOKUP(L1007,AE:AE,AG:AG)</f>
        <v>#N/A</v>
      </c>
      <c r="N1007" s="5" t="e">
        <f>AM1007/M1007/$K$1</f>
        <v>#N/A</v>
      </c>
      <c r="O1007" s="5" t="e">
        <f>SUM($N$9:N1007)</f>
        <v>#DIV/0!</v>
      </c>
      <c r="AE1007" s="5">
        <f t="shared" si="121"/>
        <v>0</v>
      </c>
      <c r="AF1007" s="5">
        <f t="shared" si="122"/>
        <v>4</v>
      </c>
      <c r="AG1007" s="5">
        <f t="shared" si="123"/>
        <v>0</v>
      </c>
      <c r="AH1007" s="5">
        <f>AG1007*$AF$1</f>
        <v>0</v>
      </c>
      <c r="AI1007" s="5">
        <f>SUM($AF$9:AF1006)</f>
        <v>2.254695172130433E+25</v>
      </c>
      <c r="AK1007" s="5">
        <f t="shared" si="124"/>
        <v>0</v>
      </c>
      <c r="AL1007" s="5">
        <f t="shared" si="125"/>
        <v>0</v>
      </c>
      <c r="AM1007" s="5">
        <f t="shared" si="126"/>
        <v>3</v>
      </c>
      <c r="AN1007" s="5">
        <f>$AL$4*$AL$3^AL1007*$AL$2</f>
        <v>2.7749999999999999</v>
      </c>
      <c r="AO1007" s="5">
        <f>IF(AL1007=AL1008,1,LOOKUP(MOD(AL1007,$AL$1),$AN$1:$AN$5,$AO$1:$AO$5))</f>
        <v>1</v>
      </c>
      <c r="AP1007" s="5">
        <f t="shared" si="127"/>
        <v>0</v>
      </c>
      <c r="AQ1007" s="5">
        <f>AM1007*$AR$3</f>
        <v>0.4</v>
      </c>
      <c r="AR1007" s="5">
        <f>AM1007*AL1007*$AR$4</f>
        <v>0</v>
      </c>
      <c r="AS1007" s="5">
        <f>SUM($AP$9:AP1006)</f>
        <v>2.9817598942998052E+29</v>
      </c>
    </row>
    <row r="1008" spans="1:45" x14ac:dyDescent="0.15">
      <c r="J1008" s="5">
        <f t="shared" si="120"/>
        <v>0</v>
      </c>
      <c r="K1008" s="5">
        <f>SUM($AP$9:AP1007)</f>
        <v>2.9817598942998052E+29</v>
      </c>
      <c r="L1008" s="5">
        <f>LOOKUP(K1008,AI:AI,AE:AE)</f>
        <v>0</v>
      </c>
      <c r="M1008" s="5" t="e">
        <f>LOOKUP(L1008,AE:AE,AG:AG)</f>
        <v>#N/A</v>
      </c>
      <c r="N1008" s="5" t="e">
        <f>AM1008/M1008/$K$1</f>
        <v>#N/A</v>
      </c>
      <c r="O1008" s="5" t="e">
        <f>SUM($N$9:N1008)</f>
        <v>#DIV/0!</v>
      </c>
      <c r="AE1008" s="5">
        <f t="shared" si="121"/>
        <v>0</v>
      </c>
      <c r="AF1008" s="5">
        <f t="shared" si="122"/>
        <v>4</v>
      </c>
      <c r="AG1008" s="5">
        <f t="shared" si="123"/>
        <v>0</v>
      </c>
      <c r="AH1008" s="5">
        <f>AG1008*$AF$1</f>
        <v>0</v>
      </c>
      <c r="AI1008" s="5">
        <f>SUM($AF$9:AF1007)</f>
        <v>2.254695172130433E+25</v>
      </c>
      <c r="AK1008" s="5">
        <f t="shared" si="124"/>
        <v>0</v>
      </c>
      <c r="AL1008" s="5">
        <f t="shared" si="125"/>
        <v>0</v>
      </c>
      <c r="AM1008" s="5">
        <f t="shared" si="126"/>
        <v>3</v>
      </c>
      <c r="AN1008" s="5">
        <f>$AL$4*$AL$3^AL1008*$AL$2</f>
        <v>2.7749999999999999</v>
      </c>
      <c r="AO1008" s="5">
        <f>IF(AL1008=AL1009,1,LOOKUP(MOD(AL1008,$AL$1),$AN$1:$AN$5,$AO$1:$AO$5))</f>
        <v>1</v>
      </c>
      <c r="AP1008" s="5">
        <f t="shared" si="127"/>
        <v>0</v>
      </c>
      <c r="AQ1008" s="5">
        <f>AM1008*$AR$3</f>
        <v>0.4</v>
      </c>
      <c r="AR1008" s="5">
        <f>AM1008*AL1008*$AR$4</f>
        <v>0</v>
      </c>
      <c r="AS1008" s="5">
        <f>SUM($AP$9:AP1007)</f>
        <v>2.9817598942998052E+29</v>
      </c>
    </row>
    <row r="1009" spans="10:45" x14ac:dyDescent="0.15">
      <c r="J1009" s="5">
        <f t="shared" si="120"/>
        <v>0</v>
      </c>
      <c r="K1009" s="5">
        <f>SUM($AP$9:AP1008)</f>
        <v>2.9817598942998052E+29</v>
      </c>
      <c r="L1009" s="5">
        <f>LOOKUP(K1009,AI:AI,AE:AE)</f>
        <v>0</v>
      </c>
      <c r="M1009" s="5" t="e">
        <f>LOOKUP(L1009,AE:AE,AG:AG)</f>
        <v>#N/A</v>
      </c>
      <c r="N1009" s="5">
        <f ca="1">AM1009/M1009/$K$1</f>
        <v>2.6666666666666665</v>
      </c>
      <c r="O1009" s="5" t="e">
        <f>SUM($N$9:N1009)</f>
        <v>#DIV/0!</v>
      </c>
      <c r="AE1009" s="5">
        <f t="shared" si="121"/>
        <v>0</v>
      </c>
      <c r="AF1009" s="5">
        <f t="shared" si="122"/>
        <v>4</v>
      </c>
      <c r="AG1009" s="5">
        <f t="shared" si="123"/>
        <v>0</v>
      </c>
      <c r="AH1009" s="5">
        <f>AG1009*$AF$1</f>
        <v>0</v>
      </c>
      <c r="AI1009" s="5">
        <f>SUM($AF$9:AF1008)</f>
        <v>2.254695172130433E+25</v>
      </c>
      <c r="AK1009" s="5">
        <f t="shared" si="124"/>
        <v>0</v>
      </c>
      <c r="AL1009" s="5">
        <f t="shared" si="125"/>
        <v>0</v>
      </c>
      <c r="AM1009" s="5">
        <f t="shared" ca="1" si="126"/>
        <v>4</v>
      </c>
      <c r="AN1009" s="5">
        <f t="shared" ref="AN1009" si="128">IF(AL1009=AL1010,1,LOOKUP(MOD(AL1009,$AL$1),$AN$1:$AN$5,$AO$1:$AO$5))</f>
        <v>1</v>
      </c>
      <c r="AO1009" s="5">
        <f t="shared" ref="AO1009" ca="1" si="129">AM1009*AN1009</f>
        <v>2.7749999999999999</v>
      </c>
      <c r="AP1009" s="5">
        <f t="shared" ca="1" si="127"/>
        <v>0</v>
      </c>
      <c r="AQ1009" s="5">
        <f t="shared" ref="AQ1009" ca="1" si="130">AO1009*$AR$3</f>
        <v>0.37</v>
      </c>
      <c r="AR1009" s="5">
        <f t="shared" ref="AR1009" ca="1" si="131">AO1009*AL1009*$AR$4</f>
        <v>0</v>
      </c>
      <c r="AS1009" s="5">
        <f>SUM($AP$9:AP1008)</f>
        <v>2.9817598942998052E+29</v>
      </c>
    </row>
    <row r="1010" spans="10:45" x14ac:dyDescent="0.15">
      <c r="K1010" s="5">
        <f ca="1">SUM($AP$9:AP1009)</f>
        <v>1</v>
      </c>
      <c r="L1010" s="5">
        <f ca="1">LOOKUP(K1010,AI:AI,AE:AE)</f>
        <v>1</v>
      </c>
      <c r="M1010" s="5">
        <f ca="1">LOOKUP(L1010,AE:AE,AG:AG)</f>
        <v>1</v>
      </c>
      <c r="N1010" s="5">
        <f ca="1">AM1010/M1010/$K$1</f>
        <v>2.6666666666666665</v>
      </c>
      <c r="O1010" s="5" t="e">
        <f>SUM($N$9:N1010)</f>
        <v>#DIV/0!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83"/>
  <sheetViews>
    <sheetView workbookViewId="0">
      <selection activeCell="G2" sqref="G2:G29"/>
    </sheetView>
  </sheetViews>
  <sheetFormatPr defaultRowHeight="13.5" x14ac:dyDescent="0.15"/>
  <cols>
    <col min="2" max="2" width="18" customWidth="1"/>
    <col min="3" max="3" width="8.375" customWidth="1"/>
    <col min="21" max="21" width="13.875" bestFit="1" customWidth="1"/>
    <col min="22" max="22" width="13.875" style="7" customWidth="1"/>
    <col min="23" max="23" width="12.75" bestFit="1" customWidth="1"/>
    <col min="25" max="25" width="13.875" bestFit="1" customWidth="1"/>
  </cols>
  <sheetData>
    <row r="1" spans="1:27" x14ac:dyDescent="0.15">
      <c r="A1" t="s">
        <v>0</v>
      </c>
      <c r="B1" t="s">
        <v>1</v>
      </c>
      <c r="C1" t="s">
        <v>67</v>
      </c>
      <c r="D1" t="s">
        <v>68</v>
      </c>
      <c r="E1" t="s">
        <v>66</v>
      </c>
      <c r="F1" t="s">
        <v>3</v>
      </c>
      <c r="G1" t="s">
        <v>4</v>
      </c>
      <c r="L1" s="7" t="s">
        <v>0</v>
      </c>
      <c r="M1" s="7" t="s">
        <v>1</v>
      </c>
      <c r="N1" s="7" t="s">
        <v>114</v>
      </c>
      <c r="O1" s="7" t="s">
        <v>115</v>
      </c>
      <c r="P1" s="7" t="s">
        <v>2</v>
      </c>
      <c r="Q1" s="7" t="s">
        <v>3</v>
      </c>
      <c r="R1" s="7" t="s">
        <v>61</v>
      </c>
      <c r="S1" s="7" t="s">
        <v>4</v>
      </c>
      <c r="T1" s="7" t="s">
        <v>116</v>
      </c>
      <c r="U1" t="s">
        <v>117</v>
      </c>
      <c r="V1" s="7" t="s">
        <v>123</v>
      </c>
      <c r="W1" t="s">
        <v>118</v>
      </c>
      <c r="X1" t="s">
        <v>122</v>
      </c>
      <c r="Y1" t="s">
        <v>119</v>
      </c>
      <c r="Z1" t="s">
        <v>122</v>
      </c>
    </row>
    <row r="2" spans="1:27" x14ac:dyDescent="0.15">
      <c r="A2">
        <v>1</v>
      </c>
      <c r="B2" t="s">
        <v>5</v>
      </c>
      <c r="D2">
        <v>1</v>
      </c>
      <c r="F2" t="s">
        <v>9</v>
      </c>
      <c r="G2" t="s">
        <v>72</v>
      </c>
      <c r="L2" s="7">
        <v>1</v>
      </c>
      <c r="M2" s="7" t="s">
        <v>5</v>
      </c>
      <c r="N2" s="7">
        <v>20</v>
      </c>
      <c r="O2" s="7">
        <v>1</v>
      </c>
      <c r="P2" s="7">
        <v>1</v>
      </c>
      <c r="Q2" s="7" t="s">
        <v>9</v>
      </c>
      <c r="R2" s="7" t="s">
        <v>62</v>
      </c>
      <c r="S2" s="7"/>
      <c r="T2">
        <v>1</v>
      </c>
      <c r="U2">
        <v>1</v>
      </c>
      <c r="W2">
        <v>1</v>
      </c>
      <c r="AA2" t="s">
        <v>120</v>
      </c>
    </row>
    <row r="3" spans="1:27" x14ac:dyDescent="0.15">
      <c r="A3">
        <v>2</v>
      </c>
      <c r="B3" t="s">
        <v>6</v>
      </c>
      <c r="D3">
        <v>5</v>
      </c>
      <c r="F3" t="s">
        <v>10</v>
      </c>
      <c r="G3" t="s">
        <v>72</v>
      </c>
      <c r="L3" s="7">
        <v>2</v>
      </c>
      <c r="M3" s="7" t="s">
        <v>6</v>
      </c>
      <c r="N3" s="7">
        <v>100</v>
      </c>
      <c r="O3" s="7">
        <v>5</v>
      </c>
      <c r="P3" s="7">
        <v>1</v>
      </c>
      <c r="Q3" s="7" t="s">
        <v>10</v>
      </c>
      <c r="R3" s="7" t="s">
        <v>62</v>
      </c>
      <c r="S3" s="7"/>
      <c r="T3" s="7">
        <v>2</v>
      </c>
      <c r="U3">
        <v>1</v>
      </c>
      <c r="W3" s="7">
        <v>1</v>
      </c>
      <c r="X3" s="7"/>
      <c r="AA3" t="s">
        <v>121</v>
      </c>
    </row>
    <row r="4" spans="1:27" x14ac:dyDescent="0.15">
      <c r="A4">
        <v>3</v>
      </c>
      <c r="B4" t="s">
        <v>7</v>
      </c>
      <c r="D4">
        <v>20</v>
      </c>
      <c r="F4" t="s">
        <v>11</v>
      </c>
      <c r="G4" t="s">
        <v>72</v>
      </c>
      <c r="L4" s="7">
        <v>3</v>
      </c>
      <c r="M4" s="7" t="s">
        <v>7</v>
      </c>
      <c r="N4" s="7">
        <v>300</v>
      </c>
      <c r="O4" s="7">
        <v>10</v>
      </c>
      <c r="P4" s="7">
        <v>3</v>
      </c>
      <c r="Q4" s="7" t="s">
        <v>11</v>
      </c>
      <c r="R4" s="7" t="s">
        <v>62</v>
      </c>
      <c r="S4" s="7"/>
      <c r="T4" s="7">
        <v>3</v>
      </c>
      <c r="U4">
        <v>1</v>
      </c>
      <c r="W4" s="7">
        <v>1</v>
      </c>
      <c r="X4" s="7"/>
    </row>
    <row r="5" spans="1:27" x14ac:dyDescent="0.15">
      <c r="A5">
        <v>4</v>
      </c>
      <c r="B5" t="s">
        <v>13</v>
      </c>
      <c r="F5" t="s">
        <v>14</v>
      </c>
      <c r="G5" t="s">
        <v>72</v>
      </c>
      <c r="L5" s="7">
        <v>4</v>
      </c>
      <c r="M5" s="7" t="s">
        <v>13</v>
      </c>
      <c r="N5" s="7">
        <v>50</v>
      </c>
      <c r="O5" s="7">
        <v>30</v>
      </c>
      <c r="P5" s="7">
        <v>1</v>
      </c>
      <c r="Q5" s="7" t="s">
        <v>14</v>
      </c>
      <c r="R5" s="7" t="s">
        <v>62</v>
      </c>
      <c r="S5" s="7"/>
      <c r="T5" s="7">
        <v>4</v>
      </c>
      <c r="U5">
        <v>1</v>
      </c>
      <c r="W5" s="7">
        <v>1</v>
      </c>
      <c r="X5" s="7"/>
    </row>
    <row r="6" spans="1:27" x14ac:dyDescent="0.15">
      <c r="A6">
        <v>5</v>
      </c>
      <c r="B6" t="s">
        <v>8</v>
      </c>
      <c r="F6" t="s">
        <v>12</v>
      </c>
      <c r="G6" t="s">
        <v>72</v>
      </c>
      <c r="L6" s="7">
        <v>5</v>
      </c>
      <c r="M6" s="7" t="s">
        <v>8</v>
      </c>
      <c r="N6" s="7">
        <v>1000</v>
      </c>
      <c r="O6" s="7">
        <v>80</v>
      </c>
      <c r="P6" s="7">
        <v>3</v>
      </c>
      <c r="Q6" s="7" t="s">
        <v>12</v>
      </c>
      <c r="R6" s="7" t="s">
        <v>62</v>
      </c>
      <c r="S6" s="7"/>
      <c r="T6" s="7">
        <v>5</v>
      </c>
      <c r="U6">
        <v>1</v>
      </c>
      <c r="W6" s="7">
        <v>1</v>
      </c>
      <c r="X6" s="7"/>
      <c r="AA6" t="s">
        <v>124</v>
      </c>
    </row>
    <row r="7" spans="1:27" x14ac:dyDescent="0.15">
      <c r="A7">
        <v>6</v>
      </c>
      <c r="B7" t="s">
        <v>15</v>
      </c>
      <c r="F7" t="s">
        <v>16</v>
      </c>
      <c r="G7" t="s">
        <v>72</v>
      </c>
      <c r="L7" s="7">
        <v>6</v>
      </c>
      <c r="M7" s="7" t="s">
        <v>15</v>
      </c>
      <c r="N7" s="7">
        <v>60</v>
      </c>
      <c r="O7" s="7">
        <v>200</v>
      </c>
      <c r="P7" s="7">
        <v>2</v>
      </c>
      <c r="Q7" s="7" t="s">
        <v>16</v>
      </c>
      <c r="R7" s="7" t="s">
        <v>63</v>
      </c>
      <c r="S7" s="7"/>
      <c r="T7" s="7">
        <v>6</v>
      </c>
      <c r="U7">
        <v>1</v>
      </c>
      <c r="W7" s="7">
        <v>1</v>
      </c>
      <c r="X7" s="7"/>
    </row>
    <row r="8" spans="1:27" x14ac:dyDescent="0.15">
      <c r="A8">
        <v>7</v>
      </c>
      <c r="B8" t="s">
        <v>19</v>
      </c>
      <c r="F8" t="s">
        <v>17</v>
      </c>
      <c r="G8" t="s">
        <v>74</v>
      </c>
      <c r="L8" s="7">
        <v>7</v>
      </c>
      <c r="M8" s="7" t="s">
        <v>19</v>
      </c>
      <c r="N8" s="7">
        <v>80</v>
      </c>
      <c r="O8" s="7">
        <v>500</v>
      </c>
      <c r="P8" s="7">
        <v>2</v>
      </c>
      <c r="Q8" s="7" t="s">
        <v>17</v>
      </c>
      <c r="R8" s="7" t="s">
        <v>64</v>
      </c>
      <c r="S8" s="7"/>
      <c r="T8" s="7">
        <v>7</v>
      </c>
      <c r="U8">
        <v>1</v>
      </c>
      <c r="W8" s="7">
        <v>1</v>
      </c>
      <c r="X8" s="7"/>
    </row>
    <row r="9" spans="1:27" x14ac:dyDescent="0.15">
      <c r="A9">
        <v>8</v>
      </c>
      <c r="B9" t="s">
        <v>69</v>
      </c>
      <c r="F9" t="s">
        <v>18</v>
      </c>
      <c r="G9" t="s">
        <v>72</v>
      </c>
      <c r="L9" s="7">
        <v>8</v>
      </c>
      <c r="M9" s="7" t="s">
        <v>20</v>
      </c>
      <c r="N9" s="7">
        <v>300</v>
      </c>
      <c r="O9" s="7">
        <v>1200</v>
      </c>
      <c r="P9" s="7">
        <v>3</v>
      </c>
      <c r="Q9" s="7" t="s">
        <v>18</v>
      </c>
      <c r="R9" s="7" t="s">
        <v>65</v>
      </c>
      <c r="S9" s="7"/>
      <c r="T9" s="7">
        <v>8</v>
      </c>
      <c r="U9">
        <v>1</v>
      </c>
      <c r="W9" s="7">
        <v>1</v>
      </c>
      <c r="X9" s="7"/>
    </row>
    <row r="10" spans="1:27" x14ac:dyDescent="0.15">
      <c r="A10">
        <v>9</v>
      </c>
      <c r="B10" t="s">
        <v>70</v>
      </c>
      <c r="F10" t="s">
        <v>21</v>
      </c>
      <c r="G10" t="s">
        <v>72</v>
      </c>
      <c r="L10" s="7">
        <v>9</v>
      </c>
      <c r="M10" s="7" t="s">
        <v>22</v>
      </c>
      <c r="N10" s="7">
        <v>500</v>
      </c>
      <c r="O10" s="7">
        <v>3000</v>
      </c>
      <c r="P10" s="7">
        <v>3</v>
      </c>
      <c r="Q10" s="7" t="s">
        <v>21</v>
      </c>
      <c r="R10" s="7" t="s">
        <v>65</v>
      </c>
      <c r="S10" s="7"/>
      <c r="T10" s="7">
        <v>9</v>
      </c>
      <c r="U10">
        <v>1</v>
      </c>
      <c r="W10" s="7">
        <v>1</v>
      </c>
      <c r="X10" s="7"/>
    </row>
    <row r="11" spans="1:27" x14ac:dyDescent="0.15">
      <c r="A11">
        <v>10</v>
      </c>
      <c r="B11" t="s">
        <v>24</v>
      </c>
      <c r="F11" t="s">
        <v>23</v>
      </c>
      <c r="G11" t="s">
        <v>72</v>
      </c>
      <c r="L11" s="7">
        <v>10</v>
      </c>
      <c r="M11" s="7" t="s">
        <v>24</v>
      </c>
      <c r="N11" s="7">
        <v>5</v>
      </c>
      <c r="O11" s="7">
        <v>10000</v>
      </c>
      <c r="P11" s="7">
        <v>2</v>
      </c>
      <c r="Q11" s="7" t="s">
        <v>23</v>
      </c>
      <c r="R11" s="7" t="s">
        <v>64</v>
      </c>
      <c r="S11" s="7"/>
      <c r="T11" s="7">
        <v>10</v>
      </c>
      <c r="U11">
        <v>1</v>
      </c>
      <c r="W11" s="7">
        <v>1</v>
      </c>
      <c r="X11" s="7"/>
    </row>
    <row r="12" spans="1:27" x14ac:dyDescent="0.15">
      <c r="A12">
        <v>11</v>
      </c>
      <c r="B12" t="s">
        <v>35</v>
      </c>
      <c r="F12" t="s">
        <v>29</v>
      </c>
      <c r="G12" t="s">
        <v>74</v>
      </c>
      <c r="L12" s="7">
        <v>11</v>
      </c>
      <c r="M12" s="7" t="s">
        <v>35</v>
      </c>
      <c r="N12" s="7">
        <v>40</v>
      </c>
      <c r="O12" s="7"/>
      <c r="P12" s="7">
        <v>1</v>
      </c>
      <c r="Q12" s="7" t="s">
        <v>29</v>
      </c>
      <c r="R12" s="7" t="s">
        <v>64</v>
      </c>
      <c r="S12" s="7"/>
      <c r="T12" s="7">
        <v>11</v>
      </c>
      <c r="U12">
        <v>1</v>
      </c>
      <c r="W12" s="7">
        <v>1</v>
      </c>
      <c r="X12" s="7"/>
    </row>
    <row r="13" spans="1:27" x14ac:dyDescent="0.15">
      <c r="A13">
        <v>12</v>
      </c>
      <c r="B13" t="s">
        <v>71</v>
      </c>
      <c r="F13" t="s">
        <v>30</v>
      </c>
      <c r="G13" t="s">
        <v>72</v>
      </c>
      <c r="L13" s="7">
        <v>12</v>
      </c>
      <c r="M13" s="7" t="s">
        <v>36</v>
      </c>
      <c r="N13" s="7">
        <v>60</v>
      </c>
      <c r="O13" s="7"/>
      <c r="P13" s="7">
        <v>3</v>
      </c>
      <c r="Q13" s="7" t="s">
        <v>30</v>
      </c>
      <c r="R13" s="7" t="s">
        <v>65</v>
      </c>
      <c r="S13" s="7"/>
      <c r="T13" s="7">
        <v>12</v>
      </c>
      <c r="U13">
        <v>1</v>
      </c>
      <c r="W13" s="7">
        <v>1</v>
      </c>
      <c r="X13" s="7"/>
    </row>
    <row r="14" spans="1:27" x14ac:dyDescent="0.15">
      <c r="A14">
        <v>13</v>
      </c>
      <c r="B14" t="s">
        <v>37</v>
      </c>
      <c r="F14" t="s">
        <v>31</v>
      </c>
      <c r="G14" t="s">
        <v>72</v>
      </c>
      <c r="L14" s="7">
        <v>13</v>
      </c>
      <c r="M14" s="7" t="s">
        <v>37</v>
      </c>
      <c r="N14" s="7">
        <v>340</v>
      </c>
      <c r="O14" s="7"/>
      <c r="P14" s="7">
        <v>3</v>
      </c>
      <c r="Q14" s="7" t="s">
        <v>31</v>
      </c>
      <c r="R14" s="7" t="s">
        <v>65</v>
      </c>
      <c r="S14" s="7"/>
      <c r="T14" s="7">
        <v>13</v>
      </c>
      <c r="U14">
        <v>1</v>
      </c>
      <c r="W14" s="7">
        <v>1</v>
      </c>
      <c r="X14" s="7"/>
    </row>
    <row r="15" spans="1:27" x14ac:dyDescent="0.15">
      <c r="A15">
        <v>14</v>
      </c>
      <c r="B15" t="s">
        <v>75</v>
      </c>
      <c r="F15" t="s">
        <v>34</v>
      </c>
      <c r="L15" s="7">
        <v>14</v>
      </c>
      <c r="M15" s="7" t="s">
        <v>39</v>
      </c>
      <c r="N15" s="7">
        <v>1500</v>
      </c>
      <c r="O15" s="7"/>
      <c r="P15" s="7">
        <v>4</v>
      </c>
      <c r="Q15" s="7" t="s">
        <v>34</v>
      </c>
      <c r="R15" s="7" t="s">
        <v>62</v>
      </c>
      <c r="S15" s="7"/>
      <c r="T15" s="7">
        <v>14</v>
      </c>
      <c r="U15">
        <v>4</v>
      </c>
      <c r="W15" s="7">
        <v>1</v>
      </c>
      <c r="X15" s="7"/>
    </row>
    <row r="16" spans="1:27" x14ac:dyDescent="0.15">
      <c r="A16">
        <v>15</v>
      </c>
      <c r="B16" t="s">
        <v>76</v>
      </c>
      <c r="F16" t="s">
        <v>27</v>
      </c>
      <c r="G16" t="s">
        <v>77</v>
      </c>
      <c r="L16" s="7">
        <v>15</v>
      </c>
      <c r="M16" s="7" t="s">
        <v>40</v>
      </c>
      <c r="N16" s="7">
        <v>1500</v>
      </c>
      <c r="O16" s="7"/>
      <c r="P16" s="7">
        <v>4</v>
      </c>
      <c r="Q16" s="7" t="s">
        <v>27</v>
      </c>
      <c r="R16" s="7" t="s">
        <v>62</v>
      </c>
      <c r="S16" s="7"/>
      <c r="T16" s="7">
        <v>15</v>
      </c>
      <c r="U16">
        <v>2</v>
      </c>
      <c r="W16" s="7">
        <v>1</v>
      </c>
      <c r="X16" s="7"/>
    </row>
    <row r="17" spans="1:24" x14ac:dyDescent="0.15">
      <c r="A17">
        <v>16</v>
      </c>
      <c r="B17" t="s">
        <v>41</v>
      </c>
      <c r="F17" t="s">
        <v>33</v>
      </c>
      <c r="L17" s="7">
        <v>16</v>
      </c>
      <c r="M17" s="7" t="s">
        <v>41</v>
      </c>
      <c r="N17" s="7">
        <v>1500</v>
      </c>
      <c r="O17" s="7"/>
      <c r="P17" s="7">
        <v>4</v>
      </c>
      <c r="Q17" s="7" t="s">
        <v>33</v>
      </c>
      <c r="R17" s="7" t="s">
        <v>62</v>
      </c>
      <c r="S17" s="7"/>
      <c r="T17" s="7">
        <v>16</v>
      </c>
      <c r="U17">
        <v>2</v>
      </c>
      <c r="W17" s="7">
        <v>1</v>
      </c>
      <c r="X17" s="7"/>
    </row>
    <row r="18" spans="1:24" x14ac:dyDescent="0.15">
      <c r="A18">
        <v>17</v>
      </c>
      <c r="B18" t="s">
        <v>42</v>
      </c>
      <c r="F18" t="s">
        <v>32</v>
      </c>
      <c r="L18" s="7">
        <v>17</v>
      </c>
      <c r="M18" s="7" t="s">
        <v>42</v>
      </c>
      <c r="N18" s="7">
        <v>1500</v>
      </c>
      <c r="O18" s="7"/>
      <c r="P18" s="7">
        <v>4</v>
      </c>
      <c r="Q18" s="7" t="s">
        <v>32</v>
      </c>
      <c r="R18" s="7" t="s">
        <v>62</v>
      </c>
      <c r="S18" s="7"/>
      <c r="T18" s="7">
        <v>17</v>
      </c>
      <c r="U18">
        <v>2</v>
      </c>
      <c r="W18" s="7">
        <v>1</v>
      </c>
      <c r="X18" s="7"/>
    </row>
    <row r="19" spans="1:24" x14ac:dyDescent="0.15">
      <c r="A19">
        <v>18</v>
      </c>
      <c r="B19" t="s">
        <v>43</v>
      </c>
      <c r="F19" t="s">
        <v>28</v>
      </c>
      <c r="L19" s="7">
        <v>18</v>
      </c>
      <c r="M19" s="7" t="s">
        <v>43</v>
      </c>
      <c r="N19" s="7">
        <v>2500</v>
      </c>
      <c r="O19" s="7"/>
      <c r="P19" s="7">
        <v>4</v>
      </c>
      <c r="Q19" s="7" t="s">
        <v>28</v>
      </c>
      <c r="R19" s="7" t="s">
        <v>62</v>
      </c>
      <c r="S19" s="7"/>
      <c r="T19" s="7">
        <v>18</v>
      </c>
      <c r="U19">
        <v>2</v>
      </c>
      <c r="W19" s="7">
        <v>1</v>
      </c>
      <c r="X19" s="7"/>
    </row>
    <row r="20" spans="1:24" x14ac:dyDescent="0.15">
      <c r="A20">
        <v>19</v>
      </c>
      <c r="B20" t="s">
        <v>44</v>
      </c>
      <c r="F20" t="s">
        <v>38</v>
      </c>
      <c r="L20" s="7">
        <v>19</v>
      </c>
      <c r="M20" s="7" t="s">
        <v>44</v>
      </c>
      <c r="N20" s="7">
        <v>2500</v>
      </c>
      <c r="O20" s="7"/>
      <c r="P20" s="7">
        <v>4</v>
      </c>
      <c r="Q20" s="7" t="s">
        <v>38</v>
      </c>
      <c r="R20" s="7" t="s">
        <v>62</v>
      </c>
      <c r="S20" s="7"/>
      <c r="T20" s="7">
        <v>19</v>
      </c>
      <c r="U20">
        <v>2</v>
      </c>
      <c r="W20" s="7">
        <v>1</v>
      </c>
      <c r="X20" s="7"/>
    </row>
    <row r="21" spans="1:24" x14ac:dyDescent="0.15">
      <c r="A21">
        <v>20</v>
      </c>
      <c r="B21" t="s">
        <v>45</v>
      </c>
      <c r="F21" t="s">
        <v>25</v>
      </c>
      <c r="G21" t="s">
        <v>72</v>
      </c>
      <c r="L21" s="7">
        <v>20</v>
      </c>
      <c r="M21" s="7" t="s">
        <v>45</v>
      </c>
      <c r="N21" s="7">
        <v>45</v>
      </c>
      <c r="O21" s="7"/>
      <c r="P21" s="7">
        <v>1</v>
      </c>
      <c r="Q21" s="7" t="s">
        <v>25</v>
      </c>
      <c r="R21" s="7" t="s">
        <v>62</v>
      </c>
      <c r="S21" s="7"/>
      <c r="T21" s="7">
        <v>20</v>
      </c>
      <c r="U21">
        <v>2</v>
      </c>
      <c r="W21" s="7">
        <v>1</v>
      </c>
      <c r="X21" s="7"/>
    </row>
    <row r="22" spans="1:24" x14ac:dyDescent="0.15">
      <c r="A22">
        <v>21</v>
      </c>
      <c r="B22" t="s">
        <v>46</v>
      </c>
      <c r="F22" t="s">
        <v>26</v>
      </c>
      <c r="G22" t="s">
        <v>72</v>
      </c>
      <c r="L22" s="7">
        <v>21</v>
      </c>
      <c r="M22" s="7" t="s">
        <v>46</v>
      </c>
      <c r="N22" s="7">
        <v>25</v>
      </c>
      <c r="O22" s="7"/>
      <c r="P22" s="7">
        <v>1</v>
      </c>
      <c r="Q22" s="7" t="s">
        <v>26</v>
      </c>
      <c r="R22" s="7" t="s">
        <v>62</v>
      </c>
      <c r="S22" s="7"/>
      <c r="T22" s="7">
        <v>21</v>
      </c>
      <c r="U22">
        <v>9</v>
      </c>
      <c r="W22" s="7">
        <v>2</v>
      </c>
      <c r="X22" s="7"/>
    </row>
    <row r="23" spans="1:24" x14ac:dyDescent="0.15">
      <c r="A23">
        <v>22</v>
      </c>
      <c r="B23" t="s">
        <v>48</v>
      </c>
      <c r="F23" t="s">
        <v>47</v>
      </c>
      <c r="G23" t="s">
        <v>72</v>
      </c>
      <c r="L23" s="7">
        <v>22</v>
      </c>
      <c r="M23" s="7" t="s">
        <v>48</v>
      </c>
      <c r="N23" s="7">
        <v>100</v>
      </c>
      <c r="O23" s="7"/>
      <c r="P23" s="7">
        <v>2</v>
      </c>
      <c r="Q23" s="7" t="s">
        <v>47</v>
      </c>
      <c r="R23" s="7" t="s">
        <v>62</v>
      </c>
      <c r="S23" s="7"/>
      <c r="T23" s="7">
        <v>22</v>
      </c>
      <c r="U23">
        <v>2</v>
      </c>
      <c r="W23" s="7">
        <v>1</v>
      </c>
      <c r="X23" s="7"/>
    </row>
    <row r="24" spans="1:24" x14ac:dyDescent="0.15">
      <c r="A24">
        <v>23</v>
      </c>
      <c r="B24" t="s">
        <v>50</v>
      </c>
      <c r="F24" t="s">
        <v>49</v>
      </c>
      <c r="G24" t="s">
        <v>72</v>
      </c>
      <c r="L24" s="7">
        <v>23</v>
      </c>
      <c r="M24" s="7" t="s">
        <v>50</v>
      </c>
      <c r="N24" s="7">
        <v>7</v>
      </c>
      <c r="O24" s="7"/>
      <c r="P24" s="7">
        <v>1</v>
      </c>
      <c r="Q24" s="7" t="s">
        <v>49</v>
      </c>
      <c r="R24" s="7" t="s">
        <v>62</v>
      </c>
      <c r="S24" s="7"/>
      <c r="T24" s="7">
        <v>23</v>
      </c>
      <c r="U24">
        <v>2</v>
      </c>
      <c r="W24" s="7">
        <v>1</v>
      </c>
      <c r="X24" s="7"/>
    </row>
    <row r="25" spans="1:24" x14ac:dyDescent="0.15">
      <c r="A25">
        <v>24</v>
      </c>
      <c r="B25" t="s">
        <v>52</v>
      </c>
      <c r="F25" t="s">
        <v>51</v>
      </c>
      <c r="L25" s="7">
        <v>24</v>
      </c>
      <c r="M25" s="7" t="s">
        <v>52</v>
      </c>
      <c r="N25" s="7">
        <v>10</v>
      </c>
      <c r="O25" s="7"/>
      <c r="P25" s="7">
        <v>1</v>
      </c>
      <c r="Q25" s="7" t="s">
        <v>51</v>
      </c>
      <c r="R25" s="7" t="s">
        <v>62</v>
      </c>
      <c r="S25" s="7"/>
      <c r="T25" s="7">
        <v>24</v>
      </c>
      <c r="U25">
        <v>2</v>
      </c>
      <c r="W25" s="7">
        <v>1</v>
      </c>
      <c r="X25" s="7"/>
    </row>
    <row r="26" spans="1:24" x14ac:dyDescent="0.15">
      <c r="A26">
        <v>25</v>
      </c>
      <c r="B26" t="s">
        <v>55</v>
      </c>
      <c r="F26" t="s">
        <v>53</v>
      </c>
      <c r="G26" t="s">
        <v>73</v>
      </c>
      <c r="L26" s="7">
        <v>25</v>
      </c>
      <c r="M26" s="7" t="s">
        <v>55</v>
      </c>
      <c r="N26" s="7">
        <v>13</v>
      </c>
      <c r="O26" s="7"/>
      <c r="P26" s="7">
        <v>1</v>
      </c>
      <c r="Q26" s="7" t="s">
        <v>53</v>
      </c>
      <c r="R26" s="7" t="s">
        <v>62</v>
      </c>
      <c r="S26" s="7"/>
      <c r="T26" s="7">
        <v>25</v>
      </c>
      <c r="U26">
        <v>2</v>
      </c>
      <c r="W26" s="7">
        <v>1</v>
      </c>
      <c r="X26" s="7"/>
    </row>
    <row r="27" spans="1:24" x14ac:dyDescent="0.15">
      <c r="A27">
        <v>26</v>
      </c>
      <c r="B27" t="s">
        <v>56</v>
      </c>
      <c r="F27" t="s">
        <v>54</v>
      </c>
      <c r="L27" s="7">
        <v>26</v>
      </c>
      <c r="M27" s="7" t="s">
        <v>56</v>
      </c>
      <c r="N27" s="7">
        <v>70</v>
      </c>
      <c r="O27" s="7"/>
      <c r="P27" s="7">
        <v>1</v>
      </c>
      <c r="Q27" s="7" t="s">
        <v>54</v>
      </c>
      <c r="R27" s="7" t="s">
        <v>62</v>
      </c>
      <c r="S27" s="7"/>
      <c r="T27" s="7">
        <v>26</v>
      </c>
      <c r="U27">
        <v>2</v>
      </c>
      <c r="W27" s="7">
        <v>1</v>
      </c>
      <c r="X27" s="7"/>
    </row>
    <row r="28" spans="1:24" x14ac:dyDescent="0.15">
      <c r="A28">
        <v>27</v>
      </c>
      <c r="B28" t="s">
        <v>59</v>
      </c>
      <c r="F28" t="s">
        <v>57</v>
      </c>
      <c r="G28" t="s">
        <v>72</v>
      </c>
      <c r="L28" s="7">
        <v>27</v>
      </c>
      <c r="M28" s="7" t="s">
        <v>59</v>
      </c>
      <c r="N28" s="7">
        <v>35</v>
      </c>
      <c r="O28" s="7"/>
      <c r="P28" s="7">
        <v>1</v>
      </c>
      <c r="Q28" s="7" t="s">
        <v>57</v>
      </c>
      <c r="R28" s="7" t="s">
        <v>62</v>
      </c>
      <c r="S28" s="7"/>
      <c r="T28" s="7">
        <v>27</v>
      </c>
      <c r="U28">
        <v>2</v>
      </c>
      <c r="W28" s="7">
        <v>1</v>
      </c>
      <c r="X28" s="7"/>
    </row>
    <row r="29" spans="1:24" x14ac:dyDescent="0.15">
      <c r="A29">
        <v>28</v>
      </c>
      <c r="B29" t="s">
        <v>60</v>
      </c>
      <c r="F29" t="s">
        <v>58</v>
      </c>
      <c r="L29" s="7">
        <v>28</v>
      </c>
      <c r="M29" s="7" t="s">
        <v>60</v>
      </c>
      <c r="N29" s="7">
        <v>45</v>
      </c>
      <c r="O29" s="7"/>
      <c r="P29" s="7">
        <v>1</v>
      </c>
      <c r="Q29" s="7" t="s">
        <v>58</v>
      </c>
      <c r="R29" s="7" t="s">
        <v>62</v>
      </c>
      <c r="S29" s="7"/>
      <c r="T29" s="7">
        <v>28</v>
      </c>
      <c r="U29">
        <v>17</v>
      </c>
      <c r="W29" s="7">
        <v>2</v>
      </c>
      <c r="X29" s="7"/>
    </row>
    <row r="30" spans="1:24" x14ac:dyDescent="0.15">
      <c r="T30" s="7">
        <v>29</v>
      </c>
      <c r="U30">
        <v>4</v>
      </c>
      <c r="W30" s="7">
        <v>1</v>
      </c>
      <c r="X30" s="7"/>
    </row>
    <row r="31" spans="1:24" x14ac:dyDescent="0.15">
      <c r="T31" s="7">
        <v>30</v>
      </c>
      <c r="U31">
        <v>4</v>
      </c>
      <c r="W31" s="7">
        <v>1</v>
      </c>
      <c r="X31" s="7"/>
    </row>
    <row r="32" spans="1:24" x14ac:dyDescent="0.15">
      <c r="T32" s="7">
        <v>31</v>
      </c>
      <c r="U32">
        <v>4</v>
      </c>
      <c r="W32" s="7">
        <v>1</v>
      </c>
      <c r="X32" s="7"/>
    </row>
    <row r="33" spans="20:24" x14ac:dyDescent="0.15">
      <c r="T33" s="7">
        <v>32</v>
      </c>
      <c r="U33">
        <v>4</v>
      </c>
      <c r="W33" s="7">
        <v>1</v>
      </c>
      <c r="X33" s="7"/>
    </row>
    <row r="34" spans="20:24" x14ac:dyDescent="0.15">
      <c r="T34" s="7">
        <v>33</v>
      </c>
      <c r="U34">
        <v>4</v>
      </c>
      <c r="W34" s="7">
        <v>1</v>
      </c>
      <c r="X34" s="7"/>
    </row>
    <row r="35" spans="20:24" x14ac:dyDescent="0.15">
      <c r="T35" s="7">
        <v>34</v>
      </c>
      <c r="U35">
        <v>4</v>
      </c>
      <c r="W35" s="7">
        <v>1</v>
      </c>
      <c r="X35" s="7"/>
    </row>
    <row r="36" spans="20:24" x14ac:dyDescent="0.15">
      <c r="T36" s="7">
        <v>35</v>
      </c>
      <c r="U36">
        <v>39</v>
      </c>
      <c r="W36" s="7">
        <v>4</v>
      </c>
      <c r="X36" s="7"/>
    </row>
    <row r="37" spans="20:24" x14ac:dyDescent="0.15">
      <c r="T37" s="7">
        <v>36</v>
      </c>
      <c r="U37">
        <v>6</v>
      </c>
      <c r="W37" s="7">
        <f t="shared" ref="W37:W66" si="0">LOOKUP(U37/5,$O$2:$O$11,$L$2:$L$11)</f>
        <v>1</v>
      </c>
      <c r="X37" s="7"/>
    </row>
    <row r="38" spans="20:24" x14ac:dyDescent="0.15">
      <c r="T38" s="7">
        <v>37</v>
      </c>
      <c r="U38">
        <v>6</v>
      </c>
      <c r="W38" s="8">
        <f t="shared" si="0"/>
        <v>1</v>
      </c>
      <c r="X38" s="7"/>
    </row>
    <row r="39" spans="20:24" x14ac:dyDescent="0.15">
      <c r="T39" s="7">
        <v>38</v>
      </c>
      <c r="U39">
        <v>6</v>
      </c>
      <c r="W39" s="7">
        <f t="shared" si="0"/>
        <v>1</v>
      </c>
      <c r="X39" s="7"/>
    </row>
    <row r="40" spans="20:24" x14ac:dyDescent="0.15">
      <c r="T40" s="7">
        <v>39</v>
      </c>
      <c r="U40">
        <v>6</v>
      </c>
      <c r="W40" s="7">
        <f t="shared" si="0"/>
        <v>1</v>
      </c>
      <c r="X40" s="7"/>
    </row>
    <row r="41" spans="20:24" x14ac:dyDescent="0.15">
      <c r="T41" s="7">
        <v>40</v>
      </c>
      <c r="U41">
        <v>6</v>
      </c>
      <c r="W41" s="7">
        <f t="shared" si="0"/>
        <v>1</v>
      </c>
      <c r="X41" s="7"/>
    </row>
    <row r="42" spans="20:24" x14ac:dyDescent="0.15">
      <c r="T42" s="7">
        <v>41</v>
      </c>
      <c r="U42">
        <v>6</v>
      </c>
      <c r="W42" s="7">
        <f t="shared" si="0"/>
        <v>1</v>
      </c>
      <c r="X42" s="7"/>
    </row>
    <row r="43" spans="20:24" x14ac:dyDescent="0.15">
      <c r="T43" s="7">
        <v>42</v>
      </c>
      <c r="U43">
        <v>13</v>
      </c>
      <c r="W43" s="7">
        <v>2</v>
      </c>
      <c r="X43" s="7"/>
    </row>
    <row r="44" spans="20:24" x14ac:dyDescent="0.15">
      <c r="T44" s="7">
        <v>43</v>
      </c>
      <c r="U44">
        <v>10</v>
      </c>
      <c r="W44" s="7">
        <v>2</v>
      </c>
      <c r="X44" s="7"/>
    </row>
    <row r="45" spans="20:24" x14ac:dyDescent="0.15">
      <c r="T45" s="7">
        <v>44</v>
      </c>
      <c r="U45">
        <v>10</v>
      </c>
      <c r="W45" s="7">
        <v>2</v>
      </c>
      <c r="X45" s="7"/>
    </row>
    <row r="46" spans="20:24" x14ac:dyDescent="0.15">
      <c r="T46" s="7">
        <v>45</v>
      </c>
      <c r="U46">
        <v>10</v>
      </c>
      <c r="W46" s="7">
        <v>2</v>
      </c>
      <c r="X46" s="7"/>
    </row>
    <row r="47" spans="20:24" x14ac:dyDescent="0.15">
      <c r="T47" s="7">
        <v>46</v>
      </c>
      <c r="U47">
        <v>10</v>
      </c>
      <c r="W47" s="7">
        <v>2</v>
      </c>
      <c r="X47" s="7"/>
    </row>
    <row r="48" spans="20:24" x14ac:dyDescent="0.15">
      <c r="T48" s="7">
        <v>47</v>
      </c>
      <c r="U48">
        <v>10</v>
      </c>
      <c r="W48" s="7">
        <v>2</v>
      </c>
      <c r="X48" s="7"/>
    </row>
    <row r="49" spans="20:24" x14ac:dyDescent="0.15">
      <c r="T49" s="7">
        <v>48</v>
      </c>
      <c r="U49">
        <v>10</v>
      </c>
      <c r="W49" s="7">
        <v>2</v>
      </c>
      <c r="X49" s="7"/>
    </row>
    <row r="50" spans="20:24" x14ac:dyDescent="0.15">
      <c r="T50" s="7">
        <v>49</v>
      </c>
      <c r="U50">
        <v>40</v>
      </c>
      <c r="W50" s="7">
        <f t="shared" si="0"/>
        <v>2</v>
      </c>
      <c r="X50" s="7"/>
    </row>
    <row r="51" spans="20:24" x14ac:dyDescent="0.15">
      <c r="T51" s="7">
        <v>50</v>
      </c>
      <c r="U51">
        <v>16</v>
      </c>
      <c r="W51" s="7">
        <v>2</v>
      </c>
      <c r="X51" s="7"/>
    </row>
    <row r="52" spans="20:24" x14ac:dyDescent="0.15">
      <c r="T52" s="7">
        <v>51</v>
      </c>
      <c r="U52">
        <v>16</v>
      </c>
      <c r="W52" s="7">
        <v>2</v>
      </c>
      <c r="X52" s="7"/>
    </row>
    <row r="53" spans="20:24" x14ac:dyDescent="0.15">
      <c r="T53" s="7">
        <v>52</v>
      </c>
      <c r="U53">
        <v>16</v>
      </c>
      <c r="W53" s="7">
        <v>2</v>
      </c>
      <c r="X53" s="7"/>
    </row>
    <row r="54" spans="20:24" x14ac:dyDescent="0.15">
      <c r="T54" s="7">
        <v>53</v>
      </c>
      <c r="U54">
        <v>16</v>
      </c>
      <c r="W54" s="7">
        <v>2</v>
      </c>
      <c r="X54" s="7"/>
    </row>
    <row r="55" spans="20:24" x14ac:dyDescent="0.15">
      <c r="T55" s="7">
        <v>54</v>
      </c>
      <c r="U55">
        <v>16</v>
      </c>
      <c r="W55" s="7">
        <v>2</v>
      </c>
      <c r="X55" s="7"/>
    </row>
    <row r="56" spans="20:24" x14ac:dyDescent="0.15">
      <c r="T56" s="7">
        <v>55</v>
      </c>
      <c r="U56">
        <v>16</v>
      </c>
      <c r="W56" s="7">
        <v>2</v>
      </c>
      <c r="X56" s="7"/>
    </row>
    <row r="57" spans="20:24" x14ac:dyDescent="0.15">
      <c r="T57" s="7">
        <v>56</v>
      </c>
      <c r="U57">
        <v>96</v>
      </c>
      <c r="W57" s="7">
        <v>5</v>
      </c>
      <c r="X57" s="7"/>
    </row>
    <row r="58" spans="20:24" x14ac:dyDescent="0.15">
      <c r="T58" s="7">
        <v>57</v>
      </c>
      <c r="U58">
        <v>26</v>
      </c>
      <c r="W58" s="7">
        <f t="shared" si="0"/>
        <v>2</v>
      </c>
      <c r="X58" s="7"/>
    </row>
    <row r="59" spans="20:24" x14ac:dyDescent="0.15">
      <c r="T59" s="7">
        <v>58</v>
      </c>
      <c r="U59">
        <v>26</v>
      </c>
      <c r="W59" s="7">
        <f t="shared" si="0"/>
        <v>2</v>
      </c>
      <c r="X59" s="7"/>
    </row>
    <row r="60" spans="20:24" x14ac:dyDescent="0.15">
      <c r="T60" s="7">
        <v>59</v>
      </c>
      <c r="U60">
        <v>26</v>
      </c>
      <c r="W60" s="7">
        <f t="shared" si="0"/>
        <v>2</v>
      </c>
      <c r="X60" s="7"/>
    </row>
    <row r="61" spans="20:24" x14ac:dyDescent="0.15">
      <c r="T61" s="7">
        <v>60</v>
      </c>
      <c r="U61">
        <v>26</v>
      </c>
      <c r="W61" s="7">
        <f t="shared" si="0"/>
        <v>2</v>
      </c>
      <c r="X61" s="7"/>
    </row>
    <row r="62" spans="20:24" x14ac:dyDescent="0.15">
      <c r="T62" s="7">
        <v>61</v>
      </c>
      <c r="U62">
        <v>26</v>
      </c>
      <c r="W62" s="7">
        <f t="shared" si="0"/>
        <v>2</v>
      </c>
      <c r="X62" s="7"/>
    </row>
    <row r="63" spans="20:24" x14ac:dyDescent="0.15">
      <c r="T63" s="7">
        <v>62</v>
      </c>
      <c r="U63">
        <v>26</v>
      </c>
      <c r="W63" s="7">
        <f t="shared" si="0"/>
        <v>2</v>
      </c>
      <c r="X63" s="7"/>
    </row>
    <row r="64" spans="20:24" x14ac:dyDescent="0.15">
      <c r="T64" s="7">
        <v>63</v>
      </c>
      <c r="U64">
        <v>181</v>
      </c>
      <c r="W64" s="7">
        <v>5</v>
      </c>
      <c r="X64" s="7"/>
    </row>
    <row r="65" spans="20:24" x14ac:dyDescent="0.15">
      <c r="T65" s="7">
        <v>64</v>
      </c>
      <c r="U65">
        <v>41</v>
      </c>
      <c r="W65" s="7">
        <f t="shared" si="0"/>
        <v>2</v>
      </c>
      <c r="X65" s="7"/>
    </row>
    <row r="66" spans="20:24" x14ac:dyDescent="0.15">
      <c r="T66" s="7">
        <v>65</v>
      </c>
      <c r="U66">
        <v>41</v>
      </c>
      <c r="W66" s="7">
        <f t="shared" si="0"/>
        <v>2</v>
      </c>
      <c r="X66" s="7"/>
    </row>
    <row r="67" spans="20:24" x14ac:dyDescent="0.15">
      <c r="T67" s="7">
        <v>66</v>
      </c>
      <c r="U67">
        <v>41</v>
      </c>
      <c r="W67" s="7">
        <f t="shared" ref="W67:W130" si="1">LOOKUP(U67/5,$O$2:$O$11,$L$2:$L$11)</f>
        <v>2</v>
      </c>
      <c r="X67" s="7"/>
    </row>
    <row r="68" spans="20:24" x14ac:dyDescent="0.15">
      <c r="T68" s="7">
        <v>67</v>
      </c>
      <c r="U68">
        <v>41</v>
      </c>
      <c r="W68" s="7">
        <f t="shared" si="1"/>
        <v>2</v>
      </c>
      <c r="X68" s="7"/>
    </row>
    <row r="69" spans="20:24" x14ac:dyDescent="0.15">
      <c r="T69" s="7">
        <v>68</v>
      </c>
      <c r="U69">
        <v>41</v>
      </c>
      <c r="W69" s="7">
        <f t="shared" si="1"/>
        <v>2</v>
      </c>
      <c r="X69" s="7"/>
    </row>
    <row r="70" spans="20:24" x14ac:dyDescent="0.15">
      <c r="T70" s="7">
        <v>69</v>
      </c>
      <c r="U70">
        <v>41</v>
      </c>
      <c r="W70" s="7">
        <f t="shared" si="1"/>
        <v>2</v>
      </c>
      <c r="X70" s="7"/>
    </row>
    <row r="71" spans="20:24" x14ac:dyDescent="0.15">
      <c r="T71" s="7">
        <v>70</v>
      </c>
      <c r="U71">
        <v>412</v>
      </c>
      <c r="W71" s="7">
        <v>6</v>
      </c>
      <c r="X71" s="7"/>
    </row>
    <row r="72" spans="20:24" x14ac:dyDescent="0.15">
      <c r="T72" s="7">
        <v>71</v>
      </c>
      <c r="U72">
        <v>66</v>
      </c>
      <c r="W72" s="7">
        <f t="shared" si="1"/>
        <v>3</v>
      </c>
      <c r="X72" s="7"/>
    </row>
    <row r="73" spans="20:24" x14ac:dyDescent="0.15">
      <c r="T73" s="7">
        <v>72</v>
      </c>
      <c r="U73">
        <v>66</v>
      </c>
      <c r="W73" s="7">
        <f t="shared" si="1"/>
        <v>3</v>
      </c>
      <c r="X73" s="7"/>
    </row>
    <row r="74" spans="20:24" x14ac:dyDescent="0.15">
      <c r="T74" s="7">
        <v>73</v>
      </c>
      <c r="U74">
        <v>66</v>
      </c>
      <c r="W74" s="7">
        <f t="shared" si="1"/>
        <v>3</v>
      </c>
      <c r="X74" s="7"/>
    </row>
    <row r="75" spans="20:24" x14ac:dyDescent="0.15">
      <c r="T75" s="7">
        <v>74</v>
      </c>
      <c r="U75">
        <v>66</v>
      </c>
      <c r="W75" s="7">
        <f t="shared" si="1"/>
        <v>3</v>
      </c>
      <c r="X75" s="7"/>
    </row>
    <row r="76" spans="20:24" x14ac:dyDescent="0.15">
      <c r="T76" s="7">
        <v>75</v>
      </c>
      <c r="U76">
        <v>66</v>
      </c>
      <c r="W76" s="7">
        <f t="shared" si="1"/>
        <v>3</v>
      </c>
      <c r="X76" s="7"/>
    </row>
    <row r="77" spans="20:24" x14ac:dyDescent="0.15">
      <c r="T77" s="7">
        <v>76</v>
      </c>
      <c r="U77">
        <v>66</v>
      </c>
      <c r="W77" s="7">
        <f t="shared" si="1"/>
        <v>3</v>
      </c>
      <c r="X77" s="7"/>
    </row>
    <row r="78" spans="20:24" x14ac:dyDescent="0.15">
      <c r="T78" s="7">
        <v>77</v>
      </c>
      <c r="U78">
        <v>132</v>
      </c>
      <c r="W78" s="7">
        <f t="shared" si="1"/>
        <v>3</v>
      </c>
      <c r="X78" s="7"/>
    </row>
    <row r="79" spans="20:24" x14ac:dyDescent="0.15">
      <c r="T79" s="7">
        <v>78</v>
      </c>
      <c r="U79">
        <v>105</v>
      </c>
      <c r="W79" s="7">
        <f t="shared" si="1"/>
        <v>3</v>
      </c>
      <c r="X79" s="7"/>
    </row>
    <row r="80" spans="20:24" x14ac:dyDescent="0.15">
      <c r="T80" s="7">
        <v>79</v>
      </c>
      <c r="U80">
        <v>105</v>
      </c>
      <c r="W80" s="7">
        <f t="shared" si="1"/>
        <v>3</v>
      </c>
      <c r="X80" s="7"/>
    </row>
    <row r="81" spans="20:24" x14ac:dyDescent="0.15">
      <c r="T81" s="7">
        <v>80</v>
      </c>
      <c r="U81">
        <v>105</v>
      </c>
      <c r="W81" s="7">
        <f t="shared" si="1"/>
        <v>3</v>
      </c>
      <c r="X81" s="7"/>
    </row>
    <row r="82" spans="20:24" x14ac:dyDescent="0.15">
      <c r="T82" s="7">
        <v>81</v>
      </c>
      <c r="U82">
        <v>105</v>
      </c>
      <c r="W82" s="7">
        <f t="shared" si="1"/>
        <v>3</v>
      </c>
      <c r="X82" s="7"/>
    </row>
    <row r="83" spans="20:24" x14ac:dyDescent="0.15">
      <c r="T83" s="7">
        <v>82</v>
      </c>
      <c r="U83">
        <v>105</v>
      </c>
      <c r="W83" s="7">
        <f t="shared" si="1"/>
        <v>3</v>
      </c>
      <c r="X83" s="7"/>
    </row>
    <row r="84" spans="20:24" x14ac:dyDescent="0.15">
      <c r="T84" s="7">
        <v>83</v>
      </c>
      <c r="U84">
        <v>105</v>
      </c>
      <c r="W84" s="7">
        <f t="shared" si="1"/>
        <v>3</v>
      </c>
      <c r="X84" s="7"/>
    </row>
    <row r="85" spans="20:24" x14ac:dyDescent="0.15">
      <c r="T85" s="7">
        <v>84</v>
      </c>
      <c r="U85">
        <v>421</v>
      </c>
      <c r="W85" s="7">
        <v>6</v>
      </c>
      <c r="X85" s="7"/>
    </row>
    <row r="86" spans="20:24" x14ac:dyDescent="0.15">
      <c r="T86" s="7">
        <v>85</v>
      </c>
      <c r="U86">
        <v>168</v>
      </c>
      <c r="W86" s="7">
        <f t="shared" si="1"/>
        <v>4</v>
      </c>
      <c r="X86" s="7"/>
    </row>
    <row r="87" spans="20:24" x14ac:dyDescent="0.15">
      <c r="T87" s="7">
        <v>86</v>
      </c>
      <c r="U87">
        <v>168</v>
      </c>
      <c r="W87" s="7">
        <f t="shared" si="1"/>
        <v>4</v>
      </c>
      <c r="X87" s="7"/>
    </row>
    <row r="88" spans="20:24" x14ac:dyDescent="0.15">
      <c r="T88" s="7">
        <v>87</v>
      </c>
      <c r="U88">
        <v>168</v>
      </c>
      <c r="W88" s="7">
        <f t="shared" si="1"/>
        <v>4</v>
      </c>
      <c r="X88" s="7"/>
    </row>
    <row r="89" spans="20:24" x14ac:dyDescent="0.15">
      <c r="T89" s="7">
        <v>88</v>
      </c>
      <c r="U89">
        <v>168</v>
      </c>
      <c r="W89" s="7">
        <f t="shared" si="1"/>
        <v>4</v>
      </c>
      <c r="X89" s="7"/>
    </row>
    <row r="90" spans="20:24" x14ac:dyDescent="0.15">
      <c r="T90" s="7">
        <v>89</v>
      </c>
      <c r="U90">
        <v>168</v>
      </c>
      <c r="W90" s="7">
        <f t="shared" si="1"/>
        <v>4</v>
      </c>
      <c r="X90" s="7"/>
    </row>
    <row r="91" spans="20:24" x14ac:dyDescent="0.15">
      <c r="T91" s="7">
        <v>90</v>
      </c>
      <c r="U91">
        <v>168</v>
      </c>
      <c r="W91" s="7">
        <f t="shared" si="1"/>
        <v>4</v>
      </c>
      <c r="X91" s="7"/>
    </row>
    <row r="92" spans="20:24" x14ac:dyDescent="0.15">
      <c r="T92" s="7">
        <v>91</v>
      </c>
      <c r="U92">
        <v>1010</v>
      </c>
      <c r="W92" s="7">
        <v>7</v>
      </c>
      <c r="X92" s="7"/>
    </row>
    <row r="93" spans="20:24" x14ac:dyDescent="0.15">
      <c r="T93" s="7">
        <v>92</v>
      </c>
      <c r="U93">
        <v>269</v>
      </c>
      <c r="W93" s="7">
        <f t="shared" si="1"/>
        <v>4</v>
      </c>
      <c r="X93" s="7"/>
    </row>
    <row r="94" spans="20:24" x14ac:dyDescent="0.15">
      <c r="T94" s="7">
        <v>93</v>
      </c>
      <c r="U94">
        <v>269</v>
      </c>
      <c r="W94" s="7">
        <f t="shared" si="1"/>
        <v>4</v>
      </c>
      <c r="X94" s="7"/>
    </row>
    <row r="95" spans="20:24" x14ac:dyDescent="0.15">
      <c r="T95" s="7">
        <v>94</v>
      </c>
      <c r="U95">
        <v>269</v>
      </c>
      <c r="W95" s="7">
        <f t="shared" si="1"/>
        <v>4</v>
      </c>
      <c r="X95" s="7"/>
    </row>
    <row r="96" spans="20:24" x14ac:dyDescent="0.15">
      <c r="T96" s="7">
        <v>95</v>
      </c>
      <c r="U96">
        <v>269</v>
      </c>
      <c r="W96" s="7">
        <f t="shared" si="1"/>
        <v>4</v>
      </c>
      <c r="X96" s="7"/>
    </row>
    <row r="97" spans="20:24" x14ac:dyDescent="0.15">
      <c r="T97" s="7">
        <v>96</v>
      </c>
      <c r="U97">
        <v>269</v>
      </c>
      <c r="W97" s="7">
        <f t="shared" si="1"/>
        <v>4</v>
      </c>
      <c r="X97" s="7"/>
    </row>
    <row r="98" spans="20:24" x14ac:dyDescent="0.15">
      <c r="T98" s="7">
        <v>97</v>
      </c>
      <c r="U98">
        <v>269</v>
      </c>
      <c r="W98" s="7">
        <f t="shared" si="1"/>
        <v>4</v>
      </c>
      <c r="X98" s="7"/>
    </row>
    <row r="99" spans="20:24" x14ac:dyDescent="0.15">
      <c r="T99" s="7">
        <v>98</v>
      </c>
      <c r="U99">
        <v>1883</v>
      </c>
      <c r="W99" s="7">
        <f t="shared" si="1"/>
        <v>6</v>
      </c>
      <c r="X99" s="7"/>
    </row>
    <row r="100" spans="20:24" x14ac:dyDescent="0.15">
      <c r="T100" s="7">
        <v>99</v>
      </c>
      <c r="U100">
        <v>430</v>
      </c>
      <c r="W100" s="7">
        <f t="shared" si="1"/>
        <v>5</v>
      </c>
      <c r="X100" s="7"/>
    </row>
    <row r="101" spans="20:24" x14ac:dyDescent="0.15">
      <c r="T101" s="7">
        <v>100</v>
      </c>
      <c r="U101">
        <v>430</v>
      </c>
      <c r="W101" s="7">
        <f t="shared" si="1"/>
        <v>5</v>
      </c>
      <c r="X101" s="7"/>
    </row>
    <row r="102" spans="20:24" x14ac:dyDescent="0.15">
      <c r="T102" s="7">
        <v>101</v>
      </c>
      <c r="U102">
        <v>430</v>
      </c>
      <c r="W102" s="7">
        <f t="shared" si="1"/>
        <v>5</v>
      </c>
      <c r="X102" s="7"/>
    </row>
    <row r="103" spans="20:24" x14ac:dyDescent="0.15">
      <c r="T103" s="7">
        <v>102</v>
      </c>
      <c r="U103">
        <v>430</v>
      </c>
      <c r="W103" s="7">
        <f t="shared" si="1"/>
        <v>5</v>
      </c>
      <c r="X103" s="7"/>
    </row>
    <row r="104" spans="20:24" x14ac:dyDescent="0.15">
      <c r="T104" s="7">
        <v>103</v>
      </c>
      <c r="U104">
        <v>430</v>
      </c>
      <c r="W104" s="7">
        <f t="shared" si="1"/>
        <v>5</v>
      </c>
      <c r="X104" s="7"/>
    </row>
    <row r="105" spans="20:24" x14ac:dyDescent="0.15">
      <c r="T105" s="7">
        <v>104</v>
      </c>
      <c r="U105">
        <v>430</v>
      </c>
      <c r="W105" s="7">
        <f t="shared" si="1"/>
        <v>5</v>
      </c>
      <c r="X105" s="7"/>
    </row>
    <row r="106" spans="20:24" x14ac:dyDescent="0.15">
      <c r="T106" s="7">
        <v>105</v>
      </c>
      <c r="U106">
        <v>4296</v>
      </c>
      <c r="W106" s="7">
        <f t="shared" si="1"/>
        <v>7</v>
      </c>
      <c r="X106" s="7"/>
    </row>
    <row r="107" spans="20:24" x14ac:dyDescent="0.15">
      <c r="T107" s="7">
        <v>106</v>
      </c>
      <c r="U107">
        <v>686</v>
      </c>
      <c r="W107" s="7">
        <f t="shared" si="1"/>
        <v>5</v>
      </c>
      <c r="X107" s="7"/>
    </row>
    <row r="108" spans="20:24" x14ac:dyDescent="0.15">
      <c r="T108" s="7">
        <v>107</v>
      </c>
      <c r="U108">
        <v>686</v>
      </c>
      <c r="W108" s="7">
        <f t="shared" si="1"/>
        <v>5</v>
      </c>
      <c r="X108" s="7"/>
    </row>
    <row r="109" spans="20:24" x14ac:dyDescent="0.15">
      <c r="T109" s="7">
        <v>108</v>
      </c>
      <c r="U109">
        <v>686</v>
      </c>
      <c r="W109" s="7">
        <f t="shared" si="1"/>
        <v>5</v>
      </c>
      <c r="X109" s="7"/>
    </row>
    <row r="110" spans="20:24" x14ac:dyDescent="0.15">
      <c r="T110" s="7">
        <v>109</v>
      </c>
      <c r="U110">
        <v>686</v>
      </c>
      <c r="W110" s="7">
        <f t="shared" si="1"/>
        <v>5</v>
      </c>
      <c r="X110" s="7"/>
    </row>
    <row r="111" spans="20:24" x14ac:dyDescent="0.15">
      <c r="T111" s="7">
        <v>110</v>
      </c>
      <c r="U111">
        <v>686</v>
      </c>
      <c r="W111" s="7">
        <f t="shared" si="1"/>
        <v>5</v>
      </c>
      <c r="X111" s="7"/>
    </row>
    <row r="112" spans="20:24" x14ac:dyDescent="0.15">
      <c r="T112" s="7">
        <v>111</v>
      </c>
      <c r="U112">
        <v>686</v>
      </c>
      <c r="W112" s="7">
        <f t="shared" si="1"/>
        <v>5</v>
      </c>
      <c r="X112" s="7"/>
    </row>
    <row r="113" spans="20:24" x14ac:dyDescent="0.15">
      <c r="T113" s="7">
        <v>112</v>
      </c>
      <c r="U113">
        <v>1371</v>
      </c>
      <c r="W113" s="7">
        <f t="shared" si="1"/>
        <v>6</v>
      </c>
      <c r="X113" s="7"/>
    </row>
    <row r="114" spans="20:24" x14ac:dyDescent="0.15">
      <c r="T114" s="7">
        <v>113</v>
      </c>
      <c r="U114">
        <v>1094</v>
      </c>
      <c r="W114" s="7">
        <f t="shared" si="1"/>
        <v>6</v>
      </c>
      <c r="X114" s="7"/>
    </row>
    <row r="115" spans="20:24" x14ac:dyDescent="0.15">
      <c r="T115" s="7">
        <v>114</v>
      </c>
      <c r="U115">
        <v>1094</v>
      </c>
      <c r="W115" s="7">
        <f t="shared" si="1"/>
        <v>6</v>
      </c>
      <c r="X115" s="7"/>
    </row>
    <row r="116" spans="20:24" x14ac:dyDescent="0.15">
      <c r="T116" s="7">
        <v>115</v>
      </c>
      <c r="U116">
        <v>1094</v>
      </c>
      <c r="W116" s="7">
        <f t="shared" si="1"/>
        <v>6</v>
      </c>
      <c r="X116" s="7"/>
    </row>
    <row r="117" spans="20:24" x14ac:dyDescent="0.15">
      <c r="T117" s="7">
        <v>116</v>
      </c>
      <c r="U117">
        <v>1094</v>
      </c>
      <c r="W117" s="7">
        <f t="shared" si="1"/>
        <v>6</v>
      </c>
      <c r="X117" s="7"/>
    </row>
    <row r="118" spans="20:24" x14ac:dyDescent="0.15">
      <c r="T118" s="7">
        <v>117</v>
      </c>
      <c r="U118">
        <v>1094</v>
      </c>
      <c r="W118" s="7">
        <f t="shared" si="1"/>
        <v>6</v>
      </c>
      <c r="X118" s="7"/>
    </row>
    <row r="119" spans="20:24" x14ac:dyDescent="0.15">
      <c r="T119" s="7">
        <v>118</v>
      </c>
      <c r="U119">
        <v>1094</v>
      </c>
      <c r="W119" s="7">
        <f t="shared" si="1"/>
        <v>6</v>
      </c>
      <c r="X119" s="7"/>
    </row>
    <row r="120" spans="20:24" x14ac:dyDescent="0.15">
      <c r="T120" s="7">
        <v>119</v>
      </c>
      <c r="U120">
        <v>4378</v>
      </c>
      <c r="W120" s="7">
        <f t="shared" si="1"/>
        <v>7</v>
      </c>
      <c r="X120" s="7"/>
    </row>
    <row r="121" spans="20:24" x14ac:dyDescent="0.15">
      <c r="T121" s="7">
        <v>120</v>
      </c>
      <c r="U121">
        <v>1746</v>
      </c>
      <c r="W121" s="7">
        <f t="shared" si="1"/>
        <v>6</v>
      </c>
      <c r="X121" s="7"/>
    </row>
    <row r="122" spans="20:24" x14ac:dyDescent="0.15">
      <c r="T122" s="7">
        <v>121</v>
      </c>
      <c r="U122">
        <v>1746</v>
      </c>
      <c r="W122" s="7">
        <f t="shared" si="1"/>
        <v>6</v>
      </c>
      <c r="X122" s="7"/>
    </row>
    <row r="123" spans="20:24" x14ac:dyDescent="0.15">
      <c r="T123" s="7">
        <v>122</v>
      </c>
      <c r="U123">
        <v>1746</v>
      </c>
      <c r="W123" s="7">
        <f t="shared" si="1"/>
        <v>6</v>
      </c>
      <c r="X123" s="7"/>
    </row>
    <row r="124" spans="20:24" x14ac:dyDescent="0.15">
      <c r="T124" s="7">
        <v>123</v>
      </c>
      <c r="U124">
        <v>1746</v>
      </c>
      <c r="W124" s="7">
        <f t="shared" si="1"/>
        <v>6</v>
      </c>
      <c r="X124" s="7"/>
    </row>
    <row r="125" spans="20:24" x14ac:dyDescent="0.15">
      <c r="T125" s="7">
        <v>124</v>
      </c>
      <c r="U125">
        <v>1746</v>
      </c>
      <c r="W125" s="7">
        <f t="shared" si="1"/>
        <v>6</v>
      </c>
      <c r="X125" s="7"/>
    </row>
    <row r="126" spans="20:24" x14ac:dyDescent="0.15">
      <c r="T126" s="7">
        <v>125</v>
      </c>
      <c r="U126">
        <v>1746</v>
      </c>
      <c r="W126" s="7">
        <f t="shared" si="1"/>
        <v>6</v>
      </c>
      <c r="X126" s="7"/>
    </row>
    <row r="127" spans="20:24" x14ac:dyDescent="0.15">
      <c r="T127" s="7">
        <v>126</v>
      </c>
      <c r="U127">
        <v>10477</v>
      </c>
      <c r="W127" s="7">
        <f t="shared" si="1"/>
        <v>8</v>
      </c>
      <c r="X127" s="7"/>
    </row>
    <row r="128" spans="20:24" x14ac:dyDescent="0.15">
      <c r="T128" s="7">
        <v>127</v>
      </c>
      <c r="U128">
        <v>2785</v>
      </c>
      <c r="W128" s="7">
        <f t="shared" si="1"/>
        <v>7</v>
      </c>
      <c r="X128" s="7"/>
    </row>
    <row r="129" spans="20:24" x14ac:dyDescent="0.15">
      <c r="T129" s="7">
        <v>128</v>
      </c>
      <c r="U129">
        <v>2785</v>
      </c>
      <c r="W129" s="7">
        <f t="shared" si="1"/>
        <v>7</v>
      </c>
      <c r="X129" s="7"/>
    </row>
    <row r="130" spans="20:24" x14ac:dyDescent="0.15">
      <c r="T130" s="7">
        <v>129</v>
      </c>
      <c r="U130">
        <v>2785</v>
      </c>
      <c r="W130" s="7">
        <f t="shared" si="1"/>
        <v>7</v>
      </c>
      <c r="X130" s="7"/>
    </row>
    <row r="131" spans="20:24" x14ac:dyDescent="0.15">
      <c r="T131" s="7">
        <v>130</v>
      </c>
      <c r="U131">
        <v>2785</v>
      </c>
      <c r="W131" s="7">
        <f t="shared" ref="W131:W183" si="2">LOOKUP(U131/5,$O$2:$O$11,$L$2:$L$11)</f>
        <v>7</v>
      </c>
      <c r="X131" s="7"/>
    </row>
    <row r="132" spans="20:24" x14ac:dyDescent="0.15">
      <c r="T132" s="7">
        <v>131</v>
      </c>
      <c r="U132">
        <v>2785</v>
      </c>
      <c r="W132" s="7">
        <f t="shared" si="2"/>
        <v>7</v>
      </c>
      <c r="X132" s="7"/>
    </row>
    <row r="133" spans="20:24" x14ac:dyDescent="0.15">
      <c r="T133" s="7">
        <v>132</v>
      </c>
      <c r="U133">
        <v>2785</v>
      </c>
      <c r="W133" s="7">
        <f t="shared" si="2"/>
        <v>7</v>
      </c>
      <c r="X133" s="7"/>
    </row>
    <row r="134" spans="20:24" x14ac:dyDescent="0.15">
      <c r="T134" s="7">
        <v>133</v>
      </c>
      <c r="U134">
        <v>19497</v>
      </c>
      <c r="W134" s="7">
        <f t="shared" si="2"/>
        <v>9</v>
      </c>
      <c r="X134" s="7"/>
    </row>
    <row r="135" spans="20:24" x14ac:dyDescent="0.15">
      <c r="T135" s="7">
        <v>134</v>
      </c>
      <c r="U135">
        <v>4442</v>
      </c>
      <c r="W135" s="7">
        <f t="shared" si="2"/>
        <v>7</v>
      </c>
      <c r="X135" s="7"/>
    </row>
    <row r="136" spans="20:24" x14ac:dyDescent="0.15">
      <c r="T136" s="7">
        <v>135</v>
      </c>
      <c r="U136">
        <v>4442</v>
      </c>
      <c r="W136" s="7">
        <f t="shared" si="2"/>
        <v>7</v>
      </c>
      <c r="X136" s="7"/>
    </row>
    <row r="137" spans="20:24" x14ac:dyDescent="0.15">
      <c r="T137" s="7">
        <v>136</v>
      </c>
      <c r="U137">
        <v>4442</v>
      </c>
      <c r="W137" s="7">
        <f t="shared" si="2"/>
        <v>7</v>
      </c>
      <c r="X137" s="7"/>
    </row>
    <row r="138" spans="20:24" x14ac:dyDescent="0.15">
      <c r="T138" s="7">
        <v>137</v>
      </c>
      <c r="U138">
        <v>4442</v>
      </c>
      <c r="W138" s="7">
        <f t="shared" si="2"/>
        <v>7</v>
      </c>
      <c r="X138" s="7"/>
    </row>
    <row r="139" spans="20:24" x14ac:dyDescent="0.15">
      <c r="T139" s="7">
        <v>138</v>
      </c>
      <c r="U139">
        <v>4442</v>
      </c>
      <c r="W139" s="7">
        <f t="shared" si="2"/>
        <v>7</v>
      </c>
      <c r="X139" s="7"/>
    </row>
    <row r="140" spans="20:24" x14ac:dyDescent="0.15">
      <c r="T140" s="7">
        <v>139</v>
      </c>
      <c r="U140">
        <v>4442</v>
      </c>
      <c r="W140" s="7">
        <f t="shared" si="2"/>
        <v>7</v>
      </c>
      <c r="X140" s="7"/>
    </row>
    <row r="141" spans="20:24" x14ac:dyDescent="0.15">
      <c r="T141" s="7">
        <v>140</v>
      </c>
      <c r="U141">
        <v>44418</v>
      </c>
      <c r="W141" s="7">
        <f t="shared" si="2"/>
        <v>9</v>
      </c>
      <c r="X141" s="7"/>
    </row>
    <row r="142" spans="20:24" x14ac:dyDescent="0.15">
      <c r="T142" s="7">
        <v>141</v>
      </c>
      <c r="U142">
        <v>7082</v>
      </c>
      <c r="W142" s="7">
        <f t="shared" si="2"/>
        <v>8</v>
      </c>
      <c r="X142" s="7"/>
    </row>
    <row r="143" spans="20:24" x14ac:dyDescent="0.15">
      <c r="T143" s="7">
        <v>142</v>
      </c>
      <c r="U143">
        <v>7082</v>
      </c>
      <c r="W143" s="7">
        <f t="shared" si="2"/>
        <v>8</v>
      </c>
      <c r="X143" s="7"/>
    </row>
    <row r="144" spans="20:24" x14ac:dyDescent="0.15">
      <c r="T144" s="7">
        <v>143</v>
      </c>
      <c r="U144">
        <v>7082</v>
      </c>
      <c r="W144" s="7">
        <f t="shared" si="2"/>
        <v>8</v>
      </c>
      <c r="X144" s="7"/>
    </row>
    <row r="145" spans="20:24" x14ac:dyDescent="0.15">
      <c r="T145" s="7">
        <v>144</v>
      </c>
      <c r="U145">
        <v>7082</v>
      </c>
      <c r="W145" s="7">
        <f t="shared" si="2"/>
        <v>8</v>
      </c>
      <c r="X145" s="7"/>
    </row>
    <row r="146" spans="20:24" x14ac:dyDescent="0.15">
      <c r="T146" s="7">
        <v>145</v>
      </c>
      <c r="U146">
        <v>7082</v>
      </c>
      <c r="W146" s="7">
        <f t="shared" si="2"/>
        <v>8</v>
      </c>
      <c r="X146" s="7"/>
    </row>
    <row r="147" spans="20:24" x14ac:dyDescent="0.15">
      <c r="T147" s="7">
        <v>146</v>
      </c>
      <c r="U147">
        <v>7082</v>
      </c>
      <c r="W147" s="7">
        <f t="shared" si="2"/>
        <v>8</v>
      </c>
      <c r="X147" s="7"/>
    </row>
    <row r="148" spans="20:24" x14ac:dyDescent="0.15">
      <c r="T148" s="7">
        <v>147</v>
      </c>
      <c r="U148">
        <v>14164</v>
      </c>
      <c r="W148" s="7">
        <f t="shared" si="2"/>
        <v>8</v>
      </c>
      <c r="X148" s="7"/>
    </row>
    <row r="149" spans="20:24" x14ac:dyDescent="0.15">
      <c r="T149" s="7">
        <v>148</v>
      </c>
      <c r="U149">
        <v>11288</v>
      </c>
      <c r="W149" s="7">
        <f t="shared" si="2"/>
        <v>8</v>
      </c>
      <c r="X149" s="7"/>
    </row>
    <row r="150" spans="20:24" x14ac:dyDescent="0.15">
      <c r="T150" s="7">
        <v>149</v>
      </c>
      <c r="U150">
        <v>11288</v>
      </c>
      <c r="W150" s="7">
        <f t="shared" si="2"/>
        <v>8</v>
      </c>
      <c r="X150" s="7"/>
    </row>
    <row r="151" spans="20:24" x14ac:dyDescent="0.15">
      <c r="T151" s="7">
        <v>150</v>
      </c>
      <c r="U151">
        <v>11288</v>
      </c>
      <c r="W151" s="7">
        <f t="shared" si="2"/>
        <v>8</v>
      </c>
      <c r="X151" s="7"/>
    </row>
    <row r="152" spans="20:24" x14ac:dyDescent="0.15">
      <c r="T152" s="7">
        <v>151</v>
      </c>
      <c r="U152">
        <v>11288</v>
      </c>
      <c r="W152" s="7">
        <f t="shared" si="2"/>
        <v>8</v>
      </c>
      <c r="X152" s="7"/>
    </row>
    <row r="153" spans="20:24" x14ac:dyDescent="0.15">
      <c r="T153" s="7">
        <v>152</v>
      </c>
      <c r="U153">
        <v>11288</v>
      </c>
      <c r="W153" s="7">
        <f t="shared" si="2"/>
        <v>8</v>
      </c>
      <c r="X153" s="7"/>
    </row>
    <row r="154" spans="20:24" x14ac:dyDescent="0.15">
      <c r="T154" s="7">
        <v>153</v>
      </c>
      <c r="U154">
        <v>11288</v>
      </c>
      <c r="W154" s="7">
        <f t="shared" si="2"/>
        <v>8</v>
      </c>
      <c r="X154" s="7"/>
    </row>
    <row r="155" spans="20:24" x14ac:dyDescent="0.15">
      <c r="T155" s="7">
        <v>154</v>
      </c>
      <c r="U155">
        <v>45154</v>
      </c>
      <c r="W155" s="7">
        <f t="shared" si="2"/>
        <v>9</v>
      </c>
      <c r="X155" s="7"/>
    </row>
    <row r="156" spans="20:24" x14ac:dyDescent="0.15">
      <c r="T156" s="7">
        <v>155</v>
      </c>
      <c r="U156">
        <v>17990</v>
      </c>
      <c r="W156" s="7">
        <f t="shared" si="2"/>
        <v>9</v>
      </c>
      <c r="X156" s="7"/>
    </row>
    <row r="157" spans="20:24" x14ac:dyDescent="0.15">
      <c r="T157" s="7">
        <v>156</v>
      </c>
      <c r="U157">
        <v>17990</v>
      </c>
      <c r="W157" s="7">
        <f t="shared" si="2"/>
        <v>9</v>
      </c>
      <c r="X157" s="7"/>
    </row>
    <row r="158" spans="20:24" x14ac:dyDescent="0.15">
      <c r="T158" s="7">
        <v>157</v>
      </c>
      <c r="U158">
        <v>17990</v>
      </c>
      <c r="W158" s="7">
        <f t="shared" si="2"/>
        <v>9</v>
      </c>
      <c r="X158" s="7"/>
    </row>
    <row r="159" spans="20:24" x14ac:dyDescent="0.15">
      <c r="T159" s="7">
        <v>158</v>
      </c>
      <c r="U159">
        <v>17990</v>
      </c>
      <c r="W159" s="7">
        <f t="shared" si="2"/>
        <v>9</v>
      </c>
      <c r="X159" s="7"/>
    </row>
    <row r="160" spans="20:24" x14ac:dyDescent="0.15">
      <c r="T160" s="7">
        <v>159</v>
      </c>
      <c r="U160">
        <v>17990</v>
      </c>
      <c r="W160" s="7">
        <f t="shared" si="2"/>
        <v>9</v>
      </c>
      <c r="X160" s="7"/>
    </row>
    <row r="161" spans="20:24" x14ac:dyDescent="0.15">
      <c r="T161" s="7">
        <v>160</v>
      </c>
      <c r="U161">
        <v>17990</v>
      </c>
      <c r="W161" s="7">
        <f t="shared" si="2"/>
        <v>9</v>
      </c>
      <c r="X161" s="7"/>
    </row>
    <row r="162" spans="20:24" x14ac:dyDescent="0.15">
      <c r="T162" s="7">
        <v>161</v>
      </c>
      <c r="U162">
        <v>107938</v>
      </c>
      <c r="W162" s="7">
        <f t="shared" si="2"/>
        <v>10</v>
      </c>
      <c r="X162" s="7"/>
    </row>
    <row r="163" spans="20:24" x14ac:dyDescent="0.15">
      <c r="T163" s="7">
        <v>162</v>
      </c>
      <c r="U163">
        <v>28662</v>
      </c>
      <c r="W163" s="7">
        <f t="shared" si="2"/>
        <v>9</v>
      </c>
      <c r="X163" s="7"/>
    </row>
    <row r="164" spans="20:24" x14ac:dyDescent="0.15">
      <c r="T164" s="7">
        <v>163</v>
      </c>
      <c r="U164">
        <v>28662</v>
      </c>
      <c r="W164" s="7">
        <f t="shared" si="2"/>
        <v>9</v>
      </c>
      <c r="X164" s="7"/>
    </row>
    <row r="165" spans="20:24" x14ac:dyDescent="0.15">
      <c r="T165" s="7">
        <v>164</v>
      </c>
      <c r="U165">
        <v>28662</v>
      </c>
      <c r="W165" s="7">
        <f t="shared" si="2"/>
        <v>9</v>
      </c>
      <c r="X165" s="7"/>
    </row>
    <row r="166" spans="20:24" x14ac:dyDescent="0.15">
      <c r="T166" s="7">
        <v>165</v>
      </c>
      <c r="U166">
        <v>28662</v>
      </c>
      <c r="W166" s="7">
        <f t="shared" si="2"/>
        <v>9</v>
      </c>
      <c r="X166" s="7"/>
    </row>
    <row r="167" spans="20:24" x14ac:dyDescent="0.15">
      <c r="T167" s="7">
        <v>166</v>
      </c>
      <c r="U167">
        <v>28662</v>
      </c>
      <c r="W167" s="7">
        <f t="shared" si="2"/>
        <v>9</v>
      </c>
      <c r="X167" s="7"/>
    </row>
    <row r="168" spans="20:24" x14ac:dyDescent="0.15">
      <c r="T168" s="7">
        <v>167</v>
      </c>
      <c r="U168">
        <v>28662</v>
      </c>
      <c r="W168" s="7">
        <f t="shared" si="2"/>
        <v>9</v>
      </c>
      <c r="X168" s="7"/>
    </row>
    <row r="169" spans="20:24" x14ac:dyDescent="0.15">
      <c r="T169" s="7">
        <v>168</v>
      </c>
      <c r="U169">
        <v>200637</v>
      </c>
      <c r="W169" s="7">
        <f t="shared" si="2"/>
        <v>10</v>
      </c>
      <c r="X169" s="7"/>
    </row>
    <row r="170" spans="20:24" x14ac:dyDescent="0.15">
      <c r="T170" s="7">
        <v>169</v>
      </c>
      <c r="U170">
        <v>45658</v>
      </c>
      <c r="W170" s="7">
        <f t="shared" si="2"/>
        <v>9</v>
      </c>
      <c r="X170" s="7"/>
    </row>
    <row r="171" spans="20:24" x14ac:dyDescent="0.15">
      <c r="T171" s="7">
        <v>170</v>
      </c>
      <c r="U171">
        <v>45658</v>
      </c>
      <c r="W171" s="7">
        <f t="shared" si="2"/>
        <v>9</v>
      </c>
      <c r="X171" s="7"/>
    </row>
    <row r="172" spans="20:24" x14ac:dyDescent="0.15">
      <c r="T172" s="7">
        <v>171</v>
      </c>
      <c r="U172">
        <v>45658</v>
      </c>
      <c r="W172" s="7">
        <f t="shared" si="2"/>
        <v>9</v>
      </c>
      <c r="X172" s="7"/>
    </row>
    <row r="173" spans="20:24" x14ac:dyDescent="0.15">
      <c r="T173" s="7">
        <v>172</v>
      </c>
      <c r="U173">
        <v>45658</v>
      </c>
      <c r="W173" s="7">
        <f t="shared" si="2"/>
        <v>9</v>
      </c>
      <c r="X173" s="7"/>
    </row>
    <row r="174" spans="20:24" x14ac:dyDescent="0.15">
      <c r="T174" s="7">
        <v>173</v>
      </c>
      <c r="U174">
        <v>45658</v>
      </c>
      <c r="W174" s="7">
        <f t="shared" si="2"/>
        <v>9</v>
      </c>
      <c r="X174" s="7"/>
    </row>
    <row r="175" spans="20:24" x14ac:dyDescent="0.15">
      <c r="T175" s="7">
        <v>174</v>
      </c>
      <c r="U175">
        <v>45658</v>
      </c>
      <c r="W175" s="7">
        <f t="shared" si="2"/>
        <v>9</v>
      </c>
      <c r="X175" s="7"/>
    </row>
    <row r="176" spans="20:24" x14ac:dyDescent="0.15">
      <c r="T176" s="7">
        <v>175</v>
      </c>
      <c r="U176">
        <v>456575</v>
      </c>
      <c r="W176" s="7">
        <f t="shared" si="2"/>
        <v>10</v>
      </c>
      <c r="X176" s="7"/>
    </row>
    <row r="177" spans="20:24" x14ac:dyDescent="0.15">
      <c r="T177" s="7">
        <v>176</v>
      </c>
      <c r="U177">
        <v>72715</v>
      </c>
      <c r="W177" s="7">
        <f t="shared" si="2"/>
        <v>10</v>
      </c>
      <c r="X177" s="7"/>
    </row>
    <row r="178" spans="20:24" x14ac:dyDescent="0.15">
      <c r="T178" s="7">
        <v>177</v>
      </c>
      <c r="U178">
        <v>72715</v>
      </c>
      <c r="W178" s="7">
        <f t="shared" si="2"/>
        <v>10</v>
      </c>
      <c r="X178" s="7"/>
    </row>
    <row r="179" spans="20:24" x14ac:dyDescent="0.15">
      <c r="T179" s="7">
        <v>178</v>
      </c>
      <c r="U179">
        <v>72715</v>
      </c>
      <c r="W179" s="7">
        <f t="shared" si="2"/>
        <v>10</v>
      </c>
      <c r="X179" s="7"/>
    </row>
    <row r="180" spans="20:24" x14ac:dyDescent="0.15">
      <c r="T180" s="7">
        <v>179</v>
      </c>
      <c r="U180">
        <v>72715</v>
      </c>
      <c r="W180" s="7">
        <f t="shared" si="2"/>
        <v>10</v>
      </c>
      <c r="X180" s="7"/>
    </row>
    <row r="181" spans="20:24" x14ac:dyDescent="0.15">
      <c r="T181" s="7">
        <v>180</v>
      </c>
      <c r="U181">
        <v>72715</v>
      </c>
      <c r="W181" s="7">
        <f t="shared" si="2"/>
        <v>10</v>
      </c>
      <c r="X181" s="7"/>
    </row>
    <row r="182" spans="20:24" x14ac:dyDescent="0.15">
      <c r="T182" s="7">
        <v>181</v>
      </c>
      <c r="U182">
        <v>72715</v>
      </c>
      <c r="W182" s="7">
        <f t="shared" si="2"/>
        <v>10</v>
      </c>
      <c r="X182" s="7"/>
    </row>
    <row r="183" spans="20:24" x14ac:dyDescent="0.15">
      <c r="T183" s="7">
        <v>182</v>
      </c>
      <c r="U183">
        <v>145429</v>
      </c>
      <c r="W183" s="7">
        <f t="shared" si="2"/>
        <v>10</v>
      </c>
      <c r="X183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143"/>
  <sheetViews>
    <sheetView topLeftCell="A44" workbookViewId="0">
      <selection activeCell="C86" sqref="C86"/>
    </sheetView>
  </sheetViews>
  <sheetFormatPr defaultRowHeight="13.5" x14ac:dyDescent="0.15"/>
  <cols>
    <col min="1" max="1" width="12.25" customWidth="1"/>
    <col min="2" max="2" width="18.625" customWidth="1"/>
    <col min="3" max="3" width="18" customWidth="1"/>
    <col min="4" max="4" width="17.125" customWidth="1"/>
    <col min="5" max="5" width="15.5" customWidth="1"/>
    <col min="6" max="6" width="18.125" customWidth="1"/>
    <col min="7" max="7" width="15.75" customWidth="1"/>
    <col min="8" max="8" width="17.875" customWidth="1"/>
    <col min="9" max="9" width="13.25" customWidth="1"/>
  </cols>
  <sheetData>
    <row r="2" spans="2:3" x14ac:dyDescent="0.15">
      <c r="B2" t="s">
        <v>125</v>
      </c>
    </row>
    <row r="3" spans="2:3" x14ac:dyDescent="0.15">
      <c r="B3" t="s">
        <v>126</v>
      </c>
    </row>
    <row r="4" spans="2:3" x14ac:dyDescent="0.15">
      <c r="B4" t="s">
        <v>127</v>
      </c>
    </row>
    <row r="5" spans="2:3" x14ac:dyDescent="0.15">
      <c r="B5" t="s">
        <v>128</v>
      </c>
    </row>
    <row r="6" spans="2:3" x14ac:dyDescent="0.15">
      <c r="B6" t="s">
        <v>129</v>
      </c>
    </row>
    <row r="7" spans="2:3" x14ac:dyDescent="0.15">
      <c r="B7" t="s">
        <v>130</v>
      </c>
    </row>
    <row r="8" spans="2:3" x14ac:dyDescent="0.15">
      <c r="B8" t="s">
        <v>131</v>
      </c>
    </row>
    <row r="9" spans="2:3" x14ac:dyDescent="0.15">
      <c r="C9" t="s">
        <v>132</v>
      </c>
    </row>
    <row r="10" spans="2:3" x14ac:dyDescent="0.15">
      <c r="C10" t="s">
        <v>133</v>
      </c>
    </row>
    <row r="11" spans="2:3" x14ac:dyDescent="0.15">
      <c r="C11" t="s">
        <v>134</v>
      </c>
    </row>
    <row r="12" spans="2:3" x14ac:dyDescent="0.15">
      <c r="C12" t="s">
        <v>135</v>
      </c>
    </row>
    <row r="13" spans="2:3" x14ac:dyDescent="0.15">
      <c r="C13" t="s">
        <v>136</v>
      </c>
    </row>
    <row r="14" spans="2:3" x14ac:dyDescent="0.15">
      <c r="C14" t="s">
        <v>137</v>
      </c>
    </row>
    <row r="16" spans="2:3" x14ac:dyDescent="0.15">
      <c r="B16" t="s">
        <v>138</v>
      </c>
    </row>
    <row r="17" spans="2:3" x14ac:dyDescent="0.15">
      <c r="B17" t="s">
        <v>139</v>
      </c>
    </row>
    <row r="18" spans="2:3" x14ac:dyDescent="0.15">
      <c r="B18" t="s">
        <v>140</v>
      </c>
    </row>
    <row r="19" spans="2:3" x14ac:dyDescent="0.15">
      <c r="B19" t="s">
        <v>141</v>
      </c>
    </row>
    <row r="20" spans="2:3" x14ac:dyDescent="0.15">
      <c r="B20" t="s">
        <v>142</v>
      </c>
    </row>
    <row r="21" spans="2:3" x14ac:dyDescent="0.15">
      <c r="B21" t="s">
        <v>143</v>
      </c>
    </row>
    <row r="22" spans="2:3" x14ac:dyDescent="0.15">
      <c r="B22" t="s">
        <v>151</v>
      </c>
    </row>
    <row r="25" spans="2:3" x14ac:dyDescent="0.15">
      <c r="C25" t="s">
        <v>144</v>
      </c>
    </row>
    <row r="26" spans="2:3" x14ac:dyDescent="0.15">
      <c r="C26" t="s">
        <v>145</v>
      </c>
    </row>
    <row r="28" spans="2:3" x14ac:dyDescent="0.15">
      <c r="B28" t="s">
        <v>146</v>
      </c>
    </row>
    <row r="29" spans="2:3" x14ac:dyDescent="0.15">
      <c r="B29" t="s">
        <v>147</v>
      </c>
    </row>
    <row r="30" spans="2:3" x14ac:dyDescent="0.15">
      <c r="B30" t="s">
        <v>148</v>
      </c>
    </row>
    <row r="31" spans="2:3" x14ac:dyDescent="0.15">
      <c r="B31" t="s">
        <v>149</v>
      </c>
    </row>
    <row r="32" spans="2:3" x14ac:dyDescent="0.15">
      <c r="B32" t="s">
        <v>150</v>
      </c>
    </row>
    <row r="34" spans="2:2" x14ac:dyDescent="0.15">
      <c r="B34" t="s">
        <v>152</v>
      </c>
    </row>
    <row r="36" spans="2:2" x14ac:dyDescent="0.15">
      <c r="B36" t="s">
        <v>153</v>
      </c>
    </row>
    <row r="37" spans="2:2" x14ac:dyDescent="0.15">
      <c r="B37" t="s">
        <v>154</v>
      </c>
    </row>
    <row r="38" spans="2:2" x14ac:dyDescent="0.15">
      <c r="B38" t="s">
        <v>155</v>
      </c>
    </row>
    <row r="39" spans="2:2" x14ac:dyDescent="0.15">
      <c r="B39" t="s">
        <v>156</v>
      </c>
    </row>
    <row r="41" spans="2:2" x14ac:dyDescent="0.15">
      <c r="B41" t="s">
        <v>157</v>
      </c>
    </row>
    <row r="43" spans="2:2" x14ac:dyDescent="0.15">
      <c r="B43" t="s">
        <v>158</v>
      </c>
    </row>
    <row r="44" spans="2:2" x14ac:dyDescent="0.15">
      <c r="B44" t="s">
        <v>159</v>
      </c>
    </row>
    <row r="46" spans="2:2" x14ac:dyDescent="0.15">
      <c r="B46" t="s">
        <v>160</v>
      </c>
    </row>
    <row r="49" spans="2:3" x14ac:dyDescent="0.15">
      <c r="B49" t="s">
        <v>161</v>
      </c>
    </row>
    <row r="51" spans="2:3" x14ac:dyDescent="0.15">
      <c r="B51" t="s">
        <v>162</v>
      </c>
    </row>
    <row r="54" spans="2:3" x14ac:dyDescent="0.15">
      <c r="B54" t="s">
        <v>163</v>
      </c>
    </row>
    <row r="56" spans="2:3" x14ac:dyDescent="0.15">
      <c r="B56" t="s">
        <v>164</v>
      </c>
    </row>
    <row r="57" spans="2:3" x14ac:dyDescent="0.15">
      <c r="B57" t="s">
        <v>165</v>
      </c>
    </row>
    <row r="58" spans="2:3" x14ac:dyDescent="0.15">
      <c r="B58" t="s">
        <v>166</v>
      </c>
    </row>
    <row r="59" spans="2:3" x14ac:dyDescent="0.15">
      <c r="B59" t="s">
        <v>167</v>
      </c>
    </row>
    <row r="60" spans="2:3" x14ac:dyDescent="0.15">
      <c r="B60" t="s">
        <v>168</v>
      </c>
    </row>
    <row r="62" spans="2:3" x14ac:dyDescent="0.15">
      <c r="C62" t="s">
        <v>169</v>
      </c>
    </row>
    <row r="64" spans="2:3" x14ac:dyDescent="0.15">
      <c r="B64" t="s">
        <v>170</v>
      </c>
    </row>
    <row r="65" spans="2:4" x14ac:dyDescent="0.15">
      <c r="B65" t="s">
        <v>171</v>
      </c>
    </row>
    <row r="66" spans="2:4" x14ac:dyDescent="0.15">
      <c r="B66" t="s">
        <v>172</v>
      </c>
    </row>
    <row r="67" spans="2:4" x14ac:dyDescent="0.15">
      <c r="B67" t="s">
        <v>173</v>
      </c>
    </row>
    <row r="69" spans="2:4" x14ac:dyDescent="0.15">
      <c r="B69" t="s">
        <v>174</v>
      </c>
    </row>
    <row r="70" spans="2:4" x14ac:dyDescent="0.15">
      <c r="B70" t="s">
        <v>175</v>
      </c>
    </row>
    <row r="72" spans="2:4" x14ac:dyDescent="0.15">
      <c r="B72" t="s">
        <v>176</v>
      </c>
    </row>
    <row r="74" spans="2:4" x14ac:dyDescent="0.15">
      <c r="B74" t="s">
        <v>177</v>
      </c>
    </row>
    <row r="76" spans="2:4" x14ac:dyDescent="0.15">
      <c r="B76" t="s">
        <v>178</v>
      </c>
    </row>
    <row r="78" spans="2:4" x14ac:dyDescent="0.15">
      <c r="B78" t="s">
        <v>179</v>
      </c>
    </row>
    <row r="80" spans="2:4" x14ac:dyDescent="0.15">
      <c r="B80" t="s">
        <v>180</v>
      </c>
      <c r="D80" t="s">
        <v>181</v>
      </c>
    </row>
    <row r="85" spans="2:6" x14ac:dyDescent="0.15">
      <c r="B85" t="s">
        <v>201</v>
      </c>
    </row>
    <row r="86" spans="2:6" x14ac:dyDescent="0.15">
      <c r="B86" t="s">
        <v>200</v>
      </c>
    </row>
    <row r="88" spans="2:6" x14ac:dyDescent="0.15">
      <c r="B88" t="s">
        <v>182</v>
      </c>
      <c r="C88" t="s">
        <v>191</v>
      </c>
    </row>
    <row r="89" spans="2:6" x14ac:dyDescent="0.15">
      <c r="B89" t="s">
        <v>183</v>
      </c>
      <c r="C89" t="s">
        <v>193</v>
      </c>
    </row>
    <row r="90" spans="2:6" x14ac:dyDescent="0.15">
      <c r="B90" t="s">
        <v>184</v>
      </c>
      <c r="C90" t="s">
        <v>192</v>
      </c>
    </row>
    <row r="91" spans="2:6" x14ac:dyDescent="0.15">
      <c r="B91" t="s">
        <v>185</v>
      </c>
      <c r="C91" t="s">
        <v>194</v>
      </c>
    </row>
    <row r="92" spans="2:6" x14ac:dyDescent="0.15">
      <c r="B92" t="s">
        <v>186</v>
      </c>
      <c r="C92" t="s">
        <v>195</v>
      </c>
    </row>
    <row r="93" spans="2:6" x14ac:dyDescent="0.15">
      <c r="B93" t="s">
        <v>187</v>
      </c>
      <c r="C93" t="s">
        <v>196</v>
      </c>
    </row>
    <row r="94" spans="2:6" x14ac:dyDescent="0.15">
      <c r="B94" t="s">
        <v>188</v>
      </c>
      <c r="C94" t="s">
        <v>197</v>
      </c>
    </row>
    <row r="95" spans="2:6" x14ac:dyDescent="0.15">
      <c r="B95" t="s">
        <v>189</v>
      </c>
      <c r="C95" t="s">
        <v>199</v>
      </c>
      <c r="F95" t="s">
        <v>206</v>
      </c>
    </row>
    <row r="96" spans="2:6" x14ac:dyDescent="0.15">
      <c r="B96" t="s">
        <v>190</v>
      </c>
      <c r="C96" t="s">
        <v>198</v>
      </c>
    </row>
    <row r="97" spans="2:22" x14ac:dyDescent="0.15">
      <c r="B97" t="s">
        <v>203</v>
      </c>
    </row>
    <row r="99" spans="2:22" x14ac:dyDescent="0.15">
      <c r="B99" t="s">
        <v>202</v>
      </c>
    </row>
    <row r="100" spans="2:22" x14ac:dyDescent="0.15">
      <c r="B100" t="s">
        <v>204</v>
      </c>
    </row>
    <row r="101" spans="2:22" x14ac:dyDescent="0.15">
      <c r="B101" t="s">
        <v>205</v>
      </c>
    </row>
    <row r="102" spans="2:22" x14ac:dyDescent="0.15">
      <c r="B102" t="s">
        <v>207</v>
      </c>
    </row>
    <row r="105" spans="2:22" x14ac:dyDescent="0.15">
      <c r="B105" s="7" t="s">
        <v>211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</row>
    <row r="106" spans="2:22" ht="33" customHeight="1" x14ac:dyDescent="0.15">
      <c r="B106" s="5" t="s">
        <v>210</v>
      </c>
      <c r="C106" s="5" t="s">
        <v>209</v>
      </c>
      <c r="D106" s="5" t="s">
        <v>216</v>
      </c>
      <c r="E106" s="7"/>
      <c r="G106" s="7" t="s">
        <v>208</v>
      </c>
      <c r="J106" s="7"/>
      <c r="K106" s="7"/>
      <c r="L106" s="7"/>
    </row>
    <row r="107" spans="2:22" x14ac:dyDescent="0.15">
      <c r="B107" s="7" t="s">
        <v>212</v>
      </c>
      <c r="C107" t="s">
        <v>221</v>
      </c>
      <c r="D107" t="s">
        <v>217</v>
      </c>
      <c r="G107" t="s">
        <v>225</v>
      </c>
      <c r="L107" s="7"/>
      <c r="N107" s="7"/>
      <c r="O107" s="7"/>
      <c r="P107" s="7"/>
      <c r="Q107" s="7"/>
      <c r="R107" s="7"/>
      <c r="S107" s="7"/>
      <c r="T107" s="7"/>
      <c r="V107" s="7"/>
    </row>
    <row r="108" spans="2:22" x14ac:dyDescent="0.15">
      <c r="B108" s="7" t="s">
        <v>213</v>
      </c>
      <c r="C108" t="s">
        <v>222</v>
      </c>
      <c r="D108" t="s">
        <v>218</v>
      </c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2:22" x14ac:dyDescent="0.15">
      <c r="B109" s="7" t="s">
        <v>214</v>
      </c>
      <c r="C109" t="s">
        <v>223</v>
      </c>
      <c r="D109" t="s">
        <v>219</v>
      </c>
    </row>
    <row r="110" spans="2:22" x14ac:dyDescent="0.15">
      <c r="B110" s="7" t="s">
        <v>215</v>
      </c>
      <c r="C110" t="s">
        <v>224</v>
      </c>
    </row>
    <row r="111" spans="2:22" x14ac:dyDescent="0.15">
      <c r="B111" t="s">
        <v>220</v>
      </c>
    </row>
    <row r="114" spans="1:10" x14ac:dyDescent="0.15">
      <c r="B114" t="s">
        <v>226</v>
      </c>
      <c r="C114" t="s">
        <v>227</v>
      </c>
      <c r="D114" t="s">
        <v>228</v>
      </c>
      <c r="E114" t="s">
        <v>229</v>
      </c>
    </row>
    <row r="115" spans="1:10" x14ac:dyDescent="0.15">
      <c r="A115" s="7" t="s">
        <v>212</v>
      </c>
      <c r="C115" t="s">
        <v>235</v>
      </c>
      <c r="D115" t="s">
        <v>236</v>
      </c>
      <c r="E115" t="s">
        <v>233</v>
      </c>
      <c r="G115" t="s">
        <v>238</v>
      </c>
    </row>
    <row r="116" spans="1:10" x14ac:dyDescent="0.15">
      <c r="A116" s="7" t="s">
        <v>213</v>
      </c>
      <c r="D116" t="s">
        <v>236</v>
      </c>
      <c r="G116" t="s">
        <v>239</v>
      </c>
      <c r="H116" t="s">
        <v>242</v>
      </c>
      <c r="I116" t="s">
        <v>243</v>
      </c>
      <c r="J116" t="s">
        <v>244</v>
      </c>
    </row>
    <row r="117" spans="1:10" x14ac:dyDescent="0.15">
      <c r="A117" s="7" t="s">
        <v>214</v>
      </c>
      <c r="B117" t="s">
        <v>233</v>
      </c>
      <c r="G117" t="s">
        <v>240</v>
      </c>
    </row>
    <row r="118" spans="1:10" x14ac:dyDescent="0.15">
      <c r="A118" s="7" t="s">
        <v>215</v>
      </c>
      <c r="C118" t="s">
        <v>236</v>
      </c>
      <c r="E118" t="s">
        <v>234</v>
      </c>
      <c r="G118" t="s">
        <v>241</v>
      </c>
    </row>
    <row r="120" spans="1:10" x14ac:dyDescent="0.15">
      <c r="A120" s="7"/>
      <c r="G120" s="4" t="s">
        <v>245</v>
      </c>
    </row>
    <row r="121" spans="1:10" x14ac:dyDescent="0.15">
      <c r="A121" t="s">
        <v>250</v>
      </c>
      <c r="B121">
        <v>0</v>
      </c>
      <c r="C121" t="s">
        <v>236</v>
      </c>
      <c r="D121" t="s">
        <v>237</v>
      </c>
      <c r="E121" t="s">
        <v>236</v>
      </c>
      <c r="G121" s="4" t="s">
        <v>252</v>
      </c>
    </row>
    <row r="122" spans="1:10" x14ac:dyDescent="0.15">
      <c r="A122" t="s">
        <v>253</v>
      </c>
      <c r="G122" t="s">
        <v>246</v>
      </c>
    </row>
    <row r="123" spans="1:10" x14ac:dyDescent="0.15">
      <c r="G123" t="s">
        <v>258</v>
      </c>
    </row>
    <row r="125" spans="1:10" x14ac:dyDescent="0.15">
      <c r="G125" t="s">
        <v>247</v>
      </c>
      <c r="H125" t="s">
        <v>248</v>
      </c>
    </row>
    <row r="126" spans="1:10" x14ac:dyDescent="0.15">
      <c r="B126" t="s">
        <v>230</v>
      </c>
      <c r="C126" t="s">
        <v>231</v>
      </c>
      <c r="D126" t="s">
        <v>232</v>
      </c>
    </row>
    <row r="127" spans="1:10" x14ac:dyDescent="0.15">
      <c r="A127" s="7" t="s">
        <v>222</v>
      </c>
      <c r="G127" t="s">
        <v>249</v>
      </c>
    </row>
    <row r="128" spans="1:10" x14ac:dyDescent="0.15">
      <c r="A128" s="7" t="s">
        <v>223</v>
      </c>
    </row>
    <row r="129" spans="1:7" x14ac:dyDescent="0.15">
      <c r="A129" s="7" t="s">
        <v>224</v>
      </c>
      <c r="G129" t="s">
        <v>265</v>
      </c>
    </row>
    <row r="132" spans="1:7" x14ac:dyDescent="0.15">
      <c r="A132" t="s">
        <v>251</v>
      </c>
    </row>
    <row r="133" spans="1:7" x14ac:dyDescent="0.15">
      <c r="A133" t="s">
        <v>254</v>
      </c>
    </row>
    <row r="137" spans="1:7" x14ac:dyDescent="0.15">
      <c r="B137" t="s">
        <v>255</v>
      </c>
      <c r="C137" t="s">
        <v>256</v>
      </c>
      <c r="D137" t="s">
        <v>257</v>
      </c>
      <c r="G137">
        <v>846</v>
      </c>
    </row>
    <row r="138" spans="1:7" x14ac:dyDescent="0.15">
      <c r="A138" t="s">
        <v>217</v>
      </c>
      <c r="G138">
        <v>360</v>
      </c>
    </row>
    <row r="139" spans="1:7" x14ac:dyDescent="0.15">
      <c r="A139" t="s">
        <v>218</v>
      </c>
      <c r="G139">
        <v>2567</v>
      </c>
    </row>
    <row r="140" spans="1:7" x14ac:dyDescent="0.15">
      <c r="A140" t="s">
        <v>219</v>
      </c>
      <c r="G140">
        <v>8499</v>
      </c>
    </row>
    <row r="143" spans="1:7" x14ac:dyDescent="0.15">
      <c r="A143" t="s">
        <v>259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19"/>
  <sheetViews>
    <sheetView workbookViewId="0"/>
  </sheetViews>
  <sheetFormatPr defaultRowHeight="13.5" x14ac:dyDescent="0.15"/>
  <cols>
    <col min="5" max="5" width="13.5" customWidth="1"/>
  </cols>
  <sheetData>
    <row r="1" spans="2:14" x14ac:dyDescent="0.15">
      <c r="J1" t="s">
        <v>260</v>
      </c>
      <c r="K1" t="s">
        <v>261</v>
      </c>
      <c r="L1" t="s">
        <v>262</v>
      </c>
      <c r="M1" t="s">
        <v>263</v>
      </c>
      <c r="N1" t="s">
        <v>264</v>
      </c>
    </row>
    <row r="5" spans="2:14" x14ac:dyDescent="0.15">
      <c r="B5" t="s">
        <v>270</v>
      </c>
      <c r="C5" t="s">
        <v>271</v>
      </c>
      <c r="D5" t="s">
        <v>272</v>
      </c>
      <c r="E5" t="s">
        <v>273</v>
      </c>
      <c r="F5" t="s">
        <v>274</v>
      </c>
    </row>
    <row r="6" spans="2:14" x14ac:dyDescent="0.15">
      <c r="B6" t="s">
        <v>266</v>
      </c>
      <c r="E6" s="9">
        <v>0.2</v>
      </c>
    </row>
    <row r="7" spans="2:14" x14ac:dyDescent="0.15">
      <c r="B7" t="s">
        <v>267</v>
      </c>
      <c r="C7" s="9">
        <v>-0.05</v>
      </c>
      <c r="F7" s="9">
        <v>0.2</v>
      </c>
    </row>
    <row r="8" spans="2:14" x14ac:dyDescent="0.15">
      <c r="B8" t="s">
        <v>268</v>
      </c>
      <c r="C8" s="9">
        <v>0.05</v>
      </c>
      <c r="D8" s="9">
        <v>0.2</v>
      </c>
    </row>
    <row r="9" spans="2:14" x14ac:dyDescent="0.15">
      <c r="B9" t="s">
        <v>269</v>
      </c>
      <c r="C9" s="9">
        <v>0.15</v>
      </c>
      <c r="F9" s="9">
        <v>-0.1</v>
      </c>
    </row>
    <row r="14" spans="2:14" x14ac:dyDescent="0.15">
      <c r="B14" t="s">
        <v>275</v>
      </c>
      <c r="C14" t="s">
        <v>276</v>
      </c>
      <c r="D14" t="s">
        <v>277</v>
      </c>
      <c r="E14" t="s">
        <v>278</v>
      </c>
    </row>
    <row r="15" spans="2:14" x14ac:dyDescent="0.15">
      <c r="B15">
        <v>1</v>
      </c>
      <c r="C15">
        <v>10</v>
      </c>
      <c r="E15">
        <v>2</v>
      </c>
    </row>
    <row r="16" spans="2:14" x14ac:dyDescent="0.15">
      <c r="B16">
        <v>2</v>
      </c>
      <c r="C16">
        <v>15</v>
      </c>
      <c r="E16">
        <v>4</v>
      </c>
    </row>
    <row r="17" spans="2:5" x14ac:dyDescent="0.15">
      <c r="B17">
        <v>3</v>
      </c>
      <c r="C17">
        <v>20</v>
      </c>
      <c r="E17">
        <v>6</v>
      </c>
    </row>
    <row r="18" spans="2:5" x14ac:dyDescent="0.15">
      <c r="B18">
        <v>4</v>
      </c>
      <c r="C18">
        <v>20</v>
      </c>
      <c r="E18">
        <v>8</v>
      </c>
    </row>
    <row r="19" spans="2:5" x14ac:dyDescent="0.15">
      <c r="B19">
        <v>5</v>
      </c>
      <c r="C19">
        <v>20</v>
      </c>
      <c r="E19">
        <v>10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G7" sqref="G7"/>
    </sheetView>
  </sheetViews>
  <sheetFormatPr defaultRowHeight="13.5" x14ac:dyDescent="0.15"/>
  <cols>
    <col min="2" max="2" width="12.75" bestFit="1" customWidth="1"/>
  </cols>
  <sheetData>
    <row r="1" spans="1:8" x14ac:dyDescent="0.15">
      <c r="A1" t="s">
        <v>0</v>
      </c>
      <c r="B1" t="s">
        <v>1</v>
      </c>
      <c r="C1" t="s">
        <v>114</v>
      </c>
      <c r="D1" t="s">
        <v>115</v>
      </c>
      <c r="E1" t="s">
        <v>2</v>
      </c>
      <c r="F1" t="s">
        <v>3</v>
      </c>
      <c r="G1" t="s">
        <v>61</v>
      </c>
      <c r="H1" t="s">
        <v>4</v>
      </c>
    </row>
    <row r="2" spans="1:8" x14ac:dyDescent="0.15">
      <c r="A2">
        <v>1</v>
      </c>
      <c r="B2" t="s">
        <v>5</v>
      </c>
      <c r="C2">
        <v>20</v>
      </c>
      <c r="D2">
        <v>1</v>
      </c>
      <c r="E2">
        <v>1</v>
      </c>
      <c r="F2" t="s">
        <v>9</v>
      </c>
      <c r="G2" t="s">
        <v>62</v>
      </c>
      <c r="H2" s="7" t="s">
        <v>72</v>
      </c>
    </row>
    <row r="3" spans="1:8" x14ac:dyDescent="0.15">
      <c r="A3">
        <v>2</v>
      </c>
      <c r="B3" t="s">
        <v>6</v>
      </c>
      <c r="C3">
        <v>100</v>
      </c>
      <c r="D3">
        <v>5</v>
      </c>
      <c r="E3">
        <v>1</v>
      </c>
      <c r="F3" t="s">
        <v>10</v>
      </c>
      <c r="G3" t="s">
        <v>62</v>
      </c>
      <c r="H3" s="7" t="s">
        <v>72</v>
      </c>
    </row>
    <row r="4" spans="1:8" x14ac:dyDescent="0.15">
      <c r="A4">
        <v>3</v>
      </c>
      <c r="B4" t="s">
        <v>7</v>
      </c>
      <c r="C4">
        <v>300</v>
      </c>
      <c r="D4">
        <v>10</v>
      </c>
      <c r="E4">
        <v>3</v>
      </c>
      <c r="F4" t="s">
        <v>11</v>
      </c>
      <c r="G4" t="s">
        <v>62</v>
      </c>
      <c r="H4" s="7" t="s">
        <v>72</v>
      </c>
    </row>
    <row r="5" spans="1:8" x14ac:dyDescent="0.15">
      <c r="A5">
        <v>4</v>
      </c>
      <c r="B5" t="s">
        <v>13</v>
      </c>
      <c r="C5">
        <v>50</v>
      </c>
      <c r="D5">
        <v>30</v>
      </c>
      <c r="E5">
        <v>1</v>
      </c>
      <c r="F5" t="s">
        <v>14</v>
      </c>
      <c r="G5" t="s">
        <v>62</v>
      </c>
      <c r="H5" s="7" t="s">
        <v>72</v>
      </c>
    </row>
    <row r="6" spans="1:8" x14ac:dyDescent="0.15">
      <c r="A6">
        <v>5</v>
      </c>
      <c r="B6" t="s">
        <v>8</v>
      </c>
      <c r="C6">
        <v>1000</v>
      </c>
      <c r="D6">
        <v>80</v>
      </c>
      <c r="E6">
        <v>3</v>
      </c>
      <c r="F6" t="s">
        <v>12</v>
      </c>
      <c r="G6" t="s">
        <v>62</v>
      </c>
      <c r="H6" s="7" t="s">
        <v>72</v>
      </c>
    </row>
    <row r="7" spans="1:8" x14ac:dyDescent="0.15">
      <c r="A7">
        <v>6</v>
      </c>
      <c r="B7" t="s">
        <v>15</v>
      </c>
      <c r="C7">
        <v>60</v>
      </c>
      <c r="D7">
        <v>200</v>
      </c>
      <c r="E7">
        <v>2</v>
      </c>
      <c r="F7" t="s">
        <v>16</v>
      </c>
      <c r="G7" t="s">
        <v>63</v>
      </c>
      <c r="H7" s="7" t="s">
        <v>72</v>
      </c>
    </row>
    <row r="8" spans="1:8" x14ac:dyDescent="0.15">
      <c r="A8">
        <v>7</v>
      </c>
      <c r="B8" t="s">
        <v>19</v>
      </c>
      <c r="C8">
        <v>80</v>
      </c>
      <c r="D8">
        <v>500</v>
      </c>
      <c r="E8">
        <v>2</v>
      </c>
      <c r="F8" t="s">
        <v>17</v>
      </c>
      <c r="G8" t="s">
        <v>64</v>
      </c>
      <c r="H8" s="7" t="s">
        <v>74</v>
      </c>
    </row>
    <row r="9" spans="1:8" x14ac:dyDescent="0.15">
      <c r="A9">
        <v>8</v>
      </c>
      <c r="B9" t="s">
        <v>20</v>
      </c>
      <c r="C9">
        <v>300</v>
      </c>
      <c r="D9">
        <v>1200</v>
      </c>
      <c r="E9">
        <v>3</v>
      </c>
      <c r="F9" t="s">
        <v>18</v>
      </c>
      <c r="G9" t="s">
        <v>65</v>
      </c>
      <c r="H9" s="7" t="s">
        <v>72</v>
      </c>
    </row>
    <row r="10" spans="1:8" x14ac:dyDescent="0.15">
      <c r="A10">
        <v>9</v>
      </c>
      <c r="B10" t="s">
        <v>22</v>
      </c>
      <c r="C10">
        <v>500</v>
      </c>
      <c r="D10">
        <v>3000</v>
      </c>
      <c r="E10">
        <v>3</v>
      </c>
      <c r="F10" t="s">
        <v>21</v>
      </c>
      <c r="G10" t="s">
        <v>65</v>
      </c>
      <c r="H10" s="7" t="s">
        <v>72</v>
      </c>
    </row>
    <row r="11" spans="1:8" x14ac:dyDescent="0.15">
      <c r="A11">
        <v>10</v>
      </c>
      <c r="B11" t="s">
        <v>24</v>
      </c>
      <c r="C11">
        <v>5</v>
      </c>
      <c r="D11">
        <v>10000</v>
      </c>
      <c r="E11">
        <v>2</v>
      </c>
      <c r="F11" t="s">
        <v>23</v>
      </c>
      <c r="G11" t="s">
        <v>64</v>
      </c>
      <c r="H11" s="7" t="s">
        <v>72</v>
      </c>
    </row>
    <row r="12" spans="1:8" x14ac:dyDescent="0.15">
      <c r="A12">
        <v>11</v>
      </c>
      <c r="B12" t="s">
        <v>35</v>
      </c>
      <c r="C12">
        <v>40</v>
      </c>
      <c r="E12">
        <v>1</v>
      </c>
      <c r="F12" t="s">
        <v>29</v>
      </c>
      <c r="G12" t="s">
        <v>64</v>
      </c>
      <c r="H12" s="7" t="s">
        <v>74</v>
      </c>
    </row>
    <row r="13" spans="1:8" x14ac:dyDescent="0.15">
      <c r="A13">
        <v>12</v>
      </c>
      <c r="B13" t="s">
        <v>36</v>
      </c>
      <c r="C13">
        <v>60</v>
      </c>
      <c r="E13">
        <v>3</v>
      </c>
      <c r="F13" t="s">
        <v>30</v>
      </c>
      <c r="G13" t="s">
        <v>65</v>
      </c>
      <c r="H13" s="7" t="s">
        <v>72</v>
      </c>
    </row>
    <row r="14" spans="1:8" x14ac:dyDescent="0.15">
      <c r="A14">
        <v>13</v>
      </c>
      <c r="B14" t="s">
        <v>37</v>
      </c>
      <c r="C14">
        <v>340</v>
      </c>
      <c r="E14">
        <v>3</v>
      </c>
      <c r="F14" t="s">
        <v>31</v>
      </c>
      <c r="G14" t="s">
        <v>65</v>
      </c>
      <c r="H14" s="7" t="s">
        <v>72</v>
      </c>
    </row>
    <row r="15" spans="1:8" x14ac:dyDescent="0.15">
      <c r="A15">
        <v>14</v>
      </c>
      <c r="B15" t="s">
        <v>39</v>
      </c>
      <c r="C15">
        <v>1500</v>
      </c>
      <c r="E15">
        <v>4</v>
      </c>
      <c r="F15" t="s">
        <v>34</v>
      </c>
      <c r="G15" t="s">
        <v>62</v>
      </c>
      <c r="H15" s="7"/>
    </row>
    <row r="16" spans="1:8" x14ac:dyDescent="0.15">
      <c r="A16">
        <v>15</v>
      </c>
      <c r="B16" t="s">
        <v>40</v>
      </c>
      <c r="C16">
        <v>1500</v>
      </c>
      <c r="E16">
        <v>4</v>
      </c>
      <c r="F16" t="s">
        <v>27</v>
      </c>
      <c r="G16" t="s">
        <v>62</v>
      </c>
      <c r="H16" s="7" t="s">
        <v>77</v>
      </c>
    </row>
    <row r="17" spans="1:8" x14ac:dyDescent="0.15">
      <c r="A17">
        <v>16</v>
      </c>
      <c r="B17" t="s">
        <v>41</v>
      </c>
      <c r="C17">
        <v>1500</v>
      </c>
      <c r="E17">
        <v>4</v>
      </c>
      <c r="F17" t="s">
        <v>33</v>
      </c>
      <c r="G17" t="s">
        <v>62</v>
      </c>
      <c r="H17" s="7"/>
    </row>
    <row r="18" spans="1:8" x14ac:dyDescent="0.15">
      <c r="A18">
        <v>17</v>
      </c>
      <c r="B18" t="s">
        <v>42</v>
      </c>
      <c r="C18">
        <v>1500</v>
      </c>
      <c r="E18">
        <v>4</v>
      </c>
      <c r="F18" t="s">
        <v>32</v>
      </c>
      <c r="G18" t="s">
        <v>62</v>
      </c>
      <c r="H18" s="7"/>
    </row>
    <row r="19" spans="1:8" x14ac:dyDescent="0.15">
      <c r="A19">
        <v>18</v>
      </c>
      <c r="B19" t="s">
        <v>43</v>
      </c>
      <c r="C19">
        <v>2500</v>
      </c>
      <c r="E19">
        <v>4</v>
      </c>
      <c r="F19" t="s">
        <v>28</v>
      </c>
      <c r="G19" t="s">
        <v>62</v>
      </c>
      <c r="H19" s="7"/>
    </row>
    <row r="20" spans="1:8" x14ac:dyDescent="0.15">
      <c r="A20">
        <v>19</v>
      </c>
      <c r="B20" t="s">
        <v>44</v>
      </c>
      <c r="C20">
        <v>2500</v>
      </c>
      <c r="E20">
        <v>4</v>
      </c>
      <c r="F20" t="s">
        <v>38</v>
      </c>
      <c r="G20" t="s">
        <v>62</v>
      </c>
      <c r="H20" s="7"/>
    </row>
    <row r="21" spans="1:8" x14ac:dyDescent="0.15">
      <c r="A21">
        <v>20</v>
      </c>
      <c r="B21" t="s">
        <v>45</v>
      </c>
      <c r="C21">
        <v>45</v>
      </c>
      <c r="E21">
        <v>1</v>
      </c>
      <c r="F21" t="s">
        <v>25</v>
      </c>
      <c r="G21" t="s">
        <v>62</v>
      </c>
      <c r="H21" s="7" t="s">
        <v>72</v>
      </c>
    </row>
    <row r="22" spans="1:8" x14ac:dyDescent="0.15">
      <c r="A22">
        <v>21</v>
      </c>
      <c r="B22" t="s">
        <v>46</v>
      </c>
      <c r="C22">
        <v>25</v>
      </c>
      <c r="E22">
        <v>1</v>
      </c>
      <c r="F22" t="s">
        <v>26</v>
      </c>
      <c r="G22" t="s">
        <v>62</v>
      </c>
      <c r="H22" s="7" t="s">
        <v>72</v>
      </c>
    </row>
    <row r="23" spans="1:8" x14ac:dyDescent="0.15">
      <c r="A23">
        <v>22</v>
      </c>
      <c r="B23" t="s">
        <v>48</v>
      </c>
      <c r="C23">
        <v>100</v>
      </c>
      <c r="E23">
        <v>2</v>
      </c>
      <c r="F23" t="s">
        <v>47</v>
      </c>
      <c r="G23" t="s">
        <v>62</v>
      </c>
      <c r="H23" s="7" t="s">
        <v>72</v>
      </c>
    </row>
    <row r="24" spans="1:8" x14ac:dyDescent="0.15">
      <c r="A24">
        <v>23</v>
      </c>
      <c r="B24" t="s">
        <v>50</v>
      </c>
      <c r="C24">
        <v>7</v>
      </c>
      <c r="E24">
        <v>1</v>
      </c>
      <c r="F24" t="s">
        <v>49</v>
      </c>
      <c r="G24" t="s">
        <v>62</v>
      </c>
      <c r="H24" s="7" t="s">
        <v>72</v>
      </c>
    </row>
    <row r="25" spans="1:8" x14ac:dyDescent="0.15">
      <c r="A25">
        <v>24</v>
      </c>
      <c r="B25" t="s">
        <v>52</v>
      </c>
      <c r="C25">
        <v>10</v>
      </c>
      <c r="E25">
        <v>1</v>
      </c>
      <c r="F25" t="s">
        <v>51</v>
      </c>
      <c r="G25" t="s">
        <v>62</v>
      </c>
      <c r="H25" s="7"/>
    </row>
    <row r="26" spans="1:8" x14ac:dyDescent="0.15">
      <c r="A26">
        <v>25</v>
      </c>
      <c r="B26" t="s">
        <v>55</v>
      </c>
      <c r="C26">
        <v>13</v>
      </c>
      <c r="E26">
        <v>1</v>
      </c>
      <c r="F26" t="s">
        <v>53</v>
      </c>
      <c r="G26" t="s">
        <v>62</v>
      </c>
      <c r="H26" s="7" t="s">
        <v>73</v>
      </c>
    </row>
    <row r="27" spans="1:8" x14ac:dyDescent="0.15">
      <c r="A27">
        <v>26</v>
      </c>
      <c r="B27" t="s">
        <v>56</v>
      </c>
      <c r="C27">
        <v>70</v>
      </c>
      <c r="E27">
        <v>1</v>
      </c>
      <c r="F27" t="s">
        <v>54</v>
      </c>
      <c r="G27" t="s">
        <v>62</v>
      </c>
      <c r="H27" s="7"/>
    </row>
    <row r="28" spans="1:8" x14ac:dyDescent="0.15">
      <c r="A28">
        <v>27</v>
      </c>
      <c r="B28" t="s">
        <v>59</v>
      </c>
      <c r="C28">
        <v>35</v>
      </c>
      <c r="E28">
        <v>1</v>
      </c>
      <c r="F28" t="s">
        <v>57</v>
      </c>
      <c r="G28" t="s">
        <v>62</v>
      </c>
      <c r="H28" s="7" t="s">
        <v>72</v>
      </c>
    </row>
    <row r="29" spans="1:8" x14ac:dyDescent="0.15">
      <c r="A29">
        <v>28</v>
      </c>
      <c r="B29" t="s">
        <v>60</v>
      </c>
      <c r="C29">
        <v>45</v>
      </c>
      <c r="E29">
        <v>1</v>
      </c>
      <c r="F29" t="s">
        <v>58</v>
      </c>
      <c r="G29" t="s">
        <v>62</v>
      </c>
      <c r="H29" s="7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B1004"/>
  <sheetViews>
    <sheetView workbookViewId="0">
      <selection activeCell="A41" sqref="A41"/>
    </sheetView>
  </sheetViews>
  <sheetFormatPr defaultRowHeight="13.5" x14ac:dyDescent="0.15"/>
  <cols>
    <col min="2" max="2" width="19.625" customWidth="1"/>
    <col min="3" max="3" width="7.75" customWidth="1"/>
    <col min="4" max="4" width="8.75" customWidth="1"/>
    <col min="7" max="7" width="8.875" customWidth="1"/>
    <col min="8" max="8" width="12.75" customWidth="1"/>
    <col min="9" max="9" width="11.625" customWidth="1"/>
    <col min="10" max="10" width="9" customWidth="1"/>
    <col min="11" max="11" width="8.5" customWidth="1"/>
    <col min="12" max="12" width="9" customWidth="1"/>
    <col min="13" max="13" width="9" style="3" customWidth="1"/>
    <col min="15" max="15" width="12.75" style="3" bestFit="1" customWidth="1"/>
    <col min="16" max="16" width="9" style="3"/>
    <col min="18" max="20" width="9" style="3"/>
  </cols>
  <sheetData>
    <row r="2" spans="2:28" x14ac:dyDescent="0.15">
      <c r="U2" t="s">
        <v>104</v>
      </c>
    </row>
    <row r="3" spans="2:28" s="2" customFormat="1" ht="32.25" customHeight="1" x14ac:dyDescent="0.15">
      <c r="B3" s="2" t="s">
        <v>80</v>
      </c>
      <c r="C3" s="2" t="s">
        <v>81</v>
      </c>
      <c r="D3" s="2" t="s">
        <v>85</v>
      </c>
      <c r="F3" s="2" t="s">
        <v>78</v>
      </c>
      <c r="G3" s="2" t="s">
        <v>79</v>
      </c>
      <c r="H3" s="2" t="s">
        <v>83</v>
      </c>
      <c r="I3" s="2" t="s">
        <v>84</v>
      </c>
      <c r="J3" s="2" t="s">
        <v>90</v>
      </c>
      <c r="K3" s="2" t="s">
        <v>91</v>
      </c>
      <c r="L3" s="2" t="s">
        <v>92</v>
      </c>
      <c r="M3" s="5" t="s">
        <v>110</v>
      </c>
      <c r="N3" s="2" t="s">
        <v>108</v>
      </c>
      <c r="O3" s="5" t="s">
        <v>109</v>
      </c>
      <c r="P3" s="5" t="s">
        <v>111</v>
      </c>
      <c r="R3" s="5"/>
      <c r="S3" s="5"/>
      <c r="T3" s="5" t="s">
        <v>112</v>
      </c>
      <c r="U3" s="3" t="s">
        <v>93</v>
      </c>
      <c r="V3" s="3" t="s">
        <v>94</v>
      </c>
      <c r="W3" s="3" t="s">
        <v>95</v>
      </c>
      <c r="Y3" s="2" t="s">
        <v>105</v>
      </c>
      <c r="Z3" s="2" t="s">
        <v>106</v>
      </c>
      <c r="AA3" s="2" t="s">
        <v>107</v>
      </c>
      <c r="AB3" s="2" t="s">
        <v>113</v>
      </c>
    </row>
    <row r="4" spans="2:28" x14ac:dyDescent="0.15">
      <c r="B4" t="s">
        <v>82</v>
      </c>
      <c r="C4">
        <v>7</v>
      </c>
      <c r="D4" t="s">
        <v>86</v>
      </c>
      <c r="F4">
        <f>ROUNDUP(G4/$C$4,0)</f>
        <v>1</v>
      </c>
      <c r="G4">
        <v>1</v>
      </c>
      <c r="H4">
        <f>18.5*1.57^MIN(F4,156)*1.17^MAX(F4-156,0)*$C$5</f>
        <v>4.3567499999999999</v>
      </c>
      <c r="I4">
        <f>ROUND(H4,0)</f>
        <v>4</v>
      </c>
      <c r="J4">
        <f>IF(F4=F5,1,LOOKUP(MOD(F4,5),$D$6:$D$10,$C$6:$C$10))</f>
        <v>1</v>
      </c>
      <c r="K4">
        <f>J4*I4</f>
        <v>4</v>
      </c>
      <c r="L4" s="1">
        <f>K4*(0.02+0.00045*F4)/$C$5</f>
        <v>0.54533333333333334</v>
      </c>
      <c r="M4" s="3">
        <f>L4/(1.3^F4)*3</f>
        <v>1.2584615384615383</v>
      </c>
      <c r="N4" s="7">
        <f t="shared" ref="N4:N6" si="0">ROUND(L4,0)</f>
        <v>1</v>
      </c>
      <c r="O4" s="3">
        <f>ROUNDDOWN(M4,0)</f>
        <v>1</v>
      </c>
      <c r="P4" s="3">
        <f>SUM($O$4:O4)</f>
        <v>1</v>
      </c>
      <c r="T4" s="7">
        <v>1</v>
      </c>
      <c r="U4" s="3">
        <v>2.9</v>
      </c>
      <c r="V4" s="3">
        <v>2.9</v>
      </c>
      <c r="W4" s="3"/>
      <c r="Y4">
        <f>G4</f>
        <v>1</v>
      </c>
      <c r="Z4">
        <f>ROUND(1.05^Y4*Y4,0)</f>
        <v>1</v>
      </c>
      <c r="AB4">
        <f>LOOKUP(Y4,T:T,P:P)</f>
        <v>5</v>
      </c>
    </row>
    <row r="5" spans="2:28" x14ac:dyDescent="0.15">
      <c r="B5" t="s">
        <v>87</v>
      </c>
      <c r="C5">
        <v>0.15</v>
      </c>
      <c r="D5" t="s">
        <v>88</v>
      </c>
      <c r="F5">
        <f t="shared" ref="F5:F68" si="1">ROUNDUP(G5/$C$4,0)</f>
        <v>1</v>
      </c>
      <c r="G5">
        <v>2</v>
      </c>
      <c r="H5">
        <f t="shared" ref="H5:H68" si="2">18.5*1.57^MIN(F5,156)*1.17^MAX(F5-156,0)*$C$5</f>
        <v>4.3567499999999999</v>
      </c>
      <c r="I5">
        <f t="shared" ref="I5:I68" si="3">ROUND(H5,0)</f>
        <v>4</v>
      </c>
      <c r="J5" s="1">
        <f t="shared" ref="J5:J68" si="4">IF(F5=F6,1,LOOKUP(MOD(F5,5),$D$6:$D$10,$C$6:$C$10))</f>
        <v>1</v>
      </c>
      <c r="K5" s="1">
        <f t="shared" ref="K5:K68" si="5">J5*I5</f>
        <v>4</v>
      </c>
      <c r="L5" s="1">
        <f t="shared" ref="L5:L68" si="6">K5*(0.02+0.00045*F5)/$C$5</f>
        <v>0.54533333333333334</v>
      </c>
      <c r="M5" s="3">
        <f t="shared" ref="M5:M68" si="7">L5/(1.3^F5)*3</f>
        <v>1.2584615384615383</v>
      </c>
      <c r="N5" s="7">
        <f t="shared" si="0"/>
        <v>1</v>
      </c>
      <c r="O5" s="7">
        <f t="shared" ref="O5:O68" si="8">ROUNDDOWN(M5,0)</f>
        <v>1</v>
      </c>
      <c r="P5" s="3">
        <f>SUM($O$4:O5)</f>
        <v>2</v>
      </c>
      <c r="T5" s="7">
        <v>1</v>
      </c>
      <c r="U5" s="3">
        <v>2.9</v>
      </c>
      <c r="V5" s="3">
        <v>5.8</v>
      </c>
      <c r="W5" s="3"/>
      <c r="Y5" s="3">
        <f t="shared" ref="Y5:Y68" si="9">G5</f>
        <v>2</v>
      </c>
      <c r="Z5" s="3">
        <f t="shared" ref="Z5:Z68" si="10">ROUND(1.05^Y5*Y5,0)</f>
        <v>2</v>
      </c>
      <c r="AB5" s="7">
        <f t="shared" ref="AB5:AB68" si="11">LOOKUP(Y5,T:T,P:P)</f>
        <v>12</v>
      </c>
    </row>
    <row r="6" spans="2:28" x14ac:dyDescent="0.15">
      <c r="B6" s="1" t="s">
        <v>89</v>
      </c>
      <c r="C6" s="1">
        <v>10</v>
      </c>
      <c r="D6" s="1">
        <v>0</v>
      </c>
      <c r="F6">
        <f t="shared" si="1"/>
        <v>1</v>
      </c>
      <c r="G6">
        <v>3</v>
      </c>
      <c r="H6">
        <f t="shared" si="2"/>
        <v>4.3567499999999999</v>
      </c>
      <c r="I6">
        <f t="shared" si="3"/>
        <v>4</v>
      </c>
      <c r="J6" s="1">
        <f t="shared" si="4"/>
        <v>1</v>
      </c>
      <c r="K6" s="1">
        <f t="shared" si="5"/>
        <v>4</v>
      </c>
      <c r="L6" s="1">
        <f t="shared" si="6"/>
        <v>0.54533333333333334</v>
      </c>
      <c r="M6" s="3">
        <f t="shared" si="7"/>
        <v>1.2584615384615383</v>
      </c>
      <c r="N6" s="7">
        <f t="shared" si="0"/>
        <v>1</v>
      </c>
      <c r="O6" s="7">
        <f t="shared" si="8"/>
        <v>1</v>
      </c>
      <c r="P6" s="3">
        <f>SUM($O$4:O6)</f>
        <v>3</v>
      </c>
      <c r="T6" s="7">
        <v>1</v>
      </c>
      <c r="U6" s="3">
        <v>2.9</v>
      </c>
      <c r="V6" s="3">
        <v>8.6999999999999993</v>
      </c>
      <c r="W6" s="3"/>
      <c r="Y6" s="3">
        <f t="shared" si="9"/>
        <v>3</v>
      </c>
      <c r="Z6" s="3">
        <f t="shared" si="10"/>
        <v>3</v>
      </c>
      <c r="AB6" s="7">
        <f t="shared" si="11"/>
        <v>30</v>
      </c>
    </row>
    <row r="7" spans="2:28" x14ac:dyDescent="0.15">
      <c r="C7" s="1">
        <v>2</v>
      </c>
      <c r="D7" s="1">
        <v>1</v>
      </c>
      <c r="F7">
        <f t="shared" si="1"/>
        <v>1</v>
      </c>
      <c r="G7">
        <v>4</v>
      </c>
      <c r="H7">
        <f t="shared" si="2"/>
        <v>4.3567499999999999</v>
      </c>
      <c r="I7">
        <f t="shared" si="3"/>
        <v>4</v>
      </c>
      <c r="J7" s="1">
        <f t="shared" si="4"/>
        <v>1</v>
      </c>
      <c r="K7" s="1">
        <f t="shared" si="5"/>
        <v>4</v>
      </c>
      <c r="L7" s="1">
        <f t="shared" si="6"/>
        <v>0.54533333333333334</v>
      </c>
      <c r="M7" s="3">
        <f t="shared" si="7"/>
        <v>1.2584615384615383</v>
      </c>
      <c r="N7" s="1">
        <f>ROUND(L7,0)</f>
        <v>1</v>
      </c>
      <c r="O7" s="7">
        <f t="shared" si="8"/>
        <v>1</v>
      </c>
      <c r="P7" s="3">
        <f>SUM($O$4:O7)</f>
        <v>4</v>
      </c>
      <c r="T7" s="7">
        <v>1</v>
      </c>
      <c r="U7" s="3">
        <v>2.9</v>
      </c>
      <c r="V7" s="3">
        <v>11.6</v>
      </c>
      <c r="W7" s="3"/>
      <c r="Y7" s="3">
        <f t="shared" si="9"/>
        <v>4</v>
      </c>
      <c r="Z7" s="3">
        <f t="shared" si="10"/>
        <v>5</v>
      </c>
      <c r="AA7" s="7"/>
      <c r="AB7" s="7">
        <f t="shared" si="11"/>
        <v>48</v>
      </c>
    </row>
    <row r="8" spans="2:28" x14ac:dyDescent="0.15">
      <c r="C8" s="1">
        <v>4</v>
      </c>
      <c r="D8" s="1">
        <v>2</v>
      </c>
      <c r="F8">
        <f t="shared" si="1"/>
        <v>1</v>
      </c>
      <c r="G8">
        <v>5</v>
      </c>
      <c r="H8">
        <f t="shared" si="2"/>
        <v>4.3567499999999999</v>
      </c>
      <c r="I8">
        <f t="shared" si="3"/>
        <v>4</v>
      </c>
      <c r="J8" s="1">
        <f t="shared" si="4"/>
        <v>1</v>
      </c>
      <c r="K8" s="1">
        <f t="shared" si="5"/>
        <v>4</v>
      </c>
      <c r="L8" s="1">
        <f t="shared" si="6"/>
        <v>0.54533333333333334</v>
      </c>
      <c r="M8" s="3">
        <f t="shared" si="7"/>
        <v>1.2584615384615383</v>
      </c>
      <c r="N8" s="7">
        <f t="shared" ref="N8:N71" si="12">ROUND(L8,0)</f>
        <v>1</v>
      </c>
      <c r="O8" s="7">
        <f t="shared" si="8"/>
        <v>1</v>
      </c>
      <c r="P8" s="3">
        <f>SUM($O$4:O8)</f>
        <v>5</v>
      </c>
      <c r="T8" s="7">
        <v>1</v>
      </c>
      <c r="U8" s="3">
        <v>2.9</v>
      </c>
      <c r="V8" s="3">
        <v>14.5</v>
      </c>
      <c r="W8" s="4" t="s">
        <v>96</v>
      </c>
      <c r="Y8" s="3">
        <f t="shared" si="9"/>
        <v>5</v>
      </c>
      <c r="Z8" s="3">
        <f t="shared" si="10"/>
        <v>6</v>
      </c>
      <c r="AA8" s="7"/>
      <c r="AB8" s="7">
        <f t="shared" si="11"/>
        <v>77</v>
      </c>
    </row>
    <row r="9" spans="2:28" x14ac:dyDescent="0.15">
      <c r="C9" s="1">
        <v>6</v>
      </c>
      <c r="D9" s="1">
        <v>3</v>
      </c>
      <c r="F9">
        <f t="shared" si="1"/>
        <v>1</v>
      </c>
      <c r="G9">
        <v>6</v>
      </c>
      <c r="H9">
        <f t="shared" si="2"/>
        <v>4.3567499999999999</v>
      </c>
      <c r="I9">
        <f t="shared" si="3"/>
        <v>4</v>
      </c>
      <c r="J9" s="1">
        <f t="shared" si="4"/>
        <v>1</v>
      </c>
      <c r="K9" s="1">
        <f t="shared" si="5"/>
        <v>4</v>
      </c>
      <c r="L9" s="1">
        <f t="shared" si="6"/>
        <v>0.54533333333333334</v>
      </c>
      <c r="M9" s="3">
        <f t="shared" si="7"/>
        <v>1.2584615384615383</v>
      </c>
      <c r="N9" s="7">
        <f t="shared" si="12"/>
        <v>1</v>
      </c>
      <c r="O9" s="7">
        <f t="shared" si="8"/>
        <v>1</v>
      </c>
      <c r="P9" s="3">
        <f>SUM($O$4:O9)</f>
        <v>6</v>
      </c>
      <c r="T9" s="7">
        <v>2</v>
      </c>
      <c r="U9" s="3">
        <v>1.45</v>
      </c>
      <c r="V9" s="3">
        <v>15.95</v>
      </c>
      <c r="W9" s="4" t="s">
        <v>97</v>
      </c>
      <c r="Y9" s="3">
        <f t="shared" si="9"/>
        <v>6</v>
      </c>
      <c r="Z9" s="3">
        <f t="shared" si="10"/>
        <v>8</v>
      </c>
      <c r="AA9" s="7"/>
      <c r="AB9" s="7">
        <f t="shared" si="11"/>
        <v>89</v>
      </c>
    </row>
    <row r="10" spans="2:28" x14ac:dyDescent="0.15">
      <c r="C10" s="1">
        <v>7</v>
      </c>
      <c r="D10" s="1">
        <v>4</v>
      </c>
      <c r="F10">
        <f t="shared" si="1"/>
        <v>1</v>
      </c>
      <c r="G10">
        <v>7</v>
      </c>
      <c r="H10">
        <f t="shared" si="2"/>
        <v>4.3567499999999999</v>
      </c>
      <c r="I10">
        <f t="shared" si="3"/>
        <v>4</v>
      </c>
      <c r="J10" s="1">
        <f t="shared" si="4"/>
        <v>2</v>
      </c>
      <c r="K10" s="1">
        <f t="shared" si="5"/>
        <v>8</v>
      </c>
      <c r="L10" s="1">
        <f t="shared" si="6"/>
        <v>1.0906666666666667</v>
      </c>
      <c r="M10" s="3">
        <f t="shared" si="7"/>
        <v>2.5169230769230766</v>
      </c>
      <c r="N10" s="7">
        <f t="shared" si="12"/>
        <v>1</v>
      </c>
      <c r="O10" s="7">
        <f t="shared" si="8"/>
        <v>2</v>
      </c>
      <c r="P10" s="3">
        <f>SUM($O$4:O10)</f>
        <v>8</v>
      </c>
      <c r="T10" s="7">
        <v>2</v>
      </c>
      <c r="U10" s="3">
        <v>1.45</v>
      </c>
      <c r="V10" s="3">
        <v>17.399999999999999</v>
      </c>
      <c r="W10" s="3"/>
      <c r="Y10" s="3">
        <f t="shared" si="9"/>
        <v>7</v>
      </c>
      <c r="Z10" s="3">
        <f t="shared" si="10"/>
        <v>10</v>
      </c>
      <c r="AA10" s="7"/>
      <c r="AB10" s="7">
        <f t="shared" si="11"/>
        <v>138</v>
      </c>
    </row>
    <row r="11" spans="2:28" x14ac:dyDescent="0.15">
      <c r="F11">
        <f t="shared" si="1"/>
        <v>2</v>
      </c>
      <c r="G11">
        <v>8</v>
      </c>
      <c r="H11">
        <f t="shared" si="2"/>
        <v>6.8400974999999997</v>
      </c>
      <c r="I11">
        <f t="shared" si="3"/>
        <v>7</v>
      </c>
      <c r="J11" s="1">
        <f t="shared" si="4"/>
        <v>1</v>
      </c>
      <c r="K11" s="1">
        <f t="shared" si="5"/>
        <v>7</v>
      </c>
      <c r="L11" s="1">
        <f t="shared" si="6"/>
        <v>0.9753333333333335</v>
      </c>
      <c r="M11" s="3">
        <f t="shared" si="7"/>
        <v>1.7313609467455622</v>
      </c>
      <c r="N11" s="7">
        <f t="shared" si="12"/>
        <v>1</v>
      </c>
      <c r="O11" s="7">
        <f t="shared" si="8"/>
        <v>1</v>
      </c>
      <c r="P11" s="3">
        <f>SUM($O$4:O11)</f>
        <v>9</v>
      </c>
      <c r="T11" s="7">
        <v>2</v>
      </c>
      <c r="U11" s="3">
        <v>1.45</v>
      </c>
      <c r="V11" s="3">
        <v>18.849999999999998</v>
      </c>
      <c r="W11" s="3"/>
      <c r="Y11" s="3">
        <f t="shared" si="9"/>
        <v>8</v>
      </c>
      <c r="Z11" s="3">
        <f t="shared" si="10"/>
        <v>12</v>
      </c>
      <c r="AA11" s="7"/>
      <c r="AB11" s="7">
        <f t="shared" si="11"/>
        <v>148</v>
      </c>
    </row>
    <row r="12" spans="2:28" x14ac:dyDescent="0.15">
      <c r="F12">
        <f t="shared" si="1"/>
        <v>2</v>
      </c>
      <c r="G12">
        <v>9</v>
      </c>
      <c r="H12">
        <f t="shared" si="2"/>
        <v>6.8400974999999997</v>
      </c>
      <c r="I12">
        <f t="shared" si="3"/>
        <v>7</v>
      </c>
      <c r="J12" s="1">
        <f t="shared" si="4"/>
        <v>1</v>
      </c>
      <c r="K12" s="1">
        <f t="shared" si="5"/>
        <v>7</v>
      </c>
      <c r="L12" s="1">
        <f t="shared" si="6"/>
        <v>0.9753333333333335</v>
      </c>
      <c r="M12" s="3">
        <f t="shared" si="7"/>
        <v>1.7313609467455622</v>
      </c>
      <c r="N12" s="7">
        <f t="shared" si="12"/>
        <v>1</v>
      </c>
      <c r="O12" s="7">
        <f t="shared" si="8"/>
        <v>1</v>
      </c>
      <c r="P12" s="3">
        <f>SUM($O$4:O12)</f>
        <v>10</v>
      </c>
      <c r="T12" s="7">
        <v>2</v>
      </c>
      <c r="U12" s="3">
        <v>1.45</v>
      </c>
      <c r="V12" s="3">
        <v>20.299999999999997</v>
      </c>
      <c r="W12" s="3"/>
      <c r="Y12" s="3">
        <f t="shared" si="9"/>
        <v>9</v>
      </c>
      <c r="Z12" s="3">
        <f t="shared" si="10"/>
        <v>14</v>
      </c>
      <c r="AA12" s="7"/>
      <c r="AB12" s="7">
        <f t="shared" si="11"/>
        <v>172</v>
      </c>
    </row>
    <row r="13" spans="2:28" x14ac:dyDescent="0.15">
      <c r="F13">
        <f t="shared" si="1"/>
        <v>2</v>
      </c>
      <c r="G13">
        <v>10</v>
      </c>
      <c r="H13">
        <f t="shared" si="2"/>
        <v>6.8400974999999997</v>
      </c>
      <c r="I13">
        <f t="shared" si="3"/>
        <v>7</v>
      </c>
      <c r="J13" s="1">
        <f t="shared" si="4"/>
        <v>1</v>
      </c>
      <c r="K13" s="1">
        <f t="shared" si="5"/>
        <v>7</v>
      </c>
      <c r="L13" s="1">
        <f t="shared" si="6"/>
        <v>0.9753333333333335</v>
      </c>
      <c r="M13" s="3">
        <f t="shared" si="7"/>
        <v>1.7313609467455622</v>
      </c>
      <c r="N13" s="7">
        <f t="shared" si="12"/>
        <v>1</v>
      </c>
      <c r="O13" s="7">
        <f t="shared" si="8"/>
        <v>1</v>
      </c>
      <c r="P13" s="3">
        <f>SUM($O$4:O13)</f>
        <v>11</v>
      </c>
      <c r="T13" s="7">
        <v>2</v>
      </c>
      <c r="U13" s="3">
        <v>2.9</v>
      </c>
      <c r="V13" s="3">
        <v>23.199999999999996</v>
      </c>
      <c r="W13" s="6" t="s">
        <v>98</v>
      </c>
      <c r="Y13" s="3">
        <f t="shared" si="9"/>
        <v>10</v>
      </c>
      <c r="Z13" s="3">
        <f t="shared" si="10"/>
        <v>16</v>
      </c>
      <c r="AA13" s="7"/>
      <c r="AB13" s="7">
        <f t="shared" si="11"/>
        <v>196</v>
      </c>
    </row>
    <row r="14" spans="2:28" x14ac:dyDescent="0.15">
      <c r="F14">
        <f t="shared" si="1"/>
        <v>2</v>
      </c>
      <c r="G14">
        <v>11</v>
      </c>
      <c r="H14">
        <f t="shared" si="2"/>
        <v>6.8400974999999997</v>
      </c>
      <c r="I14">
        <f t="shared" si="3"/>
        <v>7</v>
      </c>
      <c r="J14" s="1">
        <f t="shared" si="4"/>
        <v>1</v>
      </c>
      <c r="K14" s="1">
        <f t="shared" si="5"/>
        <v>7</v>
      </c>
      <c r="L14" s="1">
        <f t="shared" si="6"/>
        <v>0.9753333333333335</v>
      </c>
      <c r="M14" s="3">
        <f t="shared" si="7"/>
        <v>1.7313609467455622</v>
      </c>
      <c r="N14" s="7">
        <f t="shared" si="12"/>
        <v>1</v>
      </c>
      <c r="O14" s="7">
        <f t="shared" si="8"/>
        <v>1</v>
      </c>
      <c r="P14" s="3">
        <f>SUM($O$4:O14)</f>
        <v>12</v>
      </c>
      <c r="T14" s="7">
        <v>2</v>
      </c>
      <c r="U14" s="3">
        <v>2.2999999999999998</v>
      </c>
      <c r="V14" s="3">
        <v>25.499999999999996</v>
      </c>
      <c r="W14" s="3"/>
      <c r="Y14" s="3">
        <f t="shared" si="9"/>
        <v>11</v>
      </c>
      <c r="Z14" s="3">
        <f t="shared" si="10"/>
        <v>19</v>
      </c>
      <c r="AA14" s="7"/>
      <c r="AB14" s="7">
        <f t="shared" si="11"/>
        <v>211</v>
      </c>
    </row>
    <row r="15" spans="2:28" x14ac:dyDescent="0.15">
      <c r="F15">
        <f t="shared" si="1"/>
        <v>2</v>
      </c>
      <c r="G15">
        <v>12</v>
      </c>
      <c r="H15">
        <f t="shared" si="2"/>
        <v>6.8400974999999997</v>
      </c>
      <c r="I15">
        <f t="shared" si="3"/>
        <v>7</v>
      </c>
      <c r="J15" s="1">
        <f t="shared" si="4"/>
        <v>1</v>
      </c>
      <c r="K15" s="1">
        <f t="shared" si="5"/>
        <v>7</v>
      </c>
      <c r="L15" s="1">
        <f t="shared" si="6"/>
        <v>0.9753333333333335</v>
      </c>
      <c r="M15" s="3">
        <f t="shared" si="7"/>
        <v>1.7313609467455622</v>
      </c>
      <c r="N15" s="7">
        <f t="shared" si="12"/>
        <v>1</v>
      </c>
      <c r="O15" s="7">
        <f t="shared" si="8"/>
        <v>1</v>
      </c>
      <c r="P15" s="3">
        <f>SUM($O$4:O15)</f>
        <v>13</v>
      </c>
      <c r="T15" s="7">
        <v>3</v>
      </c>
      <c r="U15" s="3">
        <v>1.5333333333333334</v>
      </c>
      <c r="V15" s="3">
        <v>27.033333333333331</v>
      </c>
      <c r="W15" s="3"/>
      <c r="Y15" s="3">
        <f t="shared" si="9"/>
        <v>12</v>
      </c>
      <c r="Z15" s="3">
        <f t="shared" si="10"/>
        <v>22</v>
      </c>
      <c r="AA15" s="7"/>
      <c r="AB15" s="7">
        <f t="shared" si="11"/>
        <v>277</v>
      </c>
    </row>
    <row r="16" spans="2:28" x14ac:dyDescent="0.15">
      <c r="F16">
        <f t="shared" si="1"/>
        <v>2</v>
      </c>
      <c r="G16">
        <v>13</v>
      </c>
      <c r="H16">
        <f t="shared" si="2"/>
        <v>6.8400974999999997</v>
      </c>
      <c r="I16">
        <f t="shared" si="3"/>
        <v>7</v>
      </c>
      <c r="J16" s="1">
        <f t="shared" si="4"/>
        <v>1</v>
      </c>
      <c r="K16" s="1">
        <f t="shared" si="5"/>
        <v>7</v>
      </c>
      <c r="L16" s="1">
        <f t="shared" si="6"/>
        <v>0.9753333333333335</v>
      </c>
      <c r="M16" s="3">
        <f t="shared" si="7"/>
        <v>1.7313609467455622</v>
      </c>
      <c r="N16" s="7">
        <f t="shared" si="12"/>
        <v>1</v>
      </c>
      <c r="O16" s="7">
        <f t="shared" si="8"/>
        <v>1</v>
      </c>
      <c r="P16" s="3">
        <f>SUM($O$4:O16)</f>
        <v>14</v>
      </c>
      <c r="T16" s="7">
        <v>3</v>
      </c>
      <c r="U16" s="3">
        <v>1.5333333333333334</v>
      </c>
      <c r="V16" s="3">
        <v>28.566666666666666</v>
      </c>
      <c r="W16" s="3"/>
      <c r="Y16" s="3">
        <f t="shared" si="9"/>
        <v>13</v>
      </c>
      <c r="Z16" s="3">
        <f t="shared" si="10"/>
        <v>25</v>
      </c>
      <c r="AA16" s="7"/>
      <c r="AB16" s="7">
        <f t="shared" si="11"/>
        <v>349</v>
      </c>
    </row>
    <row r="17" spans="6:28" x14ac:dyDescent="0.15">
      <c r="F17">
        <f t="shared" si="1"/>
        <v>2</v>
      </c>
      <c r="G17">
        <v>14</v>
      </c>
      <c r="H17">
        <f t="shared" si="2"/>
        <v>6.8400974999999997</v>
      </c>
      <c r="I17">
        <f t="shared" si="3"/>
        <v>7</v>
      </c>
      <c r="J17" s="1">
        <f t="shared" si="4"/>
        <v>4</v>
      </c>
      <c r="K17" s="1">
        <f t="shared" si="5"/>
        <v>28</v>
      </c>
      <c r="L17" s="1">
        <f t="shared" si="6"/>
        <v>3.901333333333334</v>
      </c>
      <c r="M17" s="3">
        <f t="shared" si="7"/>
        <v>6.9254437869822487</v>
      </c>
      <c r="N17" s="7">
        <f t="shared" si="12"/>
        <v>4</v>
      </c>
      <c r="O17" s="7">
        <f t="shared" si="8"/>
        <v>6</v>
      </c>
      <c r="P17" s="3">
        <f>SUM($O$4:O17)</f>
        <v>20</v>
      </c>
      <c r="T17" s="7">
        <v>3</v>
      </c>
      <c r="U17" s="3">
        <v>1.5333333333333334</v>
      </c>
      <c r="V17" s="3">
        <v>30.1</v>
      </c>
      <c r="W17" s="3"/>
      <c r="Y17" s="3">
        <f t="shared" si="9"/>
        <v>14</v>
      </c>
      <c r="Z17" s="3">
        <f t="shared" si="10"/>
        <v>28</v>
      </c>
      <c r="AA17" s="7"/>
      <c r="AB17" s="7">
        <f t="shared" si="11"/>
        <v>381</v>
      </c>
    </row>
    <row r="18" spans="6:28" x14ac:dyDescent="0.15">
      <c r="F18">
        <f t="shared" si="1"/>
        <v>3</v>
      </c>
      <c r="G18">
        <v>15</v>
      </c>
      <c r="H18">
        <f t="shared" si="2"/>
        <v>10.738953075000001</v>
      </c>
      <c r="I18">
        <f t="shared" si="3"/>
        <v>11</v>
      </c>
      <c r="J18" s="1">
        <f t="shared" si="4"/>
        <v>1</v>
      </c>
      <c r="K18" s="1">
        <f t="shared" si="5"/>
        <v>11</v>
      </c>
      <c r="L18" s="1">
        <f t="shared" si="6"/>
        <v>1.5656666666666668</v>
      </c>
      <c r="M18" s="3">
        <f t="shared" si="7"/>
        <v>2.1379153390987709</v>
      </c>
      <c r="N18" s="7">
        <f t="shared" si="12"/>
        <v>2</v>
      </c>
      <c r="O18" s="7">
        <f t="shared" si="8"/>
        <v>2</v>
      </c>
      <c r="P18" s="3">
        <f>SUM($O$4:O18)</f>
        <v>22</v>
      </c>
      <c r="T18" s="7">
        <v>3</v>
      </c>
      <c r="U18" s="3">
        <v>1.5333333333333334</v>
      </c>
      <c r="V18" s="3">
        <v>31.633333333333336</v>
      </c>
      <c r="W18" s="3"/>
      <c r="Y18" s="3">
        <f t="shared" si="9"/>
        <v>15</v>
      </c>
      <c r="Z18" s="3">
        <f t="shared" si="10"/>
        <v>31</v>
      </c>
      <c r="AA18" s="7"/>
      <c r="AB18" s="7">
        <f t="shared" si="11"/>
        <v>486</v>
      </c>
    </row>
    <row r="19" spans="6:28" x14ac:dyDescent="0.15">
      <c r="F19">
        <f t="shared" si="1"/>
        <v>3</v>
      </c>
      <c r="G19">
        <v>16</v>
      </c>
      <c r="H19">
        <f t="shared" si="2"/>
        <v>10.738953075000001</v>
      </c>
      <c r="I19">
        <f t="shared" si="3"/>
        <v>11</v>
      </c>
      <c r="J19" s="1">
        <f t="shared" si="4"/>
        <v>1</v>
      </c>
      <c r="K19" s="1">
        <f t="shared" si="5"/>
        <v>11</v>
      </c>
      <c r="L19" s="1">
        <f t="shared" si="6"/>
        <v>1.5656666666666668</v>
      </c>
      <c r="M19" s="3">
        <f t="shared" si="7"/>
        <v>2.1379153390987709</v>
      </c>
      <c r="N19" s="7">
        <f t="shared" si="12"/>
        <v>2</v>
      </c>
      <c r="O19" s="7">
        <f t="shared" si="8"/>
        <v>2</v>
      </c>
      <c r="P19" s="3">
        <f>SUM($O$4:O19)</f>
        <v>24</v>
      </c>
      <c r="T19" s="7">
        <v>3</v>
      </c>
      <c r="U19" s="3">
        <v>1.5333333333333334</v>
      </c>
      <c r="V19" s="3">
        <v>33.166666666666671</v>
      </c>
      <c r="W19" s="3"/>
      <c r="Y19" s="3">
        <f t="shared" si="9"/>
        <v>16</v>
      </c>
      <c r="Z19" s="3">
        <f t="shared" si="10"/>
        <v>35</v>
      </c>
      <c r="AA19" s="7"/>
      <c r="AB19" s="7">
        <f t="shared" si="11"/>
        <v>530</v>
      </c>
    </row>
    <row r="20" spans="6:28" x14ac:dyDescent="0.15">
      <c r="F20">
        <f t="shared" si="1"/>
        <v>3</v>
      </c>
      <c r="G20">
        <v>17</v>
      </c>
      <c r="H20">
        <f t="shared" si="2"/>
        <v>10.738953075000001</v>
      </c>
      <c r="I20">
        <f t="shared" si="3"/>
        <v>11</v>
      </c>
      <c r="J20" s="1">
        <f t="shared" si="4"/>
        <v>1</v>
      </c>
      <c r="K20" s="1">
        <f t="shared" si="5"/>
        <v>11</v>
      </c>
      <c r="L20" s="1">
        <f t="shared" si="6"/>
        <v>1.5656666666666668</v>
      </c>
      <c r="M20" s="3">
        <f t="shared" si="7"/>
        <v>2.1379153390987709</v>
      </c>
      <c r="N20" s="7">
        <f t="shared" si="12"/>
        <v>2</v>
      </c>
      <c r="O20" s="7">
        <f t="shared" si="8"/>
        <v>2</v>
      </c>
      <c r="P20" s="3">
        <f>SUM($O$4:O20)</f>
        <v>26</v>
      </c>
      <c r="T20" s="7">
        <v>3</v>
      </c>
      <c r="U20" s="3">
        <v>1.5333333333333334</v>
      </c>
      <c r="V20" s="3">
        <v>34.700000000000003</v>
      </c>
      <c r="W20" s="3"/>
      <c r="Y20" s="3">
        <f t="shared" si="9"/>
        <v>17</v>
      </c>
      <c r="Z20" s="3">
        <f t="shared" si="10"/>
        <v>39</v>
      </c>
      <c r="AA20" s="7"/>
      <c r="AB20" s="7">
        <f t="shared" si="11"/>
        <v>587</v>
      </c>
    </row>
    <row r="21" spans="6:28" x14ac:dyDescent="0.15">
      <c r="F21">
        <f t="shared" si="1"/>
        <v>3</v>
      </c>
      <c r="G21">
        <v>18</v>
      </c>
      <c r="H21">
        <f t="shared" si="2"/>
        <v>10.738953075000001</v>
      </c>
      <c r="I21">
        <f t="shared" si="3"/>
        <v>11</v>
      </c>
      <c r="J21" s="1">
        <f t="shared" si="4"/>
        <v>1</v>
      </c>
      <c r="K21" s="1">
        <f t="shared" si="5"/>
        <v>11</v>
      </c>
      <c r="L21" s="1">
        <f t="shared" si="6"/>
        <v>1.5656666666666668</v>
      </c>
      <c r="M21" s="3">
        <f t="shared" si="7"/>
        <v>2.1379153390987709</v>
      </c>
      <c r="N21" s="7">
        <f t="shared" si="12"/>
        <v>2</v>
      </c>
      <c r="O21" s="7">
        <f t="shared" si="8"/>
        <v>2</v>
      </c>
      <c r="P21" s="3">
        <f>SUM($O$4:O21)</f>
        <v>28</v>
      </c>
      <c r="T21" s="7">
        <v>3</v>
      </c>
      <c r="U21" s="3">
        <v>1.5333333333333334</v>
      </c>
      <c r="V21" s="3">
        <v>36.233333333333334</v>
      </c>
      <c r="W21" s="3"/>
      <c r="Y21" s="3">
        <f t="shared" si="9"/>
        <v>18</v>
      </c>
      <c r="Z21" s="3">
        <f t="shared" si="10"/>
        <v>43</v>
      </c>
      <c r="AA21" s="7"/>
      <c r="AB21" s="7">
        <f t="shared" si="11"/>
        <v>613</v>
      </c>
    </row>
    <row r="22" spans="6:28" x14ac:dyDescent="0.15">
      <c r="F22">
        <f t="shared" si="1"/>
        <v>3</v>
      </c>
      <c r="G22">
        <v>19</v>
      </c>
      <c r="H22">
        <f t="shared" si="2"/>
        <v>10.738953075000001</v>
      </c>
      <c r="I22">
        <f t="shared" si="3"/>
        <v>11</v>
      </c>
      <c r="J22" s="1">
        <f t="shared" si="4"/>
        <v>1</v>
      </c>
      <c r="K22" s="1">
        <f t="shared" si="5"/>
        <v>11</v>
      </c>
      <c r="L22" s="1">
        <f t="shared" si="6"/>
        <v>1.5656666666666668</v>
      </c>
      <c r="M22" s="3">
        <f t="shared" si="7"/>
        <v>2.1379153390987709</v>
      </c>
      <c r="N22" s="7">
        <f t="shared" si="12"/>
        <v>2</v>
      </c>
      <c r="O22" s="7">
        <f t="shared" si="8"/>
        <v>2</v>
      </c>
      <c r="P22" s="3">
        <f>SUM($O$4:O22)</f>
        <v>30</v>
      </c>
      <c r="T22" s="7">
        <v>3</v>
      </c>
      <c r="U22" s="3">
        <v>1.5333333333333334</v>
      </c>
      <c r="V22" s="3">
        <v>37.766666666666666</v>
      </c>
      <c r="W22" s="3"/>
      <c r="Y22" s="3">
        <f t="shared" si="9"/>
        <v>19</v>
      </c>
      <c r="Z22" s="3">
        <f t="shared" si="10"/>
        <v>48</v>
      </c>
      <c r="AA22" s="7"/>
      <c r="AB22" s="7">
        <f t="shared" si="11"/>
        <v>639</v>
      </c>
    </row>
    <row r="23" spans="6:28" x14ac:dyDescent="0.15">
      <c r="F23">
        <f t="shared" si="1"/>
        <v>3</v>
      </c>
      <c r="G23">
        <v>20</v>
      </c>
      <c r="H23">
        <f t="shared" si="2"/>
        <v>10.738953075000001</v>
      </c>
      <c r="I23">
        <f t="shared" si="3"/>
        <v>11</v>
      </c>
      <c r="J23" s="1">
        <f t="shared" si="4"/>
        <v>1</v>
      </c>
      <c r="K23" s="1">
        <f t="shared" si="5"/>
        <v>11</v>
      </c>
      <c r="L23" s="1">
        <f t="shared" si="6"/>
        <v>1.5656666666666668</v>
      </c>
      <c r="M23" s="3">
        <f t="shared" si="7"/>
        <v>2.1379153390987709</v>
      </c>
      <c r="N23" s="7">
        <f t="shared" si="12"/>
        <v>2</v>
      </c>
      <c r="O23" s="7">
        <f t="shared" si="8"/>
        <v>2</v>
      </c>
      <c r="P23" s="3">
        <f>SUM($O$4:O23)</f>
        <v>32</v>
      </c>
      <c r="T23" s="7">
        <v>4</v>
      </c>
      <c r="U23" s="3">
        <v>3.6399999999999997</v>
      </c>
      <c r="V23" s="3">
        <v>41.406666666666666</v>
      </c>
      <c r="W23" s="3"/>
      <c r="Y23" s="3">
        <f t="shared" si="9"/>
        <v>20</v>
      </c>
      <c r="Z23" s="3">
        <f t="shared" si="10"/>
        <v>53</v>
      </c>
      <c r="AA23" s="7"/>
      <c r="AB23" s="7">
        <f t="shared" si="11"/>
        <v>738</v>
      </c>
    </row>
    <row r="24" spans="6:28" x14ac:dyDescent="0.15">
      <c r="F24">
        <f t="shared" si="1"/>
        <v>3</v>
      </c>
      <c r="G24">
        <v>21</v>
      </c>
      <c r="H24">
        <f t="shared" si="2"/>
        <v>10.738953075000001</v>
      </c>
      <c r="I24">
        <f t="shared" si="3"/>
        <v>11</v>
      </c>
      <c r="J24" s="1">
        <f t="shared" si="4"/>
        <v>6</v>
      </c>
      <c r="K24" s="1">
        <f t="shared" si="5"/>
        <v>66</v>
      </c>
      <c r="L24" s="1">
        <f t="shared" si="6"/>
        <v>9.3940000000000001</v>
      </c>
      <c r="M24" s="3">
        <f t="shared" si="7"/>
        <v>12.827492034592623</v>
      </c>
      <c r="N24" s="7">
        <f t="shared" si="12"/>
        <v>9</v>
      </c>
      <c r="O24" s="7">
        <f t="shared" si="8"/>
        <v>12</v>
      </c>
      <c r="P24" s="3">
        <f>SUM($O$4:O24)</f>
        <v>44</v>
      </c>
      <c r="T24" s="7">
        <v>4</v>
      </c>
      <c r="U24" s="3">
        <v>1.44</v>
      </c>
      <c r="V24" s="3">
        <v>42.846666666666664</v>
      </c>
      <c r="W24" s="3"/>
      <c r="Y24" s="3">
        <f t="shared" si="9"/>
        <v>21</v>
      </c>
      <c r="Z24" s="3">
        <f t="shared" si="10"/>
        <v>59</v>
      </c>
      <c r="AA24" s="7"/>
      <c r="AB24" s="7">
        <f t="shared" si="11"/>
        <v>802</v>
      </c>
    </row>
    <row r="25" spans="6:28" x14ac:dyDescent="0.15">
      <c r="F25">
        <f t="shared" si="1"/>
        <v>4</v>
      </c>
      <c r="G25">
        <v>22</v>
      </c>
      <c r="H25">
        <f t="shared" si="2"/>
        <v>16.860156327750001</v>
      </c>
      <c r="I25">
        <f t="shared" si="3"/>
        <v>17</v>
      </c>
      <c r="J25" s="1">
        <f t="shared" si="4"/>
        <v>1</v>
      </c>
      <c r="K25" s="1">
        <f t="shared" si="5"/>
        <v>17</v>
      </c>
      <c r="L25" s="1">
        <f t="shared" si="6"/>
        <v>2.4706666666666668</v>
      </c>
      <c r="M25" s="3">
        <f t="shared" si="7"/>
        <v>2.5951472287384894</v>
      </c>
      <c r="N25" s="7">
        <f t="shared" si="12"/>
        <v>2</v>
      </c>
      <c r="O25" s="7">
        <f t="shared" si="8"/>
        <v>2</v>
      </c>
      <c r="P25" s="3">
        <f>SUM($O$4:O25)</f>
        <v>46</v>
      </c>
      <c r="T25" s="7">
        <v>4</v>
      </c>
      <c r="U25" s="3">
        <v>1.44</v>
      </c>
      <c r="V25" s="3">
        <v>44.286666666666662</v>
      </c>
      <c r="W25" s="3"/>
      <c r="Y25" s="3">
        <f t="shared" si="9"/>
        <v>22</v>
      </c>
      <c r="Z25" s="3">
        <f t="shared" si="10"/>
        <v>64</v>
      </c>
      <c r="AA25" s="7"/>
      <c r="AB25" s="7">
        <f t="shared" si="11"/>
        <v>802</v>
      </c>
    </row>
    <row r="26" spans="6:28" x14ac:dyDescent="0.15">
      <c r="F26">
        <f t="shared" si="1"/>
        <v>4</v>
      </c>
      <c r="G26">
        <v>23</v>
      </c>
      <c r="H26">
        <f t="shared" si="2"/>
        <v>16.860156327750001</v>
      </c>
      <c r="I26">
        <f t="shared" si="3"/>
        <v>17</v>
      </c>
      <c r="J26" s="1">
        <f t="shared" si="4"/>
        <v>1</v>
      </c>
      <c r="K26" s="1">
        <f t="shared" si="5"/>
        <v>17</v>
      </c>
      <c r="L26" s="1">
        <f t="shared" si="6"/>
        <v>2.4706666666666668</v>
      </c>
      <c r="M26" s="3">
        <f t="shared" si="7"/>
        <v>2.5951472287384894</v>
      </c>
      <c r="N26" s="7">
        <f t="shared" si="12"/>
        <v>2</v>
      </c>
      <c r="O26" s="7">
        <f t="shared" si="8"/>
        <v>2</v>
      </c>
      <c r="P26" s="3">
        <f>SUM($O$4:O26)</f>
        <v>48</v>
      </c>
      <c r="T26" s="7">
        <v>4</v>
      </c>
      <c r="U26" s="3">
        <v>1.44</v>
      </c>
      <c r="V26" s="3">
        <v>45.726666666666659</v>
      </c>
      <c r="W26" s="3"/>
      <c r="Y26" s="3">
        <f t="shared" si="9"/>
        <v>23</v>
      </c>
      <c r="Z26" s="3">
        <f t="shared" si="10"/>
        <v>71</v>
      </c>
      <c r="AA26" s="7"/>
      <c r="AB26" s="7">
        <f t="shared" si="11"/>
        <v>922</v>
      </c>
    </row>
    <row r="27" spans="6:28" x14ac:dyDescent="0.15">
      <c r="F27">
        <f t="shared" si="1"/>
        <v>4</v>
      </c>
      <c r="G27">
        <v>24</v>
      </c>
      <c r="H27">
        <f t="shared" si="2"/>
        <v>16.860156327750001</v>
      </c>
      <c r="I27">
        <f t="shared" si="3"/>
        <v>17</v>
      </c>
      <c r="J27" s="1">
        <f t="shared" si="4"/>
        <v>1</v>
      </c>
      <c r="K27" s="1">
        <f t="shared" si="5"/>
        <v>17</v>
      </c>
      <c r="L27" s="1">
        <f t="shared" si="6"/>
        <v>2.4706666666666668</v>
      </c>
      <c r="M27" s="3">
        <f t="shared" si="7"/>
        <v>2.5951472287384894</v>
      </c>
      <c r="N27" s="7">
        <f t="shared" si="12"/>
        <v>2</v>
      </c>
      <c r="O27" s="7">
        <f t="shared" si="8"/>
        <v>2</v>
      </c>
      <c r="P27" s="3">
        <f>SUM($O$4:O27)</f>
        <v>50</v>
      </c>
      <c r="T27" s="7">
        <v>5</v>
      </c>
      <c r="U27" s="3">
        <v>1.2</v>
      </c>
      <c r="V27" s="3">
        <v>46.926666666666662</v>
      </c>
      <c r="W27" s="3"/>
      <c r="Y27" s="3">
        <f t="shared" si="9"/>
        <v>24</v>
      </c>
      <c r="Z27" s="3">
        <f t="shared" si="10"/>
        <v>77</v>
      </c>
      <c r="AA27" s="7"/>
      <c r="AB27" s="7">
        <f t="shared" si="11"/>
        <v>1002</v>
      </c>
    </row>
    <row r="28" spans="6:28" x14ac:dyDescent="0.15">
      <c r="F28">
        <f t="shared" si="1"/>
        <v>4</v>
      </c>
      <c r="G28">
        <v>25</v>
      </c>
      <c r="H28">
        <f t="shared" si="2"/>
        <v>16.860156327750001</v>
      </c>
      <c r="I28">
        <f t="shared" si="3"/>
        <v>17</v>
      </c>
      <c r="J28" s="1">
        <f t="shared" si="4"/>
        <v>1</v>
      </c>
      <c r="K28" s="1">
        <f t="shared" si="5"/>
        <v>17</v>
      </c>
      <c r="L28" s="1">
        <f t="shared" si="6"/>
        <v>2.4706666666666668</v>
      </c>
      <c r="M28" s="3">
        <f t="shared" si="7"/>
        <v>2.5951472287384894</v>
      </c>
      <c r="N28" s="7">
        <f t="shared" si="12"/>
        <v>2</v>
      </c>
      <c r="O28" s="7">
        <f t="shared" si="8"/>
        <v>2</v>
      </c>
      <c r="P28" s="3">
        <f>SUM($O$4:O28)</f>
        <v>52</v>
      </c>
      <c r="T28" s="7">
        <v>5</v>
      </c>
      <c r="U28" s="3">
        <v>1.2</v>
      </c>
      <c r="V28" s="3">
        <v>48.126666666666665</v>
      </c>
      <c r="W28" s="3"/>
      <c r="Y28" s="3">
        <f t="shared" si="9"/>
        <v>25</v>
      </c>
      <c r="Z28" s="3">
        <f t="shared" si="10"/>
        <v>85</v>
      </c>
      <c r="AA28" s="7"/>
      <c r="AB28" s="7">
        <f t="shared" si="11"/>
        <v>1215</v>
      </c>
    </row>
    <row r="29" spans="6:28" x14ac:dyDescent="0.15">
      <c r="F29">
        <f t="shared" si="1"/>
        <v>4</v>
      </c>
      <c r="G29">
        <v>26</v>
      </c>
      <c r="H29">
        <f t="shared" si="2"/>
        <v>16.860156327750001</v>
      </c>
      <c r="I29">
        <f t="shared" si="3"/>
        <v>17</v>
      </c>
      <c r="J29" s="1">
        <f t="shared" si="4"/>
        <v>1</v>
      </c>
      <c r="K29" s="1">
        <f t="shared" si="5"/>
        <v>17</v>
      </c>
      <c r="L29" s="1">
        <f t="shared" si="6"/>
        <v>2.4706666666666668</v>
      </c>
      <c r="M29" s="3">
        <f t="shared" si="7"/>
        <v>2.5951472287384894</v>
      </c>
      <c r="N29" s="7">
        <f t="shared" si="12"/>
        <v>2</v>
      </c>
      <c r="O29" s="7">
        <f t="shared" si="8"/>
        <v>2</v>
      </c>
      <c r="P29" s="3">
        <f>SUM($O$4:O29)</f>
        <v>54</v>
      </c>
      <c r="T29" s="7">
        <v>5</v>
      </c>
      <c r="U29" s="3">
        <v>1.2</v>
      </c>
      <c r="V29" s="3">
        <v>49.326666666666668</v>
      </c>
      <c r="W29" s="3"/>
      <c r="Y29" s="3">
        <f t="shared" si="9"/>
        <v>26</v>
      </c>
      <c r="Z29" s="3">
        <f t="shared" si="10"/>
        <v>92</v>
      </c>
      <c r="AA29" s="7"/>
      <c r="AB29" s="7">
        <f t="shared" si="11"/>
        <v>1215</v>
      </c>
    </row>
    <row r="30" spans="6:28" x14ac:dyDescent="0.15">
      <c r="F30">
        <f t="shared" si="1"/>
        <v>4</v>
      </c>
      <c r="G30">
        <v>27</v>
      </c>
      <c r="H30">
        <f t="shared" si="2"/>
        <v>16.860156327750001</v>
      </c>
      <c r="I30">
        <f t="shared" si="3"/>
        <v>17</v>
      </c>
      <c r="J30" s="1">
        <f t="shared" si="4"/>
        <v>1</v>
      </c>
      <c r="K30" s="1">
        <f t="shared" si="5"/>
        <v>17</v>
      </c>
      <c r="L30" s="1">
        <f t="shared" si="6"/>
        <v>2.4706666666666668</v>
      </c>
      <c r="M30" s="3">
        <f t="shared" si="7"/>
        <v>2.5951472287384894</v>
      </c>
      <c r="N30" s="7">
        <f t="shared" si="12"/>
        <v>2</v>
      </c>
      <c r="O30" s="7">
        <f t="shared" si="8"/>
        <v>2</v>
      </c>
      <c r="P30" s="3">
        <f>SUM($O$4:O30)</f>
        <v>56</v>
      </c>
      <c r="T30" s="7">
        <v>5</v>
      </c>
      <c r="U30" s="3">
        <v>1.2</v>
      </c>
      <c r="V30" s="3">
        <v>50.526666666666671</v>
      </c>
      <c r="W30" s="3"/>
      <c r="Y30" s="3">
        <f t="shared" si="9"/>
        <v>27</v>
      </c>
      <c r="Z30" s="3">
        <f t="shared" si="10"/>
        <v>101</v>
      </c>
      <c r="AA30" s="7"/>
      <c r="AB30" s="7">
        <f t="shared" si="11"/>
        <v>1215</v>
      </c>
    </row>
    <row r="31" spans="6:28" x14ac:dyDescent="0.15">
      <c r="F31">
        <f t="shared" si="1"/>
        <v>4</v>
      </c>
      <c r="G31">
        <v>28</v>
      </c>
      <c r="H31">
        <f t="shared" si="2"/>
        <v>16.860156327750001</v>
      </c>
      <c r="I31">
        <f t="shared" si="3"/>
        <v>17</v>
      </c>
      <c r="J31" s="1">
        <f t="shared" si="4"/>
        <v>7</v>
      </c>
      <c r="K31" s="1">
        <f t="shared" si="5"/>
        <v>119</v>
      </c>
      <c r="L31" s="1">
        <f t="shared" si="6"/>
        <v>17.294666666666668</v>
      </c>
      <c r="M31" s="3">
        <f t="shared" si="7"/>
        <v>18.166030601169425</v>
      </c>
      <c r="N31" s="7">
        <f t="shared" si="12"/>
        <v>17</v>
      </c>
      <c r="O31" s="7">
        <f t="shared" si="8"/>
        <v>18</v>
      </c>
      <c r="P31" s="3">
        <f>SUM($O$4:O31)</f>
        <v>74</v>
      </c>
      <c r="T31" s="7">
        <v>5</v>
      </c>
      <c r="U31" s="3">
        <v>1.2</v>
      </c>
      <c r="V31" s="3">
        <v>51.726666666666674</v>
      </c>
      <c r="W31" s="3"/>
      <c r="Y31" s="3">
        <f t="shared" si="9"/>
        <v>28</v>
      </c>
      <c r="Z31" s="3">
        <f t="shared" si="10"/>
        <v>110</v>
      </c>
      <c r="AA31" s="7"/>
      <c r="AB31" s="7">
        <f t="shared" si="11"/>
        <v>1265</v>
      </c>
    </row>
    <row r="32" spans="6:28" x14ac:dyDescent="0.15">
      <c r="F32">
        <f t="shared" si="1"/>
        <v>5</v>
      </c>
      <c r="G32">
        <v>29</v>
      </c>
      <c r="H32">
        <f t="shared" si="2"/>
        <v>26.470445434567502</v>
      </c>
      <c r="I32">
        <f t="shared" si="3"/>
        <v>26</v>
      </c>
      <c r="J32" s="1">
        <f t="shared" si="4"/>
        <v>1</v>
      </c>
      <c r="K32" s="1">
        <f t="shared" si="5"/>
        <v>26</v>
      </c>
      <c r="L32" s="1">
        <f t="shared" si="6"/>
        <v>3.8566666666666669</v>
      </c>
      <c r="M32" s="3">
        <f t="shared" si="7"/>
        <v>3.1161373901474034</v>
      </c>
      <c r="N32" s="7">
        <f t="shared" si="12"/>
        <v>4</v>
      </c>
      <c r="O32" s="7">
        <f t="shared" si="8"/>
        <v>3</v>
      </c>
      <c r="P32" s="3">
        <f>SUM($O$4:O32)</f>
        <v>77</v>
      </c>
      <c r="T32" s="7">
        <v>5</v>
      </c>
      <c r="U32" s="3">
        <v>1.2</v>
      </c>
      <c r="V32" s="3">
        <v>52.926666666666677</v>
      </c>
      <c r="W32" s="3"/>
      <c r="Y32" s="3">
        <f t="shared" si="9"/>
        <v>29</v>
      </c>
      <c r="Z32" s="3">
        <f t="shared" si="10"/>
        <v>119</v>
      </c>
      <c r="AA32" s="7"/>
      <c r="AB32" s="7">
        <f t="shared" si="11"/>
        <v>1566</v>
      </c>
    </row>
    <row r="33" spans="6:28" x14ac:dyDescent="0.15">
      <c r="F33">
        <f t="shared" si="1"/>
        <v>5</v>
      </c>
      <c r="G33">
        <v>30</v>
      </c>
      <c r="H33">
        <f t="shared" si="2"/>
        <v>26.470445434567502</v>
      </c>
      <c r="I33">
        <f t="shared" si="3"/>
        <v>26</v>
      </c>
      <c r="J33" s="1">
        <f t="shared" si="4"/>
        <v>1</v>
      </c>
      <c r="K33" s="1">
        <f t="shared" si="5"/>
        <v>26</v>
      </c>
      <c r="L33" s="1">
        <f t="shared" si="6"/>
        <v>3.8566666666666669</v>
      </c>
      <c r="M33" s="3">
        <f t="shared" si="7"/>
        <v>3.1161373901474034</v>
      </c>
      <c r="N33" s="7">
        <f t="shared" si="12"/>
        <v>4</v>
      </c>
      <c r="O33" s="7">
        <f t="shared" si="8"/>
        <v>3</v>
      </c>
      <c r="P33" s="3">
        <f>SUM($O$4:O33)</f>
        <v>80</v>
      </c>
      <c r="T33" s="7">
        <v>6</v>
      </c>
      <c r="U33" s="3">
        <v>5.375</v>
      </c>
      <c r="V33" s="3">
        <v>58.301666666666677</v>
      </c>
      <c r="W33" s="4" t="s">
        <v>99</v>
      </c>
      <c r="Y33" s="3">
        <f t="shared" si="9"/>
        <v>30</v>
      </c>
      <c r="Z33" s="3">
        <f t="shared" si="10"/>
        <v>130</v>
      </c>
      <c r="AA33" s="7"/>
      <c r="AB33" s="7">
        <f t="shared" si="11"/>
        <v>1656</v>
      </c>
    </row>
    <row r="34" spans="6:28" x14ac:dyDescent="0.15">
      <c r="F34">
        <f t="shared" si="1"/>
        <v>5</v>
      </c>
      <c r="G34">
        <v>31</v>
      </c>
      <c r="H34">
        <f t="shared" si="2"/>
        <v>26.470445434567502</v>
      </c>
      <c r="I34">
        <f t="shared" si="3"/>
        <v>26</v>
      </c>
      <c r="J34" s="1">
        <f t="shared" si="4"/>
        <v>1</v>
      </c>
      <c r="K34" s="1">
        <f t="shared" si="5"/>
        <v>26</v>
      </c>
      <c r="L34" s="1">
        <f t="shared" si="6"/>
        <v>3.8566666666666669</v>
      </c>
      <c r="M34" s="3">
        <f t="shared" si="7"/>
        <v>3.1161373901474034</v>
      </c>
      <c r="N34" s="7">
        <f t="shared" si="12"/>
        <v>4</v>
      </c>
      <c r="O34" s="7">
        <f t="shared" si="8"/>
        <v>3</v>
      </c>
      <c r="P34" s="3">
        <f>SUM($O$4:O34)</f>
        <v>83</v>
      </c>
      <c r="T34" s="7">
        <v>6</v>
      </c>
      <c r="U34" s="3">
        <v>1.4</v>
      </c>
      <c r="V34" s="3">
        <v>59.701666666666675</v>
      </c>
      <c r="W34" s="3"/>
      <c r="Y34" s="3">
        <f t="shared" si="9"/>
        <v>31</v>
      </c>
      <c r="Z34" s="3">
        <f t="shared" si="10"/>
        <v>141</v>
      </c>
      <c r="AA34" s="7"/>
      <c r="AB34" s="7">
        <f t="shared" si="11"/>
        <v>1746</v>
      </c>
    </row>
    <row r="35" spans="6:28" x14ac:dyDescent="0.15">
      <c r="F35">
        <f t="shared" si="1"/>
        <v>5</v>
      </c>
      <c r="G35">
        <v>32</v>
      </c>
      <c r="H35">
        <f t="shared" si="2"/>
        <v>26.470445434567502</v>
      </c>
      <c r="I35">
        <f t="shared" si="3"/>
        <v>26</v>
      </c>
      <c r="J35" s="1">
        <f t="shared" si="4"/>
        <v>1</v>
      </c>
      <c r="K35" s="1">
        <f t="shared" si="5"/>
        <v>26</v>
      </c>
      <c r="L35" s="1">
        <f t="shared" si="6"/>
        <v>3.8566666666666669</v>
      </c>
      <c r="M35" s="3">
        <f t="shared" si="7"/>
        <v>3.1161373901474034</v>
      </c>
      <c r="N35" s="7">
        <f t="shared" si="12"/>
        <v>4</v>
      </c>
      <c r="O35" s="7">
        <f t="shared" si="8"/>
        <v>3</v>
      </c>
      <c r="P35" s="3">
        <f>SUM($O$4:O35)</f>
        <v>86</v>
      </c>
      <c r="T35" s="7">
        <v>6</v>
      </c>
      <c r="U35" s="3">
        <v>1.4</v>
      </c>
      <c r="V35" s="3">
        <v>61.101666666666674</v>
      </c>
      <c r="W35" s="3"/>
      <c r="Y35" s="3">
        <f t="shared" si="9"/>
        <v>32</v>
      </c>
      <c r="Z35" s="3">
        <f t="shared" si="10"/>
        <v>152</v>
      </c>
      <c r="AA35" s="7"/>
      <c r="AB35" s="7">
        <f t="shared" si="11"/>
        <v>1844</v>
      </c>
    </row>
    <row r="36" spans="6:28" x14ac:dyDescent="0.15">
      <c r="F36">
        <f t="shared" si="1"/>
        <v>5</v>
      </c>
      <c r="G36">
        <v>33</v>
      </c>
      <c r="H36">
        <f t="shared" si="2"/>
        <v>26.470445434567502</v>
      </c>
      <c r="I36">
        <f t="shared" si="3"/>
        <v>26</v>
      </c>
      <c r="J36" s="1">
        <f t="shared" si="4"/>
        <v>1</v>
      </c>
      <c r="K36" s="1">
        <f t="shared" si="5"/>
        <v>26</v>
      </c>
      <c r="L36" s="1">
        <f t="shared" si="6"/>
        <v>3.8566666666666669</v>
      </c>
      <c r="M36" s="3">
        <f t="shared" si="7"/>
        <v>3.1161373901474034</v>
      </c>
      <c r="N36" s="7">
        <f t="shared" si="12"/>
        <v>4</v>
      </c>
      <c r="O36" s="7">
        <f t="shared" si="8"/>
        <v>3</v>
      </c>
      <c r="P36" s="3">
        <f>SUM($O$4:O36)</f>
        <v>89</v>
      </c>
      <c r="T36" s="7">
        <v>6</v>
      </c>
      <c r="U36" s="3">
        <v>1.4</v>
      </c>
      <c r="V36" s="3">
        <v>62.501666666666672</v>
      </c>
      <c r="W36" s="3"/>
      <c r="Y36" s="3">
        <f t="shared" si="9"/>
        <v>33</v>
      </c>
      <c r="Z36" s="3">
        <f t="shared" si="10"/>
        <v>165</v>
      </c>
      <c r="AA36" s="7"/>
      <c r="AB36" s="7">
        <f t="shared" si="11"/>
        <v>1955</v>
      </c>
    </row>
    <row r="37" spans="6:28" x14ac:dyDescent="0.15">
      <c r="F37">
        <f t="shared" si="1"/>
        <v>5</v>
      </c>
      <c r="G37">
        <v>34</v>
      </c>
      <c r="H37">
        <f t="shared" si="2"/>
        <v>26.470445434567502</v>
      </c>
      <c r="I37">
        <f t="shared" si="3"/>
        <v>26</v>
      </c>
      <c r="J37" s="1">
        <f t="shared" si="4"/>
        <v>1</v>
      </c>
      <c r="K37" s="1">
        <f t="shared" si="5"/>
        <v>26</v>
      </c>
      <c r="L37" s="1">
        <f t="shared" si="6"/>
        <v>3.8566666666666669</v>
      </c>
      <c r="M37" s="3">
        <f t="shared" si="7"/>
        <v>3.1161373901474034</v>
      </c>
      <c r="N37" s="7">
        <f t="shared" si="12"/>
        <v>4</v>
      </c>
      <c r="O37" s="7">
        <f t="shared" si="8"/>
        <v>3</v>
      </c>
      <c r="P37" s="3">
        <f>SUM($O$4:O37)</f>
        <v>92</v>
      </c>
      <c r="T37" s="7">
        <v>7</v>
      </c>
      <c r="U37" s="3">
        <v>1.1199999999999999</v>
      </c>
      <c r="V37" s="3">
        <v>63.62166666666667</v>
      </c>
      <c r="W37" s="3"/>
      <c r="Y37" s="3">
        <f t="shared" si="9"/>
        <v>34</v>
      </c>
      <c r="Z37" s="3">
        <f t="shared" si="10"/>
        <v>179</v>
      </c>
      <c r="AA37" s="7"/>
      <c r="AB37" s="7">
        <f t="shared" si="11"/>
        <v>2029</v>
      </c>
    </row>
    <row r="38" spans="6:28" x14ac:dyDescent="0.15">
      <c r="F38">
        <f t="shared" si="1"/>
        <v>5</v>
      </c>
      <c r="G38">
        <v>35</v>
      </c>
      <c r="H38">
        <f t="shared" si="2"/>
        <v>26.470445434567502</v>
      </c>
      <c r="I38">
        <f t="shared" si="3"/>
        <v>26</v>
      </c>
      <c r="J38" s="1">
        <f t="shared" si="4"/>
        <v>10</v>
      </c>
      <c r="K38" s="1">
        <f t="shared" si="5"/>
        <v>260</v>
      </c>
      <c r="L38" s="1">
        <f t="shared" si="6"/>
        <v>38.56666666666667</v>
      </c>
      <c r="M38" s="3">
        <f t="shared" si="7"/>
        <v>31.161373901474036</v>
      </c>
      <c r="N38" s="7">
        <f t="shared" si="12"/>
        <v>39</v>
      </c>
      <c r="O38" s="7">
        <f t="shared" si="8"/>
        <v>31</v>
      </c>
      <c r="P38" s="3">
        <f>SUM($O$4:O38)</f>
        <v>123</v>
      </c>
      <c r="T38" s="7">
        <v>7</v>
      </c>
      <c r="U38" s="3">
        <v>1.1199999999999999</v>
      </c>
      <c r="V38" s="3">
        <v>64.741666666666674</v>
      </c>
      <c r="W38" s="3"/>
      <c r="Y38" s="3">
        <f t="shared" si="9"/>
        <v>35</v>
      </c>
      <c r="Z38" s="3">
        <f t="shared" si="10"/>
        <v>193</v>
      </c>
      <c r="AA38" s="7"/>
      <c r="AB38" s="7">
        <f t="shared" si="11"/>
        <v>2226</v>
      </c>
    </row>
    <row r="39" spans="6:28" x14ac:dyDescent="0.15">
      <c r="F39">
        <f t="shared" si="1"/>
        <v>6</v>
      </c>
      <c r="G39">
        <v>36</v>
      </c>
      <c r="H39">
        <f t="shared" si="2"/>
        <v>41.55859933227098</v>
      </c>
      <c r="I39">
        <f t="shared" si="3"/>
        <v>42</v>
      </c>
      <c r="J39" s="1">
        <f t="shared" si="4"/>
        <v>1</v>
      </c>
      <c r="K39" s="1">
        <f t="shared" si="5"/>
        <v>42</v>
      </c>
      <c r="L39" s="1">
        <f t="shared" si="6"/>
        <v>6.3560000000000008</v>
      </c>
      <c r="M39" s="3">
        <f t="shared" si="7"/>
        <v>3.950435991977308</v>
      </c>
      <c r="N39" s="7">
        <f t="shared" si="12"/>
        <v>6</v>
      </c>
      <c r="O39" s="7">
        <f t="shared" si="8"/>
        <v>3</v>
      </c>
      <c r="P39" s="3">
        <f>SUM($O$4:O39)</f>
        <v>126</v>
      </c>
      <c r="T39" s="7">
        <v>7</v>
      </c>
      <c r="U39" s="3">
        <v>1.1199999999999999</v>
      </c>
      <c r="V39" s="3">
        <v>65.861666666666679</v>
      </c>
      <c r="W39" s="3"/>
      <c r="Y39" s="3">
        <f t="shared" si="9"/>
        <v>36</v>
      </c>
      <c r="Z39" s="3">
        <f t="shared" si="10"/>
        <v>209</v>
      </c>
      <c r="AA39" s="7"/>
      <c r="AB39" s="7">
        <f t="shared" si="11"/>
        <v>2272</v>
      </c>
    </row>
    <row r="40" spans="6:28" x14ac:dyDescent="0.15">
      <c r="F40">
        <f t="shared" si="1"/>
        <v>6</v>
      </c>
      <c r="G40">
        <v>37</v>
      </c>
      <c r="H40">
        <f t="shared" si="2"/>
        <v>41.55859933227098</v>
      </c>
      <c r="I40">
        <f t="shared" si="3"/>
        <v>42</v>
      </c>
      <c r="J40" s="1">
        <f t="shared" si="4"/>
        <v>1</v>
      </c>
      <c r="K40" s="1">
        <f t="shared" si="5"/>
        <v>42</v>
      </c>
      <c r="L40" s="1">
        <f t="shared" si="6"/>
        <v>6.3560000000000008</v>
      </c>
      <c r="M40" s="3">
        <f t="shared" si="7"/>
        <v>3.950435991977308</v>
      </c>
      <c r="N40" s="7">
        <f t="shared" si="12"/>
        <v>6</v>
      </c>
      <c r="O40" s="7">
        <f t="shared" si="8"/>
        <v>3</v>
      </c>
      <c r="P40" s="3">
        <f>SUM($O$4:O40)</f>
        <v>129</v>
      </c>
      <c r="T40" s="7">
        <v>7</v>
      </c>
      <c r="U40" s="3">
        <v>1.1199999999999999</v>
      </c>
      <c r="V40" s="3">
        <v>66.981666666666683</v>
      </c>
      <c r="W40" s="3"/>
      <c r="Y40" s="3">
        <f t="shared" si="9"/>
        <v>37</v>
      </c>
      <c r="Z40" s="3">
        <f t="shared" si="10"/>
        <v>225</v>
      </c>
      <c r="AA40" s="7"/>
      <c r="AB40" s="7">
        <f t="shared" si="11"/>
        <v>2364</v>
      </c>
    </row>
    <row r="41" spans="6:28" x14ac:dyDescent="0.15">
      <c r="F41">
        <f t="shared" si="1"/>
        <v>6</v>
      </c>
      <c r="G41">
        <v>38</v>
      </c>
      <c r="H41">
        <f t="shared" si="2"/>
        <v>41.55859933227098</v>
      </c>
      <c r="I41">
        <f t="shared" si="3"/>
        <v>42</v>
      </c>
      <c r="J41" s="1">
        <f t="shared" si="4"/>
        <v>1</v>
      </c>
      <c r="K41" s="1">
        <f t="shared" si="5"/>
        <v>42</v>
      </c>
      <c r="L41" s="1">
        <f t="shared" si="6"/>
        <v>6.3560000000000008</v>
      </c>
      <c r="M41" s="3">
        <f t="shared" si="7"/>
        <v>3.950435991977308</v>
      </c>
      <c r="N41" s="7">
        <f t="shared" si="12"/>
        <v>6</v>
      </c>
      <c r="O41" s="7">
        <f t="shared" si="8"/>
        <v>3</v>
      </c>
      <c r="P41" s="3">
        <f>SUM($O$4:O41)</f>
        <v>132</v>
      </c>
      <c r="T41" s="7">
        <v>7</v>
      </c>
      <c r="U41" s="3">
        <v>1.1199999999999999</v>
      </c>
      <c r="V41" s="3">
        <v>68.101666666666688</v>
      </c>
      <c r="W41" s="3"/>
      <c r="Y41" s="3">
        <f t="shared" si="9"/>
        <v>38</v>
      </c>
      <c r="Z41" s="3">
        <f t="shared" si="10"/>
        <v>243</v>
      </c>
      <c r="AA41" s="7"/>
      <c r="AB41" s="7">
        <f t="shared" si="11"/>
        <v>2456</v>
      </c>
    </row>
    <row r="42" spans="6:28" x14ac:dyDescent="0.15">
      <c r="F42">
        <f t="shared" si="1"/>
        <v>6</v>
      </c>
      <c r="G42">
        <v>39</v>
      </c>
      <c r="H42">
        <f t="shared" si="2"/>
        <v>41.55859933227098</v>
      </c>
      <c r="I42">
        <f t="shared" si="3"/>
        <v>42</v>
      </c>
      <c r="J42" s="1">
        <f t="shared" si="4"/>
        <v>1</v>
      </c>
      <c r="K42" s="1">
        <f t="shared" si="5"/>
        <v>42</v>
      </c>
      <c r="L42" s="1">
        <f t="shared" si="6"/>
        <v>6.3560000000000008</v>
      </c>
      <c r="M42" s="3">
        <f t="shared" si="7"/>
        <v>3.950435991977308</v>
      </c>
      <c r="N42" s="7">
        <f t="shared" si="12"/>
        <v>6</v>
      </c>
      <c r="O42" s="7">
        <f t="shared" si="8"/>
        <v>3</v>
      </c>
      <c r="P42" s="3">
        <f>SUM($O$4:O42)</f>
        <v>135</v>
      </c>
      <c r="T42" s="7">
        <v>7</v>
      </c>
      <c r="U42" s="3">
        <v>1.1199999999999999</v>
      </c>
      <c r="V42" s="3">
        <v>69.221666666666692</v>
      </c>
      <c r="W42" s="4" t="s">
        <v>100</v>
      </c>
      <c r="Y42" s="3">
        <f t="shared" si="9"/>
        <v>39</v>
      </c>
      <c r="Z42" s="3">
        <f t="shared" si="10"/>
        <v>261</v>
      </c>
      <c r="AA42" s="7"/>
      <c r="AB42" s="7">
        <f t="shared" si="11"/>
        <v>2849</v>
      </c>
    </row>
    <row r="43" spans="6:28" x14ac:dyDescent="0.15">
      <c r="F43">
        <f t="shared" si="1"/>
        <v>6</v>
      </c>
      <c r="G43">
        <v>40</v>
      </c>
      <c r="H43">
        <f t="shared" si="2"/>
        <v>41.55859933227098</v>
      </c>
      <c r="I43">
        <f t="shared" si="3"/>
        <v>42</v>
      </c>
      <c r="J43" s="1">
        <f t="shared" si="4"/>
        <v>1</v>
      </c>
      <c r="K43" s="1">
        <f t="shared" si="5"/>
        <v>42</v>
      </c>
      <c r="L43" s="1">
        <f t="shared" si="6"/>
        <v>6.3560000000000008</v>
      </c>
      <c r="M43" s="3">
        <f t="shared" si="7"/>
        <v>3.950435991977308</v>
      </c>
      <c r="N43" s="7">
        <f t="shared" si="12"/>
        <v>6</v>
      </c>
      <c r="O43" s="7">
        <f t="shared" si="8"/>
        <v>3</v>
      </c>
      <c r="P43" s="3">
        <f>SUM($O$4:O43)</f>
        <v>138</v>
      </c>
      <c r="T43" s="7">
        <v>7</v>
      </c>
      <c r="U43" s="3">
        <v>7.87</v>
      </c>
      <c r="V43" s="3">
        <v>77.091666666666697</v>
      </c>
      <c r="W43" s="4" t="s">
        <v>101</v>
      </c>
      <c r="Y43" s="3">
        <f t="shared" si="9"/>
        <v>40</v>
      </c>
      <c r="Z43" s="3">
        <f t="shared" si="10"/>
        <v>282</v>
      </c>
      <c r="AA43" s="7"/>
      <c r="AB43" s="7">
        <f t="shared" si="11"/>
        <v>2963</v>
      </c>
    </row>
    <row r="44" spans="6:28" x14ac:dyDescent="0.15">
      <c r="F44">
        <f t="shared" si="1"/>
        <v>6</v>
      </c>
      <c r="G44">
        <v>41</v>
      </c>
      <c r="H44">
        <f t="shared" si="2"/>
        <v>41.55859933227098</v>
      </c>
      <c r="I44">
        <f t="shared" si="3"/>
        <v>42</v>
      </c>
      <c r="J44" s="1">
        <f t="shared" si="4"/>
        <v>1</v>
      </c>
      <c r="K44" s="1">
        <f t="shared" si="5"/>
        <v>42</v>
      </c>
      <c r="L44" s="1">
        <f t="shared" si="6"/>
        <v>6.3560000000000008</v>
      </c>
      <c r="M44" s="3">
        <f t="shared" si="7"/>
        <v>3.950435991977308</v>
      </c>
      <c r="N44" s="7">
        <f t="shared" si="12"/>
        <v>6</v>
      </c>
      <c r="O44" s="7">
        <f t="shared" si="8"/>
        <v>3</v>
      </c>
      <c r="P44" s="3">
        <f>SUM($O$4:O44)</f>
        <v>141</v>
      </c>
      <c r="T44" s="7">
        <v>8</v>
      </c>
      <c r="U44" s="3">
        <v>1.4666666666666666</v>
      </c>
      <c r="V44" s="3">
        <v>78.558333333333366</v>
      </c>
      <c r="W44" s="3"/>
      <c r="Y44" s="3">
        <f t="shared" si="9"/>
        <v>41</v>
      </c>
      <c r="Z44" s="3">
        <f t="shared" si="10"/>
        <v>303</v>
      </c>
      <c r="AA44" s="7"/>
      <c r="AB44" s="7">
        <f t="shared" si="11"/>
        <v>2963</v>
      </c>
    </row>
    <row r="45" spans="6:28" x14ac:dyDescent="0.15">
      <c r="F45">
        <f t="shared" si="1"/>
        <v>6</v>
      </c>
      <c r="G45">
        <v>42</v>
      </c>
      <c r="H45">
        <f t="shared" si="2"/>
        <v>41.55859933227098</v>
      </c>
      <c r="I45">
        <f t="shared" si="3"/>
        <v>42</v>
      </c>
      <c r="J45" s="1">
        <f t="shared" si="4"/>
        <v>2</v>
      </c>
      <c r="K45" s="1">
        <f t="shared" si="5"/>
        <v>84</v>
      </c>
      <c r="L45" s="1">
        <f t="shared" si="6"/>
        <v>12.712000000000002</v>
      </c>
      <c r="M45" s="3">
        <f t="shared" si="7"/>
        <v>7.900871983954616</v>
      </c>
      <c r="N45" s="7">
        <f t="shared" si="12"/>
        <v>13</v>
      </c>
      <c r="O45" s="7">
        <f t="shared" si="8"/>
        <v>7</v>
      </c>
      <c r="P45" s="3">
        <f>SUM($O$4:O45)</f>
        <v>148</v>
      </c>
      <c r="T45" s="7">
        <v>8</v>
      </c>
      <c r="U45" s="3">
        <v>1.4666666666666666</v>
      </c>
      <c r="V45" s="3">
        <v>80.025000000000034</v>
      </c>
      <c r="W45" s="3"/>
      <c r="Y45" s="3">
        <f t="shared" si="9"/>
        <v>42</v>
      </c>
      <c r="Z45" s="3">
        <f t="shared" si="10"/>
        <v>326</v>
      </c>
      <c r="AA45" s="7"/>
      <c r="AB45" s="7">
        <f t="shared" si="11"/>
        <v>3020</v>
      </c>
    </row>
    <row r="46" spans="6:28" x14ac:dyDescent="0.15">
      <c r="F46">
        <f t="shared" si="1"/>
        <v>7</v>
      </c>
      <c r="G46">
        <v>43</v>
      </c>
      <c r="H46">
        <f t="shared" si="2"/>
        <v>65.247000951665441</v>
      </c>
      <c r="I46">
        <f t="shared" si="3"/>
        <v>65</v>
      </c>
      <c r="J46" s="1">
        <f t="shared" si="4"/>
        <v>1</v>
      </c>
      <c r="K46" s="1">
        <f t="shared" si="5"/>
        <v>65</v>
      </c>
      <c r="L46" s="1">
        <f t="shared" si="6"/>
        <v>10.031666666666668</v>
      </c>
      <c r="M46" s="3">
        <f t="shared" si="7"/>
        <v>4.7961292854140263</v>
      </c>
      <c r="N46" s="7">
        <f t="shared" si="12"/>
        <v>10</v>
      </c>
      <c r="O46" s="7">
        <f t="shared" si="8"/>
        <v>4</v>
      </c>
      <c r="P46" s="3">
        <f>SUM($O$4:O46)</f>
        <v>152</v>
      </c>
      <c r="T46" s="7">
        <v>9</v>
      </c>
      <c r="U46" s="3">
        <v>1.2571428571428571</v>
      </c>
      <c r="V46" s="3">
        <v>81.282142857142887</v>
      </c>
      <c r="W46" s="3"/>
      <c r="Y46" s="3">
        <f t="shared" si="9"/>
        <v>43</v>
      </c>
      <c r="Z46" s="3">
        <f t="shared" si="10"/>
        <v>350</v>
      </c>
      <c r="AA46" s="7"/>
      <c r="AB46" s="7">
        <f t="shared" si="11"/>
        <v>3477</v>
      </c>
    </row>
    <row r="47" spans="6:28" x14ac:dyDescent="0.15">
      <c r="F47">
        <f t="shared" si="1"/>
        <v>7</v>
      </c>
      <c r="G47">
        <v>44</v>
      </c>
      <c r="H47">
        <f t="shared" si="2"/>
        <v>65.247000951665441</v>
      </c>
      <c r="I47">
        <f t="shared" si="3"/>
        <v>65</v>
      </c>
      <c r="J47" s="1">
        <f t="shared" si="4"/>
        <v>1</v>
      </c>
      <c r="K47" s="1">
        <f t="shared" si="5"/>
        <v>65</v>
      </c>
      <c r="L47" s="1">
        <f t="shared" si="6"/>
        <v>10.031666666666668</v>
      </c>
      <c r="M47" s="3">
        <f t="shared" si="7"/>
        <v>4.7961292854140263</v>
      </c>
      <c r="N47" s="7">
        <f t="shared" si="12"/>
        <v>10</v>
      </c>
      <c r="O47" s="7">
        <f t="shared" si="8"/>
        <v>4</v>
      </c>
      <c r="P47" s="3">
        <f>SUM($O$4:O47)</f>
        <v>156</v>
      </c>
      <c r="T47" s="7">
        <v>9</v>
      </c>
      <c r="U47" s="3">
        <v>1.2571428571428571</v>
      </c>
      <c r="V47" s="3">
        <v>82.539285714285739</v>
      </c>
      <c r="W47" s="3"/>
      <c r="Y47" s="3">
        <f t="shared" si="9"/>
        <v>44</v>
      </c>
      <c r="Z47" s="3">
        <f t="shared" si="10"/>
        <v>377</v>
      </c>
      <c r="AA47" s="7"/>
      <c r="AB47" s="7">
        <f t="shared" si="11"/>
        <v>3617</v>
      </c>
    </row>
    <row r="48" spans="6:28" x14ac:dyDescent="0.15">
      <c r="F48">
        <f t="shared" si="1"/>
        <v>7</v>
      </c>
      <c r="G48">
        <v>45</v>
      </c>
      <c r="H48">
        <f t="shared" si="2"/>
        <v>65.247000951665441</v>
      </c>
      <c r="I48">
        <f t="shared" si="3"/>
        <v>65</v>
      </c>
      <c r="J48" s="1">
        <f t="shared" si="4"/>
        <v>1</v>
      </c>
      <c r="K48" s="1">
        <f t="shared" si="5"/>
        <v>65</v>
      </c>
      <c r="L48" s="1">
        <f t="shared" si="6"/>
        <v>10.031666666666668</v>
      </c>
      <c r="M48" s="3">
        <f t="shared" si="7"/>
        <v>4.7961292854140263</v>
      </c>
      <c r="N48" s="7">
        <f t="shared" si="12"/>
        <v>10</v>
      </c>
      <c r="O48" s="7">
        <f t="shared" si="8"/>
        <v>4</v>
      </c>
      <c r="P48" s="3">
        <f>SUM($O$4:O48)</f>
        <v>160</v>
      </c>
      <c r="T48" s="7">
        <v>9</v>
      </c>
      <c r="U48" s="3">
        <v>1.2571428571428571</v>
      </c>
      <c r="V48" s="3">
        <v>83.796428571428592</v>
      </c>
      <c r="W48" s="3"/>
      <c r="Y48" s="3">
        <f t="shared" si="9"/>
        <v>45</v>
      </c>
      <c r="Z48" s="3">
        <f t="shared" si="10"/>
        <v>404</v>
      </c>
      <c r="AA48" s="7"/>
      <c r="AB48" s="7">
        <f t="shared" si="11"/>
        <v>3757</v>
      </c>
    </row>
    <row r="49" spans="6:28" x14ac:dyDescent="0.15">
      <c r="F49">
        <f t="shared" si="1"/>
        <v>7</v>
      </c>
      <c r="G49">
        <v>46</v>
      </c>
      <c r="H49">
        <f t="shared" si="2"/>
        <v>65.247000951665441</v>
      </c>
      <c r="I49">
        <f t="shared" si="3"/>
        <v>65</v>
      </c>
      <c r="J49" s="1">
        <f t="shared" si="4"/>
        <v>1</v>
      </c>
      <c r="K49" s="1">
        <f t="shared" si="5"/>
        <v>65</v>
      </c>
      <c r="L49" s="1">
        <f t="shared" si="6"/>
        <v>10.031666666666668</v>
      </c>
      <c r="M49" s="3">
        <f t="shared" si="7"/>
        <v>4.7961292854140263</v>
      </c>
      <c r="N49" s="7">
        <f t="shared" si="12"/>
        <v>10</v>
      </c>
      <c r="O49" s="7">
        <f t="shared" si="8"/>
        <v>4</v>
      </c>
      <c r="P49" s="3">
        <f>SUM($O$4:O49)</f>
        <v>164</v>
      </c>
      <c r="T49" s="7">
        <v>9</v>
      </c>
      <c r="U49" s="3">
        <v>1.2571428571428571</v>
      </c>
      <c r="V49" s="3">
        <v>85.053571428571445</v>
      </c>
      <c r="W49" s="3"/>
      <c r="Y49" s="3">
        <f t="shared" si="9"/>
        <v>46</v>
      </c>
      <c r="Z49" s="3">
        <f t="shared" si="10"/>
        <v>434</v>
      </c>
      <c r="AA49" s="7"/>
      <c r="AB49" s="7">
        <f t="shared" si="11"/>
        <v>4598</v>
      </c>
    </row>
    <row r="50" spans="6:28" x14ac:dyDescent="0.15">
      <c r="F50">
        <f t="shared" si="1"/>
        <v>7</v>
      </c>
      <c r="G50">
        <v>47</v>
      </c>
      <c r="H50">
        <f t="shared" si="2"/>
        <v>65.247000951665441</v>
      </c>
      <c r="I50">
        <f t="shared" si="3"/>
        <v>65</v>
      </c>
      <c r="J50" s="1">
        <f t="shared" si="4"/>
        <v>1</v>
      </c>
      <c r="K50" s="1">
        <f t="shared" si="5"/>
        <v>65</v>
      </c>
      <c r="L50" s="1">
        <f t="shared" si="6"/>
        <v>10.031666666666668</v>
      </c>
      <c r="M50" s="3">
        <f t="shared" si="7"/>
        <v>4.7961292854140263</v>
      </c>
      <c r="N50" s="7">
        <f t="shared" si="12"/>
        <v>10</v>
      </c>
      <c r="O50" s="7">
        <f t="shared" si="8"/>
        <v>4</v>
      </c>
      <c r="P50" s="3">
        <f>SUM($O$4:O50)</f>
        <v>168</v>
      </c>
      <c r="T50" s="7">
        <v>9</v>
      </c>
      <c r="U50" s="3">
        <v>1.2571428571428571</v>
      </c>
      <c r="V50" s="3">
        <v>86.310714285714297</v>
      </c>
      <c r="W50" s="3"/>
      <c r="Y50" s="3">
        <f t="shared" si="9"/>
        <v>47</v>
      </c>
      <c r="Z50" s="3">
        <f t="shared" si="10"/>
        <v>466</v>
      </c>
      <c r="AA50" s="7"/>
      <c r="AB50" s="7">
        <f t="shared" si="11"/>
        <v>4598</v>
      </c>
    </row>
    <row r="51" spans="6:28" x14ac:dyDescent="0.15">
      <c r="F51">
        <f t="shared" si="1"/>
        <v>7</v>
      </c>
      <c r="G51">
        <v>48</v>
      </c>
      <c r="H51">
        <f t="shared" si="2"/>
        <v>65.247000951665441</v>
      </c>
      <c r="I51">
        <f t="shared" si="3"/>
        <v>65</v>
      </c>
      <c r="J51" s="1">
        <f t="shared" si="4"/>
        <v>1</v>
      </c>
      <c r="K51" s="1">
        <f t="shared" si="5"/>
        <v>65</v>
      </c>
      <c r="L51" s="1">
        <f t="shared" si="6"/>
        <v>10.031666666666668</v>
      </c>
      <c r="M51" s="3">
        <f t="shared" si="7"/>
        <v>4.7961292854140263</v>
      </c>
      <c r="N51" s="7">
        <f t="shared" si="12"/>
        <v>10</v>
      </c>
      <c r="O51" s="7">
        <f t="shared" si="8"/>
        <v>4</v>
      </c>
      <c r="P51" s="3">
        <f>SUM($O$4:O51)</f>
        <v>172</v>
      </c>
      <c r="T51" s="7">
        <v>9</v>
      </c>
      <c r="U51" s="3">
        <v>1.2571428571428571</v>
      </c>
      <c r="V51" s="3">
        <v>87.56785714285715</v>
      </c>
      <c r="W51" s="3"/>
      <c r="Y51" s="3">
        <f t="shared" si="9"/>
        <v>48</v>
      </c>
      <c r="Z51" s="3">
        <f t="shared" si="10"/>
        <v>499</v>
      </c>
      <c r="AA51" s="7"/>
      <c r="AB51" s="7">
        <f t="shared" si="11"/>
        <v>4598</v>
      </c>
    </row>
    <row r="52" spans="6:28" x14ac:dyDescent="0.15">
      <c r="F52">
        <f t="shared" si="1"/>
        <v>7</v>
      </c>
      <c r="G52">
        <v>49</v>
      </c>
      <c r="H52">
        <f t="shared" si="2"/>
        <v>65.247000951665441</v>
      </c>
      <c r="I52">
        <f t="shared" si="3"/>
        <v>65</v>
      </c>
      <c r="J52" s="1">
        <f t="shared" si="4"/>
        <v>4</v>
      </c>
      <c r="K52" s="1">
        <f t="shared" si="5"/>
        <v>260</v>
      </c>
      <c r="L52" s="1">
        <f t="shared" si="6"/>
        <v>40.126666666666672</v>
      </c>
      <c r="M52" s="3">
        <f t="shared" si="7"/>
        <v>19.184517141656105</v>
      </c>
      <c r="N52" s="7">
        <f t="shared" si="12"/>
        <v>40</v>
      </c>
      <c r="O52" s="7">
        <f t="shared" si="8"/>
        <v>19</v>
      </c>
      <c r="P52" s="3">
        <f>SUM($O$4:O52)</f>
        <v>191</v>
      </c>
      <c r="T52" s="7">
        <v>10</v>
      </c>
      <c r="U52" s="3">
        <v>1.1000000000000001</v>
      </c>
      <c r="V52" s="3">
        <v>88.667857142857144</v>
      </c>
      <c r="W52" s="3"/>
      <c r="Y52" s="3">
        <f t="shared" si="9"/>
        <v>49</v>
      </c>
      <c r="Z52" s="3">
        <f t="shared" si="10"/>
        <v>535</v>
      </c>
      <c r="AA52" s="7"/>
      <c r="AB52" s="7">
        <f t="shared" si="11"/>
        <v>4768</v>
      </c>
    </row>
    <row r="53" spans="6:28" x14ac:dyDescent="0.15">
      <c r="F53">
        <f t="shared" si="1"/>
        <v>8</v>
      </c>
      <c r="G53">
        <v>50</v>
      </c>
      <c r="H53">
        <f t="shared" si="2"/>
        <v>102.43779149411473</v>
      </c>
      <c r="I53">
        <f t="shared" si="3"/>
        <v>102</v>
      </c>
      <c r="J53" s="1">
        <f t="shared" si="4"/>
        <v>1</v>
      </c>
      <c r="K53" s="1">
        <f t="shared" si="5"/>
        <v>102</v>
      </c>
      <c r="L53" s="1">
        <f t="shared" si="6"/>
        <v>16.048000000000002</v>
      </c>
      <c r="M53" s="3">
        <f t="shared" si="7"/>
        <v>5.9019476354869305</v>
      </c>
      <c r="N53" s="7">
        <f t="shared" si="12"/>
        <v>16</v>
      </c>
      <c r="O53" s="7">
        <f t="shared" si="8"/>
        <v>5</v>
      </c>
      <c r="P53" s="3">
        <f>SUM($O$4:O53)</f>
        <v>196</v>
      </c>
      <c r="T53" s="7">
        <v>10</v>
      </c>
      <c r="U53" s="3">
        <v>11.03125</v>
      </c>
      <c r="V53" s="3">
        <v>99.699107142857144</v>
      </c>
      <c r="W53" s="4" t="s">
        <v>102</v>
      </c>
      <c r="Y53" s="3">
        <f t="shared" si="9"/>
        <v>50</v>
      </c>
      <c r="Z53" s="3">
        <f t="shared" si="10"/>
        <v>573</v>
      </c>
      <c r="AA53" s="7"/>
      <c r="AB53" s="7">
        <f t="shared" si="11"/>
        <v>4938</v>
      </c>
    </row>
    <row r="54" spans="6:28" x14ac:dyDescent="0.15">
      <c r="F54">
        <f t="shared" si="1"/>
        <v>8</v>
      </c>
      <c r="G54">
        <v>51</v>
      </c>
      <c r="H54">
        <f t="shared" si="2"/>
        <v>102.43779149411473</v>
      </c>
      <c r="I54">
        <f t="shared" si="3"/>
        <v>102</v>
      </c>
      <c r="J54" s="1">
        <f t="shared" si="4"/>
        <v>1</v>
      </c>
      <c r="K54" s="1">
        <f t="shared" si="5"/>
        <v>102</v>
      </c>
      <c r="L54" s="1">
        <f t="shared" si="6"/>
        <v>16.048000000000002</v>
      </c>
      <c r="M54" s="3">
        <f t="shared" si="7"/>
        <v>5.9019476354869305</v>
      </c>
      <c r="N54" s="7">
        <f t="shared" si="12"/>
        <v>16</v>
      </c>
      <c r="O54" s="7">
        <f t="shared" si="8"/>
        <v>5</v>
      </c>
      <c r="P54" s="3">
        <f>SUM($O$4:O54)</f>
        <v>201</v>
      </c>
      <c r="T54" s="7">
        <v>11</v>
      </c>
      <c r="U54" s="3">
        <v>1.4578947368421054</v>
      </c>
      <c r="V54" s="3">
        <v>101.15700187969925</v>
      </c>
      <c r="W54" s="4" t="s">
        <v>103</v>
      </c>
      <c r="Y54" s="3">
        <f t="shared" si="9"/>
        <v>51</v>
      </c>
      <c r="Z54" s="3">
        <f t="shared" si="10"/>
        <v>614</v>
      </c>
      <c r="AA54" s="7"/>
      <c r="AB54" s="7">
        <f t="shared" si="11"/>
        <v>5108</v>
      </c>
    </row>
    <row r="55" spans="6:28" x14ac:dyDescent="0.15">
      <c r="F55">
        <f t="shared" si="1"/>
        <v>8</v>
      </c>
      <c r="G55">
        <v>52</v>
      </c>
      <c r="H55">
        <f t="shared" si="2"/>
        <v>102.43779149411473</v>
      </c>
      <c r="I55">
        <f t="shared" si="3"/>
        <v>102</v>
      </c>
      <c r="J55" s="1">
        <f t="shared" si="4"/>
        <v>1</v>
      </c>
      <c r="K55" s="1">
        <f t="shared" si="5"/>
        <v>102</v>
      </c>
      <c r="L55" s="1">
        <f t="shared" si="6"/>
        <v>16.048000000000002</v>
      </c>
      <c r="M55" s="3">
        <f t="shared" si="7"/>
        <v>5.9019476354869305</v>
      </c>
      <c r="N55" s="7">
        <f t="shared" si="12"/>
        <v>16</v>
      </c>
      <c r="O55" s="7">
        <f t="shared" si="8"/>
        <v>5</v>
      </c>
      <c r="P55" s="3">
        <f>SUM($O$4:O55)</f>
        <v>206</v>
      </c>
      <c r="T55" s="7">
        <v>11</v>
      </c>
      <c r="U55" s="3">
        <v>1.4578947368421054</v>
      </c>
      <c r="V55" s="3">
        <v>102.61489661654136</v>
      </c>
      <c r="W55" s="3"/>
      <c r="Y55" s="3">
        <f t="shared" si="9"/>
        <v>52</v>
      </c>
      <c r="Z55" s="3">
        <f t="shared" si="10"/>
        <v>657</v>
      </c>
      <c r="AA55" s="7"/>
      <c r="AB55" s="7">
        <f t="shared" si="11"/>
        <v>5384</v>
      </c>
    </row>
    <row r="56" spans="6:28" x14ac:dyDescent="0.15">
      <c r="F56">
        <f t="shared" si="1"/>
        <v>8</v>
      </c>
      <c r="G56">
        <v>53</v>
      </c>
      <c r="H56">
        <f t="shared" si="2"/>
        <v>102.43779149411473</v>
      </c>
      <c r="I56">
        <f t="shared" si="3"/>
        <v>102</v>
      </c>
      <c r="J56" s="1">
        <f t="shared" si="4"/>
        <v>1</v>
      </c>
      <c r="K56" s="1">
        <f t="shared" si="5"/>
        <v>102</v>
      </c>
      <c r="L56" s="1">
        <f t="shared" si="6"/>
        <v>16.048000000000002</v>
      </c>
      <c r="M56" s="3">
        <f t="shared" si="7"/>
        <v>5.9019476354869305</v>
      </c>
      <c r="N56" s="7">
        <f t="shared" si="12"/>
        <v>16</v>
      </c>
      <c r="O56" s="7">
        <f t="shared" si="8"/>
        <v>5</v>
      </c>
      <c r="P56" s="3">
        <f>SUM($O$4:O56)</f>
        <v>211</v>
      </c>
      <c r="T56" s="7">
        <v>11</v>
      </c>
      <c r="U56" s="3">
        <v>1.4578947368421054</v>
      </c>
      <c r="V56" s="3">
        <v>104.07279135338347</v>
      </c>
      <c r="W56" s="3"/>
      <c r="Y56" s="3">
        <f t="shared" si="9"/>
        <v>53</v>
      </c>
      <c r="Z56" s="3">
        <f t="shared" si="10"/>
        <v>704</v>
      </c>
      <c r="AA56" s="7"/>
      <c r="AB56" s="7">
        <f t="shared" si="11"/>
        <v>5594</v>
      </c>
    </row>
    <row r="57" spans="6:28" x14ac:dyDescent="0.15">
      <c r="F57">
        <f t="shared" si="1"/>
        <v>8</v>
      </c>
      <c r="G57">
        <v>54</v>
      </c>
      <c r="H57">
        <f t="shared" si="2"/>
        <v>102.43779149411473</v>
      </c>
      <c r="I57">
        <f t="shared" si="3"/>
        <v>102</v>
      </c>
      <c r="J57" s="1">
        <f t="shared" si="4"/>
        <v>1</v>
      </c>
      <c r="K57" s="1">
        <f t="shared" si="5"/>
        <v>102</v>
      </c>
      <c r="L57" s="1">
        <f t="shared" si="6"/>
        <v>16.048000000000002</v>
      </c>
      <c r="M57" s="3">
        <f t="shared" si="7"/>
        <v>5.9019476354869305</v>
      </c>
      <c r="N57" s="7">
        <f t="shared" si="12"/>
        <v>16</v>
      </c>
      <c r="O57" s="7">
        <f t="shared" si="8"/>
        <v>5</v>
      </c>
      <c r="P57" s="3">
        <f>SUM($O$4:O57)</f>
        <v>216</v>
      </c>
      <c r="T57" s="7">
        <v>12</v>
      </c>
      <c r="U57" s="3">
        <v>1.2590909090909093</v>
      </c>
      <c r="V57" s="3">
        <v>105.33188226247438</v>
      </c>
      <c r="W57" s="3"/>
      <c r="Y57" s="3">
        <f t="shared" si="9"/>
        <v>54</v>
      </c>
      <c r="Z57" s="3">
        <f t="shared" si="10"/>
        <v>753</v>
      </c>
      <c r="AA57" s="7"/>
      <c r="AB57" s="7">
        <f t="shared" si="11"/>
        <v>5594</v>
      </c>
    </row>
    <row r="58" spans="6:28" x14ac:dyDescent="0.15">
      <c r="F58">
        <f t="shared" si="1"/>
        <v>8</v>
      </c>
      <c r="G58">
        <v>55</v>
      </c>
      <c r="H58">
        <f t="shared" si="2"/>
        <v>102.43779149411473</v>
      </c>
      <c r="I58">
        <f t="shared" si="3"/>
        <v>102</v>
      </c>
      <c r="J58" s="1">
        <f t="shared" si="4"/>
        <v>1</v>
      </c>
      <c r="K58" s="1">
        <f t="shared" si="5"/>
        <v>102</v>
      </c>
      <c r="L58" s="1">
        <f t="shared" si="6"/>
        <v>16.048000000000002</v>
      </c>
      <c r="M58" s="3">
        <f t="shared" si="7"/>
        <v>5.9019476354869305</v>
      </c>
      <c r="N58" s="7">
        <f t="shared" si="12"/>
        <v>16</v>
      </c>
      <c r="O58" s="7">
        <f t="shared" si="8"/>
        <v>5</v>
      </c>
      <c r="P58" s="3">
        <f>SUM($O$4:O58)</f>
        <v>221</v>
      </c>
      <c r="T58" s="7">
        <v>12</v>
      </c>
      <c r="U58" s="3">
        <v>1.2590909090909093</v>
      </c>
      <c r="V58" s="3">
        <v>106.5909731715653</v>
      </c>
      <c r="W58" s="3"/>
      <c r="Y58" s="3">
        <f t="shared" si="9"/>
        <v>55</v>
      </c>
      <c r="Z58" s="3">
        <f t="shared" si="10"/>
        <v>805</v>
      </c>
      <c r="AA58" s="7"/>
      <c r="AB58" s="7">
        <f t="shared" si="11"/>
        <v>5594</v>
      </c>
    </row>
    <row r="59" spans="6:28" x14ac:dyDescent="0.15">
      <c r="F59">
        <f t="shared" si="1"/>
        <v>8</v>
      </c>
      <c r="G59">
        <v>56</v>
      </c>
      <c r="H59">
        <f t="shared" si="2"/>
        <v>102.43779149411473</v>
      </c>
      <c r="I59">
        <f t="shared" si="3"/>
        <v>102</v>
      </c>
      <c r="J59" s="1">
        <f t="shared" si="4"/>
        <v>6</v>
      </c>
      <c r="K59" s="1">
        <f t="shared" si="5"/>
        <v>612</v>
      </c>
      <c r="L59" s="1">
        <f t="shared" si="6"/>
        <v>96.287999999999997</v>
      </c>
      <c r="M59" s="3">
        <f t="shared" si="7"/>
        <v>35.411685812921576</v>
      </c>
      <c r="N59" s="7">
        <f t="shared" si="12"/>
        <v>96</v>
      </c>
      <c r="O59" s="7">
        <f t="shared" si="8"/>
        <v>35</v>
      </c>
      <c r="P59" s="3">
        <f>SUM($O$4:O59)</f>
        <v>256</v>
      </c>
      <c r="T59" s="7">
        <v>12</v>
      </c>
      <c r="U59" s="3">
        <v>1.2590909090909093</v>
      </c>
      <c r="V59" s="3">
        <v>107.85006408065621</v>
      </c>
      <c r="W59" s="3"/>
      <c r="Y59" s="3">
        <f t="shared" si="9"/>
        <v>56</v>
      </c>
      <c r="Z59" s="3">
        <f t="shared" si="10"/>
        <v>861</v>
      </c>
      <c r="AA59" s="7"/>
      <c r="AB59" s="7">
        <f t="shared" si="11"/>
        <v>5699</v>
      </c>
    </row>
    <row r="60" spans="6:28" x14ac:dyDescent="0.15">
      <c r="F60">
        <f t="shared" si="1"/>
        <v>9</v>
      </c>
      <c r="G60">
        <v>57</v>
      </c>
      <c r="H60">
        <f t="shared" si="2"/>
        <v>160.82733264576015</v>
      </c>
      <c r="I60">
        <f t="shared" si="3"/>
        <v>161</v>
      </c>
      <c r="J60" s="1">
        <f t="shared" si="4"/>
        <v>1</v>
      </c>
      <c r="K60" s="1">
        <f t="shared" si="5"/>
        <v>161</v>
      </c>
      <c r="L60" s="1">
        <f t="shared" si="6"/>
        <v>25.81366666666667</v>
      </c>
      <c r="M60" s="3">
        <f t="shared" si="7"/>
        <v>7.3026549652284078</v>
      </c>
      <c r="N60" s="7">
        <f t="shared" si="12"/>
        <v>26</v>
      </c>
      <c r="O60" s="7">
        <f t="shared" si="8"/>
        <v>7</v>
      </c>
      <c r="P60" s="3">
        <f>SUM($O$4:O60)</f>
        <v>263</v>
      </c>
      <c r="T60" s="7">
        <v>12</v>
      </c>
      <c r="U60" s="3">
        <v>1.2590909090909093</v>
      </c>
      <c r="V60" s="3">
        <v>109.10915498974713</v>
      </c>
      <c r="W60" s="3"/>
      <c r="Y60" s="3">
        <f t="shared" si="9"/>
        <v>57</v>
      </c>
      <c r="Z60" s="3">
        <f t="shared" si="10"/>
        <v>920</v>
      </c>
      <c r="AA60" s="7"/>
      <c r="AB60" s="7">
        <f t="shared" si="11"/>
        <v>5909</v>
      </c>
    </row>
    <row r="61" spans="6:28" x14ac:dyDescent="0.15">
      <c r="F61">
        <f t="shared" si="1"/>
        <v>9</v>
      </c>
      <c r="G61">
        <v>58</v>
      </c>
      <c r="H61">
        <f t="shared" si="2"/>
        <v>160.82733264576015</v>
      </c>
      <c r="I61">
        <f t="shared" si="3"/>
        <v>161</v>
      </c>
      <c r="J61" s="1">
        <f t="shared" si="4"/>
        <v>1</v>
      </c>
      <c r="K61" s="1">
        <f t="shared" si="5"/>
        <v>161</v>
      </c>
      <c r="L61" s="1">
        <f t="shared" si="6"/>
        <v>25.81366666666667</v>
      </c>
      <c r="M61" s="3">
        <f t="shared" si="7"/>
        <v>7.3026549652284078</v>
      </c>
      <c r="N61" s="7">
        <f t="shared" si="12"/>
        <v>26</v>
      </c>
      <c r="O61" s="7">
        <f t="shared" si="8"/>
        <v>7</v>
      </c>
      <c r="P61" s="3">
        <f>SUM($O$4:O61)</f>
        <v>270</v>
      </c>
      <c r="T61" s="7">
        <v>12</v>
      </c>
      <c r="U61" s="3">
        <v>1.2590909090909093</v>
      </c>
      <c r="V61" s="3">
        <v>110.36824589883804</v>
      </c>
      <c r="W61" s="3"/>
      <c r="Y61" s="3">
        <f t="shared" si="9"/>
        <v>58</v>
      </c>
      <c r="Z61" s="3">
        <f t="shared" si="10"/>
        <v>983</v>
      </c>
      <c r="AA61" s="7"/>
      <c r="AB61" s="7">
        <f t="shared" si="11"/>
        <v>6459</v>
      </c>
    </row>
    <row r="62" spans="6:28" x14ac:dyDescent="0.15">
      <c r="F62">
        <f t="shared" si="1"/>
        <v>9</v>
      </c>
      <c r="G62">
        <v>59</v>
      </c>
      <c r="H62">
        <f t="shared" si="2"/>
        <v>160.82733264576015</v>
      </c>
      <c r="I62">
        <f t="shared" si="3"/>
        <v>161</v>
      </c>
      <c r="J62" s="1">
        <f t="shared" si="4"/>
        <v>1</v>
      </c>
      <c r="K62" s="1">
        <f t="shared" si="5"/>
        <v>161</v>
      </c>
      <c r="L62" s="1">
        <f t="shared" si="6"/>
        <v>25.81366666666667</v>
      </c>
      <c r="M62" s="3">
        <f t="shared" si="7"/>
        <v>7.3026549652284078</v>
      </c>
      <c r="N62" s="7">
        <f t="shared" si="12"/>
        <v>26</v>
      </c>
      <c r="O62" s="7">
        <f t="shared" si="8"/>
        <v>7</v>
      </c>
      <c r="P62" s="3">
        <f>SUM($O$4:O62)</f>
        <v>277</v>
      </c>
      <c r="T62" s="7">
        <v>12</v>
      </c>
      <c r="U62" s="3">
        <v>1.2590909090909093</v>
      </c>
      <c r="V62" s="3">
        <v>111.62733680792896</v>
      </c>
      <c r="W62" s="3"/>
      <c r="Y62" s="3">
        <f t="shared" si="9"/>
        <v>59</v>
      </c>
      <c r="Z62" s="3">
        <f t="shared" si="10"/>
        <v>1050</v>
      </c>
      <c r="AA62" s="7"/>
      <c r="AB62" s="7">
        <f t="shared" si="11"/>
        <v>6846</v>
      </c>
    </row>
    <row r="63" spans="6:28" x14ac:dyDescent="0.15">
      <c r="F63">
        <f t="shared" si="1"/>
        <v>9</v>
      </c>
      <c r="G63">
        <v>60</v>
      </c>
      <c r="H63">
        <f t="shared" si="2"/>
        <v>160.82733264576015</v>
      </c>
      <c r="I63">
        <f t="shared" si="3"/>
        <v>161</v>
      </c>
      <c r="J63" s="1">
        <f t="shared" si="4"/>
        <v>1</v>
      </c>
      <c r="K63" s="1">
        <f t="shared" si="5"/>
        <v>161</v>
      </c>
      <c r="L63" s="1">
        <f t="shared" si="6"/>
        <v>25.81366666666667</v>
      </c>
      <c r="M63" s="3">
        <f t="shared" si="7"/>
        <v>7.3026549652284078</v>
      </c>
      <c r="N63" s="7">
        <f t="shared" si="12"/>
        <v>26</v>
      </c>
      <c r="O63" s="7">
        <f t="shared" si="8"/>
        <v>7</v>
      </c>
      <c r="P63" s="3">
        <f>SUM($O$4:O63)</f>
        <v>284</v>
      </c>
      <c r="T63" s="7">
        <v>13</v>
      </c>
      <c r="U63" s="3">
        <v>2.2160000000000002</v>
      </c>
      <c r="V63" s="3">
        <v>113.84333680792895</v>
      </c>
      <c r="W63" s="3"/>
      <c r="Y63" s="3">
        <f t="shared" si="9"/>
        <v>60</v>
      </c>
      <c r="Z63" s="3">
        <f t="shared" si="10"/>
        <v>1121</v>
      </c>
      <c r="AA63" s="7"/>
      <c r="AB63" s="7">
        <f t="shared" si="11"/>
        <v>7104</v>
      </c>
    </row>
    <row r="64" spans="6:28" x14ac:dyDescent="0.15">
      <c r="F64">
        <f t="shared" si="1"/>
        <v>9</v>
      </c>
      <c r="G64">
        <v>61</v>
      </c>
      <c r="H64">
        <f t="shared" si="2"/>
        <v>160.82733264576015</v>
      </c>
      <c r="I64">
        <f t="shared" si="3"/>
        <v>161</v>
      </c>
      <c r="J64" s="1">
        <f t="shared" si="4"/>
        <v>1</v>
      </c>
      <c r="K64" s="1">
        <f t="shared" si="5"/>
        <v>161</v>
      </c>
      <c r="L64" s="1">
        <f t="shared" si="6"/>
        <v>25.81366666666667</v>
      </c>
      <c r="M64" s="3">
        <f t="shared" si="7"/>
        <v>7.3026549652284078</v>
      </c>
      <c r="N64" s="7">
        <f t="shared" si="12"/>
        <v>26</v>
      </c>
      <c r="O64" s="7">
        <f t="shared" si="8"/>
        <v>7</v>
      </c>
      <c r="P64" s="3">
        <f>SUM($O$4:O64)</f>
        <v>291</v>
      </c>
      <c r="T64" s="7">
        <v>13</v>
      </c>
      <c r="U64" s="3">
        <v>1.7399999999999998</v>
      </c>
      <c r="V64" s="3">
        <v>115.58333680792894</v>
      </c>
      <c r="W64" s="3"/>
      <c r="Y64" s="3">
        <f t="shared" si="9"/>
        <v>61</v>
      </c>
      <c r="Z64" s="3">
        <f t="shared" si="10"/>
        <v>1196</v>
      </c>
      <c r="AA64" s="7"/>
      <c r="AB64" s="7">
        <f t="shared" si="11"/>
        <v>7879</v>
      </c>
    </row>
    <row r="65" spans="6:28" x14ac:dyDescent="0.15">
      <c r="F65">
        <f t="shared" si="1"/>
        <v>9</v>
      </c>
      <c r="G65">
        <v>62</v>
      </c>
      <c r="H65">
        <f t="shared" si="2"/>
        <v>160.82733264576015</v>
      </c>
      <c r="I65">
        <f t="shared" si="3"/>
        <v>161</v>
      </c>
      <c r="J65" s="1">
        <f t="shared" si="4"/>
        <v>1</v>
      </c>
      <c r="K65" s="1">
        <f t="shared" si="5"/>
        <v>161</v>
      </c>
      <c r="L65" s="1">
        <f t="shared" si="6"/>
        <v>25.81366666666667</v>
      </c>
      <c r="M65" s="3">
        <f t="shared" si="7"/>
        <v>7.3026549652284078</v>
      </c>
      <c r="N65" s="7">
        <f t="shared" si="12"/>
        <v>26</v>
      </c>
      <c r="O65" s="7">
        <f t="shared" si="8"/>
        <v>7</v>
      </c>
      <c r="P65" s="3">
        <f>SUM($O$4:O65)</f>
        <v>298</v>
      </c>
      <c r="T65" s="7">
        <v>13</v>
      </c>
      <c r="U65" s="3">
        <v>1.7399999999999998</v>
      </c>
      <c r="V65" s="3">
        <v>117.32333680792894</v>
      </c>
      <c r="W65" s="3"/>
      <c r="Y65" s="3">
        <f t="shared" si="9"/>
        <v>62</v>
      </c>
      <c r="Z65" s="3">
        <f t="shared" si="10"/>
        <v>1277</v>
      </c>
      <c r="AA65" s="7"/>
      <c r="AB65" s="7">
        <f t="shared" si="11"/>
        <v>8195</v>
      </c>
    </row>
    <row r="66" spans="6:28" x14ac:dyDescent="0.15">
      <c r="F66">
        <f t="shared" si="1"/>
        <v>9</v>
      </c>
      <c r="G66">
        <v>63</v>
      </c>
      <c r="H66">
        <f t="shared" si="2"/>
        <v>160.82733264576015</v>
      </c>
      <c r="I66">
        <f t="shared" si="3"/>
        <v>161</v>
      </c>
      <c r="J66" s="1">
        <f t="shared" si="4"/>
        <v>7</v>
      </c>
      <c r="K66" s="1">
        <f t="shared" si="5"/>
        <v>1127</v>
      </c>
      <c r="L66" s="1">
        <f t="shared" si="6"/>
        <v>180.69566666666671</v>
      </c>
      <c r="M66" s="3">
        <f t="shared" si="7"/>
        <v>51.118584756598864</v>
      </c>
      <c r="N66" s="7">
        <f t="shared" si="12"/>
        <v>181</v>
      </c>
      <c r="O66" s="7">
        <f t="shared" si="8"/>
        <v>51</v>
      </c>
      <c r="P66" s="3">
        <f>SUM($O$4:O66)</f>
        <v>349</v>
      </c>
      <c r="T66" s="7">
        <v>13</v>
      </c>
      <c r="U66" s="3">
        <v>1.7399999999999998</v>
      </c>
      <c r="V66" s="3">
        <v>119.06333680792893</v>
      </c>
      <c r="W66" s="3"/>
      <c r="Y66" s="3">
        <f t="shared" si="9"/>
        <v>63</v>
      </c>
      <c r="Z66" s="3">
        <f t="shared" si="10"/>
        <v>1362</v>
      </c>
      <c r="AA66" s="7"/>
      <c r="AB66" s="7">
        <f t="shared" si="11"/>
        <v>8511</v>
      </c>
    </row>
    <row r="67" spans="6:28" x14ac:dyDescent="0.15">
      <c r="F67">
        <f t="shared" si="1"/>
        <v>10</v>
      </c>
      <c r="G67">
        <v>64</v>
      </c>
      <c r="H67">
        <f t="shared" si="2"/>
        <v>252.4989122538434</v>
      </c>
      <c r="I67">
        <f t="shared" si="3"/>
        <v>252</v>
      </c>
      <c r="J67" s="1">
        <f t="shared" si="4"/>
        <v>1</v>
      </c>
      <c r="K67" s="1">
        <f t="shared" si="5"/>
        <v>252</v>
      </c>
      <c r="L67" s="1">
        <f t="shared" si="6"/>
        <v>41.160000000000004</v>
      </c>
      <c r="M67" s="3">
        <f t="shared" si="7"/>
        <v>8.9570107973653759</v>
      </c>
      <c r="N67" s="7">
        <f t="shared" si="12"/>
        <v>41</v>
      </c>
      <c r="O67" s="7">
        <f t="shared" si="8"/>
        <v>8</v>
      </c>
      <c r="P67" s="3">
        <f>SUM($O$4:O67)</f>
        <v>357</v>
      </c>
      <c r="T67" s="7">
        <v>14</v>
      </c>
      <c r="U67" s="3">
        <v>1.5535714285714286</v>
      </c>
      <c r="V67" s="3">
        <v>120.61690823650036</v>
      </c>
      <c r="Y67" s="3">
        <f t="shared" si="9"/>
        <v>64</v>
      </c>
      <c r="Z67" s="3">
        <f t="shared" si="10"/>
        <v>1453</v>
      </c>
      <c r="AA67" s="7"/>
      <c r="AB67" s="7">
        <f t="shared" si="11"/>
        <v>9935</v>
      </c>
    </row>
    <row r="68" spans="6:28" x14ac:dyDescent="0.15">
      <c r="F68">
        <f t="shared" si="1"/>
        <v>10</v>
      </c>
      <c r="G68">
        <v>65</v>
      </c>
      <c r="H68">
        <f t="shared" si="2"/>
        <v>252.4989122538434</v>
      </c>
      <c r="I68">
        <f t="shared" si="3"/>
        <v>252</v>
      </c>
      <c r="J68" s="1">
        <f t="shared" si="4"/>
        <v>1</v>
      </c>
      <c r="K68" s="1">
        <f t="shared" si="5"/>
        <v>252</v>
      </c>
      <c r="L68" s="1">
        <f t="shared" si="6"/>
        <v>41.160000000000004</v>
      </c>
      <c r="M68" s="3">
        <f t="shared" si="7"/>
        <v>8.9570107973653759</v>
      </c>
      <c r="N68" s="7">
        <f t="shared" si="12"/>
        <v>41</v>
      </c>
      <c r="O68" s="7">
        <f t="shared" si="8"/>
        <v>8</v>
      </c>
      <c r="P68" s="3">
        <f>SUM($O$4:O68)</f>
        <v>365</v>
      </c>
      <c r="T68" s="7">
        <v>14</v>
      </c>
      <c r="U68" s="3">
        <v>1.5535714285714286</v>
      </c>
      <c r="V68" s="3">
        <v>122.1704796650718</v>
      </c>
      <c r="Y68" s="3">
        <f t="shared" si="9"/>
        <v>65</v>
      </c>
      <c r="Z68" s="3">
        <f t="shared" si="10"/>
        <v>1550</v>
      </c>
      <c r="AA68" s="7"/>
      <c r="AB68" s="7">
        <f t="shared" si="11"/>
        <v>10323</v>
      </c>
    </row>
    <row r="69" spans="6:28" x14ac:dyDescent="0.15">
      <c r="F69">
        <f t="shared" ref="F69:F132" si="13">ROUNDUP(G69/$C$4,0)</f>
        <v>10</v>
      </c>
      <c r="G69">
        <v>66</v>
      </c>
      <c r="H69">
        <f t="shared" ref="H69:H132" si="14">18.5*1.57^MIN(F69,156)*1.17^MAX(F69-156,0)*$C$5</f>
        <v>252.4989122538434</v>
      </c>
      <c r="I69">
        <f t="shared" ref="I69:I132" si="15">ROUND(H69,0)</f>
        <v>252</v>
      </c>
      <c r="J69" s="1">
        <f t="shared" ref="J69:J132" si="16">IF(F69=F70,1,LOOKUP(MOD(F69,5),$D$6:$D$10,$C$6:$C$10))</f>
        <v>1</v>
      </c>
      <c r="K69" s="1">
        <f t="shared" ref="K69:K132" si="17">J69*I69</f>
        <v>252</v>
      </c>
      <c r="L69" s="1">
        <f t="shared" ref="L69:L132" si="18">K69*(0.02+0.00045*F69)/$C$5</f>
        <v>41.160000000000004</v>
      </c>
      <c r="M69" s="3">
        <f t="shared" ref="M69:M132" si="19">L69/(1.3^F69)*3</f>
        <v>8.9570107973653759</v>
      </c>
      <c r="N69" s="7">
        <f t="shared" si="12"/>
        <v>41</v>
      </c>
      <c r="O69" s="7">
        <f t="shared" ref="O69:O132" si="20">ROUNDDOWN(M69,0)</f>
        <v>8</v>
      </c>
      <c r="P69" s="3">
        <f>SUM($O$4:O69)</f>
        <v>373</v>
      </c>
      <c r="T69" s="7">
        <v>14</v>
      </c>
      <c r="U69" s="3">
        <v>1.5535714285714286</v>
      </c>
      <c r="V69" s="3">
        <v>123.72405109364323</v>
      </c>
      <c r="Y69" s="3">
        <f t="shared" ref="Y69:Y132" si="21">G69</f>
        <v>66</v>
      </c>
      <c r="Z69" s="3">
        <f t="shared" ref="Z69:Z132" si="22">ROUND(1.05^Y69*Y69,0)</f>
        <v>1652</v>
      </c>
      <c r="AA69" s="7"/>
      <c r="AB69" s="7">
        <f t="shared" ref="AB69:AB132" si="23">LOOKUP(Y69,T:T,P:P)</f>
        <v>10323</v>
      </c>
    </row>
    <row r="70" spans="6:28" x14ac:dyDescent="0.15">
      <c r="F70">
        <f t="shared" si="13"/>
        <v>10</v>
      </c>
      <c r="G70">
        <v>67</v>
      </c>
      <c r="H70">
        <f t="shared" si="14"/>
        <v>252.4989122538434</v>
      </c>
      <c r="I70">
        <f t="shared" si="15"/>
        <v>252</v>
      </c>
      <c r="J70" s="1">
        <f t="shared" si="16"/>
        <v>1</v>
      </c>
      <c r="K70" s="1">
        <f t="shared" si="17"/>
        <v>252</v>
      </c>
      <c r="L70" s="1">
        <f t="shared" si="18"/>
        <v>41.160000000000004</v>
      </c>
      <c r="M70" s="3">
        <f t="shared" si="19"/>
        <v>8.9570107973653759</v>
      </c>
      <c r="N70" s="7">
        <f t="shared" si="12"/>
        <v>41</v>
      </c>
      <c r="O70" s="7">
        <f t="shared" si="20"/>
        <v>8</v>
      </c>
      <c r="P70" s="3">
        <f>SUM($O$4:O70)</f>
        <v>381</v>
      </c>
      <c r="T70" s="7">
        <v>14</v>
      </c>
      <c r="U70" s="3">
        <v>1.5535714285714286</v>
      </c>
      <c r="V70" s="3">
        <v>125.27762252221466</v>
      </c>
      <c r="Y70" s="3">
        <f t="shared" si="21"/>
        <v>67</v>
      </c>
      <c r="Z70" s="3">
        <f t="shared" si="22"/>
        <v>1761</v>
      </c>
      <c r="AA70" s="7"/>
      <c r="AB70" s="7">
        <f t="shared" si="23"/>
        <v>10711</v>
      </c>
    </row>
    <row r="71" spans="6:28" x14ac:dyDescent="0.15">
      <c r="F71">
        <f t="shared" si="13"/>
        <v>10</v>
      </c>
      <c r="G71">
        <v>68</v>
      </c>
      <c r="H71">
        <f t="shared" si="14"/>
        <v>252.4989122538434</v>
      </c>
      <c r="I71">
        <f t="shared" si="15"/>
        <v>252</v>
      </c>
      <c r="J71" s="1">
        <f t="shared" si="16"/>
        <v>1</v>
      </c>
      <c r="K71" s="1">
        <f t="shared" si="17"/>
        <v>252</v>
      </c>
      <c r="L71" s="1">
        <f t="shared" si="18"/>
        <v>41.160000000000004</v>
      </c>
      <c r="M71" s="3">
        <f t="shared" si="19"/>
        <v>8.9570107973653759</v>
      </c>
      <c r="N71" s="7">
        <f t="shared" si="12"/>
        <v>41</v>
      </c>
      <c r="O71" s="7">
        <f t="shared" si="20"/>
        <v>8</v>
      </c>
      <c r="P71" s="3">
        <f>SUM($O$4:O71)</f>
        <v>389</v>
      </c>
      <c r="T71" s="7">
        <v>15</v>
      </c>
      <c r="U71" s="3">
        <v>1.403225806451613</v>
      </c>
      <c r="V71" s="3">
        <v>126.68084832866627</v>
      </c>
      <c r="Y71" s="3">
        <f t="shared" si="21"/>
        <v>68</v>
      </c>
      <c r="Z71" s="3">
        <f t="shared" si="22"/>
        <v>1877</v>
      </c>
      <c r="AA71" s="7"/>
      <c r="AB71" s="7">
        <f t="shared" si="23"/>
        <v>10905</v>
      </c>
    </row>
    <row r="72" spans="6:28" x14ac:dyDescent="0.15">
      <c r="F72">
        <f t="shared" si="13"/>
        <v>10</v>
      </c>
      <c r="G72">
        <v>69</v>
      </c>
      <c r="H72">
        <f t="shared" si="14"/>
        <v>252.4989122538434</v>
      </c>
      <c r="I72">
        <f t="shared" si="15"/>
        <v>252</v>
      </c>
      <c r="J72" s="1">
        <f t="shared" si="16"/>
        <v>1</v>
      </c>
      <c r="K72" s="1">
        <f t="shared" si="17"/>
        <v>252</v>
      </c>
      <c r="L72" s="1">
        <f t="shared" si="18"/>
        <v>41.160000000000004</v>
      </c>
      <c r="M72" s="3">
        <f t="shared" si="19"/>
        <v>8.9570107973653759</v>
      </c>
      <c r="N72" s="7">
        <f t="shared" ref="N72:N135" si="24">ROUND(L72,0)</f>
        <v>41</v>
      </c>
      <c r="O72" s="7">
        <f t="shared" si="20"/>
        <v>8</v>
      </c>
      <c r="P72" s="3">
        <f>SUM($O$4:O72)</f>
        <v>397</v>
      </c>
      <c r="T72" s="7">
        <v>15</v>
      </c>
      <c r="U72" s="3">
        <v>1.403225806451613</v>
      </c>
      <c r="V72" s="3">
        <v>128.08407413511787</v>
      </c>
      <c r="Y72" s="3">
        <f t="shared" si="21"/>
        <v>69</v>
      </c>
      <c r="Z72" s="3">
        <f t="shared" si="22"/>
        <v>1999</v>
      </c>
      <c r="AA72" s="7"/>
      <c r="AB72" s="7">
        <f t="shared" si="23"/>
        <v>13040</v>
      </c>
    </row>
    <row r="73" spans="6:28" x14ac:dyDescent="0.15">
      <c r="F73">
        <f t="shared" si="13"/>
        <v>10</v>
      </c>
      <c r="G73">
        <v>70</v>
      </c>
      <c r="H73">
        <f t="shared" si="14"/>
        <v>252.4989122538434</v>
      </c>
      <c r="I73">
        <f t="shared" si="15"/>
        <v>252</v>
      </c>
      <c r="J73" s="1">
        <f t="shared" si="16"/>
        <v>10</v>
      </c>
      <c r="K73" s="1">
        <f t="shared" si="17"/>
        <v>2520</v>
      </c>
      <c r="L73" s="1">
        <f t="shared" si="18"/>
        <v>411.6</v>
      </c>
      <c r="M73" s="3">
        <f t="shared" si="19"/>
        <v>89.570107973653762</v>
      </c>
      <c r="N73" s="7">
        <f t="shared" si="24"/>
        <v>412</v>
      </c>
      <c r="O73" s="7">
        <f t="shared" si="20"/>
        <v>89</v>
      </c>
      <c r="P73" s="3">
        <f>SUM($O$4:O73)</f>
        <v>486</v>
      </c>
      <c r="T73" s="7">
        <v>15</v>
      </c>
      <c r="U73" s="3">
        <v>5.612903225806452</v>
      </c>
      <c r="V73" s="3">
        <v>133.69697736092434</v>
      </c>
      <c r="Y73" s="3">
        <f t="shared" si="21"/>
        <v>70</v>
      </c>
      <c r="Z73" s="3">
        <f t="shared" si="22"/>
        <v>2130</v>
      </c>
      <c r="AA73" s="7"/>
      <c r="AB73" s="7">
        <f t="shared" si="23"/>
        <v>13040</v>
      </c>
    </row>
    <row r="74" spans="6:28" x14ac:dyDescent="0.15">
      <c r="F74">
        <f t="shared" si="13"/>
        <v>11</v>
      </c>
      <c r="G74">
        <v>71</v>
      </c>
      <c r="H74">
        <f t="shared" si="14"/>
        <v>396.42329223853415</v>
      </c>
      <c r="I74">
        <f t="shared" si="15"/>
        <v>396</v>
      </c>
      <c r="J74" s="1">
        <f t="shared" si="16"/>
        <v>1</v>
      </c>
      <c r="K74" s="1">
        <f t="shared" si="17"/>
        <v>396</v>
      </c>
      <c r="L74" s="1">
        <f t="shared" si="18"/>
        <v>65.868000000000009</v>
      </c>
      <c r="M74" s="3">
        <f t="shared" si="19"/>
        <v>11.026022037842239</v>
      </c>
      <c r="N74" s="7">
        <f t="shared" si="24"/>
        <v>66</v>
      </c>
      <c r="O74" s="7">
        <f t="shared" si="20"/>
        <v>11</v>
      </c>
      <c r="P74" s="3">
        <f>SUM($O$4:O74)</f>
        <v>497</v>
      </c>
      <c r="T74" s="7">
        <v>16</v>
      </c>
      <c r="U74" s="3">
        <v>1.9514285714285715</v>
      </c>
      <c r="V74" s="3">
        <v>135.64840593235292</v>
      </c>
      <c r="Y74" s="3">
        <f t="shared" si="21"/>
        <v>71</v>
      </c>
      <c r="Z74" s="3">
        <f t="shared" si="22"/>
        <v>2268</v>
      </c>
      <c r="AA74" s="7"/>
      <c r="AB74" s="7">
        <f t="shared" si="23"/>
        <v>13040</v>
      </c>
    </row>
    <row r="75" spans="6:28" x14ac:dyDescent="0.15">
      <c r="F75">
        <f t="shared" si="13"/>
        <v>11</v>
      </c>
      <c r="G75">
        <v>72</v>
      </c>
      <c r="H75">
        <f t="shared" si="14"/>
        <v>396.42329223853415</v>
      </c>
      <c r="I75">
        <f t="shared" si="15"/>
        <v>396</v>
      </c>
      <c r="J75" s="1">
        <f t="shared" si="16"/>
        <v>1</v>
      </c>
      <c r="K75" s="1">
        <f t="shared" si="17"/>
        <v>396</v>
      </c>
      <c r="L75" s="1">
        <f t="shared" si="18"/>
        <v>65.868000000000009</v>
      </c>
      <c r="M75" s="3">
        <f t="shared" si="19"/>
        <v>11.026022037842239</v>
      </c>
      <c r="N75" s="7">
        <f t="shared" si="24"/>
        <v>66</v>
      </c>
      <c r="O75" s="7">
        <f t="shared" si="20"/>
        <v>11</v>
      </c>
      <c r="P75" s="3">
        <f>SUM($O$4:O75)</f>
        <v>508</v>
      </c>
      <c r="T75" s="7">
        <v>16</v>
      </c>
      <c r="U75" s="3">
        <v>1.9514285714285715</v>
      </c>
      <c r="V75" s="3">
        <v>137.59983450378149</v>
      </c>
      <c r="Y75" s="3">
        <f t="shared" si="21"/>
        <v>72</v>
      </c>
      <c r="Z75" s="3">
        <f t="shared" si="22"/>
        <v>2415</v>
      </c>
      <c r="AA75" s="7"/>
      <c r="AB75" s="7">
        <f t="shared" si="23"/>
        <v>13040</v>
      </c>
    </row>
    <row r="76" spans="6:28" x14ac:dyDescent="0.15">
      <c r="F76">
        <f t="shared" si="13"/>
        <v>11</v>
      </c>
      <c r="G76">
        <v>73</v>
      </c>
      <c r="H76">
        <f t="shared" si="14"/>
        <v>396.42329223853415</v>
      </c>
      <c r="I76">
        <f t="shared" si="15"/>
        <v>396</v>
      </c>
      <c r="J76" s="1">
        <f t="shared" si="16"/>
        <v>1</v>
      </c>
      <c r="K76" s="1">
        <f t="shared" si="17"/>
        <v>396</v>
      </c>
      <c r="L76" s="1">
        <f t="shared" si="18"/>
        <v>65.868000000000009</v>
      </c>
      <c r="M76" s="3">
        <f t="shared" si="19"/>
        <v>11.026022037842239</v>
      </c>
      <c r="N76" s="7">
        <f t="shared" si="24"/>
        <v>66</v>
      </c>
      <c r="O76" s="7">
        <f t="shared" si="20"/>
        <v>11</v>
      </c>
      <c r="P76" s="3">
        <f>SUM($O$4:O76)</f>
        <v>519</v>
      </c>
      <c r="T76" s="7">
        <v>16</v>
      </c>
      <c r="U76" s="3">
        <v>1.9514285714285715</v>
      </c>
      <c r="V76" s="3">
        <v>139.55126307521007</v>
      </c>
      <c r="Y76" s="3">
        <f t="shared" si="21"/>
        <v>73</v>
      </c>
      <c r="Z76" s="3">
        <f t="shared" si="22"/>
        <v>2571</v>
      </c>
      <c r="AA76" s="7"/>
      <c r="AB76" s="7">
        <f t="shared" si="23"/>
        <v>13040</v>
      </c>
    </row>
    <row r="77" spans="6:28" x14ac:dyDescent="0.15">
      <c r="F77">
        <f t="shared" si="13"/>
        <v>11</v>
      </c>
      <c r="G77">
        <v>74</v>
      </c>
      <c r="H77">
        <f t="shared" si="14"/>
        <v>396.42329223853415</v>
      </c>
      <c r="I77">
        <f t="shared" si="15"/>
        <v>396</v>
      </c>
      <c r="J77" s="1">
        <f t="shared" si="16"/>
        <v>1</v>
      </c>
      <c r="K77" s="1">
        <f t="shared" si="17"/>
        <v>396</v>
      </c>
      <c r="L77" s="1">
        <f t="shared" si="18"/>
        <v>65.868000000000009</v>
      </c>
      <c r="M77" s="3">
        <f t="shared" si="19"/>
        <v>11.026022037842239</v>
      </c>
      <c r="N77" s="7">
        <f t="shared" si="24"/>
        <v>66</v>
      </c>
      <c r="O77" s="7">
        <f t="shared" si="20"/>
        <v>11</v>
      </c>
      <c r="P77" s="3">
        <f>SUM($O$4:O77)</f>
        <v>530</v>
      </c>
      <c r="T77" s="7">
        <v>16</v>
      </c>
      <c r="U77" s="3">
        <v>1.9514285714285715</v>
      </c>
      <c r="V77" s="3">
        <v>141.50269164663865</v>
      </c>
      <c r="Y77" s="3">
        <f t="shared" si="21"/>
        <v>74</v>
      </c>
      <c r="Z77" s="3">
        <f t="shared" si="22"/>
        <v>2737</v>
      </c>
      <c r="AA77" s="7"/>
      <c r="AB77" s="7">
        <f t="shared" si="23"/>
        <v>13040</v>
      </c>
    </row>
    <row r="78" spans="6:28" x14ac:dyDescent="0.15">
      <c r="F78">
        <f t="shared" si="13"/>
        <v>11</v>
      </c>
      <c r="G78">
        <v>75</v>
      </c>
      <c r="H78">
        <f t="shared" si="14"/>
        <v>396.42329223853415</v>
      </c>
      <c r="I78">
        <f t="shared" si="15"/>
        <v>396</v>
      </c>
      <c r="J78" s="1">
        <f t="shared" si="16"/>
        <v>1</v>
      </c>
      <c r="K78" s="1">
        <f t="shared" si="17"/>
        <v>396</v>
      </c>
      <c r="L78" s="1">
        <f t="shared" si="18"/>
        <v>65.868000000000009</v>
      </c>
      <c r="M78" s="3">
        <f t="shared" si="19"/>
        <v>11.026022037842239</v>
      </c>
      <c r="N78" s="7">
        <f t="shared" si="24"/>
        <v>66</v>
      </c>
      <c r="O78" s="7">
        <f t="shared" si="20"/>
        <v>11</v>
      </c>
      <c r="P78" s="3">
        <f>SUM($O$4:O78)</f>
        <v>541</v>
      </c>
      <c r="T78" s="7">
        <v>17</v>
      </c>
      <c r="U78" s="3">
        <v>1.7512820512820515</v>
      </c>
      <c r="V78" s="3">
        <v>143.25397369792071</v>
      </c>
      <c r="Y78" s="3">
        <f t="shared" si="21"/>
        <v>75</v>
      </c>
      <c r="Z78" s="3">
        <f t="shared" si="22"/>
        <v>2912</v>
      </c>
      <c r="AA78" s="7"/>
      <c r="AB78" s="7">
        <f t="shared" si="23"/>
        <v>13040</v>
      </c>
    </row>
    <row r="79" spans="6:28" x14ac:dyDescent="0.15">
      <c r="F79">
        <f t="shared" si="13"/>
        <v>11</v>
      </c>
      <c r="G79">
        <v>76</v>
      </c>
      <c r="H79">
        <f t="shared" si="14"/>
        <v>396.42329223853415</v>
      </c>
      <c r="I79">
        <f t="shared" si="15"/>
        <v>396</v>
      </c>
      <c r="J79" s="1">
        <f t="shared" si="16"/>
        <v>1</v>
      </c>
      <c r="K79" s="1">
        <f t="shared" si="17"/>
        <v>396</v>
      </c>
      <c r="L79" s="1">
        <f t="shared" si="18"/>
        <v>65.868000000000009</v>
      </c>
      <c r="M79" s="3">
        <f t="shared" si="19"/>
        <v>11.026022037842239</v>
      </c>
      <c r="N79" s="7">
        <f t="shared" si="24"/>
        <v>66</v>
      </c>
      <c r="O79" s="7">
        <f t="shared" si="20"/>
        <v>11</v>
      </c>
      <c r="P79" s="3">
        <f>SUM($O$4:O79)</f>
        <v>552</v>
      </c>
      <c r="T79" s="7">
        <v>17</v>
      </c>
      <c r="U79" s="3">
        <v>1.7512820512820515</v>
      </c>
      <c r="V79" s="3">
        <v>145.00525574920277</v>
      </c>
      <c r="Y79" s="3">
        <f t="shared" si="21"/>
        <v>76</v>
      </c>
      <c r="Z79" s="3">
        <f t="shared" si="22"/>
        <v>3099</v>
      </c>
      <c r="AA79" s="7"/>
      <c r="AB79" s="7">
        <f t="shared" si="23"/>
        <v>13040</v>
      </c>
    </row>
    <row r="80" spans="6:28" x14ac:dyDescent="0.15">
      <c r="F80">
        <f t="shared" si="13"/>
        <v>11</v>
      </c>
      <c r="G80">
        <v>77</v>
      </c>
      <c r="H80">
        <f t="shared" si="14"/>
        <v>396.42329223853415</v>
      </c>
      <c r="I80">
        <f t="shared" si="15"/>
        <v>396</v>
      </c>
      <c r="J80" s="1">
        <f t="shared" si="16"/>
        <v>2</v>
      </c>
      <c r="K80" s="1">
        <f t="shared" si="17"/>
        <v>792</v>
      </c>
      <c r="L80" s="1">
        <f t="shared" si="18"/>
        <v>131.73600000000002</v>
      </c>
      <c r="M80" s="3">
        <f t="shared" si="19"/>
        <v>22.052044075684478</v>
      </c>
      <c r="N80" s="7">
        <f t="shared" si="24"/>
        <v>132</v>
      </c>
      <c r="O80" s="7">
        <f t="shared" si="20"/>
        <v>22</v>
      </c>
      <c r="P80" s="3">
        <f>SUM($O$4:O80)</f>
        <v>574</v>
      </c>
      <c r="T80" s="7">
        <v>17</v>
      </c>
      <c r="U80" s="3">
        <v>1.7512820512820515</v>
      </c>
      <c r="V80" s="3">
        <v>146.75653780048484</v>
      </c>
      <c r="Y80" s="3">
        <f t="shared" si="21"/>
        <v>77</v>
      </c>
      <c r="Z80" s="3">
        <f t="shared" si="22"/>
        <v>3297</v>
      </c>
      <c r="AA80" s="7"/>
      <c r="AB80" s="7">
        <f t="shared" si="23"/>
        <v>13040</v>
      </c>
    </row>
    <row r="81" spans="6:28" x14ac:dyDescent="0.15">
      <c r="F81">
        <f t="shared" si="13"/>
        <v>12</v>
      </c>
      <c r="G81">
        <v>78</v>
      </c>
      <c r="H81">
        <f t="shared" si="14"/>
        <v>622.38456881449861</v>
      </c>
      <c r="I81">
        <f t="shared" si="15"/>
        <v>622</v>
      </c>
      <c r="J81" s="1">
        <f t="shared" si="16"/>
        <v>1</v>
      </c>
      <c r="K81" s="1">
        <f t="shared" si="17"/>
        <v>622</v>
      </c>
      <c r="L81" s="1">
        <f t="shared" si="18"/>
        <v>105.32533333333333</v>
      </c>
      <c r="M81" s="3">
        <f t="shared" si="19"/>
        <v>13.562316316507289</v>
      </c>
      <c r="N81" s="7">
        <f t="shared" si="24"/>
        <v>105</v>
      </c>
      <c r="O81" s="7">
        <f t="shared" si="20"/>
        <v>13</v>
      </c>
      <c r="P81" s="3">
        <f>SUM($O$4:O81)</f>
        <v>587</v>
      </c>
      <c r="T81" s="7">
        <v>17</v>
      </c>
      <c r="U81" s="3">
        <v>1.7512820512820515</v>
      </c>
      <c r="V81" s="3">
        <v>148.5078198517669</v>
      </c>
      <c r="Y81" s="3">
        <f t="shared" si="21"/>
        <v>78</v>
      </c>
      <c r="Z81" s="3">
        <f t="shared" si="22"/>
        <v>3506</v>
      </c>
      <c r="AA81" s="7"/>
      <c r="AB81" s="7">
        <f t="shared" si="23"/>
        <v>13040</v>
      </c>
    </row>
    <row r="82" spans="6:28" x14ac:dyDescent="0.15">
      <c r="F82">
        <f t="shared" si="13"/>
        <v>12</v>
      </c>
      <c r="G82">
        <v>79</v>
      </c>
      <c r="H82">
        <f t="shared" si="14"/>
        <v>622.38456881449861</v>
      </c>
      <c r="I82">
        <f t="shared" si="15"/>
        <v>622</v>
      </c>
      <c r="J82" s="1">
        <f t="shared" si="16"/>
        <v>1</v>
      </c>
      <c r="K82" s="1">
        <f t="shared" si="17"/>
        <v>622</v>
      </c>
      <c r="L82" s="1">
        <f t="shared" si="18"/>
        <v>105.32533333333333</v>
      </c>
      <c r="M82" s="3">
        <f t="shared" si="19"/>
        <v>13.562316316507289</v>
      </c>
      <c r="N82" s="7">
        <f t="shared" si="24"/>
        <v>105</v>
      </c>
      <c r="O82" s="7">
        <f t="shared" si="20"/>
        <v>13</v>
      </c>
      <c r="P82" s="3">
        <f>SUM($O$4:O82)</f>
        <v>600</v>
      </c>
      <c r="T82" s="7">
        <v>18</v>
      </c>
      <c r="U82" s="3">
        <v>1.5883720930232559</v>
      </c>
      <c r="V82" s="3">
        <v>150.09619194479015</v>
      </c>
      <c r="Y82" s="3">
        <f t="shared" si="21"/>
        <v>79</v>
      </c>
      <c r="Z82" s="3">
        <f t="shared" si="22"/>
        <v>3729</v>
      </c>
      <c r="AA82" s="7"/>
      <c r="AB82" s="7">
        <f t="shared" si="23"/>
        <v>13040</v>
      </c>
    </row>
    <row r="83" spans="6:28" x14ac:dyDescent="0.15">
      <c r="F83">
        <f t="shared" si="13"/>
        <v>12</v>
      </c>
      <c r="G83">
        <v>80</v>
      </c>
      <c r="H83">
        <f t="shared" si="14"/>
        <v>622.38456881449861</v>
      </c>
      <c r="I83">
        <f t="shared" si="15"/>
        <v>622</v>
      </c>
      <c r="J83" s="1">
        <f t="shared" si="16"/>
        <v>1</v>
      </c>
      <c r="K83" s="1">
        <f t="shared" si="17"/>
        <v>622</v>
      </c>
      <c r="L83" s="1">
        <f t="shared" si="18"/>
        <v>105.32533333333333</v>
      </c>
      <c r="M83" s="3">
        <f t="shared" si="19"/>
        <v>13.562316316507289</v>
      </c>
      <c r="N83" s="7">
        <f t="shared" si="24"/>
        <v>105</v>
      </c>
      <c r="O83" s="7">
        <f t="shared" si="20"/>
        <v>13</v>
      </c>
      <c r="P83" s="3">
        <f>SUM($O$4:O83)</f>
        <v>613</v>
      </c>
      <c r="T83" s="7">
        <v>18</v>
      </c>
      <c r="U83" s="3">
        <v>9.5302325581395344</v>
      </c>
      <c r="V83" s="3">
        <v>159.62642450292969</v>
      </c>
      <c r="Y83" s="3">
        <f t="shared" si="21"/>
        <v>80</v>
      </c>
      <c r="Z83" s="3">
        <f t="shared" si="22"/>
        <v>3965</v>
      </c>
      <c r="AA83" s="7"/>
      <c r="AB83" s="7">
        <f t="shared" si="23"/>
        <v>13040</v>
      </c>
    </row>
    <row r="84" spans="6:28" x14ac:dyDescent="0.15">
      <c r="F84">
        <f t="shared" si="13"/>
        <v>12</v>
      </c>
      <c r="G84">
        <v>81</v>
      </c>
      <c r="H84">
        <f t="shared" si="14"/>
        <v>622.38456881449861</v>
      </c>
      <c r="I84">
        <f t="shared" si="15"/>
        <v>622</v>
      </c>
      <c r="J84" s="1">
        <f t="shared" si="16"/>
        <v>1</v>
      </c>
      <c r="K84" s="1">
        <f t="shared" si="17"/>
        <v>622</v>
      </c>
      <c r="L84" s="1">
        <f t="shared" si="18"/>
        <v>105.32533333333333</v>
      </c>
      <c r="M84" s="3">
        <f t="shared" si="19"/>
        <v>13.562316316507289</v>
      </c>
      <c r="N84" s="7">
        <f t="shared" si="24"/>
        <v>105</v>
      </c>
      <c r="O84" s="7">
        <f t="shared" si="20"/>
        <v>13</v>
      </c>
      <c r="P84" s="3">
        <f>SUM($O$4:O84)</f>
        <v>626</v>
      </c>
      <c r="T84" s="7">
        <v>19</v>
      </c>
      <c r="U84" s="3">
        <v>2.2333333333333334</v>
      </c>
      <c r="V84" s="3">
        <v>161.85975783626301</v>
      </c>
      <c r="Y84" s="3">
        <f t="shared" si="21"/>
        <v>81</v>
      </c>
      <c r="Z84" s="3">
        <f t="shared" si="22"/>
        <v>4215</v>
      </c>
      <c r="AA84" s="7"/>
      <c r="AB84" s="7">
        <f t="shared" si="23"/>
        <v>13040</v>
      </c>
    </row>
    <row r="85" spans="6:28" x14ac:dyDescent="0.15">
      <c r="F85">
        <f t="shared" si="13"/>
        <v>12</v>
      </c>
      <c r="G85">
        <v>82</v>
      </c>
      <c r="H85">
        <f t="shared" si="14"/>
        <v>622.38456881449861</v>
      </c>
      <c r="I85">
        <f t="shared" si="15"/>
        <v>622</v>
      </c>
      <c r="J85" s="1">
        <f t="shared" si="16"/>
        <v>1</v>
      </c>
      <c r="K85" s="1">
        <f t="shared" si="17"/>
        <v>622</v>
      </c>
      <c r="L85" s="1">
        <f t="shared" si="18"/>
        <v>105.32533333333333</v>
      </c>
      <c r="M85" s="3">
        <f t="shared" si="19"/>
        <v>13.562316316507289</v>
      </c>
      <c r="N85" s="7">
        <f t="shared" si="24"/>
        <v>105</v>
      </c>
      <c r="O85" s="7">
        <f t="shared" si="20"/>
        <v>13</v>
      </c>
      <c r="P85" s="3">
        <f>SUM($O$4:O85)</f>
        <v>639</v>
      </c>
      <c r="T85" s="7">
        <v>19</v>
      </c>
      <c r="U85" s="3">
        <v>2.2333333333333334</v>
      </c>
      <c r="V85" s="3">
        <v>164.09309116959633</v>
      </c>
      <c r="Y85" s="3">
        <f t="shared" si="21"/>
        <v>82</v>
      </c>
      <c r="Z85" s="3">
        <f t="shared" si="22"/>
        <v>4481</v>
      </c>
      <c r="AA85" s="7"/>
      <c r="AB85" s="7">
        <f t="shared" si="23"/>
        <v>13040</v>
      </c>
    </row>
    <row r="86" spans="6:28" x14ac:dyDescent="0.15">
      <c r="F86">
        <f t="shared" si="13"/>
        <v>12</v>
      </c>
      <c r="G86">
        <v>83</v>
      </c>
      <c r="H86">
        <f t="shared" si="14"/>
        <v>622.38456881449861</v>
      </c>
      <c r="I86">
        <f t="shared" si="15"/>
        <v>622</v>
      </c>
      <c r="J86" s="1">
        <f t="shared" si="16"/>
        <v>1</v>
      </c>
      <c r="K86" s="1">
        <f t="shared" si="17"/>
        <v>622</v>
      </c>
      <c r="L86" s="1">
        <f t="shared" si="18"/>
        <v>105.32533333333333</v>
      </c>
      <c r="M86" s="3">
        <f t="shared" si="19"/>
        <v>13.562316316507289</v>
      </c>
      <c r="N86" s="7">
        <f t="shared" si="24"/>
        <v>105</v>
      </c>
      <c r="O86" s="7">
        <f t="shared" si="20"/>
        <v>13</v>
      </c>
      <c r="P86" s="3">
        <f>SUM($O$4:O86)</f>
        <v>652</v>
      </c>
      <c r="T86" s="7">
        <v>20</v>
      </c>
      <c r="U86" s="3">
        <v>2.0226415094339623</v>
      </c>
      <c r="V86" s="3">
        <v>166.11573267903029</v>
      </c>
      <c r="Y86" s="3">
        <f t="shared" si="21"/>
        <v>83</v>
      </c>
      <c r="Z86" s="3">
        <f t="shared" si="22"/>
        <v>4762</v>
      </c>
      <c r="AA86" s="7"/>
      <c r="AB86" s="7">
        <f t="shared" si="23"/>
        <v>13040</v>
      </c>
    </row>
    <row r="87" spans="6:28" x14ac:dyDescent="0.15">
      <c r="F87">
        <f t="shared" si="13"/>
        <v>12</v>
      </c>
      <c r="G87">
        <v>84</v>
      </c>
      <c r="H87">
        <f t="shared" si="14"/>
        <v>622.38456881449861</v>
      </c>
      <c r="I87">
        <f t="shared" si="15"/>
        <v>622</v>
      </c>
      <c r="J87" s="1">
        <f t="shared" si="16"/>
        <v>4</v>
      </c>
      <c r="K87" s="1">
        <f t="shared" si="17"/>
        <v>2488</v>
      </c>
      <c r="L87" s="1">
        <f t="shared" si="18"/>
        <v>421.30133333333333</v>
      </c>
      <c r="M87" s="3">
        <f t="shared" si="19"/>
        <v>54.249265266029155</v>
      </c>
      <c r="N87" s="7">
        <f t="shared" si="24"/>
        <v>421</v>
      </c>
      <c r="O87" s="7">
        <f t="shared" si="20"/>
        <v>54</v>
      </c>
      <c r="P87" s="3">
        <f>SUM($O$4:O87)</f>
        <v>706</v>
      </c>
      <c r="T87" s="7">
        <v>20</v>
      </c>
      <c r="U87" s="3">
        <v>2.0226415094339623</v>
      </c>
      <c r="V87" s="3">
        <v>168.13837418846424</v>
      </c>
      <c r="Y87" s="3">
        <f t="shared" si="21"/>
        <v>84</v>
      </c>
      <c r="Z87" s="3">
        <f t="shared" si="22"/>
        <v>5060</v>
      </c>
      <c r="AA87" s="7"/>
      <c r="AB87" s="7">
        <f t="shared" si="23"/>
        <v>13040</v>
      </c>
    </row>
    <row r="88" spans="6:28" x14ac:dyDescent="0.15">
      <c r="F88">
        <f t="shared" si="13"/>
        <v>13</v>
      </c>
      <c r="G88">
        <v>85</v>
      </c>
      <c r="H88">
        <f t="shared" si="14"/>
        <v>977.14377303876279</v>
      </c>
      <c r="I88">
        <f t="shared" si="15"/>
        <v>977</v>
      </c>
      <c r="J88" s="1">
        <f t="shared" si="16"/>
        <v>1</v>
      </c>
      <c r="K88" s="1">
        <f t="shared" si="17"/>
        <v>977</v>
      </c>
      <c r="L88" s="1">
        <f t="shared" si="18"/>
        <v>168.36966666666666</v>
      </c>
      <c r="M88" s="3">
        <f t="shared" si="19"/>
        <v>16.677138167053293</v>
      </c>
      <c r="N88" s="7">
        <f t="shared" si="24"/>
        <v>168</v>
      </c>
      <c r="O88" s="7">
        <f t="shared" si="20"/>
        <v>16</v>
      </c>
      <c r="P88" s="3">
        <f>SUM($O$4:O88)</f>
        <v>722</v>
      </c>
      <c r="T88" s="7">
        <v>20</v>
      </c>
      <c r="U88" s="3">
        <v>2.0226415094339623</v>
      </c>
      <c r="V88" s="3">
        <v>170.16101569789819</v>
      </c>
      <c r="Y88" s="3">
        <f t="shared" si="21"/>
        <v>85</v>
      </c>
      <c r="Z88" s="3">
        <f t="shared" si="22"/>
        <v>5377</v>
      </c>
      <c r="AA88" s="7"/>
      <c r="AB88" s="7">
        <f t="shared" si="23"/>
        <v>13040</v>
      </c>
    </row>
    <row r="89" spans="6:28" x14ac:dyDescent="0.15">
      <c r="F89">
        <f t="shared" si="13"/>
        <v>13</v>
      </c>
      <c r="G89">
        <v>86</v>
      </c>
      <c r="H89">
        <f t="shared" si="14"/>
        <v>977.14377303876279</v>
      </c>
      <c r="I89">
        <f t="shared" si="15"/>
        <v>977</v>
      </c>
      <c r="J89" s="1">
        <f t="shared" si="16"/>
        <v>1</v>
      </c>
      <c r="K89" s="1">
        <f t="shared" si="17"/>
        <v>977</v>
      </c>
      <c r="L89" s="1">
        <f t="shared" si="18"/>
        <v>168.36966666666666</v>
      </c>
      <c r="M89" s="3">
        <f t="shared" si="19"/>
        <v>16.677138167053293</v>
      </c>
      <c r="N89" s="7">
        <f t="shared" si="24"/>
        <v>168</v>
      </c>
      <c r="O89" s="7">
        <f t="shared" si="20"/>
        <v>16</v>
      </c>
      <c r="P89" s="3">
        <f>SUM($O$4:O89)</f>
        <v>738</v>
      </c>
      <c r="T89" s="7">
        <v>20</v>
      </c>
      <c r="U89" s="3">
        <v>2.0226415094339623</v>
      </c>
      <c r="V89" s="3">
        <v>172.18365720733215</v>
      </c>
      <c r="Y89" s="3">
        <f t="shared" si="21"/>
        <v>86</v>
      </c>
      <c r="Z89" s="3">
        <f t="shared" si="22"/>
        <v>5712</v>
      </c>
      <c r="AA89" s="7"/>
      <c r="AB89" s="7">
        <f t="shared" si="23"/>
        <v>13040</v>
      </c>
    </row>
    <row r="90" spans="6:28" x14ac:dyDescent="0.15">
      <c r="F90">
        <f t="shared" si="13"/>
        <v>13</v>
      </c>
      <c r="G90">
        <v>87</v>
      </c>
      <c r="H90">
        <f t="shared" si="14"/>
        <v>977.14377303876279</v>
      </c>
      <c r="I90">
        <f t="shared" si="15"/>
        <v>977</v>
      </c>
      <c r="J90" s="1">
        <f t="shared" si="16"/>
        <v>1</v>
      </c>
      <c r="K90" s="1">
        <f t="shared" si="17"/>
        <v>977</v>
      </c>
      <c r="L90" s="1">
        <f t="shared" si="18"/>
        <v>168.36966666666666</v>
      </c>
      <c r="M90" s="3">
        <f t="shared" si="19"/>
        <v>16.677138167053293</v>
      </c>
      <c r="N90" s="7">
        <f t="shared" si="24"/>
        <v>168</v>
      </c>
      <c r="O90" s="7">
        <f t="shared" si="20"/>
        <v>16</v>
      </c>
      <c r="P90" s="3">
        <f>SUM($O$4:O90)</f>
        <v>754</v>
      </c>
      <c r="T90" s="7">
        <v>21</v>
      </c>
      <c r="U90" s="3">
        <v>1.8169491525423731</v>
      </c>
      <c r="V90" s="3">
        <v>174.00060635987452</v>
      </c>
      <c r="Y90" s="3">
        <f t="shared" si="21"/>
        <v>87</v>
      </c>
      <c r="Z90" s="3">
        <f t="shared" si="22"/>
        <v>6067</v>
      </c>
      <c r="AA90" s="7"/>
      <c r="AB90" s="7">
        <f t="shared" si="23"/>
        <v>13040</v>
      </c>
    </row>
    <row r="91" spans="6:28" x14ac:dyDescent="0.15">
      <c r="F91">
        <f t="shared" si="13"/>
        <v>13</v>
      </c>
      <c r="G91">
        <v>88</v>
      </c>
      <c r="H91">
        <f t="shared" si="14"/>
        <v>977.14377303876279</v>
      </c>
      <c r="I91">
        <f t="shared" si="15"/>
        <v>977</v>
      </c>
      <c r="J91" s="1">
        <f t="shared" si="16"/>
        <v>1</v>
      </c>
      <c r="K91" s="1">
        <f t="shared" si="17"/>
        <v>977</v>
      </c>
      <c r="L91" s="1">
        <f t="shared" si="18"/>
        <v>168.36966666666666</v>
      </c>
      <c r="M91" s="3">
        <f t="shared" si="19"/>
        <v>16.677138167053293</v>
      </c>
      <c r="N91" s="7">
        <f t="shared" si="24"/>
        <v>168</v>
      </c>
      <c r="O91" s="7">
        <f t="shared" si="20"/>
        <v>16</v>
      </c>
      <c r="P91" s="3">
        <f>SUM($O$4:O91)</f>
        <v>770</v>
      </c>
      <c r="T91" s="7">
        <v>21</v>
      </c>
      <c r="U91" s="3">
        <v>1.8169491525423731</v>
      </c>
      <c r="V91" s="3">
        <v>175.8175555124169</v>
      </c>
      <c r="Y91" s="3">
        <f t="shared" si="21"/>
        <v>88</v>
      </c>
      <c r="Z91" s="3">
        <f t="shared" si="22"/>
        <v>6444</v>
      </c>
      <c r="AA91" s="7"/>
      <c r="AB91" s="7">
        <f t="shared" si="23"/>
        <v>13040</v>
      </c>
    </row>
    <row r="92" spans="6:28" x14ac:dyDescent="0.15">
      <c r="F92">
        <f t="shared" si="13"/>
        <v>13</v>
      </c>
      <c r="G92">
        <v>89</v>
      </c>
      <c r="H92">
        <f t="shared" si="14"/>
        <v>977.14377303876279</v>
      </c>
      <c r="I92">
        <f t="shared" si="15"/>
        <v>977</v>
      </c>
      <c r="J92" s="1">
        <f t="shared" si="16"/>
        <v>1</v>
      </c>
      <c r="K92" s="1">
        <f t="shared" si="17"/>
        <v>977</v>
      </c>
      <c r="L92" s="1">
        <f t="shared" si="18"/>
        <v>168.36966666666666</v>
      </c>
      <c r="M92" s="3">
        <f t="shared" si="19"/>
        <v>16.677138167053293</v>
      </c>
      <c r="N92" s="7">
        <f t="shared" si="24"/>
        <v>168</v>
      </c>
      <c r="O92" s="7">
        <f t="shared" si="20"/>
        <v>16</v>
      </c>
      <c r="P92" s="3">
        <f>SUM($O$4:O92)</f>
        <v>786</v>
      </c>
      <c r="T92" s="7">
        <v>21</v>
      </c>
      <c r="U92" s="3">
        <v>1.8169491525423731</v>
      </c>
      <c r="V92" s="3">
        <v>177.63450466495928</v>
      </c>
      <c r="Y92" s="3">
        <f t="shared" si="21"/>
        <v>89</v>
      </c>
      <c r="Z92" s="3">
        <f t="shared" si="22"/>
        <v>6843</v>
      </c>
      <c r="AA92" s="7"/>
      <c r="AB92" s="7">
        <f t="shared" si="23"/>
        <v>13040</v>
      </c>
    </row>
    <row r="93" spans="6:28" x14ac:dyDescent="0.15">
      <c r="F93">
        <f t="shared" si="13"/>
        <v>13</v>
      </c>
      <c r="G93">
        <v>90</v>
      </c>
      <c r="H93">
        <f t="shared" si="14"/>
        <v>977.14377303876279</v>
      </c>
      <c r="I93">
        <f t="shared" si="15"/>
        <v>977</v>
      </c>
      <c r="J93" s="1">
        <f t="shared" si="16"/>
        <v>1</v>
      </c>
      <c r="K93" s="1">
        <f t="shared" si="17"/>
        <v>977</v>
      </c>
      <c r="L93" s="1">
        <f t="shared" si="18"/>
        <v>168.36966666666666</v>
      </c>
      <c r="M93" s="3">
        <f t="shared" si="19"/>
        <v>16.677138167053293</v>
      </c>
      <c r="N93" s="7">
        <f t="shared" si="24"/>
        <v>168</v>
      </c>
      <c r="O93" s="7">
        <f t="shared" si="20"/>
        <v>16</v>
      </c>
      <c r="P93" s="3">
        <f>SUM($O$4:O93)</f>
        <v>802</v>
      </c>
      <c r="T93" s="7">
        <v>21</v>
      </c>
      <c r="U93" s="3">
        <v>12.720338983050848</v>
      </c>
      <c r="V93" s="3">
        <v>190.35484364801013</v>
      </c>
      <c r="Y93" s="3">
        <f t="shared" si="21"/>
        <v>90</v>
      </c>
      <c r="Z93" s="3">
        <f t="shared" si="22"/>
        <v>7266</v>
      </c>
      <c r="AA93" s="7"/>
      <c r="AB93" s="7">
        <f t="shared" si="23"/>
        <v>13040</v>
      </c>
    </row>
    <row r="94" spans="6:28" x14ac:dyDescent="0.15">
      <c r="F94">
        <f t="shared" si="13"/>
        <v>13</v>
      </c>
      <c r="G94">
        <v>91</v>
      </c>
      <c r="H94">
        <f t="shared" si="14"/>
        <v>977.14377303876279</v>
      </c>
      <c r="I94">
        <f t="shared" si="15"/>
        <v>977</v>
      </c>
      <c r="J94" s="1">
        <f t="shared" si="16"/>
        <v>6</v>
      </c>
      <c r="K94" s="1">
        <f t="shared" si="17"/>
        <v>5862</v>
      </c>
      <c r="L94" s="1">
        <f t="shared" si="18"/>
        <v>1010.2180000000001</v>
      </c>
      <c r="M94" s="3">
        <f t="shared" si="19"/>
        <v>100.06282900231976</v>
      </c>
      <c r="N94" s="7">
        <f t="shared" si="24"/>
        <v>1010</v>
      </c>
      <c r="O94" s="7">
        <f t="shared" si="20"/>
        <v>100</v>
      </c>
      <c r="P94" s="3">
        <f>SUM($O$4:O94)</f>
        <v>902</v>
      </c>
      <c r="T94" s="7">
        <v>23</v>
      </c>
      <c r="U94" s="3">
        <v>2.3704225352112678</v>
      </c>
      <c r="V94" s="3">
        <v>192.72526618322141</v>
      </c>
      <c r="Y94" s="3">
        <f t="shared" si="21"/>
        <v>91</v>
      </c>
      <c r="Z94" s="3">
        <f t="shared" si="22"/>
        <v>7714</v>
      </c>
      <c r="AA94" s="7"/>
      <c r="AB94" s="7">
        <f t="shared" si="23"/>
        <v>13040</v>
      </c>
    </row>
    <row r="95" spans="6:28" x14ac:dyDescent="0.15">
      <c r="F95">
        <f t="shared" si="13"/>
        <v>14</v>
      </c>
      <c r="G95">
        <v>92</v>
      </c>
      <c r="H95">
        <f t="shared" si="14"/>
        <v>1534.1157236708577</v>
      </c>
      <c r="I95">
        <f t="shared" si="15"/>
        <v>1534</v>
      </c>
      <c r="J95" s="1">
        <f t="shared" si="16"/>
        <v>1</v>
      </c>
      <c r="K95" s="1">
        <f t="shared" si="17"/>
        <v>1534</v>
      </c>
      <c r="L95" s="1">
        <f t="shared" si="18"/>
        <v>268.96133333333336</v>
      </c>
      <c r="M95" s="3">
        <f t="shared" si="19"/>
        <v>20.492935420922294</v>
      </c>
      <c r="N95" s="7">
        <f t="shared" si="24"/>
        <v>269</v>
      </c>
      <c r="O95" s="7">
        <f t="shared" si="20"/>
        <v>20</v>
      </c>
      <c r="P95" s="3">
        <f>SUM($O$4:O95)</f>
        <v>922</v>
      </c>
      <c r="T95" s="7">
        <v>23</v>
      </c>
      <c r="U95" s="3">
        <v>2.3704225352112678</v>
      </c>
      <c r="V95" s="3">
        <v>195.09568871843268</v>
      </c>
      <c r="Y95" s="3">
        <f t="shared" si="21"/>
        <v>92</v>
      </c>
      <c r="Z95" s="3">
        <f t="shared" si="22"/>
        <v>8188</v>
      </c>
      <c r="AA95" s="7"/>
      <c r="AB95" s="7">
        <f t="shared" si="23"/>
        <v>13040</v>
      </c>
    </row>
    <row r="96" spans="6:28" x14ac:dyDescent="0.15">
      <c r="F96">
        <f t="shared" si="13"/>
        <v>14</v>
      </c>
      <c r="G96">
        <v>93</v>
      </c>
      <c r="H96">
        <f t="shared" si="14"/>
        <v>1534.1157236708577</v>
      </c>
      <c r="I96">
        <f t="shared" si="15"/>
        <v>1534</v>
      </c>
      <c r="J96" s="1">
        <f t="shared" si="16"/>
        <v>1</v>
      </c>
      <c r="K96" s="1">
        <f t="shared" si="17"/>
        <v>1534</v>
      </c>
      <c r="L96" s="1">
        <f t="shared" si="18"/>
        <v>268.96133333333336</v>
      </c>
      <c r="M96" s="3">
        <f t="shared" si="19"/>
        <v>20.492935420922294</v>
      </c>
      <c r="N96" s="7">
        <f t="shared" si="24"/>
        <v>269</v>
      </c>
      <c r="O96" s="7">
        <f t="shared" si="20"/>
        <v>20</v>
      </c>
      <c r="P96" s="3">
        <f>SUM($O$4:O96)</f>
        <v>942</v>
      </c>
      <c r="T96" s="7">
        <v>24</v>
      </c>
      <c r="U96" s="3">
        <v>2.1857142857142859</v>
      </c>
      <c r="V96" s="3">
        <v>197.28140300414697</v>
      </c>
      <c r="Y96" s="3">
        <f t="shared" si="21"/>
        <v>93</v>
      </c>
      <c r="Z96" s="3">
        <f t="shared" si="22"/>
        <v>8691</v>
      </c>
      <c r="AA96" s="7"/>
      <c r="AB96" s="7">
        <f t="shared" si="23"/>
        <v>13040</v>
      </c>
    </row>
    <row r="97" spans="6:28" x14ac:dyDescent="0.15">
      <c r="F97">
        <f t="shared" si="13"/>
        <v>14</v>
      </c>
      <c r="G97">
        <v>94</v>
      </c>
      <c r="H97">
        <f t="shared" si="14"/>
        <v>1534.1157236708577</v>
      </c>
      <c r="I97">
        <f t="shared" si="15"/>
        <v>1534</v>
      </c>
      <c r="J97" s="1">
        <f t="shared" si="16"/>
        <v>1</v>
      </c>
      <c r="K97" s="1">
        <f t="shared" si="17"/>
        <v>1534</v>
      </c>
      <c r="L97" s="1">
        <f t="shared" si="18"/>
        <v>268.96133333333336</v>
      </c>
      <c r="M97" s="3">
        <f t="shared" si="19"/>
        <v>20.492935420922294</v>
      </c>
      <c r="N97" s="7">
        <f t="shared" si="24"/>
        <v>269</v>
      </c>
      <c r="O97" s="7">
        <f t="shared" si="20"/>
        <v>20</v>
      </c>
      <c r="P97" s="3">
        <f>SUM($O$4:O97)</f>
        <v>962</v>
      </c>
      <c r="T97" s="7">
        <v>24</v>
      </c>
      <c r="U97" s="3">
        <v>2.1857142857142859</v>
      </c>
      <c r="V97" s="3">
        <v>199.46711728986125</v>
      </c>
      <c r="Y97" s="3">
        <f t="shared" si="21"/>
        <v>94</v>
      </c>
      <c r="Z97" s="3">
        <f t="shared" si="22"/>
        <v>9224</v>
      </c>
      <c r="AA97" s="7"/>
      <c r="AB97" s="7">
        <f t="shared" si="23"/>
        <v>13040</v>
      </c>
    </row>
    <row r="98" spans="6:28" x14ac:dyDescent="0.15">
      <c r="F98">
        <f t="shared" si="13"/>
        <v>14</v>
      </c>
      <c r="G98">
        <v>95</v>
      </c>
      <c r="H98">
        <f t="shared" si="14"/>
        <v>1534.1157236708577</v>
      </c>
      <c r="I98">
        <f t="shared" si="15"/>
        <v>1534</v>
      </c>
      <c r="J98" s="1">
        <f t="shared" si="16"/>
        <v>1</v>
      </c>
      <c r="K98" s="1">
        <f t="shared" si="17"/>
        <v>1534</v>
      </c>
      <c r="L98" s="1">
        <f t="shared" si="18"/>
        <v>268.96133333333336</v>
      </c>
      <c r="M98" s="3">
        <f t="shared" si="19"/>
        <v>20.492935420922294</v>
      </c>
      <c r="N98" s="7">
        <f t="shared" si="24"/>
        <v>269</v>
      </c>
      <c r="O98" s="7">
        <f t="shared" si="20"/>
        <v>20</v>
      </c>
      <c r="P98" s="3">
        <f>SUM($O$4:O98)</f>
        <v>982</v>
      </c>
      <c r="T98" s="7">
        <v>24</v>
      </c>
      <c r="U98" s="3">
        <v>2.1857142857142859</v>
      </c>
      <c r="V98" s="3">
        <v>201.65283157557553</v>
      </c>
      <c r="Y98" s="3">
        <f t="shared" si="21"/>
        <v>95</v>
      </c>
      <c r="Z98" s="3">
        <f t="shared" si="22"/>
        <v>9788</v>
      </c>
      <c r="AA98" s="7"/>
      <c r="AB98" s="7">
        <f t="shared" si="23"/>
        <v>13040</v>
      </c>
    </row>
    <row r="99" spans="6:28" x14ac:dyDescent="0.15">
      <c r="F99">
        <f t="shared" si="13"/>
        <v>14</v>
      </c>
      <c r="G99">
        <v>96</v>
      </c>
      <c r="H99">
        <f t="shared" si="14"/>
        <v>1534.1157236708577</v>
      </c>
      <c r="I99">
        <f t="shared" si="15"/>
        <v>1534</v>
      </c>
      <c r="J99" s="1">
        <f t="shared" si="16"/>
        <v>1</v>
      </c>
      <c r="K99" s="1">
        <f t="shared" si="17"/>
        <v>1534</v>
      </c>
      <c r="L99" s="1">
        <f t="shared" si="18"/>
        <v>268.96133333333336</v>
      </c>
      <c r="M99" s="3">
        <f t="shared" si="19"/>
        <v>20.492935420922294</v>
      </c>
      <c r="N99" s="7">
        <f t="shared" si="24"/>
        <v>269</v>
      </c>
      <c r="O99" s="7">
        <f t="shared" si="20"/>
        <v>20</v>
      </c>
      <c r="P99" s="3">
        <f>SUM($O$4:O99)</f>
        <v>1002</v>
      </c>
      <c r="T99" s="7">
        <v>24</v>
      </c>
      <c r="U99" s="3">
        <v>2.1857142857142859</v>
      </c>
      <c r="V99" s="3">
        <v>203.83854586128982</v>
      </c>
      <c r="Y99" s="3">
        <f t="shared" si="21"/>
        <v>96</v>
      </c>
      <c r="Z99" s="3">
        <f t="shared" si="22"/>
        <v>10386</v>
      </c>
      <c r="AA99" s="7"/>
      <c r="AB99" s="7">
        <f t="shared" si="23"/>
        <v>13040</v>
      </c>
    </row>
    <row r="100" spans="6:28" x14ac:dyDescent="0.15">
      <c r="F100">
        <f t="shared" si="13"/>
        <v>14</v>
      </c>
      <c r="G100">
        <v>97</v>
      </c>
      <c r="H100">
        <f t="shared" si="14"/>
        <v>1534.1157236708577</v>
      </c>
      <c r="I100">
        <f t="shared" si="15"/>
        <v>1534</v>
      </c>
      <c r="J100" s="1">
        <f t="shared" si="16"/>
        <v>1</v>
      </c>
      <c r="K100" s="1">
        <f t="shared" si="17"/>
        <v>1534</v>
      </c>
      <c r="L100" s="1">
        <f t="shared" si="18"/>
        <v>268.96133333333336</v>
      </c>
      <c r="M100" s="3">
        <f t="shared" si="19"/>
        <v>20.492935420922294</v>
      </c>
      <c r="N100" s="7">
        <f t="shared" si="24"/>
        <v>269</v>
      </c>
      <c r="O100" s="7">
        <f t="shared" si="20"/>
        <v>20</v>
      </c>
      <c r="P100" s="3">
        <f>SUM($O$4:O100)</f>
        <v>1022</v>
      </c>
      <c r="T100" s="7">
        <v>25</v>
      </c>
      <c r="U100" s="3">
        <v>1.98</v>
      </c>
      <c r="V100" s="3">
        <v>205.81854586128981</v>
      </c>
      <c r="Y100" s="3">
        <f t="shared" si="21"/>
        <v>97</v>
      </c>
      <c r="Z100" s="3">
        <f t="shared" si="22"/>
        <v>11019</v>
      </c>
      <c r="AA100" s="7"/>
      <c r="AB100" s="7">
        <f t="shared" si="23"/>
        <v>13040</v>
      </c>
    </row>
    <row r="101" spans="6:28" x14ac:dyDescent="0.15">
      <c r="F101">
        <f t="shared" si="13"/>
        <v>14</v>
      </c>
      <c r="G101">
        <v>98</v>
      </c>
      <c r="H101">
        <f t="shared" si="14"/>
        <v>1534.1157236708577</v>
      </c>
      <c r="I101">
        <f t="shared" si="15"/>
        <v>1534</v>
      </c>
      <c r="J101" s="1">
        <f t="shared" si="16"/>
        <v>7</v>
      </c>
      <c r="K101" s="1">
        <f t="shared" si="17"/>
        <v>10738</v>
      </c>
      <c r="L101" s="1">
        <f t="shared" si="18"/>
        <v>1882.7293333333334</v>
      </c>
      <c r="M101" s="3">
        <f t="shared" si="19"/>
        <v>143.45054794645606</v>
      </c>
      <c r="N101" s="7">
        <f t="shared" si="24"/>
        <v>1883</v>
      </c>
      <c r="O101" s="7">
        <f t="shared" si="20"/>
        <v>143</v>
      </c>
      <c r="P101" s="3">
        <f>SUM($O$4:O101)</f>
        <v>1165</v>
      </c>
      <c r="T101" s="7">
        <v>25</v>
      </c>
      <c r="U101" s="3">
        <v>1.98</v>
      </c>
      <c r="V101" s="3">
        <v>207.7985458612898</v>
      </c>
      <c r="Y101" s="3">
        <f t="shared" si="21"/>
        <v>98</v>
      </c>
      <c r="Z101" s="3">
        <f t="shared" si="22"/>
        <v>11689</v>
      </c>
      <c r="AA101" s="7"/>
      <c r="AB101" s="7">
        <f t="shared" si="23"/>
        <v>13040</v>
      </c>
    </row>
    <row r="102" spans="6:28" x14ac:dyDescent="0.15">
      <c r="F102">
        <f t="shared" si="13"/>
        <v>15</v>
      </c>
      <c r="G102">
        <v>99</v>
      </c>
      <c r="H102">
        <f t="shared" si="14"/>
        <v>2408.561686163247</v>
      </c>
      <c r="I102">
        <f t="shared" si="15"/>
        <v>2409</v>
      </c>
      <c r="J102" s="1">
        <f t="shared" si="16"/>
        <v>1</v>
      </c>
      <c r="K102" s="1">
        <f t="shared" si="17"/>
        <v>2409</v>
      </c>
      <c r="L102" s="1">
        <f t="shared" si="18"/>
        <v>429.60499999999996</v>
      </c>
      <c r="M102" s="3">
        <f t="shared" si="19"/>
        <v>25.179105493875163</v>
      </c>
      <c r="N102" s="7">
        <f t="shared" si="24"/>
        <v>430</v>
      </c>
      <c r="O102" s="7">
        <f t="shared" si="20"/>
        <v>25</v>
      </c>
      <c r="P102" s="3">
        <f>SUM($O$4:O102)</f>
        <v>1190</v>
      </c>
      <c r="T102" s="7">
        <v>25</v>
      </c>
      <c r="U102" s="3">
        <v>1.98</v>
      </c>
      <c r="V102" s="3">
        <v>209.77854586128979</v>
      </c>
      <c r="Y102" s="3">
        <f t="shared" si="21"/>
        <v>99</v>
      </c>
      <c r="Z102" s="3">
        <f t="shared" si="22"/>
        <v>12399</v>
      </c>
      <c r="AA102" s="7"/>
      <c r="AB102" s="7">
        <f t="shared" si="23"/>
        <v>13040</v>
      </c>
    </row>
    <row r="103" spans="6:28" x14ac:dyDescent="0.15">
      <c r="F103">
        <f t="shared" si="13"/>
        <v>15</v>
      </c>
      <c r="G103">
        <v>100</v>
      </c>
      <c r="H103">
        <f t="shared" si="14"/>
        <v>2408.561686163247</v>
      </c>
      <c r="I103">
        <f t="shared" si="15"/>
        <v>2409</v>
      </c>
      <c r="J103" s="1">
        <f t="shared" si="16"/>
        <v>1</v>
      </c>
      <c r="K103" s="1">
        <f t="shared" si="17"/>
        <v>2409</v>
      </c>
      <c r="L103" s="1">
        <f t="shared" si="18"/>
        <v>429.60499999999996</v>
      </c>
      <c r="M103" s="3">
        <f t="shared" si="19"/>
        <v>25.179105493875163</v>
      </c>
      <c r="N103" s="7">
        <f t="shared" si="24"/>
        <v>430</v>
      </c>
      <c r="O103" s="7">
        <f t="shared" si="20"/>
        <v>25</v>
      </c>
      <c r="P103" s="3">
        <f>SUM($O$4:O103)</f>
        <v>1215</v>
      </c>
      <c r="T103" s="7">
        <v>25</v>
      </c>
      <c r="U103" s="3">
        <v>19.803529411764707</v>
      </c>
      <c r="V103" s="3">
        <v>229.5820752730545</v>
      </c>
      <c r="Y103" s="3">
        <f t="shared" si="21"/>
        <v>100</v>
      </c>
      <c r="Z103" s="3">
        <f t="shared" si="22"/>
        <v>13150</v>
      </c>
      <c r="AA103" s="7"/>
      <c r="AB103" s="7">
        <f t="shared" si="23"/>
        <v>13040</v>
      </c>
    </row>
    <row r="104" spans="6:28" x14ac:dyDescent="0.15">
      <c r="F104">
        <f t="shared" si="13"/>
        <v>15</v>
      </c>
      <c r="G104">
        <v>101</v>
      </c>
      <c r="H104">
        <f t="shared" si="14"/>
        <v>2408.561686163247</v>
      </c>
      <c r="I104">
        <f t="shared" si="15"/>
        <v>2409</v>
      </c>
      <c r="J104" s="1">
        <f t="shared" si="16"/>
        <v>1</v>
      </c>
      <c r="K104" s="1">
        <f t="shared" si="17"/>
        <v>2409</v>
      </c>
      <c r="L104" s="1">
        <f t="shared" si="18"/>
        <v>429.60499999999996</v>
      </c>
      <c r="M104" s="3">
        <f t="shared" si="19"/>
        <v>25.179105493875163</v>
      </c>
      <c r="N104" s="7">
        <f t="shared" si="24"/>
        <v>430</v>
      </c>
      <c r="O104" s="7">
        <f t="shared" si="20"/>
        <v>25</v>
      </c>
      <c r="P104" s="3">
        <f>SUM($O$4:O104)</f>
        <v>1240</v>
      </c>
      <c r="T104" s="7">
        <v>28</v>
      </c>
      <c r="U104" s="3">
        <v>2.4027272727272728</v>
      </c>
      <c r="V104" s="3">
        <v>231.98480254578178</v>
      </c>
      <c r="Y104" s="3">
        <f t="shared" si="21"/>
        <v>101</v>
      </c>
      <c r="Z104" s="3">
        <f t="shared" si="22"/>
        <v>13946</v>
      </c>
      <c r="AA104" s="7"/>
      <c r="AB104" s="7">
        <f t="shared" si="23"/>
        <v>13040</v>
      </c>
    </row>
    <row r="105" spans="6:28" x14ac:dyDescent="0.15">
      <c r="F105">
        <f t="shared" si="13"/>
        <v>15</v>
      </c>
      <c r="G105">
        <v>102</v>
      </c>
      <c r="H105">
        <f t="shared" si="14"/>
        <v>2408.561686163247</v>
      </c>
      <c r="I105">
        <f t="shared" si="15"/>
        <v>2409</v>
      </c>
      <c r="J105" s="1">
        <f t="shared" si="16"/>
        <v>1</v>
      </c>
      <c r="K105" s="1">
        <f t="shared" si="17"/>
        <v>2409</v>
      </c>
      <c r="L105" s="1">
        <f t="shared" si="18"/>
        <v>429.60499999999996</v>
      </c>
      <c r="M105" s="3">
        <f t="shared" si="19"/>
        <v>25.179105493875163</v>
      </c>
      <c r="N105" s="7">
        <f t="shared" si="24"/>
        <v>430</v>
      </c>
      <c r="O105" s="7">
        <f t="shared" si="20"/>
        <v>25</v>
      </c>
      <c r="P105" s="3">
        <f>SUM($O$4:O105)</f>
        <v>1265</v>
      </c>
      <c r="T105" s="7">
        <v>28</v>
      </c>
      <c r="U105" s="3">
        <v>2.4027272727272728</v>
      </c>
      <c r="V105" s="3">
        <v>234.38752981850905</v>
      </c>
      <c r="Y105" s="3">
        <f t="shared" si="21"/>
        <v>102</v>
      </c>
      <c r="Z105" s="3">
        <f t="shared" si="22"/>
        <v>14788</v>
      </c>
      <c r="AA105" s="7"/>
      <c r="AB105" s="7">
        <f t="shared" si="23"/>
        <v>13040</v>
      </c>
    </row>
    <row r="106" spans="6:28" x14ac:dyDescent="0.15">
      <c r="F106">
        <f t="shared" si="13"/>
        <v>15</v>
      </c>
      <c r="G106">
        <v>103</v>
      </c>
      <c r="H106">
        <f t="shared" si="14"/>
        <v>2408.561686163247</v>
      </c>
      <c r="I106">
        <f t="shared" si="15"/>
        <v>2409</v>
      </c>
      <c r="J106" s="1">
        <f t="shared" si="16"/>
        <v>1</v>
      </c>
      <c r="K106" s="1">
        <f t="shared" si="17"/>
        <v>2409</v>
      </c>
      <c r="L106" s="1">
        <f t="shared" si="18"/>
        <v>429.60499999999996</v>
      </c>
      <c r="M106" s="3">
        <f t="shared" si="19"/>
        <v>25.179105493875163</v>
      </c>
      <c r="N106" s="7">
        <f t="shared" si="24"/>
        <v>430</v>
      </c>
      <c r="O106" s="7">
        <f t="shared" si="20"/>
        <v>25</v>
      </c>
      <c r="P106" s="3">
        <f>SUM($O$4:O106)</f>
        <v>1290</v>
      </c>
      <c r="T106" s="7">
        <v>29</v>
      </c>
      <c r="U106" s="3">
        <v>2.2210084033613446</v>
      </c>
      <c r="V106" s="3">
        <v>236.60853822187039</v>
      </c>
      <c r="Y106" s="3">
        <f t="shared" si="21"/>
        <v>103</v>
      </c>
      <c r="Z106" s="3">
        <f t="shared" si="22"/>
        <v>15680</v>
      </c>
      <c r="AA106" s="7"/>
      <c r="AB106" s="7">
        <f t="shared" si="23"/>
        <v>13040</v>
      </c>
    </row>
    <row r="107" spans="6:28" x14ac:dyDescent="0.15">
      <c r="F107">
        <f t="shared" si="13"/>
        <v>15</v>
      </c>
      <c r="G107">
        <v>104</v>
      </c>
      <c r="H107">
        <f t="shared" si="14"/>
        <v>2408.561686163247</v>
      </c>
      <c r="I107">
        <f t="shared" si="15"/>
        <v>2409</v>
      </c>
      <c r="J107" s="1">
        <f t="shared" si="16"/>
        <v>1</v>
      </c>
      <c r="K107" s="1">
        <f t="shared" si="17"/>
        <v>2409</v>
      </c>
      <c r="L107" s="1">
        <f t="shared" si="18"/>
        <v>429.60499999999996</v>
      </c>
      <c r="M107" s="3">
        <f t="shared" si="19"/>
        <v>25.179105493875163</v>
      </c>
      <c r="N107" s="7">
        <f t="shared" si="24"/>
        <v>430</v>
      </c>
      <c r="O107" s="7">
        <f t="shared" si="20"/>
        <v>25</v>
      </c>
      <c r="P107" s="3">
        <f>SUM($O$4:O107)</f>
        <v>1315</v>
      </c>
      <c r="T107" s="7">
        <v>29</v>
      </c>
      <c r="U107" s="3">
        <v>2.2210084033613446</v>
      </c>
      <c r="V107" s="3">
        <v>238.82954662523173</v>
      </c>
      <c r="Y107" s="3">
        <f t="shared" si="21"/>
        <v>104</v>
      </c>
      <c r="Z107" s="3">
        <f t="shared" si="22"/>
        <v>16623</v>
      </c>
      <c r="AA107" s="7"/>
      <c r="AB107" s="7">
        <f t="shared" si="23"/>
        <v>13040</v>
      </c>
    </row>
    <row r="108" spans="6:28" x14ac:dyDescent="0.15">
      <c r="F108">
        <f t="shared" si="13"/>
        <v>15</v>
      </c>
      <c r="G108">
        <v>105</v>
      </c>
      <c r="H108">
        <f t="shared" si="14"/>
        <v>2408.561686163247</v>
      </c>
      <c r="I108">
        <f t="shared" si="15"/>
        <v>2409</v>
      </c>
      <c r="J108" s="1">
        <f t="shared" si="16"/>
        <v>10</v>
      </c>
      <c r="K108" s="1">
        <f t="shared" si="17"/>
        <v>24090</v>
      </c>
      <c r="L108" s="1">
        <f t="shared" si="18"/>
        <v>4296.05</v>
      </c>
      <c r="M108" s="3">
        <f t="shared" si="19"/>
        <v>251.79105493875167</v>
      </c>
      <c r="N108" s="7">
        <f t="shared" si="24"/>
        <v>4296</v>
      </c>
      <c r="O108" s="7">
        <f t="shared" si="20"/>
        <v>251</v>
      </c>
      <c r="P108" s="3">
        <f>SUM($O$4:O108)</f>
        <v>1566</v>
      </c>
      <c r="T108" s="7">
        <v>29</v>
      </c>
      <c r="U108" s="3">
        <v>2.2210084033613446</v>
      </c>
      <c r="V108" s="3">
        <v>241.05055502859307</v>
      </c>
      <c r="Y108" s="3">
        <f t="shared" si="21"/>
        <v>105</v>
      </c>
      <c r="Z108" s="3">
        <f t="shared" si="22"/>
        <v>17622</v>
      </c>
      <c r="AA108" s="7"/>
      <c r="AB108" s="7">
        <f t="shared" si="23"/>
        <v>13040</v>
      </c>
    </row>
    <row r="109" spans="6:28" x14ac:dyDescent="0.15">
      <c r="F109">
        <f t="shared" si="13"/>
        <v>16</v>
      </c>
      <c r="G109">
        <v>106</v>
      </c>
      <c r="H109">
        <f t="shared" si="14"/>
        <v>3781.4418472762968</v>
      </c>
      <c r="I109">
        <f t="shared" si="15"/>
        <v>3781</v>
      </c>
      <c r="J109" s="1">
        <f t="shared" si="16"/>
        <v>1</v>
      </c>
      <c r="K109" s="1">
        <f t="shared" si="17"/>
        <v>3781</v>
      </c>
      <c r="L109" s="1">
        <f t="shared" si="18"/>
        <v>685.62133333333338</v>
      </c>
      <c r="M109" s="3">
        <f t="shared" si="19"/>
        <v>30.910920641504049</v>
      </c>
      <c r="N109" s="7">
        <f t="shared" si="24"/>
        <v>686</v>
      </c>
      <c r="O109" s="7">
        <f t="shared" si="20"/>
        <v>30</v>
      </c>
      <c r="P109" s="3">
        <f>SUM($O$4:O109)</f>
        <v>1596</v>
      </c>
      <c r="T109" s="7">
        <v>30</v>
      </c>
      <c r="U109" s="3">
        <v>2.0330769230769232</v>
      </c>
      <c r="V109" s="3">
        <v>243.08363195166999</v>
      </c>
      <c r="Y109" s="3">
        <f t="shared" si="21"/>
        <v>106</v>
      </c>
      <c r="Z109" s="3">
        <f t="shared" si="22"/>
        <v>18680</v>
      </c>
      <c r="AA109" s="7"/>
      <c r="AB109" s="7">
        <f t="shared" si="23"/>
        <v>13040</v>
      </c>
    </row>
    <row r="110" spans="6:28" x14ac:dyDescent="0.15">
      <c r="F110">
        <f t="shared" si="13"/>
        <v>16</v>
      </c>
      <c r="G110">
        <v>107</v>
      </c>
      <c r="H110">
        <f t="shared" si="14"/>
        <v>3781.4418472762968</v>
      </c>
      <c r="I110">
        <f t="shared" si="15"/>
        <v>3781</v>
      </c>
      <c r="J110" s="1">
        <f t="shared" si="16"/>
        <v>1</v>
      </c>
      <c r="K110" s="1">
        <f t="shared" si="17"/>
        <v>3781</v>
      </c>
      <c r="L110" s="1">
        <f t="shared" si="18"/>
        <v>685.62133333333338</v>
      </c>
      <c r="M110" s="3">
        <f t="shared" si="19"/>
        <v>30.910920641504049</v>
      </c>
      <c r="N110" s="7">
        <f t="shared" si="24"/>
        <v>686</v>
      </c>
      <c r="O110" s="7">
        <f t="shared" si="20"/>
        <v>30</v>
      </c>
      <c r="P110" s="3">
        <f>SUM($O$4:O110)</f>
        <v>1626</v>
      </c>
      <c r="T110" s="7">
        <v>30</v>
      </c>
      <c r="U110" s="3">
        <v>2.0330769230769232</v>
      </c>
      <c r="V110" s="3">
        <v>245.11670887474691</v>
      </c>
      <c r="Y110" s="3">
        <f t="shared" si="21"/>
        <v>107</v>
      </c>
      <c r="Z110" s="3">
        <f t="shared" si="22"/>
        <v>19799</v>
      </c>
      <c r="AA110" s="7"/>
      <c r="AB110" s="7">
        <f t="shared" si="23"/>
        <v>13040</v>
      </c>
    </row>
    <row r="111" spans="6:28" x14ac:dyDescent="0.15">
      <c r="F111">
        <f t="shared" si="13"/>
        <v>16</v>
      </c>
      <c r="G111">
        <v>108</v>
      </c>
      <c r="H111">
        <f t="shared" si="14"/>
        <v>3781.4418472762968</v>
      </c>
      <c r="I111">
        <f t="shared" si="15"/>
        <v>3781</v>
      </c>
      <c r="J111" s="1">
        <f t="shared" si="16"/>
        <v>1</v>
      </c>
      <c r="K111" s="1">
        <f t="shared" si="17"/>
        <v>3781</v>
      </c>
      <c r="L111" s="1">
        <f t="shared" si="18"/>
        <v>685.62133333333338</v>
      </c>
      <c r="M111" s="3">
        <f t="shared" si="19"/>
        <v>30.910920641504049</v>
      </c>
      <c r="N111" s="7">
        <f t="shared" si="24"/>
        <v>686</v>
      </c>
      <c r="O111" s="7">
        <f t="shared" si="20"/>
        <v>30</v>
      </c>
      <c r="P111" s="3">
        <f>SUM($O$4:O111)</f>
        <v>1656</v>
      </c>
      <c r="T111" s="7">
        <v>30</v>
      </c>
      <c r="U111" s="3">
        <v>2.0330769230769232</v>
      </c>
      <c r="V111" s="3">
        <v>247.14978579782382</v>
      </c>
      <c r="Y111" s="3">
        <f t="shared" si="21"/>
        <v>108</v>
      </c>
      <c r="Z111" s="3">
        <f t="shared" si="22"/>
        <v>20983</v>
      </c>
      <c r="AA111" s="7"/>
      <c r="AB111" s="7">
        <f t="shared" si="23"/>
        <v>13040</v>
      </c>
    </row>
    <row r="112" spans="6:28" x14ac:dyDescent="0.15">
      <c r="F112">
        <f t="shared" si="13"/>
        <v>16</v>
      </c>
      <c r="G112">
        <v>109</v>
      </c>
      <c r="H112">
        <f t="shared" si="14"/>
        <v>3781.4418472762968</v>
      </c>
      <c r="I112">
        <f t="shared" si="15"/>
        <v>3781</v>
      </c>
      <c r="J112" s="1">
        <f t="shared" si="16"/>
        <v>1</v>
      </c>
      <c r="K112" s="1">
        <f t="shared" si="17"/>
        <v>3781</v>
      </c>
      <c r="L112" s="1">
        <f t="shared" si="18"/>
        <v>685.62133333333338</v>
      </c>
      <c r="M112" s="3">
        <f t="shared" si="19"/>
        <v>30.910920641504049</v>
      </c>
      <c r="N112" s="7">
        <f t="shared" si="24"/>
        <v>686</v>
      </c>
      <c r="O112" s="7">
        <f t="shared" si="20"/>
        <v>30</v>
      </c>
      <c r="P112" s="3">
        <f>SUM($O$4:O112)</f>
        <v>1686</v>
      </c>
      <c r="T112" s="7">
        <v>31</v>
      </c>
      <c r="U112" s="3">
        <v>1.8744680851063831</v>
      </c>
      <c r="V112" s="3">
        <v>249.0242538829302</v>
      </c>
      <c r="Y112" s="3">
        <f t="shared" si="21"/>
        <v>109</v>
      </c>
      <c r="Z112" s="3">
        <f t="shared" si="22"/>
        <v>22236</v>
      </c>
      <c r="AA112" s="7"/>
      <c r="AB112" s="7">
        <f t="shared" si="23"/>
        <v>13040</v>
      </c>
    </row>
    <row r="113" spans="6:28" x14ac:dyDescent="0.15">
      <c r="F113">
        <f t="shared" si="13"/>
        <v>16</v>
      </c>
      <c r="G113">
        <v>110</v>
      </c>
      <c r="H113">
        <f t="shared" si="14"/>
        <v>3781.4418472762968</v>
      </c>
      <c r="I113">
        <f t="shared" si="15"/>
        <v>3781</v>
      </c>
      <c r="J113" s="1">
        <f t="shared" si="16"/>
        <v>1</v>
      </c>
      <c r="K113" s="1">
        <f t="shared" si="17"/>
        <v>3781</v>
      </c>
      <c r="L113" s="1">
        <f t="shared" si="18"/>
        <v>685.62133333333338</v>
      </c>
      <c r="M113" s="3">
        <f t="shared" si="19"/>
        <v>30.910920641504049</v>
      </c>
      <c r="N113" s="7">
        <f t="shared" si="24"/>
        <v>686</v>
      </c>
      <c r="O113" s="7">
        <f t="shared" si="20"/>
        <v>30</v>
      </c>
      <c r="P113" s="3">
        <f>SUM($O$4:O113)</f>
        <v>1716</v>
      </c>
      <c r="T113" s="7">
        <v>31</v>
      </c>
      <c r="U113" s="3">
        <v>3.7489361702127662</v>
      </c>
      <c r="V113" s="3">
        <v>252.77319005314297</v>
      </c>
      <c r="Y113" s="3">
        <f t="shared" si="21"/>
        <v>110</v>
      </c>
      <c r="Z113" s="3">
        <f t="shared" si="22"/>
        <v>23562</v>
      </c>
      <c r="AA113" s="7"/>
      <c r="AB113" s="7">
        <f t="shared" si="23"/>
        <v>13040</v>
      </c>
    </row>
    <row r="114" spans="6:28" x14ac:dyDescent="0.15">
      <c r="F114">
        <f t="shared" si="13"/>
        <v>16</v>
      </c>
      <c r="G114">
        <v>111</v>
      </c>
      <c r="H114">
        <f t="shared" si="14"/>
        <v>3781.4418472762968</v>
      </c>
      <c r="I114">
        <f t="shared" si="15"/>
        <v>3781</v>
      </c>
      <c r="J114" s="1">
        <f t="shared" si="16"/>
        <v>1</v>
      </c>
      <c r="K114" s="1">
        <f t="shared" si="17"/>
        <v>3781</v>
      </c>
      <c r="L114" s="1">
        <f t="shared" si="18"/>
        <v>685.62133333333338</v>
      </c>
      <c r="M114" s="3">
        <f t="shared" si="19"/>
        <v>30.910920641504049</v>
      </c>
      <c r="N114" s="7">
        <f t="shared" si="24"/>
        <v>686</v>
      </c>
      <c r="O114" s="7">
        <f t="shared" si="20"/>
        <v>30</v>
      </c>
      <c r="P114" s="3">
        <f>SUM($O$4:O114)</f>
        <v>1746</v>
      </c>
      <c r="T114" s="7">
        <v>31</v>
      </c>
      <c r="U114" s="3">
        <v>2.9425531914893619</v>
      </c>
      <c r="V114" s="3">
        <v>255.71574324463234</v>
      </c>
      <c r="Y114" s="3">
        <f t="shared" si="21"/>
        <v>111</v>
      </c>
      <c r="Z114" s="3">
        <f t="shared" si="22"/>
        <v>24965</v>
      </c>
      <c r="AA114" s="7"/>
      <c r="AB114" s="7">
        <f t="shared" si="23"/>
        <v>13040</v>
      </c>
    </row>
    <row r="115" spans="6:28" x14ac:dyDescent="0.15">
      <c r="F115">
        <f t="shared" si="13"/>
        <v>16</v>
      </c>
      <c r="G115">
        <v>112</v>
      </c>
      <c r="H115">
        <f t="shared" si="14"/>
        <v>3781.4418472762968</v>
      </c>
      <c r="I115">
        <f t="shared" si="15"/>
        <v>3781</v>
      </c>
      <c r="J115" s="1">
        <f t="shared" si="16"/>
        <v>2</v>
      </c>
      <c r="K115" s="1">
        <f t="shared" si="17"/>
        <v>7562</v>
      </c>
      <c r="L115" s="1">
        <f t="shared" si="18"/>
        <v>1371.2426666666668</v>
      </c>
      <c r="M115" s="3">
        <f t="shared" si="19"/>
        <v>61.821841283008098</v>
      </c>
      <c r="N115" s="7">
        <f t="shared" si="24"/>
        <v>1371</v>
      </c>
      <c r="O115" s="7">
        <f t="shared" si="20"/>
        <v>61</v>
      </c>
      <c r="P115" s="3">
        <f>SUM($O$4:O115)</f>
        <v>1807</v>
      </c>
      <c r="T115" s="7">
        <v>32</v>
      </c>
      <c r="U115" s="3">
        <v>2.7296052631578949</v>
      </c>
      <c r="V115" s="3">
        <v>258.44534850779024</v>
      </c>
      <c r="Y115" s="3">
        <f t="shared" si="21"/>
        <v>112</v>
      </c>
      <c r="Z115" s="3">
        <f t="shared" si="22"/>
        <v>26450</v>
      </c>
      <c r="AA115" s="7"/>
      <c r="AB115" s="7">
        <f t="shared" si="23"/>
        <v>13040</v>
      </c>
    </row>
    <row r="116" spans="6:28" x14ac:dyDescent="0.15">
      <c r="F116">
        <f t="shared" si="13"/>
        <v>17</v>
      </c>
      <c r="G116">
        <v>113</v>
      </c>
      <c r="H116">
        <f t="shared" si="14"/>
        <v>5936.8637002237865</v>
      </c>
      <c r="I116">
        <f t="shared" si="15"/>
        <v>5937</v>
      </c>
      <c r="J116" s="1">
        <f t="shared" si="16"/>
        <v>1</v>
      </c>
      <c r="K116" s="1">
        <f t="shared" si="17"/>
        <v>5937</v>
      </c>
      <c r="L116" s="1">
        <f t="shared" si="18"/>
        <v>1094.3870000000002</v>
      </c>
      <c r="M116" s="3">
        <f t="shared" si="19"/>
        <v>37.953793558573821</v>
      </c>
      <c r="N116" s="7">
        <f t="shared" si="24"/>
        <v>1094</v>
      </c>
      <c r="O116" s="7">
        <f t="shared" si="20"/>
        <v>37</v>
      </c>
      <c r="P116" s="3">
        <f>SUM($O$4:O116)</f>
        <v>1844</v>
      </c>
      <c r="T116" s="7">
        <v>32</v>
      </c>
      <c r="U116" s="3">
        <v>2.7296052631578949</v>
      </c>
      <c r="V116" s="3">
        <v>261.17495377094815</v>
      </c>
      <c r="Y116" s="3">
        <f t="shared" si="21"/>
        <v>113</v>
      </c>
      <c r="Z116" s="3">
        <f t="shared" si="22"/>
        <v>28020</v>
      </c>
      <c r="AA116" s="7"/>
      <c r="AB116" s="7">
        <f t="shared" si="23"/>
        <v>13040</v>
      </c>
    </row>
    <row r="117" spans="6:28" x14ac:dyDescent="0.15">
      <c r="F117">
        <f t="shared" si="13"/>
        <v>17</v>
      </c>
      <c r="G117">
        <v>114</v>
      </c>
      <c r="H117">
        <f t="shared" si="14"/>
        <v>5936.8637002237865</v>
      </c>
      <c r="I117">
        <f t="shared" si="15"/>
        <v>5937</v>
      </c>
      <c r="J117" s="1">
        <f t="shared" si="16"/>
        <v>1</v>
      </c>
      <c r="K117" s="1">
        <f t="shared" si="17"/>
        <v>5937</v>
      </c>
      <c r="L117" s="1">
        <f t="shared" si="18"/>
        <v>1094.3870000000002</v>
      </c>
      <c r="M117" s="3">
        <f t="shared" si="19"/>
        <v>37.953793558573821</v>
      </c>
      <c r="N117" s="7">
        <f t="shared" si="24"/>
        <v>1094</v>
      </c>
      <c r="O117" s="7">
        <f t="shared" si="20"/>
        <v>37</v>
      </c>
      <c r="P117" s="3">
        <f>SUM($O$4:O117)</f>
        <v>1881</v>
      </c>
      <c r="T117" s="7">
        <v>33</v>
      </c>
      <c r="U117" s="3">
        <v>2.5145454545454546</v>
      </c>
      <c r="V117" s="3">
        <v>263.68949922549359</v>
      </c>
      <c r="Y117" s="3">
        <f t="shared" si="21"/>
        <v>114</v>
      </c>
      <c r="Z117" s="3">
        <f t="shared" si="22"/>
        <v>29681</v>
      </c>
      <c r="AA117" s="7"/>
      <c r="AB117" s="7">
        <f t="shared" si="23"/>
        <v>13040</v>
      </c>
    </row>
    <row r="118" spans="6:28" x14ac:dyDescent="0.15">
      <c r="F118">
        <f t="shared" si="13"/>
        <v>17</v>
      </c>
      <c r="G118">
        <v>115</v>
      </c>
      <c r="H118">
        <f t="shared" si="14"/>
        <v>5936.8637002237865</v>
      </c>
      <c r="I118">
        <f t="shared" si="15"/>
        <v>5937</v>
      </c>
      <c r="J118" s="1">
        <f t="shared" si="16"/>
        <v>1</v>
      </c>
      <c r="K118" s="1">
        <f t="shared" si="17"/>
        <v>5937</v>
      </c>
      <c r="L118" s="1">
        <f t="shared" si="18"/>
        <v>1094.3870000000002</v>
      </c>
      <c r="M118" s="3">
        <f t="shared" si="19"/>
        <v>37.953793558573821</v>
      </c>
      <c r="N118" s="7">
        <f t="shared" si="24"/>
        <v>1094</v>
      </c>
      <c r="O118" s="7">
        <f t="shared" si="20"/>
        <v>37</v>
      </c>
      <c r="P118" s="3">
        <f>SUM($O$4:O118)</f>
        <v>1918</v>
      </c>
      <c r="T118" s="7">
        <v>33</v>
      </c>
      <c r="U118" s="3">
        <v>2.5145454545454546</v>
      </c>
      <c r="V118" s="3">
        <v>266.20404468003903</v>
      </c>
      <c r="Y118" s="3">
        <f t="shared" si="21"/>
        <v>115</v>
      </c>
      <c r="Z118" s="3">
        <f t="shared" si="22"/>
        <v>31439</v>
      </c>
      <c r="AA118" s="7"/>
      <c r="AB118" s="7">
        <f t="shared" si="23"/>
        <v>13040</v>
      </c>
    </row>
    <row r="119" spans="6:28" x14ac:dyDescent="0.15">
      <c r="F119">
        <f t="shared" si="13"/>
        <v>17</v>
      </c>
      <c r="G119">
        <v>116</v>
      </c>
      <c r="H119">
        <f t="shared" si="14"/>
        <v>5936.8637002237865</v>
      </c>
      <c r="I119">
        <f t="shared" si="15"/>
        <v>5937</v>
      </c>
      <c r="J119" s="1">
        <f t="shared" si="16"/>
        <v>1</v>
      </c>
      <c r="K119" s="1">
        <f t="shared" si="17"/>
        <v>5937</v>
      </c>
      <c r="L119" s="1">
        <f t="shared" si="18"/>
        <v>1094.3870000000002</v>
      </c>
      <c r="M119" s="3">
        <f t="shared" si="19"/>
        <v>37.953793558573821</v>
      </c>
      <c r="N119" s="7">
        <f t="shared" si="24"/>
        <v>1094</v>
      </c>
      <c r="O119" s="7">
        <f t="shared" si="20"/>
        <v>37</v>
      </c>
      <c r="P119" s="3">
        <f>SUM($O$4:O119)</f>
        <v>1955</v>
      </c>
      <c r="T119" s="7">
        <v>33</v>
      </c>
      <c r="U119" s="3">
        <v>2.5145454545454546</v>
      </c>
      <c r="V119" s="3">
        <v>268.71859013458447</v>
      </c>
      <c r="Y119" s="3">
        <f t="shared" si="21"/>
        <v>116</v>
      </c>
      <c r="Z119" s="3">
        <f t="shared" si="22"/>
        <v>33298</v>
      </c>
      <c r="AA119" s="7"/>
      <c r="AB119" s="7">
        <f t="shared" si="23"/>
        <v>13040</v>
      </c>
    </row>
    <row r="120" spans="6:28" x14ac:dyDescent="0.15">
      <c r="F120">
        <f t="shared" si="13"/>
        <v>17</v>
      </c>
      <c r="G120">
        <v>117</v>
      </c>
      <c r="H120">
        <f t="shared" si="14"/>
        <v>5936.8637002237865</v>
      </c>
      <c r="I120">
        <f t="shared" si="15"/>
        <v>5937</v>
      </c>
      <c r="J120" s="1">
        <f t="shared" si="16"/>
        <v>1</v>
      </c>
      <c r="K120" s="1">
        <f t="shared" si="17"/>
        <v>5937</v>
      </c>
      <c r="L120" s="1">
        <f t="shared" si="18"/>
        <v>1094.3870000000002</v>
      </c>
      <c r="M120" s="3">
        <f t="shared" si="19"/>
        <v>37.953793558573821</v>
      </c>
      <c r="N120" s="7">
        <f t="shared" si="24"/>
        <v>1094</v>
      </c>
      <c r="O120" s="7">
        <f t="shared" si="20"/>
        <v>37</v>
      </c>
      <c r="P120" s="3">
        <f>SUM($O$4:O120)</f>
        <v>1992</v>
      </c>
      <c r="T120" s="7">
        <v>34</v>
      </c>
      <c r="U120" s="3">
        <v>2.3178770949720673</v>
      </c>
      <c r="V120" s="3">
        <v>271.03646722955654</v>
      </c>
      <c r="Y120" s="3">
        <f t="shared" si="21"/>
        <v>117</v>
      </c>
      <c r="Z120" s="3">
        <f t="shared" si="22"/>
        <v>35264</v>
      </c>
      <c r="AA120" s="7"/>
      <c r="AB120" s="7">
        <f t="shared" si="23"/>
        <v>13040</v>
      </c>
    </row>
    <row r="121" spans="6:28" x14ac:dyDescent="0.15">
      <c r="F121">
        <f t="shared" si="13"/>
        <v>17</v>
      </c>
      <c r="G121">
        <v>118</v>
      </c>
      <c r="H121">
        <f t="shared" si="14"/>
        <v>5936.8637002237865</v>
      </c>
      <c r="I121">
        <f t="shared" si="15"/>
        <v>5937</v>
      </c>
      <c r="J121" s="1">
        <f t="shared" si="16"/>
        <v>1</v>
      </c>
      <c r="K121" s="1">
        <f t="shared" si="17"/>
        <v>5937</v>
      </c>
      <c r="L121" s="1">
        <f t="shared" si="18"/>
        <v>1094.3870000000002</v>
      </c>
      <c r="M121" s="3">
        <f t="shared" si="19"/>
        <v>37.953793558573821</v>
      </c>
      <c r="N121" s="7">
        <f t="shared" si="24"/>
        <v>1094</v>
      </c>
      <c r="O121" s="7">
        <f t="shared" si="20"/>
        <v>37</v>
      </c>
      <c r="P121" s="3">
        <f>SUM($O$4:O121)</f>
        <v>2029</v>
      </c>
      <c r="T121" s="7">
        <v>34</v>
      </c>
      <c r="U121" s="3">
        <v>2.3178770949720673</v>
      </c>
      <c r="V121" s="3">
        <v>273.3543443245286</v>
      </c>
      <c r="Y121" s="3">
        <f t="shared" si="21"/>
        <v>118</v>
      </c>
      <c r="Z121" s="3">
        <f t="shared" si="22"/>
        <v>37344</v>
      </c>
      <c r="AA121" s="7"/>
      <c r="AB121" s="7">
        <f t="shared" si="23"/>
        <v>13040</v>
      </c>
    </row>
    <row r="122" spans="6:28" x14ac:dyDescent="0.15">
      <c r="F122">
        <f t="shared" si="13"/>
        <v>17</v>
      </c>
      <c r="G122">
        <v>119</v>
      </c>
      <c r="H122">
        <f t="shared" si="14"/>
        <v>5936.8637002237865</v>
      </c>
      <c r="I122">
        <f t="shared" si="15"/>
        <v>5937</v>
      </c>
      <c r="J122" s="1">
        <f t="shared" si="16"/>
        <v>4</v>
      </c>
      <c r="K122" s="1">
        <f t="shared" si="17"/>
        <v>23748</v>
      </c>
      <c r="L122" s="1">
        <f t="shared" si="18"/>
        <v>4377.5480000000007</v>
      </c>
      <c r="M122" s="3">
        <f t="shared" si="19"/>
        <v>151.81517423429528</v>
      </c>
      <c r="N122" s="7">
        <f t="shared" si="24"/>
        <v>4378</v>
      </c>
      <c r="O122" s="7">
        <f t="shared" si="20"/>
        <v>151</v>
      </c>
      <c r="P122" s="3">
        <f>SUM($O$4:O122)</f>
        <v>2180</v>
      </c>
      <c r="T122" s="7">
        <v>35</v>
      </c>
      <c r="U122" s="3">
        <v>2.1497409326424872</v>
      </c>
      <c r="V122" s="3">
        <v>275.50408525717108</v>
      </c>
      <c r="Y122" s="3">
        <f t="shared" si="21"/>
        <v>119</v>
      </c>
      <c r="Z122" s="3">
        <f t="shared" si="22"/>
        <v>39543</v>
      </c>
      <c r="AA122" s="7"/>
      <c r="AB122" s="7">
        <f t="shared" si="23"/>
        <v>13040</v>
      </c>
    </row>
    <row r="123" spans="6:28" x14ac:dyDescent="0.15">
      <c r="F123">
        <f t="shared" si="13"/>
        <v>18</v>
      </c>
      <c r="G123">
        <v>120</v>
      </c>
      <c r="H123">
        <f t="shared" si="14"/>
        <v>9320.8760093513447</v>
      </c>
      <c r="I123">
        <f t="shared" si="15"/>
        <v>9321</v>
      </c>
      <c r="J123" s="1">
        <f t="shared" si="16"/>
        <v>1</v>
      </c>
      <c r="K123" s="1">
        <f t="shared" si="17"/>
        <v>9321</v>
      </c>
      <c r="L123" s="1">
        <f t="shared" si="18"/>
        <v>1746.134</v>
      </c>
      <c r="M123" s="3">
        <f t="shared" si="19"/>
        <v>46.582037644823238</v>
      </c>
      <c r="N123" s="7">
        <f t="shared" si="24"/>
        <v>1746</v>
      </c>
      <c r="O123" s="7">
        <f t="shared" si="20"/>
        <v>46</v>
      </c>
      <c r="P123" s="3">
        <f>SUM($O$4:O123)</f>
        <v>2226</v>
      </c>
      <c r="T123" s="7">
        <v>35</v>
      </c>
      <c r="U123" s="3">
        <v>8.5994818652849752</v>
      </c>
      <c r="V123" s="3">
        <v>284.10356712245607</v>
      </c>
      <c r="Y123" s="3">
        <f t="shared" si="21"/>
        <v>120</v>
      </c>
      <c r="Z123" s="3">
        <f t="shared" si="22"/>
        <v>41869</v>
      </c>
      <c r="AA123" s="7"/>
      <c r="AB123" s="7">
        <f t="shared" si="23"/>
        <v>13040</v>
      </c>
    </row>
    <row r="124" spans="6:28" x14ac:dyDescent="0.15">
      <c r="F124">
        <f t="shared" si="13"/>
        <v>18</v>
      </c>
      <c r="G124">
        <v>121</v>
      </c>
      <c r="H124">
        <f t="shared" si="14"/>
        <v>9320.8760093513447</v>
      </c>
      <c r="I124">
        <f t="shared" si="15"/>
        <v>9321</v>
      </c>
      <c r="J124" s="1">
        <f t="shared" si="16"/>
        <v>1</v>
      </c>
      <c r="K124" s="1">
        <f t="shared" si="17"/>
        <v>9321</v>
      </c>
      <c r="L124" s="1">
        <f t="shared" si="18"/>
        <v>1746.134</v>
      </c>
      <c r="M124" s="3">
        <f t="shared" si="19"/>
        <v>46.582037644823238</v>
      </c>
      <c r="N124" s="7">
        <f t="shared" si="24"/>
        <v>1746</v>
      </c>
      <c r="O124" s="7">
        <f t="shared" si="20"/>
        <v>46</v>
      </c>
      <c r="P124" s="3">
        <f>SUM($O$4:O124)</f>
        <v>2272</v>
      </c>
      <c r="T124" s="7">
        <v>36</v>
      </c>
      <c r="U124" s="3">
        <v>3.1167464114832537</v>
      </c>
      <c r="V124" s="3">
        <v>287.2203135339393</v>
      </c>
      <c r="Y124" s="3">
        <f t="shared" si="21"/>
        <v>121</v>
      </c>
      <c r="Z124" s="3">
        <f t="shared" si="22"/>
        <v>44329</v>
      </c>
      <c r="AA124" s="7"/>
      <c r="AB124" s="7">
        <f t="shared" si="23"/>
        <v>13040</v>
      </c>
    </row>
    <row r="125" spans="6:28" x14ac:dyDescent="0.15">
      <c r="F125">
        <f t="shared" si="13"/>
        <v>18</v>
      </c>
      <c r="G125">
        <v>122</v>
      </c>
      <c r="H125">
        <f t="shared" si="14"/>
        <v>9320.8760093513447</v>
      </c>
      <c r="I125">
        <f t="shared" si="15"/>
        <v>9321</v>
      </c>
      <c r="J125" s="1">
        <f t="shared" si="16"/>
        <v>1</v>
      </c>
      <c r="K125" s="1">
        <f t="shared" si="17"/>
        <v>9321</v>
      </c>
      <c r="L125" s="1">
        <f t="shared" si="18"/>
        <v>1746.134</v>
      </c>
      <c r="M125" s="3">
        <f t="shared" si="19"/>
        <v>46.582037644823238</v>
      </c>
      <c r="N125" s="7">
        <f t="shared" si="24"/>
        <v>1746</v>
      </c>
      <c r="O125" s="7">
        <f t="shared" si="20"/>
        <v>46</v>
      </c>
      <c r="P125" s="3">
        <f>SUM($O$4:O125)</f>
        <v>2318</v>
      </c>
      <c r="T125" s="7">
        <v>37</v>
      </c>
      <c r="U125" s="3">
        <v>2.895111111111111</v>
      </c>
      <c r="V125" s="3">
        <v>290.11542464505044</v>
      </c>
      <c r="Y125" s="3">
        <f t="shared" si="21"/>
        <v>122</v>
      </c>
      <c r="Z125" s="3">
        <f t="shared" si="22"/>
        <v>46930</v>
      </c>
      <c r="AA125" s="7"/>
      <c r="AB125" s="7">
        <f t="shared" si="23"/>
        <v>13040</v>
      </c>
    </row>
    <row r="126" spans="6:28" x14ac:dyDescent="0.15">
      <c r="F126">
        <f t="shared" si="13"/>
        <v>18</v>
      </c>
      <c r="G126">
        <v>123</v>
      </c>
      <c r="H126">
        <f t="shared" si="14"/>
        <v>9320.8760093513447</v>
      </c>
      <c r="I126">
        <f t="shared" si="15"/>
        <v>9321</v>
      </c>
      <c r="J126" s="1">
        <f t="shared" si="16"/>
        <v>1</v>
      </c>
      <c r="K126" s="1">
        <f t="shared" si="17"/>
        <v>9321</v>
      </c>
      <c r="L126" s="1">
        <f t="shared" si="18"/>
        <v>1746.134</v>
      </c>
      <c r="M126" s="3">
        <f t="shared" si="19"/>
        <v>46.582037644823238</v>
      </c>
      <c r="N126" s="7">
        <f t="shared" si="24"/>
        <v>1746</v>
      </c>
      <c r="O126" s="7">
        <f t="shared" si="20"/>
        <v>46</v>
      </c>
      <c r="P126" s="3">
        <f>SUM($O$4:O126)</f>
        <v>2364</v>
      </c>
      <c r="T126" s="7">
        <v>37</v>
      </c>
      <c r="U126" s="3">
        <v>2.895111111111111</v>
      </c>
      <c r="V126" s="3">
        <v>293.01053575616157</v>
      </c>
      <c r="Y126" s="3">
        <f t="shared" si="21"/>
        <v>123</v>
      </c>
      <c r="Z126" s="3">
        <f t="shared" si="22"/>
        <v>49681</v>
      </c>
      <c r="AA126" s="7"/>
      <c r="AB126" s="7">
        <f t="shared" si="23"/>
        <v>13040</v>
      </c>
    </row>
    <row r="127" spans="6:28" x14ac:dyDescent="0.15">
      <c r="F127">
        <f t="shared" si="13"/>
        <v>18</v>
      </c>
      <c r="G127">
        <v>124</v>
      </c>
      <c r="H127">
        <f t="shared" si="14"/>
        <v>9320.8760093513447</v>
      </c>
      <c r="I127">
        <f t="shared" si="15"/>
        <v>9321</v>
      </c>
      <c r="J127" s="1">
        <f t="shared" si="16"/>
        <v>1</v>
      </c>
      <c r="K127" s="1">
        <f t="shared" si="17"/>
        <v>9321</v>
      </c>
      <c r="L127" s="1">
        <f t="shared" si="18"/>
        <v>1746.134</v>
      </c>
      <c r="M127" s="3">
        <f t="shared" si="19"/>
        <v>46.582037644823238</v>
      </c>
      <c r="N127" s="7">
        <f t="shared" si="24"/>
        <v>1746</v>
      </c>
      <c r="O127" s="7">
        <f t="shared" si="20"/>
        <v>46</v>
      </c>
      <c r="P127" s="3">
        <f>SUM($O$4:O127)</f>
        <v>2410</v>
      </c>
      <c r="T127" s="7">
        <v>38</v>
      </c>
      <c r="U127" s="3">
        <v>2.6806584362139918</v>
      </c>
      <c r="V127" s="3">
        <v>295.69119419237558</v>
      </c>
      <c r="Y127" s="3">
        <f t="shared" si="21"/>
        <v>124</v>
      </c>
      <c r="Z127" s="3">
        <f t="shared" si="22"/>
        <v>52589</v>
      </c>
      <c r="AA127" s="7"/>
      <c r="AB127" s="7">
        <f t="shared" si="23"/>
        <v>13040</v>
      </c>
    </row>
    <row r="128" spans="6:28" x14ac:dyDescent="0.15">
      <c r="F128">
        <f t="shared" si="13"/>
        <v>18</v>
      </c>
      <c r="G128">
        <v>125</v>
      </c>
      <c r="H128">
        <f t="shared" si="14"/>
        <v>9320.8760093513447</v>
      </c>
      <c r="I128">
        <f t="shared" si="15"/>
        <v>9321</v>
      </c>
      <c r="J128" s="1">
        <f t="shared" si="16"/>
        <v>1</v>
      </c>
      <c r="K128" s="1">
        <f t="shared" si="17"/>
        <v>9321</v>
      </c>
      <c r="L128" s="1">
        <f t="shared" si="18"/>
        <v>1746.134</v>
      </c>
      <c r="M128" s="3">
        <f t="shared" si="19"/>
        <v>46.582037644823238</v>
      </c>
      <c r="N128" s="7">
        <f t="shared" si="24"/>
        <v>1746</v>
      </c>
      <c r="O128" s="7">
        <f t="shared" si="20"/>
        <v>46</v>
      </c>
      <c r="P128" s="3">
        <f>SUM($O$4:O128)</f>
        <v>2456</v>
      </c>
      <c r="T128" s="7">
        <v>38</v>
      </c>
      <c r="U128" s="3">
        <v>2.6806584362139918</v>
      </c>
      <c r="V128" s="3">
        <v>298.37185262858958</v>
      </c>
      <c r="Y128" s="3">
        <f t="shared" si="21"/>
        <v>125</v>
      </c>
      <c r="Z128" s="3">
        <f t="shared" si="22"/>
        <v>55664</v>
      </c>
      <c r="AA128" s="7"/>
      <c r="AB128" s="7">
        <f t="shared" si="23"/>
        <v>13040</v>
      </c>
    </row>
    <row r="129" spans="6:28" x14ac:dyDescent="0.15">
      <c r="F129">
        <f t="shared" si="13"/>
        <v>18</v>
      </c>
      <c r="G129">
        <v>126</v>
      </c>
      <c r="H129">
        <f t="shared" si="14"/>
        <v>9320.8760093513447</v>
      </c>
      <c r="I129">
        <f t="shared" si="15"/>
        <v>9321</v>
      </c>
      <c r="J129" s="1">
        <f t="shared" si="16"/>
        <v>6</v>
      </c>
      <c r="K129" s="1">
        <f t="shared" si="17"/>
        <v>55926</v>
      </c>
      <c r="L129" s="1">
        <f t="shared" si="18"/>
        <v>10476.804</v>
      </c>
      <c r="M129" s="3">
        <f t="shared" si="19"/>
        <v>279.49222586893939</v>
      </c>
      <c r="N129" s="7">
        <f t="shared" si="24"/>
        <v>10477</v>
      </c>
      <c r="O129" s="7">
        <f t="shared" si="20"/>
        <v>279</v>
      </c>
      <c r="P129" s="3">
        <f>SUM($O$4:O129)</f>
        <v>2735</v>
      </c>
      <c r="T129" s="7">
        <v>39</v>
      </c>
      <c r="U129" s="3">
        <v>2.4957854406130267</v>
      </c>
      <c r="V129" s="3">
        <v>300.8676380692026</v>
      </c>
      <c r="Y129" s="3">
        <f t="shared" si="21"/>
        <v>126</v>
      </c>
      <c r="Z129" s="3">
        <f t="shared" si="22"/>
        <v>58915</v>
      </c>
      <c r="AA129" s="7"/>
      <c r="AB129" s="7">
        <f t="shared" si="23"/>
        <v>13040</v>
      </c>
    </row>
    <row r="130" spans="6:28" x14ac:dyDescent="0.15">
      <c r="F130">
        <f t="shared" si="13"/>
        <v>19</v>
      </c>
      <c r="G130">
        <v>127</v>
      </c>
      <c r="H130">
        <f t="shared" si="14"/>
        <v>14633.775334681612</v>
      </c>
      <c r="I130">
        <f t="shared" si="15"/>
        <v>14634</v>
      </c>
      <c r="J130" s="1">
        <f t="shared" si="16"/>
        <v>1</v>
      </c>
      <c r="K130" s="1">
        <f t="shared" si="17"/>
        <v>14634</v>
      </c>
      <c r="L130" s="1">
        <f t="shared" si="18"/>
        <v>2785.3380000000002</v>
      </c>
      <c r="M130" s="3">
        <f t="shared" si="19"/>
        <v>57.157794819675324</v>
      </c>
      <c r="N130" s="7">
        <f t="shared" si="24"/>
        <v>2785</v>
      </c>
      <c r="O130" s="7">
        <f t="shared" si="20"/>
        <v>57</v>
      </c>
      <c r="P130" s="3">
        <f>SUM($O$4:O130)</f>
        <v>2792</v>
      </c>
      <c r="T130" s="7">
        <v>39</v>
      </c>
      <c r="U130" s="3">
        <v>2.4957854406130267</v>
      </c>
      <c r="V130" s="3">
        <v>303.36342350981562</v>
      </c>
      <c r="Y130" s="3">
        <f t="shared" si="21"/>
        <v>127</v>
      </c>
      <c r="Z130" s="3">
        <f t="shared" si="22"/>
        <v>62351</v>
      </c>
      <c r="AA130" s="7"/>
      <c r="AB130" s="7">
        <f t="shared" si="23"/>
        <v>13040</v>
      </c>
    </row>
    <row r="131" spans="6:28" x14ac:dyDescent="0.15">
      <c r="F131">
        <f t="shared" si="13"/>
        <v>19</v>
      </c>
      <c r="G131">
        <v>128</v>
      </c>
      <c r="H131">
        <f t="shared" si="14"/>
        <v>14633.775334681612</v>
      </c>
      <c r="I131">
        <f t="shared" si="15"/>
        <v>14634</v>
      </c>
      <c r="J131" s="1">
        <f t="shared" si="16"/>
        <v>1</v>
      </c>
      <c r="K131" s="1">
        <f t="shared" si="17"/>
        <v>14634</v>
      </c>
      <c r="L131" s="1">
        <f t="shared" si="18"/>
        <v>2785.3380000000002</v>
      </c>
      <c r="M131" s="3">
        <f t="shared" si="19"/>
        <v>57.157794819675324</v>
      </c>
      <c r="N131" s="7">
        <f t="shared" si="24"/>
        <v>2785</v>
      </c>
      <c r="O131" s="7">
        <f t="shared" si="20"/>
        <v>57</v>
      </c>
      <c r="P131" s="3">
        <f>SUM($O$4:O131)</f>
        <v>2849</v>
      </c>
      <c r="T131" s="7">
        <v>39</v>
      </c>
      <c r="U131" s="3">
        <v>2.4957854406130267</v>
      </c>
      <c r="V131" s="3">
        <v>305.85920895042864</v>
      </c>
      <c r="Y131" s="3">
        <f t="shared" si="21"/>
        <v>128</v>
      </c>
      <c r="Z131" s="3">
        <f t="shared" si="22"/>
        <v>65984</v>
      </c>
      <c r="AA131" s="7"/>
      <c r="AB131" s="7">
        <f t="shared" si="23"/>
        <v>13040</v>
      </c>
    </row>
    <row r="132" spans="6:28" x14ac:dyDescent="0.15">
      <c r="F132">
        <f t="shared" si="13"/>
        <v>19</v>
      </c>
      <c r="G132">
        <v>129</v>
      </c>
      <c r="H132">
        <f t="shared" si="14"/>
        <v>14633.775334681612</v>
      </c>
      <c r="I132">
        <f t="shared" si="15"/>
        <v>14634</v>
      </c>
      <c r="J132" s="1">
        <f t="shared" si="16"/>
        <v>1</v>
      </c>
      <c r="K132" s="1">
        <f t="shared" si="17"/>
        <v>14634</v>
      </c>
      <c r="L132" s="1">
        <f t="shared" si="18"/>
        <v>2785.3380000000002</v>
      </c>
      <c r="M132" s="3">
        <f t="shared" si="19"/>
        <v>57.157794819675324</v>
      </c>
      <c r="N132" s="7">
        <f t="shared" si="24"/>
        <v>2785</v>
      </c>
      <c r="O132" s="7">
        <f t="shared" si="20"/>
        <v>57</v>
      </c>
      <c r="P132" s="3">
        <f>SUM($O$4:O132)</f>
        <v>2906</v>
      </c>
      <c r="T132" s="7">
        <v>40</v>
      </c>
      <c r="U132" s="3">
        <v>2.3099290780141843</v>
      </c>
      <c r="V132" s="3">
        <v>308.16913802844283</v>
      </c>
      <c r="Y132" s="3">
        <f t="shared" si="21"/>
        <v>129</v>
      </c>
      <c r="Z132" s="3">
        <f t="shared" si="22"/>
        <v>69825</v>
      </c>
      <c r="AA132" s="7"/>
      <c r="AB132" s="7">
        <f t="shared" si="23"/>
        <v>13040</v>
      </c>
    </row>
    <row r="133" spans="6:28" x14ac:dyDescent="0.15">
      <c r="F133">
        <f t="shared" ref="F133:F196" si="25">ROUNDUP(G133/$C$4,0)</f>
        <v>19</v>
      </c>
      <c r="G133">
        <v>130</v>
      </c>
      <c r="H133">
        <f t="shared" ref="H133:H196" si="26">18.5*1.57^MIN(F133,156)*1.17^MAX(F133-156,0)*$C$5</f>
        <v>14633.775334681612</v>
      </c>
      <c r="I133">
        <f t="shared" ref="I133:I196" si="27">ROUND(H133,0)</f>
        <v>14634</v>
      </c>
      <c r="J133" s="1">
        <f t="shared" ref="J133:J196" si="28">IF(F133=F134,1,LOOKUP(MOD(F133,5),$D$6:$D$10,$C$6:$C$10))</f>
        <v>1</v>
      </c>
      <c r="K133" s="1">
        <f t="shared" ref="K133:K196" si="29">J133*I133</f>
        <v>14634</v>
      </c>
      <c r="L133" s="1">
        <f t="shared" ref="L133:L196" si="30">K133*(0.02+0.00045*F133)/$C$5</f>
        <v>2785.3380000000002</v>
      </c>
      <c r="M133" s="3">
        <f t="shared" ref="M133:M196" si="31">L133/(1.3^F133)*3</f>
        <v>57.157794819675324</v>
      </c>
      <c r="N133" s="7">
        <f t="shared" si="24"/>
        <v>2785</v>
      </c>
      <c r="O133" s="7">
        <f t="shared" ref="O133:O196" si="32">ROUNDDOWN(M133,0)</f>
        <v>57</v>
      </c>
      <c r="P133" s="3">
        <f>SUM($O$4:O133)</f>
        <v>2963</v>
      </c>
      <c r="T133" s="7">
        <v>40</v>
      </c>
      <c r="U133" s="3">
        <v>13.860283687943262</v>
      </c>
      <c r="V133" s="3">
        <v>322.02942171638608</v>
      </c>
      <c r="Y133" s="3">
        <f t="shared" ref="Y133:Y196" si="33">G133</f>
        <v>130</v>
      </c>
      <c r="Z133" s="3">
        <f t="shared" ref="Z133:Z196" si="34">ROUND(1.05^Y133*Y133,0)</f>
        <v>73884</v>
      </c>
      <c r="AA133" s="7"/>
      <c r="AB133" s="7">
        <f t="shared" ref="AB133:AB196" si="35">LOOKUP(Y133,T:T,P:P)</f>
        <v>13040</v>
      </c>
    </row>
    <row r="134" spans="6:28" x14ac:dyDescent="0.15">
      <c r="F134">
        <f t="shared" si="25"/>
        <v>19</v>
      </c>
      <c r="G134">
        <v>131</v>
      </c>
      <c r="H134">
        <f t="shared" si="26"/>
        <v>14633.775334681612</v>
      </c>
      <c r="I134">
        <f t="shared" si="27"/>
        <v>14634</v>
      </c>
      <c r="J134" s="1">
        <f t="shared" si="28"/>
        <v>1</v>
      </c>
      <c r="K134" s="1">
        <f t="shared" si="29"/>
        <v>14634</v>
      </c>
      <c r="L134" s="1">
        <f t="shared" si="30"/>
        <v>2785.3380000000002</v>
      </c>
      <c r="M134" s="3">
        <f t="shared" si="31"/>
        <v>57.157794819675324</v>
      </c>
      <c r="N134" s="7">
        <f t="shared" si="24"/>
        <v>2785</v>
      </c>
      <c r="O134" s="7">
        <f t="shared" si="32"/>
        <v>57</v>
      </c>
      <c r="P134" s="3">
        <f>SUM($O$4:O134)</f>
        <v>3020</v>
      </c>
      <c r="T134" s="7">
        <v>42</v>
      </c>
      <c r="U134" s="3">
        <v>3.1371165644171777</v>
      </c>
      <c r="V134" s="3">
        <v>325.16653828080325</v>
      </c>
      <c r="Y134" s="3">
        <f t="shared" si="33"/>
        <v>131</v>
      </c>
      <c r="Z134" s="3">
        <f t="shared" si="34"/>
        <v>78175</v>
      </c>
      <c r="AA134" s="7"/>
      <c r="AB134" s="7">
        <f t="shared" si="35"/>
        <v>13040</v>
      </c>
    </row>
    <row r="135" spans="6:28" x14ac:dyDescent="0.15">
      <c r="F135">
        <f t="shared" si="25"/>
        <v>19</v>
      </c>
      <c r="G135">
        <v>132</v>
      </c>
      <c r="H135">
        <f t="shared" si="26"/>
        <v>14633.775334681612</v>
      </c>
      <c r="I135">
        <f t="shared" si="27"/>
        <v>14634</v>
      </c>
      <c r="J135" s="1">
        <f t="shared" si="28"/>
        <v>1</v>
      </c>
      <c r="K135" s="1">
        <f t="shared" si="29"/>
        <v>14634</v>
      </c>
      <c r="L135" s="1">
        <f t="shared" si="30"/>
        <v>2785.3380000000002</v>
      </c>
      <c r="M135" s="3">
        <f t="shared" si="31"/>
        <v>57.157794819675324</v>
      </c>
      <c r="N135" s="7">
        <f t="shared" si="24"/>
        <v>2785</v>
      </c>
      <c r="O135" s="7">
        <f t="shared" si="32"/>
        <v>57</v>
      </c>
      <c r="P135" s="3">
        <f>SUM($O$4:O135)</f>
        <v>3077</v>
      </c>
      <c r="T135" s="7">
        <v>43</v>
      </c>
      <c r="U135" s="3">
        <v>2.9219999999999997</v>
      </c>
      <c r="V135" s="3">
        <v>328.08853828080328</v>
      </c>
      <c r="Y135" s="3">
        <f t="shared" si="33"/>
        <v>132</v>
      </c>
      <c r="Z135" s="3">
        <f t="shared" si="34"/>
        <v>82711</v>
      </c>
      <c r="AA135" s="7"/>
      <c r="AB135" s="7">
        <f t="shared" si="35"/>
        <v>13040</v>
      </c>
    </row>
    <row r="136" spans="6:28" x14ac:dyDescent="0.15">
      <c r="F136">
        <f t="shared" si="25"/>
        <v>19</v>
      </c>
      <c r="G136">
        <v>133</v>
      </c>
      <c r="H136">
        <f t="shared" si="26"/>
        <v>14633.775334681612</v>
      </c>
      <c r="I136">
        <f t="shared" si="27"/>
        <v>14634</v>
      </c>
      <c r="J136" s="1">
        <f t="shared" si="28"/>
        <v>7</v>
      </c>
      <c r="K136" s="1">
        <f t="shared" si="29"/>
        <v>102438</v>
      </c>
      <c r="L136" s="1">
        <f t="shared" si="30"/>
        <v>19497.365999999998</v>
      </c>
      <c r="M136" s="3">
        <f t="shared" si="31"/>
        <v>400.10456373772718</v>
      </c>
      <c r="N136" s="7">
        <f t="shared" ref="N136:N199" si="36">ROUND(L136,0)</f>
        <v>19497</v>
      </c>
      <c r="O136" s="7">
        <f t="shared" si="32"/>
        <v>400</v>
      </c>
      <c r="P136" s="3">
        <f>SUM($O$4:O136)</f>
        <v>3477</v>
      </c>
      <c r="T136" s="7">
        <v>43</v>
      </c>
      <c r="U136" s="3">
        <v>2.9219999999999997</v>
      </c>
      <c r="V136" s="3">
        <v>331.0105382808033</v>
      </c>
      <c r="Y136" s="3">
        <f t="shared" si="33"/>
        <v>133</v>
      </c>
      <c r="Z136" s="3">
        <f t="shared" si="34"/>
        <v>87504</v>
      </c>
      <c r="AA136" s="7"/>
      <c r="AB136" s="7">
        <f t="shared" si="35"/>
        <v>13040</v>
      </c>
    </row>
    <row r="137" spans="6:28" x14ac:dyDescent="0.15">
      <c r="F137">
        <f t="shared" si="25"/>
        <v>20</v>
      </c>
      <c r="G137">
        <v>134</v>
      </c>
      <c r="H137">
        <f t="shared" si="26"/>
        <v>22975.027275450127</v>
      </c>
      <c r="I137">
        <f t="shared" si="27"/>
        <v>22975</v>
      </c>
      <c r="J137" s="1">
        <f t="shared" si="28"/>
        <v>1</v>
      </c>
      <c r="K137" s="1">
        <f t="shared" si="29"/>
        <v>22975</v>
      </c>
      <c r="L137" s="1">
        <f t="shared" si="30"/>
        <v>4441.833333333333</v>
      </c>
      <c r="M137" s="3">
        <f t="shared" si="31"/>
        <v>70.115892657541082</v>
      </c>
      <c r="N137" s="7">
        <f t="shared" si="36"/>
        <v>4442</v>
      </c>
      <c r="O137" s="7">
        <f t="shared" si="32"/>
        <v>70</v>
      </c>
      <c r="P137" s="3">
        <f>SUM($O$4:O137)</f>
        <v>3547</v>
      </c>
      <c r="T137" s="7">
        <v>44</v>
      </c>
      <c r="U137" s="3">
        <v>2.7127320954907161</v>
      </c>
      <c r="V137" s="3">
        <v>333.72327037629401</v>
      </c>
      <c r="Y137" s="3">
        <f t="shared" si="33"/>
        <v>134</v>
      </c>
      <c r="Z137" s="3">
        <f t="shared" si="34"/>
        <v>92570</v>
      </c>
      <c r="AA137" s="7"/>
      <c r="AB137" s="7">
        <f t="shared" si="35"/>
        <v>13040</v>
      </c>
    </row>
    <row r="138" spans="6:28" x14ac:dyDescent="0.15">
      <c r="F138">
        <f t="shared" si="25"/>
        <v>20</v>
      </c>
      <c r="G138">
        <v>135</v>
      </c>
      <c r="H138">
        <f t="shared" si="26"/>
        <v>22975.027275450127</v>
      </c>
      <c r="I138">
        <f t="shared" si="27"/>
        <v>22975</v>
      </c>
      <c r="J138" s="1">
        <f t="shared" si="28"/>
        <v>1</v>
      </c>
      <c r="K138" s="1">
        <f t="shared" si="29"/>
        <v>22975</v>
      </c>
      <c r="L138" s="1">
        <f t="shared" si="30"/>
        <v>4441.833333333333</v>
      </c>
      <c r="M138" s="3">
        <f t="shared" si="31"/>
        <v>70.115892657541082</v>
      </c>
      <c r="N138" s="7">
        <f t="shared" si="36"/>
        <v>4442</v>
      </c>
      <c r="O138" s="7">
        <f t="shared" si="32"/>
        <v>70</v>
      </c>
      <c r="P138" s="3">
        <f>SUM($O$4:O138)</f>
        <v>3617</v>
      </c>
      <c r="T138" s="7">
        <v>44</v>
      </c>
      <c r="U138" s="3">
        <v>2.7127320954907161</v>
      </c>
      <c r="V138" s="3">
        <v>336.43600247178472</v>
      </c>
      <c r="Y138" s="3">
        <f t="shared" si="33"/>
        <v>135</v>
      </c>
      <c r="Z138" s="3">
        <f t="shared" si="34"/>
        <v>97924</v>
      </c>
      <c r="AA138" s="7"/>
      <c r="AB138" s="7">
        <f t="shared" si="35"/>
        <v>13040</v>
      </c>
    </row>
    <row r="139" spans="6:28" x14ac:dyDescent="0.15">
      <c r="F139">
        <f t="shared" si="25"/>
        <v>20</v>
      </c>
      <c r="G139">
        <v>136</v>
      </c>
      <c r="H139">
        <f t="shared" si="26"/>
        <v>22975.027275450127</v>
      </c>
      <c r="I139">
        <f t="shared" si="27"/>
        <v>22975</v>
      </c>
      <c r="J139" s="1">
        <f t="shared" si="28"/>
        <v>1</v>
      </c>
      <c r="K139" s="1">
        <f t="shared" si="29"/>
        <v>22975</v>
      </c>
      <c r="L139" s="1">
        <f t="shared" si="30"/>
        <v>4441.833333333333</v>
      </c>
      <c r="M139" s="3">
        <f t="shared" si="31"/>
        <v>70.115892657541082</v>
      </c>
      <c r="N139" s="7">
        <f t="shared" si="36"/>
        <v>4442</v>
      </c>
      <c r="O139" s="7">
        <f t="shared" si="32"/>
        <v>70</v>
      </c>
      <c r="P139" s="3">
        <f>SUM($O$4:O139)</f>
        <v>3687</v>
      </c>
      <c r="T139" s="7">
        <v>45</v>
      </c>
      <c r="U139" s="3">
        <v>2.5314356435643566</v>
      </c>
      <c r="V139" s="3">
        <v>338.96743811534907</v>
      </c>
      <c r="Y139" s="3">
        <f t="shared" si="33"/>
        <v>136</v>
      </c>
      <c r="Z139" s="3">
        <f t="shared" si="34"/>
        <v>103582</v>
      </c>
      <c r="AA139" s="7"/>
      <c r="AB139" s="7">
        <f t="shared" si="35"/>
        <v>13040</v>
      </c>
    </row>
    <row r="140" spans="6:28" x14ac:dyDescent="0.15">
      <c r="F140">
        <f t="shared" si="25"/>
        <v>20</v>
      </c>
      <c r="G140">
        <v>137</v>
      </c>
      <c r="H140">
        <f t="shared" si="26"/>
        <v>22975.027275450127</v>
      </c>
      <c r="I140">
        <f t="shared" si="27"/>
        <v>22975</v>
      </c>
      <c r="J140" s="1">
        <f t="shared" si="28"/>
        <v>1</v>
      </c>
      <c r="K140" s="1">
        <f t="shared" si="29"/>
        <v>22975</v>
      </c>
      <c r="L140" s="1">
        <f t="shared" si="30"/>
        <v>4441.833333333333</v>
      </c>
      <c r="M140" s="3">
        <f t="shared" si="31"/>
        <v>70.115892657541082</v>
      </c>
      <c r="N140" s="7">
        <f t="shared" si="36"/>
        <v>4442</v>
      </c>
      <c r="O140" s="7">
        <f t="shared" si="32"/>
        <v>70</v>
      </c>
      <c r="P140" s="3">
        <f>SUM($O$4:O140)</f>
        <v>3757</v>
      </c>
      <c r="T140" s="7">
        <v>45</v>
      </c>
      <c r="U140" s="3">
        <v>2.5314356435643566</v>
      </c>
      <c r="V140" s="3">
        <v>341.49887375891342</v>
      </c>
      <c r="Y140" s="3">
        <f t="shared" si="33"/>
        <v>137</v>
      </c>
      <c r="Z140" s="3">
        <f t="shared" si="34"/>
        <v>109561</v>
      </c>
      <c r="AA140" s="7"/>
      <c r="AB140" s="7">
        <f t="shared" si="35"/>
        <v>13040</v>
      </c>
    </row>
    <row r="141" spans="6:28" x14ac:dyDescent="0.15">
      <c r="F141">
        <f t="shared" si="25"/>
        <v>20</v>
      </c>
      <c r="G141">
        <v>138</v>
      </c>
      <c r="H141">
        <f t="shared" si="26"/>
        <v>22975.027275450127</v>
      </c>
      <c r="I141">
        <f t="shared" si="27"/>
        <v>22975</v>
      </c>
      <c r="J141" s="1">
        <f t="shared" si="28"/>
        <v>1</v>
      </c>
      <c r="K141" s="1">
        <f t="shared" si="29"/>
        <v>22975</v>
      </c>
      <c r="L141" s="1">
        <f t="shared" si="30"/>
        <v>4441.833333333333</v>
      </c>
      <c r="M141" s="3">
        <f t="shared" si="31"/>
        <v>70.115892657541082</v>
      </c>
      <c r="N141" s="7">
        <f t="shared" si="36"/>
        <v>4442</v>
      </c>
      <c r="O141" s="7">
        <f t="shared" si="32"/>
        <v>70</v>
      </c>
      <c r="P141" s="3">
        <f>SUM($O$4:O141)</f>
        <v>3827</v>
      </c>
      <c r="T141" s="7">
        <v>46</v>
      </c>
      <c r="U141" s="3">
        <v>2.3564516129032258</v>
      </c>
      <c r="V141" s="3">
        <v>343.85532537181666</v>
      </c>
      <c r="Y141" s="3">
        <f t="shared" si="33"/>
        <v>138</v>
      </c>
      <c r="Z141" s="3">
        <f t="shared" si="34"/>
        <v>115878</v>
      </c>
      <c r="AA141" s="7"/>
      <c r="AB141" s="7">
        <f t="shared" si="35"/>
        <v>13040</v>
      </c>
    </row>
    <row r="142" spans="6:28" x14ac:dyDescent="0.15">
      <c r="F142">
        <f t="shared" si="25"/>
        <v>20</v>
      </c>
      <c r="G142">
        <v>139</v>
      </c>
      <c r="H142">
        <f t="shared" si="26"/>
        <v>22975.027275450127</v>
      </c>
      <c r="I142">
        <f t="shared" si="27"/>
        <v>22975</v>
      </c>
      <c r="J142" s="1">
        <f t="shared" si="28"/>
        <v>1</v>
      </c>
      <c r="K142" s="1">
        <f t="shared" si="29"/>
        <v>22975</v>
      </c>
      <c r="L142" s="1">
        <f t="shared" si="30"/>
        <v>4441.833333333333</v>
      </c>
      <c r="M142" s="3">
        <f t="shared" si="31"/>
        <v>70.115892657541082</v>
      </c>
      <c r="N142" s="7">
        <f t="shared" si="36"/>
        <v>4442</v>
      </c>
      <c r="O142" s="7">
        <f t="shared" si="32"/>
        <v>70</v>
      </c>
      <c r="P142" s="3">
        <f>SUM($O$4:O142)</f>
        <v>3897</v>
      </c>
      <c r="T142" s="7">
        <v>46</v>
      </c>
      <c r="U142" s="3">
        <v>2.3564516129032258</v>
      </c>
      <c r="V142" s="3">
        <v>346.2117769847199</v>
      </c>
      <c r="Y142" s="3">
        <f t="shared" si="33"/>
        <v>139</v>
      </c>
      <c r="Z142" s="3">
        <f t="shared" si="34"/>
        <v>122554</v>
      </c>
      <c r="AA142" s="7"/>
      <c r="AB142" s="7">
        <f t="shared" si="35"/>
        <v>13040</v>
      </c>
    </row>
    <row r="143" spans="6:28" x14ac:dyDescent="0.15">
      <c r="F143">
        <f t="shared" si="25"/>
        <v>20</v>
      </c>
      <c r="G143">
        <v>140</v>
      </c>
      <c r="H143">
        <f t="shared" si="26"/>
        <v>22975.027275450127</v>
      </c>
      <c r="I143">
        <f t="shared" si="27"/>
        <v>22975</v>
      </c>
      <c r="J143" s="1">
        <f t="shared" si="28"/>
        <v>10</v>
      </c>
      <c r="K143" s="1">
        <f t="shared" si="29"/>
        <v>229750</v>
      </c>
      <c r="L143" s="1">
        <f t="shared" si="30"/>
        <v>44418.333333333328</v>
      </c>
      <c r="M143" s="3">
        <f t="shared" si="31"/>
        <v>701.15892657541076</v>
      </c>
      <c r="N143" s="7">
        <f t="shared" si="36"/>
        <v>44418</v>
      </c>
      <c r="O143" s="7">
        <f t="shared" si="32"/>
        <v>701</v>
      </c>
      <c r="P143" s="3">
        <f>SUM($O$4:O143)</f>
        <v>4598</v>
      </c>
      <c r="T143" s="7">
        <v>46</v>
      </c>
      <c r="U143" s="3">
        <v>16.495852534562211</v>
      </c>
      <c r="V143" s="3">
        <v>362.70762951928214</v>
      </c>
      <c r="Y143" s="3">
        <f t="shared" si="33"/>
        <v>140</v>
      </c>
      <c r="Z143" s="3">
        <f t="shared" si="34"/>
        <v>129607</v>
      </c>
      <c r="AA143" s="7"/>
      <c r="AB143" s="7">
        <f t="shared" si="35"/>
        <v>13040</v>
      </c>
    </row>
    <row r="144" spans="6:28" x14ac:dyDescent="0.15">
      <c r="F144">
        <f t="shared" si="25"/>
        <v>21</v>
      </c>
      <c r="G144">
        <v>141</v>
      </c>
      <c r="H144">
        <f t="shared" si="26"/>
        <v>36070.7928224567</v>
      </c>
      <c r="I144">
        <f t="shared" si="27"/>
        <v>36071</v>
      </c>
      <c r="J144" s="1">
        <f t="shared" si="28"/>
        <v>1</v>
      </c>
      <c r="K144" s="1">
        <f t="shared" si="29"/>
        <v>36071</v>
      </c>
      <c r="L144" s="1">
        <f t="shared" si="30"/>
        <v>7081.9396666666671</v>
      </c>
      <c r="M144" s="3">
        <f t="shared" si="31"/>
        <v>85.992995755711107</v>
      </c>
      <c r="N144" s="7">
        <f t="shared" si="36"/>
        <v>7082</v>
      </c>
      <c r="O144" s="7">
        <f t="shared" si="32"/>
        <v>85</v>
      </c>
      <c r="P144" s="3">
        <f>SUM($O$4:O144)</f>
        <v>4683</v>
      </c>
      <c r="T144" s="7">
        <v>49</v>
      </c>
      <c r="U144" s="3">
        <v>3.0013084112149531</v>
      </c>
      <c r="V144" s="3">
        <v>365.70893793049709</v>
      </c>
      <c r="Y144" s="3">
        <f t="shared" si="33"/>
        <v>141</v>
      </c>
      <c r="Z144" s="3">
        <f t="shared" si="34"/>
        <v>137060</v>
      </c>
      <c r="AA144" s="7"/>
      <c r="AB144" s="7">
        <f t="shared" si="35"/>
        <v>13040</v>
      </c>
    </row>
    <row r="145" spans="6:28" x14ac:dyDescent="0.15">
      <c r="F145">
        <f t="shared" si="25"/>
        <v>21</v>
      </c>
      <c r="G145">
        <v>142</v>
      </c>
      <c r="H145">
        <f t="shared" si="26"/>
        <v>36070.7928224567</v>
      </c>
      <c r="I145">
        <f t="shared" si="27"/>
        <v>36071</v>
      </c>
      <c r="J145" s="1">
        <f t="shared" si="28"/>
        <v>1</v>
      </c>
      <c r="K145" s="1">
        <f t="shared" si="29"/>
        <v>36071</v>
      </c>
      <c r="L145" s="1">
        <f t="shared" si="30"/>
        <v>7081.9396666666671</v>
      </c>
      <c r="M145" s="3">
        <f t="shared" si="31"/>
        <v>85.992995755711107</v>
      </c>
      <c r="N145" s="7">
        <f t="shared" si="36"/>
        <v>7082</v>
      </c>
      <c r="O145" s="7">
        <f t="shared" si="32"/>
        <v>85</v>
      </c>
      <c r="P145" s="3">
        <f>SUM($O$4:O145)</f>
        <v>4768</v>
      </c>
      <c r="T145" s="7">
        <v>49</v>
      </c>
      <c r="U145" s="3">
        <v>3.0013084112149531</v>
      </c>
      <c r="V145" s="3">
        <v>368.71024634171204</v>
      </c>
      <c r="Y145" s="3">
        <f t="shared" si="33"/>
        <v>142</v>
      </c>
      <c r="Z145" s="3">
        <f t="shared" si="34"/>
        <v>144934</v>
      </c>
      <c r="AA145" s="7"/>
      <c r="AB145" s="7">
        <f t="shared" si="35"/>
        <v>13040</v>
      </c>
    </row>
    <row r="146" spans="6:28" x14ac:dyDescent="0.15">
      <c r="F146">
        <f t="shared" si="25"/>
        <v>21</v>
      </c>
      <c r="G146">
        <v>143</v>
      </c>
      <c r="H146">
        <f t="shared" si="26"/>
        <v>36070.7928224567</v>
      </c>
      <c r="I146">
        <f t="shared" si="27"/>
        <v>36071</v>
      </c>
      <c r="J146" s="1">
        <f t="shared" si="28"/>
        <v>1</v>
      </c>
      <c r="K146" s="1">
        <f t="shared" si="29"/>
        <v>36071</v>
      </c>
      <c r="L146" s="1">
        <f t="shared" si="30"/>
        <v>7081.9396666666671</v>
      </c>
      <c r="M146" s="3">
        <f t="shared" si="31"/>
        <v>85.992995755711107</v>
      </c>
      <c r="N146" s="7">
        <f t="shared" si="36"/>
        <v>7082</v>
      </c>
      <c r="O146" s="7">
        <f t="shared" si="32"/>
        <v>85</v>
      </c>
      <c r="P146" s="3">
        <f>SUM($O$4:O146)</f>
        <v>4853</v>
      </c>
      <c r="T146" s="7">
        <v>50</v>
      </c>
      <c r="U146" s="3">
        <v>2.8022687609075043</v>
      </c>
      <c r="V146" s="3">
        <v>371.51251510261955</v>
      </c>
      <c r="Y146" s="3">
        <f t="shared" si="33"/>
        <v>143</v>
      </c>
      <c r="Z146" s="3">
        <f t="shared" si="34"/>
        <v>153252</v>
      </c>
      <c r="AA146" s="7"/>
      <c r="AB146" s="7">
        <f t="shared" si="35"/>
        <v>13040</v>
      </c>
    </row>
    <row r="147" spans="6:28" x14ac:dyDescent="0.15">
      <c r="F147">
        <f t="shared" si="25"/>
        <v>21</v>
      </c>
      <c r="G147">
        <v>144</v>
      </c>
      <c r="H147">
        <f t="shared" si="26"/>
        <v>36070.7928224567</v>
      </c>
      <c r="I147">
        <f t="shared" si="27"/>
        <v>36071</v>
      </c>
      <c r="J147" s="1">
        <f t="shared" si="28"/>
        <v>1</v>
      </c>
      <c r="K147" s="1">
        <f t="shared" si="29"/>
        <v>36071</v>
      </c>
      <c r="L147" s="1">
        <f t="shared" si="30"/>
        <v>7081.9396666666671</v>
      </c>
      <c r="M147" s="3">
        <f t="shared" si="31"/>
        <v>85.992995755711107</v>
      </c>
      <c r="N147" s="7">
        <f t="shared" si="36"/>
        <v>7082</v>
      </c>
      <c r="O147" s="7">
        <f t="shared" si="32"/>
        <v>85</v>
      </c>
      <c r="P147" s="3">
        <f>SUM($O$4:O147)</f>
        <v>4938</v>
      </c>
      <c r="T147" s="7">
        <v>50</v>
      </c>
      <c r="U147" s="3">
        <v>2.8022687609075043</v>
      </c>
      <c r="V147" s="3">
        <v>374.31478386352705</v>
      </c>
      <c r="Y147" s="3">
        <f t="shared" si="33"/>
        <v>144</v>
      </c>
      <c r="Z147" s="3">
        <f t="shared" si="34"/>
        <v>162040</v>
      </c>
      <c r="AA147" s="7"/>
      <c r="AB147" s="7">
        <f t="shared" si="35"/>
        <v>13040</v>
      </c>
    </row>
    <row r="148" spans="6:28" x14ac:dyDescent="0.15">
      <c r="F148">
        <f t="shared" si="25"/>
        <v>21</v>
      </c>
      <c r="G148">
        <v>145</v>
      </c>
      <c r="H148">
        <f t="shared" si="26"/>
        <v>36070.7928224567</v>
      </c>
      <c r="I148">
        <f t="shared" si="27"/>
        <v>36071</v>
      </c>
      <c r="J148" s="1">
        <f t="shared" si="28"/>
        <v>1</v>
      </c>
      <c r="K148" s="1">
        <f t="shared" si="29"/>
        <v>36071</v>
      </c>
      <c r="L148" s="1">
        <f t="shared" si="30"/>
        <v>7081.9396666666671</v>
      </c>
      <c r="M148" s="3">
        <f t="shared" si="31"/>
        <v>85.992995755711107</v>
      </c>
      <c r="N148" s="7">
        <f t="shared" si="36"/>
        <v>7082</v>
      </c>
      <c r="O148" s="7">
        <f t="shared" si="32"/>
        <v>85</v>
      </c>
      <c r="P148" s="3">
        <f>SUM($O$4:O148)</f>
        <v>5023</v>
      </c>
      <c r="T148" s="7">
        <v>51</v>
      </c>
      <c r="U148" s="3">
        <v>2.6151465798045601</v>
      </c>
      <c r="V148" s="3">
        <v>376.92993044333161</v>
      </c>
      <c r="Y148" s="3">
        <f t="shared" si="33"/>
        <v>145</v>
      </c>
      <c r="Z148" s="3">
        <f t="shared" si="34"/>
        <v>171323</v>
      </c>
      <c r="AA148" s="7"/>
      <c r="AB148" s="7">
        <f t="shared" si="35"/>
        <v>13040</v>
      </c>
    </row>
    <row r="149" spans="6:28" x14ac:dyDescent="0.15">
      <c r="F149">
        <f t="shared" si="25"/>
        <v>21</v>
      </c>
      <c r="G149">
        <v>146</v>
      </c>
      <c r="H149">
        <f t="shared" si="26"/>
        <v>36070.7928224567</v>
      </c>
      <c r="I149">
        <f t="shared" si="27"/>
        <v>36071</v>
      </c>
      <c r="J149" s="1">
        <f t="shared" si="28"/>
        <v>1</v>
      </c>
      <c r="K149" s="1">
        <f t="shared" si="29"/>
        <v>36071</v>
      </c>
      <c r="L149" s="1">
        <f t="shared" si="30"/>
        <v>7081.9396666666671</v>
      </c>
      <c r="M149" s="3">
        <f t="shared" si="31"/>
        <v>85.992995755711107</v>
      </c>
      <c r="N149" s="7">
        <f t="shared" si="36"/>
        <v>7082</v>
      </c>
      <c r="O149" s="7">
        <f t="shared" si="32"/>
        <v>85</v>
      </c>
      <c r="P149" s="3">
        <f>SUM($O$4:O149)</f>
        <v>5108</v>
      </c>
      <c r="T149" s="7">
        <v>51</v>
      </c>
      <c r="U149" s="3">
        <v>2.6151465798045601</v>
      </c>
      <c r="V149" s="3">
        <v>379.54507702313617</v>
      </c>
      <c r="Y149" s="3">
        <f t="shared" si="33"/>
        <v>146</v>
      </c>
      <c r="Z149" s="3">
        <f t="shared" si="34"/>
        <v>181130</v>
      </c>
      <c r="AA149" s="7"/>
      <c r="AB149" s="7">
        <f t="shared" si="35"/>
        <v>13040</v>
      </c>
    </row>
    <row r="150" spans="6:28" x14ac:dyDescent="0.15">
      <c r="F150">
        <f t="shared" si="25"/>
        <v>21</v>
      </c>
      <c r="G150">
        <v>147</v>
      </c>
      <c r="H150">
        <f t="shared" si="26"/>
        <v>36070.7928224567</v>
      </c>
      <c r="I150">
        <f t="shared" si="27"/>
        <v>36071</v>
      </c>
      <c r="J150" s="1">
        <f t="shared" si="28"/>
        <v>2</v>
      </c>
      <c r="K150" s="1">
        <f t="shared" si="29"/>
        <v>72142</v>
      </c>
      <c r="L150" s="1">
        <f t="shared" si="30"/>
        <v>14163.879333333334</v>
      </c>
      <c r="M150" s="3">
        <f t="shared" si="31"/>
        <v>171.98599151142221</v>
      </c>
      <c r="N150" s="7">
        <f t="shared" si="36"/>
        <v>14164</v>
      </c>
      <c r="O150" s="7">
        <f t="shared" si="32"/>
        <v>171</v>
      </c>
      <c r="P150" s="3">
        <f>SUM($O$4:O150)</f>
        <v>5279</v>
      </c>
      <c r="T150" s="7">
        <v>52</v>
      </c>
      <c r="U150" s="3">
        <v>2.4439878234398784</v>
      </c>
      <c r="V150" s="3">
        <v>381.98906484657607</v>
      </c>
      <c r="Y150" s="3">
        <f t="shared" si="33"/>
        <v>147</v>
      </c>
      <c r="Z150" s="3">
        <f t="shared" si="34"/>
        <v>191489</v>
      </c>
      <c r="AA150" s="7"/>
      <c r="AB150" s="7">
        <f t="shared" si="35"/>
        <v>13040</v>
      </c>
    </row>
    <row r="151" spans="6:28" x14ac:dyDescent="0.15">
      <c r="F151">
        <f t="shared" si="25"/>
        <v>22</v>
      </c>
      <c r="G151">
        <v>148</v>
      </c>
      <c r="H151">
        <f t="shared" si="26"/>
        <v>56631.144731257031</v>
      </c>
      <c r="I151">
        <f t="shared" si="27"/>
        <v>56631</v>
      </c>
      <c r="J151" s="1">
        <f t="shared" si="28"/>
        <v>1</v>
      </c>
      <c r="K151" s="1">
        <f t="shared" si="29"/>
        <v>56631</v>
      </c>
      <c r="L151" s="1">
        <f t="shared" si="30"/>
        <v>11288.446000000002</v>
      </c>
      <c r="M151" s="3">
        <f t="shared" si="31"/>
        <v>105.4390935748427</v>
      </c>
      <c r="N151" s="7">
        <f t="shared" si="36"/>
        <v>11288</v>
      </c>
      <c r="O151" s="7">
        <f t="shared" si="32"/>
        <v>105</v>
      </c>
      <c r="P151" s="3">
        <f>SUM($O$4:O151)</f>
        <v>5384</v>
      </c>
      <c r="T151" s="7">
        <v>52</v>
      </c>
      <c r="U151" s="3">
        <v>2.4439878234398784</v>
      </c>
      <c r="V151" s="3">
        <v>384.43305267001597</v>
      </c>
      <c r="Y151" s="3">
        <f t="shared" si="33"/>
        <v>148</v>
      </c>
      <c r="Z151" s="3">
        <f t="shared" si="34"/>
        <v>202431</v>
      </c>
      <c r="AA151" s="7"/>
      <c r="AB151" s="7">
        <f t="shared" si="35"/>
        <v>13040</v>
      </c>
    </row>
    <row r="152" spans="6:28" x14ac:dyDescent="0.15">
      <c r="F152">
        <f t="shared" si="25"/>
        <v>22</v>
      </c>
      <c r="G152">
        <v>149</v>
      </c>
      <c r="H152">
        <f t="shared" si="26"/>
        <v>56631.144731257031</v>
      </c>
      <c r="I152">
        <f t="shared" si="27"/>
        <v>56631</v>
      </c>
      <c r="J152" s="1">
        <f t="shared" si="28"/>
        <v>1</v>
      </c>
      <c r="K152" s="1">
        <f t="shared" si="29"/>
        <v>56631</v>
      </c>
      <c r="L152" s="1">
        <f t="shared" si="30"/>
        <v>11288.446000000002</v>
      </c>
      <c r="M152" s="3">
        <f t="shared" si="31"/>
        <v>105.4390935748427</v>
      </c>
      <c r="N152" s="7">
        <f t="shared" si="36"/>
        <v>11288</v>
      </c>
      <c r="O152" s="7">
        <f t="shared" si="32"/>
        <v>105</v>
      </c>
      <c r="P152" s="3">
        <f>SUM($O$4:O152)</f>
        <v>5489</v>
      </c>
      <c r="T152" s="7">
        <v>53</v>
      </c>
      <c r="U152" s="3">
        <v>2.2808238636363636</v>
      </c>
      <c r="V152" s="3">
        <v>386.71387653365235</v>
      </c>
      <c r="Y152" s="3">
        <f t="shared" si="33"/>
        <v>149</v>
      </c>
      <c r="Z152" s="3">
        <f t="shared" si="34"/>
        <v>213989</v>
      </c>
      <c r="AA152" s="7"/>
      <c r="AB152" s="7">
        <f t="shared" si="35"/>
        <v>13040</v>
      </c>
    </row>
    <row r="153" spans="6:28" x14ac:dyDescent="0.15">
      <c r="F153">
        <f t="shared" si="25"/>
        <v>22</v>
      </c>
      <c r="G153">
        <v>150</v>
      </c>
      <c r="H153">
        <f t="shared" si="26"/>
        <v>56631.144731257031</v>
      </c>
      <c r="I153">
        <f t="shared" si="27"/>
        <v>56631</v>
      </c>
      <c r="J153" s="1">
        <f t="shared" si="28"/>
        <v>1</v>
      </c>
      <c r="K153" s="1">
        <f t="shared" si="29"/>
        <v>56631</v>
      </c>
      <c r="L153" s="1">
        <f t="shared" si="30"/>
        <v>11288.446000000002</v>
      </c>
      <c r="M153" s="3">
        <f t="shared" si="31"/>
        <v>105.4390935748427</v>
      </c>
      <c r="N153" s="7">
        <f t="shared" si="36"/>
        <v>11288</v>
      </c>
      <c r="O153" s="7">
        <f t="shared" si="32"/>
        <v>105</v>
      </c>
      <c r="P153" s="3">
        <f>SUM($O$4:O153)</f>
        <v>5594</v>
      </c>
      <c r="T153" s="7">
        <v>53</v>
      </c>
      <c r="U153" s="3">
        <v>22.808380681818182</v>
      </c>
      <c r="V153" s="3">
        <v>409.52225721547052</v>
      </c>
      <c r="Y153" s="3">
        <f t="shared" si="33"/>
        <v>150</v>
      </c>
      <c r="Z153" s="3">
        <f t="shared" si="34"/>
        <v>226197</v>
      </c>
      <c r="AA153" s="7"/>
      <c r="AB153" s="7">
        <f t="shared" si="35"/>
        <v>13040</v>
      </c>
    </row>
    <row r="154" spans="6:28" x14ac:dyDescent="0.15">
      <c r="F154">
        <f t="shared" si="25"/>
        <v>22</v>
      </c>
      <c r="G154">
        <v>151</v>
      </c>
      <c r="H154">
        <f t="shared" si="26"/>
        <v>56631.144731257031</v>
      </c>
      <c r="I154">
        <f t="shared" si="27"/>
        <v>56631</v>
      </c>
      <c r="J154" s="1">
        <f t="shared" si="28"/>
        <v>1</v>
      </c>
      <c r="K154" s="1">
        <f t="shared" si="29"/>
        <v>56631</v>
      </c>
      <c r="L154" s="1">
        <f t="shared" si="30"/>
        <v>11288.446000000002</v>
      </c>
      <c r="M154" s="3">
        <f t="shared" si="31"/>
        <v>105.4390935748427</v>
      </c>
      <c r="N154" s="7">
        <f t="shared" si="36"/>
        <v>11288</v>
      </c>
      <c r="O154" s="7">
        <f t="shared" si="32"/>
        <v>105</v>
      </c>
      <c r="P154" s="3">
        <f>SUM($O$4:O154)</f>
        <v>5699</v>
      </c>
      <c r="T154" s="7">
        <v>56</v>
      </c>
      <c r="U154" s="3">
        <v>2.9279907084785135</v>
      </c>
      <c r="V154" s="3">
        <v>412.45024792394901</v>
      </c>
      <c r="Y154" s="3">
        <f t="shared" si="33"/>
        <v>151</v>
      </c>
      <c r="Z154" s="3">
        <f t="shared" si="34"/>
        <v>239090</v>
      </c>
      <c r="AA154" s="7"/>
      <c r="AB154" s="7">
        <f t="shared" si="35"/>
        <v>13040</v>
      </c>
    </row>
    <row r="155" spans="6:28" x14ac:dyDescent="0.15">
      <c r="F155">
        <f t="shared" si="25"/>
        <v>22</v>
      </c>
      <c r="G155">
        <v>152</v>
      </c>
      <c r="H155">
        <f t="shared" si="26"/>
        <v>56631.144731257031</v>
      </c>
      <c r="I155">
        <f t="shared" si="27"/>
        <v>56631</v>
      </c>
      <c r="J155" s="1">
        <f t="shared" si="28"/>
        <v>1</v>
      </c>
      <c r="K155" s="1">
        <f t="shared" si="29"/>
        <v>56631</v>
      </c>
      <c r="L155" s="1">
        <f t="shared" si="30"/>
        <v>11288.446000000002</v>
      </c>
      <c r="M155" s="3">
        <f t="shared" si="31"/>
        <v>105.4390935748427</v>
      </c>
      <c r="N155" s="7">
        <f t="shared" si="36"/>
        <v>11288</v>
      </c>
      <c r="O155" s="7">
        <f t="shared" si="32"/>
        <v>105</v>
      </c>
      <c r="P155" s="3">
        <f>SUM($O$4:O155)</f>
        <v>5804</v>
      </c>
      <c r="T155" s="7">
        <v>57</v>
      </c>
      <c r="U155" s="3">
        <v>2.7402173913043475</v>
      </c>
      <c r="V155" s="3">
        <v>415.19046531525333</v>
      </c>
      <c r="Y155" s="3">
        <f t="shared" si="33"/>
        <v>152</v>
      </c>
      <c r="Z155" s="3">
        <f t="shared" si="34"/>
        <v>252707</v>
      </c>
      <c r="AA155" s="7"/>
      <c r="AB155" s="7">
        <f t="shared" si="35"/>
        <v>13040</v>
      </c>
    </row>
    <row r="156" spans="6:28" x14ac:dyDescent="0.15">
      <c r="F156">
        <f t="shared" si="25"/>
        <v>22</v>
      </c>
      <c r="G156">
        <v>153</v>
      </c>
      <c r="H156">
        <f t="shared" si="26"/>
        <v>56631.144731257031</v>
      </c>
      <c r="I156">
        <f t="shared" si="27"/>
        <v>56631</v>
      </c>
      <c r="J156" s="1">
        <f t="shared" si="28"/>
        <v>1</v>
      </c>
      <c r="K156" s="1">
        <f t="shared" si="29"/>
        <v>56631</v>
      </c>
      <c r="L156" s="1">
        <f t="shared" si="30"/>
        <v>11288.446000000002</v>
      </c>
      <c r="M156" s="3">
        <f t="shared" si="31"/>
        <v>105.4390935748427</v>
      </c>
      <c r="N156" s="7">
        <f t="shared" si="36"/>
        <v>11288</v>
      </c>
      <c r="O156" s="7">
        <f t="shared" si="32"/>
        <v>105</v>
      </c>
      <c r="P156" s="3">
        <f>SUM($O$4:O156)</f>
        <v>5909</v>
      </c>
      <c r="T156" s="7">
        <v>57</v>
      </c>
      <c r="U156" s="3">
        <v>2.7402173913043475</v>
      </c>
      <c r="V156" s="3">
        <v>417.93068270655766</v>
      </c>
      <c r="Y156" s="3">
        <f t="shared" si="33"/>
        <v>153</v>
      </c>
      <c r="Z156" s="3">
        <f t="shared" si="34"/>
        <v>267088</v>
      </c>
      <c r="AA156" s="7"/>
      <c r="AB156" s="7">
        <f t="shared" si="35"/>
        <v>13040</v>
      </c>
    </row>
    <row r="157" spans="6:28" x14ac:dyDescent="0.15">
      <c r="F157">
        <f t="shared" si="25"/>
        <v>22</v>
      </c>
      <c r="G157">
        <v>154</v>
      </c>
      <c r="H157">
        <f t="shared" si="26"/>
        <v>56631.144731257031</v>
      </c>
      <c r="I157">
        <f t="shared" si="27"/>
        <v>56631</v>
      </c>
      <c r="J157" s="1">
        <f t="shared" si="28"/>
        <v>4</v>
      </c>
      <c r="K157" s="1">
        <f t="shared" si="29"/>
        <v>226524</v>
      </c>
      <c r="L157" s="1">
        <f t="shared" si="30"/>
        <v>45153.784000000007</v>
      </c>
      <c r="M157" s="3">
        <f t="shared" si="31"/>
        <v>421.7563742993708</v>
      </c>
      <c r="N157" s="7">
        <f t="shared" si="36"/>
        <v>45154</v>
      </c>
      <c r="O157" s="7">
        <f t="shared" si="32"/>
        <v>421</v>
      </c>
      <c r="P157" s="3">
        <f>SUM($O$4:O157)</f>
        <v>6330</v>
      </c>
      <c r="T157" s="7">
        <v>58</v>
      </c>
      <c r="U157" s="3">
        <v>2.5645981688708037</v>
      </c>
      <c r="V157" s="3">
        <v>420.49528087542848</v>
      </c>
      <c r="Y157" s="3">
        <f t="shared" si="33"/>
        <v>154</v>
      </c>
      <c r="Z157" s="3">
        <f t="shared" si="34"/>
        <v>282275</v>
      </c>
      <c r="AA157" s="7"/>
      <c r="AB157" s="7">
        <f t="shared" si="35"/>
        <v>13040</v>
      </c>
    </row>
    <row r="158" spans="6:28" x14ac:dyDescent="0.15">
      <c r="F158">
        <f t="shared" si="25"/>
        <v>23</v>
      </c>
      <c r="G158">
        <v>155</v>
      </c>
      <c r="H158">
        <f t="shared" si="26"/>
        <v>88910.897228073518</v>
      </c>
      <c r="I158">
        <f t="shared" si="27"/>
        <v>88911</v>
      </c>
      <c r="J158" s="1">
        <f t="shared" si="28"/>
        <v>1</v>
      </c>
      <c r="K158" s="1">
        <f t="shared" si="29"/>
        <v>88911</v>
      </c>
      <c r="L158" s="1">
        <f t="shared" si="30"/>
        <v>17989.659000000003</v>
      </c>
      <c r="M158" s="3">
        <f t="shared" si="31"/>
        <v>129.25491990663664</v>
      </c>
      <c r="N158" s="7">
        <f t="shared" si="36"/>
        <v>17990</v>
      </c>
      <c r="O158" s="7">
        <f t="shared" si="32"/>
        <v>129</v>
      </c>
      <c r="P158" s="3">
        <f>SUM($O$4:O158)</f>
        <v>6459</v>
      </c>
      <c r="T158" s="7">
        <v>58</v>
      </c>
      <c r="U158" s="3">
        <v>2.5645981688708037</v>
      </c>
      <c r="V158" s="3">
        <v>423.05987904429929</v>
      </c>
      <c r="Y158" s="3">
        <f t="shared" si="33"/>
        <v>155</v>
      </c>
      <c r="Z158" s="3">
        <f t="shared" si="34"/>
        <v>298314</v>
      </c>
      <c r="AA158" s="7"/>
      <c r="AB158" s="7">
        <f t="shared" si="35"/>
        <v>13040</v>
      </c>
    </row>
    <row r="159" spans="6:28" x14ac:dyDescent="0.15">
      <c r="F159">
        <f t="shared" si="25"/>
        <v>23</v>
      </c>
      <c r="G159">
        <v>156</v>
      </c>
      <c r="H159">
        <f t="shared" si="26"/>
        <v>88910.897228073518</v>
      </c>
      <c r="I159">
        <f t="shared" si="27"/>
        <v>88911</v>
      </c>
      <c r="J159" s="1">
        <f t="shared" si="28"/>
        <v>1</v>
      </c>
      <c r="K159" s="1">
        <f t="shared" si="29"/>
        <v>88911</v>
      </c>
      <c r="L159" s="1">
        <f t="shared" si="30"/>
        <v>17989.659000000003</v>
      </c>
      <c r="M159" s="3">
        <f t="shared" si="31"/>
        <v>129.25491990663664</v>
      </c>
      <c r="N159" s="7">
        <f t="shared" si="36"/>
        <v>17990</v>
      </c>
      <c r="O159" s="7">
        <f t="shared" si="32"/>
        <v>129</v>
      </c>
      <c r="P159" s="3">
        <f>SUM($O$4:O159)</f>
        <v>6588</v>
      </c>
      <c r="T159" s="7">
        <v>59</v>
      </c>
      <c r="U159" s="3">
        <v>2.4009523809523809</v>
      </c>
      <c r="V159" s="3">
        <v>425.46083142525168</v>
      </c>
      <c r="Y159" s="3">
        <f t="shared" si="33"/>
        <v>156</v>
      </c>
      <c r="Z159" s="3">
        <f t="shared" si="34"/>
        <v>315250</v>
      </c>
      <c r="AA159" s="7"/>
      <c r="AB159" s="7">
        <f t="shared" si="35"/>
        <v>13040</v>
      </c>
    </row>
    <row r="160" spans="6:28" x14ac:dyDescent="0.15">
      <c r="F160">
        <f t="shared" si="25"/>
        <v>23</v>
      </c>
      <c r="G160">
        <v>157</v>
      </c>
      <c r="H160">
        <f t="shared" si="26"/>
        <v>88910.897228073518</v>
      </c>
      <c r="I160">
        <f t="shared" si="27"/>
        <v>88911</v>
      </c>
      <c r="J160" s="1">
        <f t="shared" si="28"/>
        <v>1</v>
      </c>
      <c r="K160" s="1">
        <f t="shared" si="29"/>
        <v>88911</v>
      </c>
      <c r="L160" s="1">
        <f t="shared" si="30"/>
        <v>17989.659000000003</v>
      </c>
      <c r="M160" s="3">
        <f t="shared" si="31"/>
        <v>129.25491990663664</v>
      </c>
      <c r="N160" s="7">
        <f t="shared" si="36"/>
        <v>17990</v>
      </c>
      <c r="O160" s="7">
        <f t="shared" si="32"/>
        <v>129</v>
      </c>
      <c r="P160" s="3">
        <f>SUM($O$4:O160)</f>
        <v>6717</v>
      </c>
      <c r="T160" s="7">
        <v>59</v>
      </c>
      <c r="U160" s="3">
        <v>2.4009523809523809</v>
      </c>
      <c r="V160" s="3">
        <v>427.86178380620407</v>
      </c>
      <c r="Y160" s="3">
        <f t="shared" si="33"/>
        <v>157</v>
      </c>
      <c r="Z160" s="3">
        <f t="shared" si="34"/>
        <v>333134</v>
      </c>
      <c r="AA160" s="7"/>
      <c r="AB160" s="7">
        <f t="shared" si="35"/>
        <v>13040</v>
      </c>
    </row>
    <row r="161" spans="6:28" x14ac:dyDescent="0.15">
      <c r="F161">
        <f t="shared" si="25"/>
        <v>23</v>
      </c>
      <c r="G161">
        <v>158</v>
      </c>
      <c r="H161">
        <f t="shared" si="26"/>
        <v>88910.897228073518</v>
      </c>
      <c r="I161">
        <f t="shared" si="27"/>
        <v>88911</v>
      </c>
      <c r="J161" s="1">
        <f t="shared" si="28"/>
        <v>1</v>
      </c>
      <c r="K161" s="1">
        <f t="shared" si="29"/>
        <v>88911</v>
      </c>
      <c r="L161" s="1">
        <f t="shared" si="30"/>
        <v>17989.659000000003</v>
      </c>
      <c r="M161" s="3">
        <f t="shared" si="31"/>
        <v>129.25491990663664</v>
      </c>
      <c r="N161" s="7">
        <f t="shared" si="36"/>
        <v>17990</v>
      </c>
      <c r="O161" s="7">
        <f t="shared" si="32"/>
        <v>129</v>
      </c>
      <c r="P161" s="3">
        <f>SUM($O$4:O161)</f>
        <v>6846</v>
      </c>
      <c r="T161" s="7">
        <v>59</v>
      </c>
      <c r="U161" s="3">
        <v>2.4009523809523809</v>
      </c>
      <c r="V161" s="3">
        <v>430.26273618715646</v>
      </c>
      <c r="Y161" s="3">
        <f t="shared" si="33"/>
        <v>158</v>
      </c>
      <c r="Z161" s="3">
        <f t="shared" si="34"/>
        <v>352019</v>
      </c>
      <c r="AA161" s="7"/>
      <c r="AB161" s="7">
        <f t="shared" si="35"/>
        <v>13040</v>
      </c>
    </row>
    <row r="162" spans="6:28" x14ac:dyDescent="0.15">
      <c r="F162">
        <f t="shared" si="25"/>
        <v>23</v>
      </c>
      <c r="G162">
        <v>159</v>
      </c>
      <c r="H162">
        <f t="shared" si="26"/>
        <v>88910.897228073518</v>
      </c>
      <c r="I162">
        <f t="shared" si="27"/>
        <v>88911</v>
      </c>
      <c r="J162" s="1">
        <f t="shared" si="28"/>
        <v>1</v>
      </c>
      <c r="K162" s="1">
        <f t="shared" si="29"/>
        <v>88911</v>
      </c>
      <c r="L162" s="1">
        <f t="shared" si="30"/>
        <v>17989.659000000003</v>
      </c>
      <c r="M162" s="3">
        <f t="shared" si="31"/>
        <v>129.25491990663664</v>
      </c>
      <c r="N162" s="7">
        <f t="shared" si="36"/>
        <v>17990</v>
      </c>
      <c r="O162" s="7">
        <f t="shared" si="32"/>
        <v>129</v>
      </c>
      <c r="P162" s="3">
        <f>SUM($O$4:O162)</f>
        <v>6975</v>
      </c>
      <c r="T162" s="7">
        <v>60</v>
      </c>
      <c r="U162" s="3">
        <v>2.2488849241748441</v>
      </c>
      <c r="V162" s="3">
        <v>432.51162111133129</v>
      </c>
      <c r="Y162" s="3">
        <f t="shared" si="33"/>
        <v>159</v>
      </c>
      <c r="Z162" s="3">
        <f t="shared" si="34"/>
        <v>371960</v>
      </c>
      <c r="AA162" s="7"/>
      <c r="AB162" s="7">
        <f t="shared" si="35"/>
        <v>13040</v>
      </c>
    </row>
    <row r="163" spans="6:28" x14ac:dyDescent="0.15">
      <c r="F163">
        <f t="shared" si="25"/>
        <v>23</v>
      </c>
      <c r="G163">
        <v>160</v>
      </c>
      <c r="H163">
        <f t="shared" si="26"/>
        <v>88910.897228073518</v>
      </c>
      <c r="I163">
        <f t="shared" si="27"/>
        <v>88911</v>
      </c>
      <c r="J163" s="1">
        <f t="shared" si="28"/>
        <v>1</v>
      </c>
      <c r="K163" s="1">
        <f t="shared" si="29"/>
        <v>88911</v>
      </c>
      <c r="L163" s="1">
        <f t="shared" si="30"/>
        <v>17989.659000000003</v>
      </c>
      <c r="M163" s="3">
        <f t="shared" si="31"/>
        <v>129.25491990663664</v>
      </c>
      <c r="N163" s="7">
        <f t="shared" si="36"/>
        <v>17990</v>
      </c>
      <c r="O163" s="7">
        <f t="shared" si="32"/>
        <v>129</v>
      </c>
      <c r="P163" s="3">
        <f>SUM($O$4:O163)</f>
        <v>7104</v>
      </c>
      <c r="T163" s="7">
        <v>60</v>
      </c>
      <c r="U163" s="3">
        <v>4.497680642283675</v>
      </c>
      <c r="V163" s="3">
        <v>437.00930175361498</v>
      </c>
      <c r="Y163" s="3">
        <f t="shared" si="33"/>
        <v>160</v>
      </c>
      <c r="Z163" s="3">
        <f t="shared" si="34"/>
        <v>393014</v>
      </c>
      <c r="AA163" s="7"/>
      <c r="AB163" s="7">
        <f t="shared" si="35"/>
        <v>13040</v>
      </c>
    </row>
    <row r="164" spans="6:28" x14ac:dyDescent="0.15">
      <c r="F164">
        <f t="shared" si="25"/>
        <v>23</v>
      </c>
      <c r="G164">
        <v>161</v>
      </c>
      <c r="H164">
        <f t="shared" si="26"/>
        <v>88910.897228073518</v>
      </c>
      <c r="I164">
        <f t="shared" si="27"/>
        <v>88911</v>
      </c>
      <c r="J164" s="1">
        <f t="shared" si="28"/>
        <v>6</v>
      </c>
      <c r="K164" s="1">
        <f t="shared" si="29"/>
        <v>533466</v>
      </c>
      <c r="L164" s="1">
        <f t="shared" si="30"/>
        <v>107937.95400000001</v>
      </c>
      <c r="M164" s="3">
        <f t="shared" si="31"/>
        <v>775.52951943981986</v>
      </c>
      <c r="N164" s="7">
        <f t="shared" si="36"/>
        <v>107938</v>
      </c>
      <c r="O164" s="7">
        <f t="shared" si="32"/>
        <v>775</v>
      </c>
      <c r="P164" s="3">
        <f>SUM($O$4:O164)</f>
        <v>7879</v>
      </c>
      <c r="T164" s="7">
        <v>61</v>
      </c>
      <c r="U164" s="3">
        <v>3.3092809364548494</v>
      </c>
      <c r="V164" s="3">
        <v>440.31858269006983</v>
      </c>
      <c r="Y164" s="3">
        <f t="shared" si="33"/>
        <v>161</v>
      </c>
      <c r="Z164" s="3">
        <f t="shared" si="34"/>
        <v>415244</v>
      </c>
      <c r="AA164" s="7"/>
      <c r="AB164" s="7">
        <f t="shared" si="35"/>
        <v>13040</v>
      </c>
    </row>
    <row r="165" spans="6:28" x14ac:dyDescent="0.15">
      <c r="F165">
        <f t="shared" si="25"/>
        <v>24</v>
      </c>
      <c r="G165">
        <v>162</v>
      </c>
      <c r="H165">
        <f t="shared" si="26"/>
        <v>139590.10864807543</v>
      </c>
      <c r="I165">
        <f t="shared" si="27"/>
        <v>139590</v>
      </c>
      <c r="J165" s="1">
        <f t="shared" si="28"/>
        <v>1</v>
      </c>
      <c r="K165" s="1">
        <f t="shared" si="29"/>
        <v>139590</v>
      </c>
      <c r="L165" s="1">
        <f t="shared" si="30"/>
        <v>28662.480000000003</v>
      </c>
      <c r="M165" s="3">
        <f t="shared" si="31"/>
        <v>158.41436617839406</v>
      </c>
      <c r="N165" s="7">
        <f t="shared" si="36"/>
        <v>28662</v>
      </c>
      <c r="O165" s="7">
        <f t="shared" si="32"/>
        <v>158</v>
      </c>
      <c r="P165" s="3">
        <f>SUM($O$4:O165)</f>
        <v>8037</v>
      </c>
      <c r="T165" s="7">
        <v>62</v>
      </c>
      <c r="U165" s="3">
        <v>3.0993735317149569</v>
      </c>
      <c r="V165" s="3">
        <v>443.41795622178478</v>
      </c>
      <c r="Y165" s="3">
        <f t="shared" si="33"/>
        <v>162</v>
      </c>
      <c r="Z165" s="3">
        <f t="shared" si="34"/>
        <v>438714</v>
      </c>
      <c r="AA165" s="7"/>
      <c r="AB165" s="7">
        <f t="shared" si="35"/>
        <v>13040</v>
      </c>
    </row>
    <row r="166" spans="6:28" x14ac:dyDescent="0.15">
      <c r="F166">
        <f t="shared" si="25"/>
        <v>24</v>
      </c>
      <c r="G166">
        <v>163</v>
      </c>
      <c r="H166">
        <f t="shared" si="26"/>
        <v>139590.10864807543</v>
      </c>
      <c r="I166">
        <f t="shared" si="27"/>
        <v>139590</v>
      </c>
      <c r="J166" s="1">
        <f t="shared" si="28"/>
        <v>1</v>
      </c>
      <c r="K166" s="1">
        <f t="shared" si="29"/>
        <v>139590</v>
      </c>
      <c r="L166" s="1">
        <f t="shared" si="30"/>
        <v>28662.480000000003</v>
      </c>
      <c r="M166" s="3">
        <f t="shared" si="31"/>
        <v>158.41436617839406</v>
      </c>
      <c r="N166" s="7">
        <f t="shared" si="36"/>
        <v>28662</v>
      </c>
      <c r="O166" s="7">
        <f t="shared" si="32"/>
        <v>158</v>
      </c>
      <c r="P166" s="3">
        <f>SUM($O$4:O166)</f>
        <v>8195</v>
      </c>
      <c r="T166" s="7">
        <v>62</v>
      </c>
      <c r="U166" s="3">
        <v>3.0993735317149569</v>
      </c>
      <c r="V166" s="3">
        <v>446.51732975349972</v>
      </c>
      <c r="Y166" s="3">
        <f t="shared" si="33"/>
        <v>163</v>
      </c>
      <c r="Z166" s="3">
        <f t="shared" si="34"/>
        <v>463493</v>
      </c>
      <c r="AA166" s="7"/>
      <c r="AB166" s="7">
        <f t="shared" si="35"/>
        <v>13040</v>
      </c>
    </row>
    <row r="167" spans="6:28" x14ac:dyDescent="0.15">
      <c r="F167">
        <f t="shared" si="25"/>
        <v>24</v>
      </c>
      <c r="G167">
        <v>164</v>
      </c>
      <c r="H167">
        <f t="shared" si="26"/>
        <v>139590.10864807543</v>
      </c>
      <c r="I167">
        <f t="shared" si="27"/>
        <v>139590</v>
      </c>
      <c r="J167" s="1">
        <f t="shared" si="28"/>
        <v>1</v>
      </c>
      <c r="K167" s="1">
        <f t="shared" si="29"/>
        <v>139590</v>
      </c>
      <c r="L167" s="1">
        <f t="shared" si="30"/>
        <v>28662.480000000003</v>
      </c>
      <c r="M167" s="3">
        <f t="shared" si="31"/>
        <v>158.41436617839406</v>
      </c>
      <c r="N167" s="7">
        <f t="shared" si="36"/>
        <v>28662</v>
      </c>
      <c r="O167" s="7">
        <f t="shared" si="32"/>
        <v>158</v>
      </c>
      <c r="P167" s="3">
        <f>SUM($O$4:O167)</f>
        <v>8353</v>
      </c>
      <c r="T167" s="7">
        <v>63</v>
      </c>
      <c r="U167" s="3">
        <v>2.9059471365638769</v>
      </c>
      <c r="V167" s="3">
        <v>449.42327689006362</v>
      </c>
      <c r="Y167" s="3">
        <f t="shared" si="33"/>
        <v>164</v>
      </c>
      <c r="Z167" s="3">
        <f t="shared" si="34"/>
        <v>489654</v>
      </c>
      <c r="AA167" s="7"/>
      <c r="AB167" s="7">
        <f t="shared" si="35"/>
        <v>13040</v>
      </c>
    </row>
    <row r="168" spans="6:28" x14ac:dyDescent="0.15">
      <c r="F168">
        <f t="shared" si="25"/>
        <v>24</v>
      </c>
      <c r="G168">
        <v>165</v>
      </c>
      <c r="H168">
        <f t="shared" si="26"/>
        <v>139590.10864807543</v>
      </c>
      <c r="I168">
        <f t="shared" si="27"/>
        <v>139590</v>
      </c>
      <c r="J168" s="1">
        <f t="shared" si="28"/>
        <v>1</v>
      </c>
      <c r="K168" s="1">
        <f t="shared" si="29"/>
        <v>139590</v>
      </c>
      <c r="L168" s="1">
        <f t="shared" si="30"/>
        <v>28662.480000000003</v>
      </c>
      <c r="M168" s="3">
        <f t="shared" si="31"/>
        <v>158.41436617839406</v>
      </c>
      <c r="N168" s="7">
        <f t="shared" si="36"/>
        <v>28662</v>
      </c>
      <c r="O168" s="7">
        <f t="shared" si="32"/>
        <v>158</v>
      </c>
      <c r="P168" s="3">
        <f>SUM($O$4:O168)</f>
        <v>8511</v>
      </c>
      <c r="T168" s="7">
        <v>63</v>
      </c>
      <c r="U168" s="3">
        <v>2.9059471365638769</v>
      </c>
      <c r="V168" s="3">
        <v>452.32922402662751</v>
      </c>
      <c r="Y168" s="3">
        <f t="shared" si="33"/>
        <v>165</v>
      </c>
      <c r="Z168" s="3">
        <f t="shared" si="34"/>
        <v>517271</v>
      </c>
      <c r="AA168" s="7"/>
      <c r="AB168" s="7">
        <f t="shared" si="35"/>
        <v>13040</v>
      </c>
    </row>
    <row r="169" spans="6:28" x14ac:dyDescent="0.15">
      <c r="F169">
        <f t="shared" si="25"/>
        <v>24</v>
      </c>
      <c r="G169">
        <v>166</v>
      </c>
      <c r="H169">
        <f t="shared" si="26"/>
        <v>139590.10864807543</v>
      </c>
      <c r="I169">
        <f t="shared" si="27"/>
        <v>139590</v>
      </c>
      <c r="J169" s="1">
        <f t="shared" si="28"/>
        <v>1</v>
      </c>
      <c r="K169" s="1">
        <f t="shared" si="29"/>
        <v>139590</v>
      </c>
      <c r="L169" s="1">
        <f t="shared" si="30"/>
        <v>28662.480000000003</v>
      </c>
      <c r="M169" s="3">
        <f t="shared" si="31"/>
        <v>158.41436617839406</v>
      </c>
      <c r="N169" s="7">
        <f t="shared" si="36"/>
        <v>28662</v>
      </c>
      <c r="O169" s="7">
        <f t="shared" si="32"/>
        <v>158</v>
      </c>
      <c r="P169" s="3">
        <f>SUM($O$4:O169)</f>
        <v>8669</v>
      </c>
      <c r="T169" s="7">
        <v>64</v>
      </c>
      <c r="U169" s="3">
        <v>2.7239504473503096</v>
      </c>
      <c r="V169" s="3">
        <v>455.05317447397783</v>
      </c>
      <c r="Y169" s="3">
        <f t="shared" si="33"/>
        <v>166</v>
      </c>
      <c r="Z169" s="3">
        <f t="shared" si="34"/>
        <v>546426</v>
      </c>
      <c r="AA169" s="7"/>
      <c r="AB169" s="7">
        <f t="shared" si="35"/>
        <v>13040</v>
      </c>
    </row>
    <row r="170" spans="6:28" x14ac:dyDescent="0.15">
      <c r="F170">
        <f t="shared" si="25"/>
        <v>24</v>
      </c>
      <c r="G170">
        <v>167</v>
      </c>
      <c r="H170">
        <f t="shared" si="26"/>
        <v>139590.10864807543</v>
      </c>
      <c r="I170">
        <f t="shared" si="27"/>
        <v>139590</v>
      </c>
      <c r="J170" s="1">
        <f t="shared" si="28"/>
        <v>1</v>
      </c>
      <c r="K170" s="1">
        <f t="shared" si="29"/>
        <v>139590</v>
      </c>
      <c r="L170" s="1">
        <f t="shared" si="30"/>
        <v>28662.480000000003</v>
      </c>
      <c r="M170" s="3">
        <f t="shared" si="31"/>
        <v>158.41436617839406</v>
      </c>
      <c r="N170" s="7">
        <f t="shared" si="36"/>
        <v>28662</v>
      </c>
      <c r="O170" s="7">
        <f t="shared" si="32"/>
        <v>158</v>
      </c>
      <c r="P170" s="3">
        <f>SUM($O$4:O170)</f>
        <v>8827</v>
      </c>
      <c r="T170" s="7">
        <v>64</v>
      </c>
      <c r="U170" s="3">
        <v>2.7239504473503096</v>
      </c>
      <c r="V170" s="3">
        <v>457.77712492132815</v>
      </c>
      <c r="Y170" s="3">
        <f t="shared" si="33"/>
        <v>167</v>
      </c>
      <c r="Z170" s="3">
        <f t="shared" si="34"/>
        <v>577204</v>
      </c>
      <c r="AA170" s="7"/>
      <c r="AB170" s="7">
        <f t="shared" si="35"/>
        <v>13040</v>
      </c>
    </row>
    <row r="171" spans="6:28" x14ac:dyDescent="0.15">
      <c r="F171">
        <f t="shared" si="25"/>
        <v>24</v>
      </c>
      <c r="G171">
        <v>168</v>
      </c>
      <c r="H171">
        <f t="shared" si="26"/>
        <v>139590.10864807543</v>
      </c>
      <c r="I171">
        <f t="shared" si="27"/>
        <v>139590</v>
      </c>
      <c r="J171" s="1">
        <f t="shared" si="28"/>
        <v>7</v>
      </c>
      <c r="K171" s="1">
        <f t="shared" si="29"/>
        <v>977130</v>
      </c>
      <c r="L171" s="1">
        <f t="shared" si="30"/>
        <v>200637.36000000002</v>
      </c>
      <c r="M171" s="3">
        <f t="shared" si="31"/>
        <v>1108.9005632487583</v>
      </c>
      <c r="N171" s="7">
        <f t="shared" si="36"/>
        <v>200637</v>
      </c>
      <c r="O171" s="7">
        <f t="shared" si="32"/>
        <v>1108</v>
      </c>
      <c r="P171" s="3">
        <f>SUM($O$4:O171)</f>
        <v>9935</v>
      </c>
      <c r="T171" s="7">
        <v>64</v>
      </c>
      <c r="U171" s="3">
        <v>2.7239504473503096</v>
      </c>
      <c r="V171" s="3">
        <v>460.50107536867847</v>
      </c>
      <c r="Y171" s="3">
        <f t="shared" si="33"/>
        <v>168</v>
      </c>
      <c r="Z171" s="3">
        <f t="shared" si="34"/>
        <v>609693</v>
      </c>
      <c r="AA171" s="7"/>
      <c r="AB171" s="7">
        <f t="shared" si="35"/>
        <v>13040</v>
      </c>
    </row>
    <row r="172" spans="6:28" x14ac:dyDescent="0.15">
      <c r="F172">
        <f t="shared" si="25"/>
        <v>25</v>
      </c>
      <c r="G172">
        <v>169</v>
      </c>
      <c r="H172">
        <f t="shared" si="26"/>
        <v>219156.47057747844</v>
      </c>
      <c r="I172">
        <f t="shared" si="27"/>
        <v>219156</v>
      </c>
      <c r="J172" s="1">
        <f t="shared" si="28"/>
        <v>1</v>
      </c>
      <c r="K172" s="1">
        <f t="shared" si="29"/>
        <v>219156</v>
      </c>
      <c r="L172" s="1">
        <f t="shared" si="30"/>
        <v>45657.5</v>
      </c>
      <c r="M172" s="3">
        <f t="shared" si="31"/>
        <v>194.11074428982866</v>
      </c>
      <c r="N172" s="7">
        <f t="shared" si="36"/>
        <v>45658</v>
      </c>
      <c r="O172" s="7">
        <f t="shared" si="32"/>
        <v>194</v>
      </c>
      <c r="P172" s="3">
        <f>SUM($O$4:O172)</f>
        <v>10129</v>
      </c>
      <c r="T172" s="7">
        <v>65</v>
      </c>
      <c r="U172" s="3">
        <v>2.5534838709677419</v>
      </c>
      <c r="V172" s="3">
        <v>463.05455923964621</v>
      </c>
      <c r="Y172" s="3">
        <f t="shared" si="33"/>
        <v>169</v>
      </c>
      <c r="Z172" s="3">
        <f t="shared" si="34"/>
        <v>643989</v>
      </c>
      <c r="AA172" s="7"/>
      <c r="AB172" s="7">
        <f t="shared" si="35"/>
        <v>13040</v>
      </c>
    </row>
    <row r="173" spans="6:28" x14ac:dyDescent="0.15">
      <c r="F173">
        <f t="shared" si="25"/>
        <v>25</v>
      </c>
      <c r="G173">
        <v>170</v>
      </c>
      <c r="H173">
        <f t="shared" si="26"/>
        <v>219156.47057747844</v>
      </c>
      <c r="I173">
        <f t="shared" si="27"/>
        <v>219156</v>
      </c>
      <c r="J173" s="1">
        <f t="shared" si="28"/>
        <v>1</v>
      </c>
      <c r="K173" s="1">
        <f t="shared" si="29"/>
        <v>219156</v>
      </c>
      <c r="L173" s="1">
        <f t="shared" si="30"/>
        <v>45657.5</v>
      </c>
      <c r="M173" s="3">
        <f t="shared" si="31"/>
        <v>194.11074428982866</v>
      </c>
      <c r="N173" s="7">
        <f t="shared" si="36"/>
        <v>45658</v>
      </c>
      <c r="O173" s="7">
        <f t="shared" si="32"/>
        <v>194</v>
      </c>
      <c r="P173" s="3">
        <f>SUM($O$4:O173)</f>
        <v>10323</v>
      </c>
      <c r="T173" s="7">
        <v>65</v>
      </c>
      <c r="U173" s="3">
        <v>10.213935483870968</v>
      </c>
      <c r="V173" s="3">
        <v>473.26849472351716</v>
      </c>
      <c r="Y173" s="3">
        <f t="shared" si="33"/>
        <v>170</v>
      </c>
      <c r="Z173" s="3">
        <f t="shared" si="34"/>
        <v>680189</v>
      </c>
      <c r="AA173" s="7"/>
      <c r="AB173" s="7">
        <f t="shared" si="35"/>
        <v>13040</v>
      </c>
    </row>
    <row r="174" spans="6:28" x14ac:dyDescent="0.15">
      <c r="F174">
        <f t="shared" si="25"/>
        <v>25</v>
      </c>
      <c r="G174">
        <v>171</v>
      </c>
      <c r="H174">
        <f t="shared" si="26"/>
        <v>219156.47057747844</v>
      </c>
      <c r="I174">
        <f t="shared" si="27"/>
        <v>219156</v>
      </c>
      <c r="J174" s="1">
        <f t="shared" si="28"/>
        <v>1</v>
      </c>
      <c r="K174" s="1">
        <f t="shared" si="29"/>
        <v>219156</v>
      </c>
      <c r="L174" s="1">
        <f t="shared" si="30"/>
        <v>45657.5</v>
      </c>
      <c r="M174" s="3">
        <f t="shared" si="31"/>
        <v>194.11074428982866</v>
      </c>
      <c r="N174" s="7">
        <f t="shared" si="36"/>
        <v>45658</v>
      </c>
      <c r="O174" s="7">
        <f t="shared" si="32"/>
        <v>194</v>
      </c>
      <c r="P174" s="3">
        <f>SUM($O$4:O174)</f>
        <v>10517</v>
      </c>
      <c r="T174" s="7">
        <v>67</v>
      </c>
      <c r="U174" s="3">
        <v>3.5286201022146506</v>
      </c>
      <c r="V174" s="3">
        <v>476.7971148257318</v>
      </c>
      <c r="Y174" s="3">
        <f t="shared" si="33"/>
        <v>171</v>
      </c>
      <c r="Z174" s="3">
        <f t="shared" si="34"/>
        <v>718400</v>
      </c>
      <c r="AA174" s="7"/>
      <c r="AB174" s="7">
        <f t="shared" si="35"/>
        <v>13040</v>
      </c>
    </row>
    <row r="175" spans="6:28" x14ac:dyDescent="0.15">
      <c r="F175">
        <f t="shared" si="25"/>
        <v>25</v>
      </c>
      <c r="G175">
        <v>172</v>
      </c>
      <c r="H175">
        <f t="shared" si="26"/>
        <v>219156.47057747844</v>
      </c>
      <c r="I175">
        <f t="shared" si="27"/>
        <v>219156</v>
      </c>
      <c r="J175" s="1">
        <f t="shared" si="28"/>
        <v>1</v>
      </c>
      <c r="K175" s="1">
        <f t="shared" si="29"/>
        <v>219156</v>
      </c>
      <c r="L175" s="1">
        <f t="shared" si="30"/>
        <v>45657.5</v>
      </c>
      <c r="M175" s="3">
        <f t="shared" si="31"/>
        <v>194.11074428982866</v>
      </c>
      <c r="N175" s="7">
        <f t="shared" si="36"/>
        <v>45658</v>
      </c>
      <c r="O175" s="7">
        <f t="shared" si="32"/>
        <v>194</v>
      </c>
      <c r="P175" s="3">
        <f>SUM($O$4:O175)</f>
        <v>10711</v>
      </c>
      <c r="T175" s="7">
        <v>67</v>
      </c>
      <c r="U175" s="3">
        <v>3.5286201022146506</v>
      </c>
      <c r="V175" s="3">
        <v>480.32573492794643</v>
      </c>
      <c r="Y175" s="3">
        <f t="shared" si="33"/>
        <v>172</v>
      </c>
      <c r="Z175" s="3">
        <f t="shared" si="34"/>
        <v>758731</v>
      </c>
      <c r="AA175" s="7"/>
      <c r="AB175" s="7">
        <f t="shared" si="35"/>
        <v>13040</v>
      </c>
    </row>
    <row r="176" spans="6:28" x14ac:dyDescent="0.15">
      <c r="F176">
        <f t="shared" si="25"/>
        <v>25</v>
      </c>
      <c r="G176">
        <v>173</v>
      </c>
      <c r="H176">
        <f t="shared" si="26"/>
        <v>219156.47057747844</v>
      </c>
      <c r="I176">
        <f t="shared" si="27"/>
        <v>219156</v>
      </c>
      <c r="J176" s="1">
        <f t="shared" si="28"/>
        <v>1</v>
      </c>
      <c r="K176" s="1">
        <f t="shared" si="29"/>
        <v>219156</v>
      </c>
      <c r="L176" s="1">
        <f t="shared" si="30"/>
        <v>45657.5</v>
      </c>
      <c r="M176" s="3">
        <f t="shared" si="31"/>
        <v>194.11074428982866</v>
      </c>
      <c r="N176" s="7">
        <f t="shared" si="36"/>
        <v>45658</v>
      </c>
      <c r="O176" s="7">
        <f t="shared" si="32"/>
        <v>194</v>
      </c>
      <c r="P176" s="3">
        <f>SUM($O$4:O176)</f>
        <v>10905</v>
      </c>
      <c r="T176" s="7">
        <v>68</v>
      </c>
      <c r="U176" s="3">
        <v>3.3105487480021312</v>
      </c>
      <c r="V176" s="3">
        <v>483.63628367594856</v>
      </c>
      <c r="Y176" s="3">
        <f t="shared" si="33"/>
        <v>173</v>
      </c>
      <c r="Z176" s="3">
        <f t="shared" si="34"/>
        <v>801299</v>
      </c>
      <c r="AA176" s="7"/>
      <c r="AB176" s="7">
        <f t="shared" si="35"/>
        <v>13040</v>
      </c>
    </row>
    <row r="177" spans="6:28" x14ac:dyDescent="0.15">
      <c r="F177">
        <f t="shared" si="25"/>
        <v>25</v>
      </c>
      <c r="G177">
        <v>174</v>
      </c>
      <c r="H177">
        <f t="shared" si="26"/>
        <v>219156.47057747844</v>
      </c>
      <c r="I177">
        <f t="shared" si="27"/>
        <v>219156</v>
      </c>
      <c r="J177" s="1">
        <f t="shared" si="28"/>
        <v>1</v>
      </c>
      <c r="K177" s="1">
        <f t="shared" si="29"/>
        <v>219156</v>
      </c>
      <c r="L177" s="1">
        <f t="shared" si="30"/>
        <v>45657.5</v>
      </c>
      <c r="M177" s="3">
        <f t="shared" si="31"/>
        <v>194.11074428982866</v>
      </c>
      <c r="N177" s="7">
        <f t="shared" si="36"/>
        <v>45658</v>
      </c>
      <c r="O177" s="7">
        <f t="shared" si="32"/>
        <v>194</v>
      </c>
      <c r="P177" s="3">
        <f>SUM($O$4:O177)</f>
        <v>11099</v>
      </c>
      <c r="T177" s="7">
        <v>69</v>
      </c>
      <c r="U177" s="3">
        <v>3.1085042521260631</v>
      </c>
      <c r="V177" s="3">
        <v>486.74478792807463</v>
      </c>
      <c r="Y177" s="3">
        <f t="shared" si="33"/>
        <v>174</v>
      </c>
      <c r="Z177" s="3">
        <f t="shared" si="34"/>
        <v>846228</v>
      </c>
      <c r="AA177" s="7"/>
      <c r="AB177" s="7">
        <f t="shared" si="35"/>
        <v>13040</v>
      </c>
    </row>
    <row r="178" spans="6:28" x14ac:dyDescent="0.15">
      <c r="F178">
        <f t="shared" si="25"/>
        <v>25</v>
      </c>
      <c r="G178">
        <v>175</v>
      </c>
      <c r="H178">
        <f t="shared" si="26"/>
        <v>219156.47057747844</v>
      </c>
      <c r="I178">
        <f t="shared" si="27"/>
        <v>219156</v>
      </c>
      <c r="J178" s="1">
        <f t="shared" si="28"/>
        <v>10</v>
      </c>
      <c r="K178" s="1">
        <f t="shared" si="29"/>
        <v>2191560</v>
      </c>
      <c r="L178" s="1">
        <f t="shared" si="30"/>
        <v>456575</v>
      </c>
      <c r="M178" s="3">
        <f t="shared" si="31"/>
        <v>1941.1074428982865</v>
      </c>
      <c r="N178" s="7">
        <f t="shared" si="36"/>
        <v>456575</v>
      </c>
      <c r="O178" s="7">
        <f t="shared" si="32"/>
        <v>1941</v>
      </c>
      <c r="P178" s="3">
        <f>SUM($O$4:O178)</f>
        <v>13040</v>
      </c>
      <c r="T178" s="7">
        <v>69</v>
      </c>
      <c r="U178" s="3">
        <v>18.651075537768882</v>
      </c>
      <c r="V178" s="3">
        <v>505.39586346584349</v>
      </c>
      <c r="Y178" s="3">
        <f t="shared" si="33"/>
        <v>175</v>
      </c>
      <c r="Z178" s="3">
        <f t="shared" si="34"/>
        <v>893646</v>
      </c>
      <c r="AA178" s="7"/>
      <c r="AB178" s="7">
        <f t="shared" si="35"/>
        <v>13040</v>
      </c>
    </row>
    <row r="179" spans="6:28" x14ac:dyDescent="0.15">
      <c r="F179">
        <f t="shared" si="25"/>
        <v>26</v>
      </c>
      <c r="G179">
        <v>176</v>
      </c>
      <c r="H179">
        <f t="shared" si="26"/>
        <v>344075.65880664112</v>
      </c>
      <c r="I179">
        <f t="shared" si="27"/>
        <v>344076</v>
      </c>
      <c r="J179" s="1">
        <f t="shared" si="28"/>
        <v>1</v>
      </c>
      <c r="K179" s="1">
        <f t="shared" si="29"/>
        <v>344076</v>
      </c>
      <c r="L179" s="1">
        <f t="shared" si="30"/>
        <v>72714.728000000003</v>
      </c>
      <c r="M179" s="3">
        <f t="shared" si="31"/>
        <v>237.80253430285603</v>
      </c>
      <c r="N179" s="7">
        <f t="shared" si="36"/>
        <v>72715</v>
      </c>
      <c r="O179" s="7">
        <f t="shared" si="32"/>
        <v>237</v>
      </c>
      <c r="P179" s="3">
        <f>SUM($O$4:O179)</f>
        <v>13277</v>
      </c>
      <c r="Y179" s="3">
        <f t="shared" si="33"/>
        <v>176</v>
      </c>
      <c r="Z179" s="3">
        <f t="shared" si="34"/>
        <v>943690</v>
      </c>
      <c r="AA179" s="7"/>
      <c r="AB179" s="7">
        <f t="shared" si="35"/>
        <v>13040</v>
      </c>
    </row>
    <row r="180" spans="6:28" x14ac:dyDescent="0.15">
      <c r="F180">
        <f t="shared" si="25"/>
        <v>26</v>
      </c>
      <c r="G180">
        <v>177</v>
      </c>
      <c r="H180">
        <f t="shared" si="26"/>
        <v>344075.65880664112</v>
      </c>
      <c r="I180">
        <f t="shared" si="27"/>
        <v>344076</v>
      </c>
      <c r="J180" s="1">
        <f t="shared" si="28"/>
        <v>1</v>
      </c>
      <c r="K180" s="1">
        <f t="shared" si="29"/>
        <v>344076</v>
      </c>
      <c r="L180" s="1">
        <f t="shared" si="30"/>
        <v>72714.728000000003</v>
      </c>
      <c r="M180" s="3">
        <f t="shared" si="31"/>
        <v>237.80253430285603</v>
      </c>
      <c r="N180" s="7">
        <f t="shared" si="36"/>
        <v>72715</v>
      </c>
      <c r="O180" s="7">
        <f t="shared" si="32"/>
        <v>237</v>
      </c>
      <c r="P180" s="3">
        <f>SUM($O$4:O180)</f>
        <v>13514</v>
      </c>
      <c r="Y180" s="3">
        <f t="shared" si="33"/>
        <v>177</v>
      </c>
      <c r="Z180" s="3">
        <f t="shared" si="34"/>
        <v>996504</v>
      </c>
      <c r="AA180" s="7"/>
      <c r="AB180" s="7">
        <f t="shared" si="35"/>
        <v>13040</v>
      </c>
    </row>
    <row r="181" spans="6:28" x14ac:dyDescent="0.15">
      <c r="F181">
        <f t="shared" si="25"/>
        <v>26</v>
      </c>
      <c r="G181">
        <v>178</v>
      </c>
      <c r="H181">
        <f t="shared" si="26"/>
        <v>344075.65880664112</v>
      </c>
      <c r="I181">
        <f t="shared" si="27"/>
        <v>344076</v>
      </c>
      <c r="J181" s="1">
        <f t="shared" si="28"/>
        <v>1</v>
      </c>
      <c r="K181" s="1">
        <f t="shared" si="29"/>
        <v>344076</v>
      </c>
      <c r="L181" s="1">
        <f t="shared" si="30"/>
        <v>72714.728000000003</v>
      </c>
      <c r="M181" s="3">
        <f t="shared" si="31"/>
        <v>237.80253430285603</v>
      </c>
      <c r="N181" s="7">
        <f t="shared" si="36"/>
        <v>72715</v>
      </c>
      <c r="O181" s="7">
        <f t="shared" si="32"/>
        <v>237</v>
      </c>
      <c r="P181" s="3">
        <f>SUM($O$4:O181)</f>
        <v>13751</v>
      </c>
      <c r="Y181" s="3">
        <f t="shared" si="33"/>
        <v>178</v>
      </c>
      <c r="Z181" s="3">
        <f t="shared" si="34"/>
        <v>1052241</v>
      </c>
      <c r="AA181" s="7"/>
      <c r="AB181" s="7">
        <f t="shared" si="35"/>
        <v>13040</v>
      </c>
    </row>
    <row r="182" spans="6:28" x14ac:dyDescent="0.15">
      <c r="F182">
        <f t="shared" si="25"/>
        <v>26</v>
      </c>
      <c r="G182">
        <v>179</v>
      </c>
      <c r="H182">
        <f t="shared" si="26"/>
        <v>344075.65880664112</v>
      </c>
      <c r="I182">
        <f t="shared" si="27"/>
        <v>344076</v>
      </c>
      <c r="J182" s="1">
        <f t="shared" si="28"/>
        <v>1</v>
      </c>
      <c r="K182" s="1">
        <f t="shared" si="29"/>
        <v>344076</v>
      </c>
      <c r="L182" s="1">
        <f t="shared" si="30"/>
        <v>72714.728000000003</v>
      </c>
      <c r="M182" s="3">
        <f t="shared" si="31"/>
        <v>237.80253430285603</v>
      </c>
      <c r="N182" s="7">
        <f t="shared" si="36"/>
        <v>72715</v>
      </c>
      <c r="O182" s="7">
        <f t="shared" si="32"/>
        <v>237</v>
      </c>
      <c r="P182" s="3">
        <f>SUM($O$4:O182)</f>
        <v>13988</v>
      </c>
      <c r="Y182" s="3">
        <f t="shared" si="33"/>
        <v>179</v>
      </c>
      <c r="Z182" s="3">
        <f t="shared" si="34"/>
        <v>1111060</v>
      </c>
      <c r="AA182" s="7"/>
      <c r="AB182" s="7">
        <f t="shared" si="35"/>
        <v>13040</v>
      </c>
    </row>
    <row r="183" spans="6:28" x14ac:dyDescent="0.15">
      <c r="F183">
        <f t="shared" si="25"/>
        <v>26</v>
      </c>
      <c r="G183">
        <v>180</v>
      </c>
      <c r="H183">
        <f t="shared" si="26"/>
        <v>344075.65880664112</v>
      </c>
      <c r="I183">
        <f t="shared" si="27"/>
        <v>344076</v>
      </c>
      <c r="J183" s="1">
        <f t="shared" si="28"/>
        <v>1</v>
      </c>
      <c r="K183" s="1">
        <f t="shared" si="29"/>
        <v>344076</v>
      </c>
      <c r="L183" s="1">
        <f t="shared" si="30"/>
        <v>72714.728000000003</v>
      </c>
      <c r="M183" s="3">
        <f t="shared" si="31"/>
        <v>237.80253430285603</v>
      </c>
      <c r="N183" s="7">
        <f t="shared" si="36"/>
        <v>72715</v>
      </c>
      <c r="O183" s="7">
        <f t="shared" si="32"/>
        <v>237</v>
      </c>
      <c r="P183" s="3">
        <f>SUM($O$4:O183)</f>
        <v>14225</v>
      </c>
      <c r="Y183" s="3">
        <f t="shared" si="33"/>
        <v>180</v>
      </c>
      <c r="Z183" s="3">
        <f t="shared" si="34"/>
        <v>1173131</v>
      </c>
      <c r="AA183" s="7"/>
      <c r="AB183" s="7">
        <f t="shared" si="35"/>
        <v>13040</v>
      </c>
    </row>
    <row r="184" spans="6:28" x14ac:dyDescent="0.15">
      <c r="F184">
        <f t="shared" si="25"/>
        <v>26</v>
      </c>
      <c r="G184">
        <v>181</v>
      </c>
      <c r="H184">
        <f t="shared" si="26"/>
        <v>344075.65880664112</v>
      </c>
      <c r="I184">
        <f t="shared" si="27"/>
        <v>344076</v>
      </c>
      <c r="J184" s="1">
        <f t="shared" si="28"/>
        <v>1</v>
      </c>
      <c r="K184" s="1">
        <f t="shared" si="29"/>
        <v>344076</v>
      </c>
      <c r="L184" s="1">
        <f t="shared" si="30"/>
        <v>72714.728000000003</v>
      </c>
      <c r="M184" s="3">
        <f t="shared" si="31"/>
        <v>237.80253430285603</v>
      </c>
      <c r="N184" s="7">
        <f t="shared" si="36"/>
        <v>72715</v>
      </c>
      <c r="O184" s="7">
        <f t="shared" si="32"/>
        <v>237</v>
      </c>
      <c r="P184" s="3">
        <f>SUM($O$4:O184)</f>
        <v>14462</v>
      </c>
      <c r="Y184" s="3">
        <f t="shared" si="33"/>
        <v>181</v>
      </c>
      <c r="Z184" s="3">
        <f t="shared" si="34"/>
        <v>1238630</v>
      </c>
      <c r="AA184" s="7"/>
      <c r="AB184" s="7">
        <f t="shared" si="35"/>
        <v>13040</v>
      </c>
    </row>
    <row r="185" spans="6:28" x14ac:dyDescent="0.15">
      <c r="F185">
        <f t="shared" si="25"/>
        <v>26</v>
      </c>
      <c r="G185">
        <v>182</v>
      </c>
      <c r="H185">
        <f t="shared" si="26"/>
        <v>344075.65880664112</v>
      </c>
      <c r="I185">
        <f t="shared" si="27"/>
        <v>344076</v>
      </c>
      <c r="J185" s="1">
        <f t="shared" si="28"/>
        <v>2</v>
      </c>
      <c r="K185" s="1">
        <f t="shared" si="29"/>
        <v>688152</v>
      </c>
      <c r="L185" s="1">
        <f t="shared" si="30"/>
        <v>145429.45600000001</v>
      </c>
      <c r="M185" s="3">
        <f t="shared" si="31"/>
        <v>475.60506860571206</v>
      </c>
      <c r="N185" s="7">
        <f t="shared" si="36"/>
        <v>145429</v>
      </c>
      <c r="O185" s="7">
        <f t="shared" si="32"/>
        <v>475</v>
      </c>
      <c r="P185" s="3">
        <f>SUM($O$4:O185)</f>
        <v>14937</v>
      </c>
      <c r="Y185" s="3">
        <f t="shared" si="33"/>
        <v>182</v>
      </c>
      <c r="Z185" s="3">
        <f t="shared" si="34"/>
        <v>1307747</v>
      </c>
      <c r="AA185" s="7"/>
      <c r="AB185" s="7">
        <f t="shared" si="35"/>
        <v>13040</v>
      </c>
    </row>
    <row r="186" spans="6:28" x14ac:dyDescent="0.15">
      <c r="F186">
        <f t="shared" si="25"/>
        <v>27</v>
      </c>
      <c r="G186">
        <v>183</v>
      </c>
      <c r="H186">
        <f t="shared" si="26"/>
        <v>540198.78432642657</v>
      </c>
      <c r="I186">
        <f t="shared" si="27"/>
        <v>540199</v>
      </c>
      <c r="J186" s="1">
        <f t="shared" si="28"/>
        <v>1</v>
      </c>
      <c r="K186" s="1">
        <f t="shared" si="29"/>
        <v>540199</v>
      </c>
      <c r="L186" s="1">
        <f t="shared" si="30"/>
        <v>115782.65233333332</v>
      </c>
      <c r="M186" s="3">
        <f t="shared" si="31"/>
        <v>291.26898106818345</v>
      </c>
      <c r="N186" s="7">
        <f t="shared" si="36"/>
        <v>115783</v>
      </c>
      <c r="O186" s="7">
        <f t="shared" si="32"/>
        <v>291</v>
      </c>
      <c r="P186" s="3">
        <f>SUM($O$4:O186)</f>
        <v>15228</v>
      </c>
      <c r="Y186" s="3">
        <f t="shared" si="33"/>
        <v>183</v>
      </c>
      <c r="Z186" s="3">
        <f t="shared" si="34"/>
        <v>1380679</v>
      </c>
      <c r="AA186" s="7"/>
      <c r="AB186" s="7">
        <f t="shared" si="35"/>
        <v>13040</v>
      </c>
    </row>
    <row r="187" spans="6:28" x14ac:dyDescent="0.15">
      <c r="F187">
        <f t="shared" si="25"/>
        <v>27</v>
      </c>
      <c r="G187">
        <v>184</v>
      </c>
      <c r="H187">
        <f t="shared" si="26"/>
        <v>540198.78432642657</v>
      </c>
      <c r="I187">
        <f t="shared" si="27"/>
        <v>540199</v>
      </c>
      <c r="J187" s="1">
        <f t="shared" si="28"/>
        <v>1</v>
      </c>
      <c r="K187" s="1">
        <f t="shared" si="29"/>
        <v>540199</v>
      </c>
      <c r="L187" s="1">
        <f t="shared" si="30"/>
        <v>115782.65233333332</v>
      </c>
      <c r="M187" s="3">
        <f t="shared" si="31"/>
        <v>291.26898106818345</v>
      </c>
      <c r="N187" s="7">
        <f t="shared" si="36"/>
        <v>115783</v>
      </c>
      <c r="O187" s="7">
        <f t="shared" si="32"/>
        <v>291</v>
      </c>
      <c r="P187" s="3">
        <f>SUM($O$4:O187)</f>
        <v>15519</v>
      </c>
      <c r="Y187" s="3">
        <f t="shared" si="33"/>
        <v>184</v>
      </c>
      <c r="Z187" s="3">
        <f t="shared" si="34"/>
        <v>1457635</v>
      </c>
      <c r="AA187" s="7"/>
      <c r="AB187" s="7">
        <f t="shared" si="35"/>
        <v>13040</v>
      </c>
    </row>
    <row r="188" spans="6:28" x14ac:dyDescent="0.15">
      <c r="F188">
        <f t="shared" si="25"/>
        <v>27</v>
      </c>
      <c r="G188">
        <v>185</v>
      </c>
      <c r="H188">
        <f t="shared" si="26"/>
        <v>540198.78432642657</v>
      </c>
      <c r="I188">
        <f t="shared" si="27"/>
        <v>540199</v>
      </c>
      <c r="J188" s="1">
        <f t="shared" si="28"/>
        <v>1</v>
      </c>
      <c r="K188" s="1">
        <f t="shared" si="29"/>
        <v>540199</v>
      </c>
      <c r="L188" s="1">
        <f t="shared" si="30"/>
        <v>115782.65233333332</v>
      </c>
      <c r="M188" s="3">
        <f t="shared" si="31"/>
        <v>291.26898106818345</v>
      </c>
      <c r="N188" s="7">
        <f t="shared" si="36"/>
        <v>115783</v>
      </c>
      <c r="O188" s="7">
        <f t="shared" si="32"/>
        <v>291</v>
      </c>
      <c r="P188" s="3">
        <f>SUM($O$4:O188)</f>
        <v>15810</v>
      </c>
      <c r="Y188" s="3">
        <f t="shared" si="33"/>
        <v>185</v>
      </c>
      <c r="Z188" s="3">
        <f t="shared" si="34"/>
        <v>1538835</v>
      </c>
      <c r="AA188" s="7"/>
      <c r="AB188" s="7">
        <f t="shared" si="35"/>
        <v>13040</v>
      </c>
    </row>
    <row r="189" spans="6:28" x14ac:dyDescent="0.15">
      <c r="F189">
        <f t="shared" si="25"/>
        <v>27</v>
      </c>
      <c r="G189">
        <v>186</v>
      </c>
      <c r="H189">
        <f t="shared" si="26"/>
        <v>540198.78432642657</v>
      </c>
      <c r="I189">
        <f t="shared" si="27"/>
        <v>540199</v>
      </c>
      <c r="J189" s="1">
        <f t="shared" si="28"/>
        <v>1</v>
      </c>
      <c r="K189" s="1">
        <f t="shared" si="29"/>
        <v>540199</v>
      </c>
      <c r="L189" s="1">
        <f t="shared" si="30"/>
        <v>115782.65233333332</v>
      </c>
      <c r="M189" s="3">
        <f t="shared" si="31"/>
        <v>291.26898106818345</v>
      </c>
      <c r="N189" s="7">
        <f t="shared" si="36"/>
        <v>115783</v>
      </c>
      <c r="O189" s="7">
        <f t="shared" si="32"/>
        <v>291</v>
      </c>
      <c r="P189" s="3">
        <f>SUM($O$4:O189)</f>
        <v>16101</v>
      </c>
      <c r="Y189" s="3">
        <f t="shared" si="33"/>
        <v>186</v>
      </c>
      <c r="Z189" s="3">
        <f t="shared" si="34"/>
        <v>1624511</v>
      </c>
      <c r="AA189" s="7"/>
      <c r="AB189" s="7">
        <f t="shared" si="35"/>
        <v>13040</v>
      </c>
    </row>
    <row r="190" spans="6:28" x14ac:dyDescent="0.15">
      <c r="F190">
        <f t="shared" si="25"/>
        <v>27</v>
      </c>
      <c r="G190">
        <v>187</v>
      </c>
      <c r="H190">
        <f t="shared" si="26"/>
        <v>540198.78432642657</v>
      </c>
      <c r="I190">
        <f t="shared" si="27"/>
        <v>540199</v>
      </c>
      <c r="J190" s="1">
        <f t="shared" si="28"/>
        <v>1</v>
      </c>
      <c r="K190" s="1">
        <f t="shared" si="29"/>
        <v>540199</v>
      </c>
      <c r="L190" s="1">
        <f t="shared" si="30"/>
        <v>115782.65233333332</v>
      </c>
      <c r="M190" s="3">
        <f t="shared" si="31"/>
        <v>291.26898106818345</v>
      </c>
      <c r="N190" s="7">
        <f t="shared" si="36"/>
        <v>115783</v>
      </c>
      <c r="O190" s="7">
        <f t="shared" si="32"/>
        <v>291</v>
      </c>
      <c r="P190" s="3">
        <f>SUM($O$4:O190)</f>
        <v>16392</v>
      </c>
      <c r="Y190" s="3">
        <f t="shared" si="33"/>
        <v>187</v>
      </c>
      <c r="Z190" s="3">
        <f t="shared" si="34"/>
        <v>1714907</v>
      </c>
      <c r="AA190" s="7"/>
      <c r="AB190" s="7">
        <f t="shared" si="35"/>
        <v>13040</v>
      </c>
    </row>
    <row r="191" spans="6:28" x14ac:dyDescent="0.15">
      <c r="F191">
        <f t="shared" si="25"/>
        <v>27</v>
      </c>
      <c r="G191">
        <v>188</v>
      </c>
      <c r="H191">
        <f t="shared" si="26"/>
        <v>540198.78432642657</v>
      </c>
      <c r="I191">
        <f t="shared" si="27"/>
        <v>540199</v>
      </c>
      <c r="J191" s="1">
        <f t="shared" si="28"/>
        <v>1</v>
      </c>
      <c r="K191" s="1">
        <f t="shared" si="29"/>
        <v>540199</v>
      </c>
      <c r="L191" s="1">
        <f t="shared" si="30"/>
        <v>115782.65233333332</v>
      </c>
      <c r="M191" s="3">
        <f t="shared" si="31"/>
        <v>291.26898106818345</v>
      </c>
      <c r="N191" s="7">
        <f t="shared" si="36"/>
        <v>115783</v>
      </c>
      <c r="O191" s="7">
        <f t="shared" si="32"/>
        <v>291</v>
      </c>
      <c r="P191" s="3">
        <f>SUM($O$4:O191)</f>
        <v>16683</v>
      </c>
      <c r="Y191" s="3">
        <f t="shared" si="33"/>
        <v>188</v>
      </c>
      <c r="Z191" s="3">
        <f t="shared" si="34"/>
        <v>1810281</v>
      </c>
      <c r="AA191" s="7"/>
      <c r="AB191" s="7">
        <f t="shared" si="35"/>
        <v>13040</v>
      </c>
    </row>
    <row r="192" spans="6:28" x14ac:dyDescent="0.15">
      <c r="F192">
        <f t="shared" si="25"/>
        <v>27</v>
      </c>
      <c r="G192">
        <v>189</v>
      </c>
      <c r="H192">
        <f t="shared" si="26"/>
        <v>540198.78432642657</v>
      </c>
      <c r="I192">
        <f t="shared" si="27"/>
        <v>540199</v>
      </c>
      <c r="J192" s="1">
        <f t="shared" si="28"/>
        <v>4</v>
      </c>
      <c r="K192" s="1">
        <f t="shared" si="29"/>
        <v>2160796</v>
      </c>
      <c r="L192" s="1">
        <f t="shared" si="30"/>
        <v>463130.60933333327</v>
      </c>
      <c r="M192" s="3">
        <f t="shared" si="31"/>
        <v>1165.0759242727338</v>
      </c>
      <c r="N192" s="7">
        <f t="shared" si="36"/>
        <v>463131</v>
      </c>
      <c r="O192" s="7">
        <f t="shared" si="32"/>
        <v>1165</v>
      </c>
      <c r="P192" s="3">
        <f>SUM($O$4:O192)</f>
        <v>17848</v>
      </c>
      <c r="Y192" s="3">
        <f t="shared" si="33"/>
        <v>189</v>
      </c>
      <c r="Z192" s="3">
        <f t="shared" si="34"/>
        <v>1910906</v>
      </c>
      <c r="AA192" s="7"/>
      <c r="AB192" s="7">
        <f t="shared" si="35"/>
        <v>13040</v>
      </c>
    </row>
    <row r="193" spans="6:28" x14ac:dyDescent="0.15">
      <c r="F193">
        <f t="shared" si="25"/>
        <v>28</v>
      </c>
      <c r="G193">
        <v>190</v>
      </c>
      <c r="H193">
        <f t="shared" si="26"/>
        <v>848112.09139248973</v>
      </c>
      <c r="I193">
        <f t="shared" si="27"/>
        <v>848112</v>
      </c>
      <c r="J193" s="1">
        <f t="shared" si="28"/>
        <v>1</v>
      </c>
      <c r="K193" s="1">
        <f t="shared" si="29"/>
        <v>848112</v>
      </c>
      <c r="L193" s="1">
        <f t="shared" si="30"/>
        <v>184323.00800000003</v>
      </c>
      <c r="M193" s="3">
        <f t="shared" si="31"/>
        <v>356.68671924130081</v>
      </c>
      <c r="N193" s="7">
        <f t="shared" si="36"/>
        <v>184323</v>
      </c>
      <c r="O193" s="7">
        <f t="shared" si="32"/>
        <v>356</v>
      </c>
      <c r="P193" s="3">
        <f>SUM($O$4:O193)</f>
        <v>18204</v>
      </c>
      <c r="Y193" s="3">
        <f t="shared" si="33"/>
        <v>190</v>
      </c>
      <c r="Z193" s="3">
        <f t="shared" si="34"/>
        <v>2017067</v>
      </c>
      <c r="AA193" s="7"/>
      <c r="AB193" s="7">
        <f t="shared" si="35"/>
        <v>13040</v>
      </c>
    </row>
    <row r="194" spans="6:28" x14ac:dyDescent="0.15">
      <c r="F194">
        <f t="shared" si="25"/>
        <v>28</v>
      </c>
      <c r="G194">
        <v>191</v>
      </c>
      <c r="H194">
        <f t="shared" si="26"/>
        <v>848112.09139248973</v>
      </c>
      <c r="I194">
        <f t="shared" si="27"/>
        <v>848112</v>
      </c>
      <c r="J194" s="1">
        <f t="shared" si="28"/>
        <v>1</v>
      </c>
      <c r="K194" s="1">
        <f t="shared" si="29"/>
        <v>848112</v>
      </c>
      <c r="L194" s="1">
        <f t="shared" si="30"/>
        <v>184323.00800000003</v>
      </c>
      <c r="M194" s="3">
        <f t="shared" si="31"/>
        <v>356.68671924130081</v>
      </c>
      <c r="N194" s="7">
        <f t="shared" si="36"/>
        <v>184323</v>
      </c>
      <c r="O194" s="7">
        <f t="shared" si="32"/>
        <v>356</v>
      </c>
      <c r="P194" s="3">
        <f>SUM($O$4:O194)</f>
        <v>18560</v>
      </c>
      <c r="Y194" s="3">
        <f t="shared" si="33"/>
        <v>191</v>
      </c>
      <c r="Z194" s="3">
        <f t="shared" si="34"/>
        <v>2129068</v>
      </c>
      <c r="AA194" s="7"/>
      <c r="AB194" s="7">
        <f t="shared" si="35"/>
        <v>13040</v>
      </c>
    </row>
    <row r="195" spans="6:28" x14ac:dyDescent="0.15">
      <c r="F195">
        <f t="shared" si="25"/>
        <v>28</v>
      </c>
      <c r="G195">
        <v>192</v>
      </c>
      <c r="H195">
        <f t="shared" si="26"/>
        <v>848112.09139248973</v>
      </c>
      <c r="I195">
        <f t="shared" si="27"/>
        <v>848112</v>
      </c>
      <c r="J195" s="1">
        <f t="shared" si="28"/>
        <v>1</v>
      </c>
      <c r="K195" s="1">
        <f t="shared" si="29"/>
        <v>848112</v>
      </c>
      <c r="L195" s="1">
        <f t="shared" si="30"/>
        <v>184323.00800000003</v>
      </c>
      <c r="M195" s="3">
        <f t="shared" si="31"/>
        <v>356.68671924130081</v>
      </c>
      <c r="N195" s="7">
        <f t="shared" si="36"/>
        <v>184323</v>
      </c>
      <c r="O195" s="7">
        <f t="shared" si="32"/>
        <v>356</v>
      </c>
      <c r="P195" s="3">
        <f>SUM($O$4:O195)</f>
        <v>18916</v>
      </c>
      <c r="Y195" s="3">
        <f t="shared" si="33"/>
        <v>192</v>
      </c>
      <c r="Z195" s="3">
        <f t="shared" si="34"/>
        <v>2247225</v>
      </c>
      <c r="AA195" s="7"/>
      <c r="AB195" s="7">
        <f t="shared" si="35"/>
        <v>13040</v>
      </c>
    </row>
    <row r="196" spans="6:28" x14ac:dyDescent="0.15">
      <c r="F196">
        <f t="shared" si="25"/>
        <v>28</v>
      </c>
      <c r="G196">
        <v>193</v>
      </c>
      <c r="H196">
        <f t="shared" si="26"/>
        <v>848112.09139248973</v>
      </c>
      <c r="I196">
        <f t="shared" si="27"/>
        <v>848112</v>
      </c>
      <c r="J196" s="1">
        <f t="shared" si="28"/>
        <v>1</v>
      </c>
      <c r="K196" s="1">
        <f t="shared" si="29"/>
        <v>848112</v>
      </c>
      <c r="L196" s="1">
        <f t="shared" si="30"/>
        <v>184323.00800000003</v>
      </c>
      <c r="M196" s="3">
        <f t="shared" si="31"/>
        <v>356.68671924130081</v>
      </c>
      <c r="N196" s="7">
        <f t="shared" si="36"/>
        <v>184323</v>
      </c>
      <c r="O196" s="7">
        <f t="shared" si="32"/>
        <v>356</v>
      </c>
      <c r="P196" s="3">
        <f>SUM($O$4:O196)</f>
        <v>19272</v>
      </c>
      <c r="Y196" s="3">
        <f t="shared" si="33"/>
        <v>193</v>
      </c>
      <c r="Z196" s="3">
        <f t="shared" si="34"/>
        <v>2371876</v>
      </c>
      <c r="AA196" s="7"/>
      <c r="AB196" s="7">
        <f t="shared" si="35"/>
        <v>13040</v>
      </c>
    </row>
    <row r="197" spans="6:28" x14ac:dyDescent="0.15">
      <c r="F197">
        <f t="shared" ref="F197:F260" si="37">ROUNDUP(G197/$C$4,0)</f>
        <v>28</v>
      </c>
      <c r="G197">
        <v>194</v>
      </c>
      <c r="H197">
        <f t="shared" ref="H197:H260" si="38">18.5*1.57^MIN(F197,156)*1.17^MAX(F197-156,0)*$C$5</f>
        <v>848112.09139248973</v>
      </c>
      <c r="I197">
        <f t="shared" ref="I197:I260" si="39">ROUND(H197,0)</f>
        <v>848112</v>
      </c>
      <c r="J197" s="1">
        <f t="shared" ref="J197:J260" si="40">IF(F197=F198,1,LOOKUP(MOD(F197,5),$D$6:$D$10,$C$6:$C$10))</f>
        <v>1</v>
      </c>
      <c r="K197" s="1">
        <f t="shared" ref="K197:K260" si="41">J197*I197</f>
        <v>848112</v>
      </c>
      <c r="L197" s="1">
        <f t="shared" ref="L197:L260" si="42">K197*(0.02+0.00045*F197)/$C$5</f>
        <v>184323.00800000003</v>
      </c>
      <c r="M197" s="3">
        <f t="shared" ref="M197:M260" si="43">L197/(1.3^F197)*3</f>
        <v>356.68671924130081</v>
      </c>
      <c r="N197" s="7">
        <f t="shared" si="36"/>
        <v>184323</v>
      </c>
      <c r="O197" s="7">
        <f t="shared" ref="O197:O260" si="44">ROUNDDOWN(M197,0)</f>
        <v>356</v>
      </c>
      <c r="P197" s="3">
        <f>SUM($O$4:O197)</f>
        <v>19628</v>
      </c>
      <c r="Y197" s="3">
        <f t="shared" ref="Y197:Y260" si="45">G197</f>
        <v>194</v>
      </c>
      <c r="Z197" s="3">
        <f t="shared" ref="Z197:Z260" si="46">ROUND(1.05^Y197*Y197,0)</f>
        <v>2503374</v>
      </c>
      <c r="AA197" s="7"/>
      <c r="AB197" s="7">
        <f t="shared" ref="AB197:AB260" si="47">LOOKUP(Y197,T:T,P:P)</f>
        <v>13040</v>
      </c>
    </row>
    <row r="198" spans="6:28" x14ac:dyDescent="0.15">
      <c r="F198">
        <f t="shared" si="37"/>
        <v>28</v>
      </c>
      <c r="G198">
        <v>195</v>
      </c>
      <c r="H198">
        <f t="shared" si="38"/>
        <v>848112.09139248973</v>
      </c>
      <c r="I198">
        <f t="shared" si="39"/>
        <v>848112</v>
      </c>
      <c r="J198" s="1">
        <f t="shared" si="40"/>
        <v>1</v>
      </c>
      <c r="K198" s="1">
        <f t="shared" si="41"/>
        <v>848112</v>
      </c>
      <c r="L198" s="1">
        <f t="shared" si="42"/>
        <v>184323.00800000003</v>
      </c>
      <c r="M198" s="3">
        <f t="shared" si="43"/>
        <v>356.68671924130081</v>
      </c>
      <c r="N198" s="7">
        <f t="shared" si="36"/>
        <v>184323</v>
      </c>
      <c r="O198" s="7">
        <f t="shared" si="44"/>
        <v>356</v>
      </c>
      <c r="P198" s="3">
        <f>SUM($O$4:O198)</f>
        <v>19984</v>
      </c>
      <c r="Y198" s="3">
        <f t="shared" si="45"/>
        <v>195</v>
      </c>
      <c r="Z198" s="3">
        <f t="shared" si="46"/>
        <v>2642092</v>
      </c>
      <c r="AA198" s="7"/>
      <c r="AB198" s="7">
        <f t="shared" si="47"/>
        <v>13040</v>
      </c>
    </row>
    <row r="199" spans="6:28" x14ac:dyDescent="0.15">
      <c r="F199">
        <f t="shared" si="37"/>
        <v>28</v>
      </c>
      <c r="G199">
        <v>196</v>
      </c>
      <c r="H199">
        <f t="shared" si="38"/>
        <v>848112.09139248973</v>
      </c>
      <c r="I199">
        <f t="shared" si="39"/>
        <v>848112</v>
      </c>
      <c r="J199" s="1">
        <f t="shared" si="40"/>
        <v>6</v>
      </c>
      <c r="K199" s="1">
        <f t="shared" si="41"/>
        <v>5088672</v>
      </c>
      <c r="L199" s="1">
        <f t="shared" si="42"/>
        <v>1105938.0480000002</v>
      </c>
      <c r="M199" s="3">
        <f t="shared" si="43"/>
        <v>2140.1203154478044</v>
      </c>
      <c r="N199" s="7">
        <f t="shared" si="36"/>
        <v>1105938</v>
      </c>
      <c r="O199" s="7">
        <f t="shared" si="44"/>
        <v>2140</v>
      </c>
      <c r="P199" s="3">
        <f>SUM($O$4:O199)</f>
        <v>22124</v>
      </c>
      <c r="Y199" s="3">
        <f t="shared" si="45"/>
        <v>196</v>
      </c>
      <c r="Z199" s="3">
        <f t="shared" si="46"/>
        <v>2788423</v>
      </c>
      <c r="AA199" s="7"/>
      <c r="AB199" s="7">
        <f t="shared" si="47"/>
        <v>13040</v>
      </c>
    </row>
    <row r="200" spans="6:28" x14ac:dyDescent="0.15">
      <c r="F200">
        <f t="shared" si="37"/>
        <v>29</v>
      </c>
      <c r="G200">
        <v>197</v>
      </c>
      <c r="H200">
        <f t="shared" si="38"/>
        <v>1331535.9834862088</v>
      </c>
      <c r="I200">
        <f t="shared" si="39"/>
        <v>1331536</v>
      </c>
      <c r="J200" s="1">
        <f t="shared" si="40"/>
        <v>1</v>
      </c>
      <c r="K200" s="1">
        <f t="shared" si="41"/>
        <v>1331536</v>
      </c>
      <c r="L200" s="1">
        <f t="shared" si="42"/>
        <v>293381.76533333334</v>
      </c>
      <c r="M200" s="3">
        <f t="shared" si="43"/>
        <v>436.7140409462728</v>
      </c>
      <c r="N200" s="7">
        <f t="shared" ref="N200:N263" si="48">ROUND(L200,0)</f>
        <v>293382</v>
      </c>
      <c r="O200" s="7">
        <f t="shared" si="44"/>
        <v>436</v>
      </c>
      <c r="P200" s="3">
        <f>SUM($O$4:O200)</f>
        <v>22560</v>
      </c>
      <c r="Y200" s="3">
        <f t="shared" si="45"/>
        <v>197</v>
      </c>
      <c r="Z200" s="3">
        <f t="shared" si="46"/>
        <v>2942782</v>
      </c>
      <c r="AA200" s="7"/>
      <c r="AB200" s="7">
        <f t="shared" si="47"/>
        <v>13040</v>
      </c>
    </row>
    <row r="201" spans="6:28" x14ac:dyDescent="0.15">
      <c r="F201">
        <f t="shared" si="37"/>
        <v>29</v>
      </c>
      <c r="G201">
        <v>198</v>
      </c>
      <c r="H201">
        <f t="shared" si="38"/>
        <v>1331535.9834862088</v>
      </c>
      <c r="I201">
        <f t="shared" si="39"/>
        <v>1331536</v>
      </c>
      <c r="J201" s="1">
        <f t="shared" si="40"/>
        <v>1</v>
      </c>
      <c r="K201" s="1">
        <f t="shared" si="41"/>
        <v>1331536</v>
      </c>
      <c r="L201" s="1">
        <f t="shared" si="42"/>
        <v>293381.76533333334</v>
      </c>
      <c r="M201" s="3">
        <f t="shared" si="43"/>
        <v>436.7140409462728</v>
      </c>
      <c r="N201" s="7">
        <f t="shared" si="48"/>
        <v>293382</v>
      </c>
      <c r="O201" s="7">
        <f t="shared" si="44"/>
        <v>436</v>
      </c>
      <c r="P201" s="3">
        <f>SUM($O$4:O201)</f>
        <v>22996</v>
      </c>
      <c r="Y201" s="3">
        <f t="shared" si="45"/>
        <v>198</v>
      </c>
      <c r="Z201" s="3">
        <f t="shared" si="46"/>
        <v>3105606</v>
      </c>
      <c r="AA201" s="7"/>
      <c r="AB201" s="7">
        <f t="shared" si="47"/>
        <v>13040</v>
      </c>
    </row>
    <row r="202" spans="6:28" x14ac:dyDescent="0.15">
      <c r="F202">
        <f t="shared" si="37"/>
        <v>29</v>
      </c>
      <c r="G202">
        <v>199</v>
      </c>
      <c r="H202">
        <f t="shared" si="38"/>
        <v>1331535.9834862088</v>
      </c>
      <c r="I202">
        <f t="shared" si="39"/>
        <v>1331536</v>
      </c>
      <c r="J202" s="1">
        <f t="shared" si="40"/>
        <v>1</v>
      </c>
      <c r="K202" s="1">
        <f t="shared" si="41"/>
        <v>1331536</v>
      </c>
      <c r="L202" s="1">
        <f t="shared" si="42"/>
        <v>293381.76533333334</v>
      </c>
      <c r="M202" s="3">
        <f t="shared" si="43"/>
        <v>436.7140409462728</v>
      </c>
      <c r="N202" s="7">
        <f t="shared" si="48"/>
        <v>293382</v>
      </c>
      <c r="O202" s="7">
        <f t="shared" si="44"/>
        <v>436</v>
      </c>
      <c r="P202" s="3">
        <f>SUM($O$4:O202)</f>
        <v>23432</v>
      </c>
      <c r="Y202" s="3">
        <f t="shared" si="45"/>
        <v>199</v>
      </c>
      <c r="Z202" s="3">
        <f t="shared" si="46"/>
        <v>3277356</v>
      </c>
      <c r="AA202" s="7"/>
      <c r="AB202" s="7">
        <f t="shared" si="47"/>
        <v>13040</v>
      </c>
    </row>
    <row r="203" spans="6:28" x14ac:dyDescent="0.15">
      <c r="F203">
        <f t="shared" si="37"/>
        <v>29</v>
      </c>
      <c r="G203">
        <v>200</v>
      </c>
      <c r="H203">
        <f t="shared" si="38"/>
        <v>1331535.9834862088</v>
      </c>
      <c r="I203">
        <f t="shared" si="39"/>
        <v>1331536</v>
      </c>
      <c r="J203" s="1">
        <f t="shared" si="40"/>
        <v>1</v>
      </c>
      <c r="K203" s="1">
        <f t="shared" si="41"/>
        <v>1331536</v>
      </c>
      <c r="L203" s="1">
        <f t="shared" si="42"/>
        <v>293381.76533333334</v>
      </c>
      <c r="M203" s="3">
        <f t="shared" si="43"/>
        <v>436.7140409462728</v>
      </c>
      <c r="N203" s="7">
        <f t="shared" si="48"/>
        <v>293382</v>
      </c>
      <c r="O203" s="7">
        <f t="shared" si="44"/>
        <v>436</v>
      </c>
      <c r="P203" s="3">
        <f>SUM($O$4:O203)</f>
        <v>23868</v>
      </c>
      <c r="Y203" s="3">
        <f t="shared" si="45"/>
        <v>200</v>
      </c>
      <c r="Z203" s="3">
        <f t="shared" si="46"/>
        <v>3458516</v>
      </c>
      <c r="AA203" s="7"/>
      <c r="AB203" s="7">
        <f t="shared" si="47"/>
        <v>13040</v>
      </c>
    </row>
    <row r="204" spans="6:28" x14ac:dyDescent="0.15">
      <c r="F204">
        <f t="shared" si="37"/>
        <v>29</v>
      </c>
      <c r="G204">
        <v>201</v>
      </c>
      <c r="H204">
        <f t="shared" si="38"/>
        <v>1331535.9834862088</v>
      </c>
      <c r="I204">
        <f t="shared" si="39"/>
        <v>1331536</v>
      </c>
      <c r="J204" s="1">
        <f t="shared" si="40"/>
        <v>1</v>
      </c>
      <c r="K204" s="1">
        <f t="shared" si="41"/>
        <v>1331536</v>
      </c>
      <c r="L204" s="1">
        <f t="shared" si="42"/>
        <v>293381.76533333334</v>
      </c>
      <c r="M204" s="3">
        <f t="shared" si="43"/>
        <v>436.7140409462728</v>
      </c>
      <c r="N204" s="7">
        <f t="shared" si="48"/>
        <v>293382</v>
      </c>
      <c r="O204" s="7">
        <f t="shared" si="44"/>
        <v>436</v>
      </c>
      <c r="P204" s="3">
        <f>SUM($O$4:O204)</f>
        <v>24304</v>
      </c>
      <c r="Y204" s="3">
        <f t="shared" si="45"/>
        <v>201</v>
      </c>
      <c r="Z204" s="3">
        <f t="shared" si="46"/>
        <v>3649599</v>
      </c>
      <c r="AA204" s="7"/>
      <c r="AB204" s="7">
        <f t="shared" si="47"/>
        <v>13040</v>
      </c>
    </row>
    <row r="205" spans="6:28" x14ac:dyDescent="0.15">
      <c r="F205">
        <f t="shared" si="37"/>
        <v>29</v>
      </c>
      <c r="G205">
        <v>202</v>
      </c>
      <c r="H205">
        <f t="shared" si="38"/>
        <v>1331535.9834862088</v>
      </c>
      <c r="I205">
        <f t="shared" si="39"/>
        <v>1331536</v>
      </c>
      <c r="J205" s="1">
        <f t="shared" si="40"/>
        <v>1</v>
      </c>
      <c r="K205" s="1">
        <f t="shared" si="41"/>
        <v>1331536</v>
      </c>
      <c r="L205" s="1">
        <f t="shared" si="42"/>
        <v>293381.76533333334</v>
      </c>
      <c r="M205" s="3">
        <f t="shared" si="43"/>
        <v>436.7140409462728</v>
      </c>
      <c r="N205" s="7">
        <f t="shared" si="48"/>
        <v>293382</v>
      </c>
      <c r="O205" s="7">
        <f t="shared" si="44"/>
        <v>436</v>
      </c>
      <c r="P205" s="3">
        <f>SUM($O$4:O205)</f>
        <v>24740</v>
      </c>
      <c r="Y205" s="3">
        <f t="shared" si="45"/>
        <v>202</v>
      </c>
      <c r="Z205" s="3">
        <f t="shared" si="46"/>
        <v>3851144</v>
      </c>
      <c r="AA205" s="7"/>
      <c r="AB205" s="7">
        <f t="shared" si="47"/>
        <v>13040</v>
      </c>
    </row>
    <row r="206" spans="6:28" x14ac:dyDescent="0.15">
      <c r="F206">
        <f t="shared" si="37"/>
        <v>29</v>
      </c>
      <c r="G206">
        <v>203</v>
      </c>
      <c r="H206">
        <f t="shared" si="38"/>
        <v>1331535.9834862088</v>
      </c>
      <c r="I206">
        <f t="shared" si="39"/>
        <v>1331536</v>
      </c>
      <c r="J206" s="1">
        <f t="shared" si="40"/>
        <v>7</v>
      </c>
      <c r="K206" s="1">
        <f t="shared" si="41"/>
        <v>9320752</v>
      </c>
      <c r="L206" s="1">
        <f t="shared" si="42"/>
        <v>2053672.3573333332</v>
      </c>
      <c r="M206" s="3">
        <f t="shared" si="43"/>
        <v>3056.9982866239093</v>
      </c>
      <c r="N206" s="7">
        <f t="shared" si="48"/>
        <v>2053672</v>
      </c>
      <c r="O206" s="7">
        <f t="shared" si="44"/>
        <v>3056</v>
      </c>
      <c r="P206" s="3">
        <f>SUM($O$4:O206)</f>
        <v>27796</v>
      </c>
      <c r="Y206" s="3">
        <f t="shared" si="45"/>
        <v>203</v>
      </c>
      <c r="Z206" s="3">
        <f t="shared" si="46"/>
        <v>4063720</v>
      </c>
      <c r="AA206" s="7"/>
      <c r="AB206" s="7">
        <f t="shared" si="47"/>
        <v>13040</v>
      </c>
    </row>
    <row r="207" spans="6:28" x14ac:dyDescent="0.15">
      <c r="F207">
        <f t="shared" si="37"/>
        <v>30</v>
      </c>
      <c r="G207">
        <v>204</v>
      </c>
      <c r="H207">
        <f t="shared" si="38"/>
        <v>2090511.4940733481</v>
      </c>
      <c r="I207">
        <f t="shared" si="39"/>
        <v>2090511</v>
      </c>
      <c r="J207" s="1">
        <f t="shared" si="40"/>
        <v>1</v>
      </c>
      <c r="K207" s="1">
        <f t="shared" si="41"/>
        <v>2090511</v>
      </c>
      <c r="L207" s="1">
        <f t="shared" si="42"/>
        <v>466880.7900000001</v>
      </c>
      <c r="M207" s="3">
        <f t="shared" si="43"/>
        <v>534.59721331778553</v>
      </c>
      <c r="N207" s="7">
        <f t="shared" si="48"/>
        <v>466881</v>
      </c>
      <c r="O207" s="7">
        <f t="shared" si="44"/>
        <v>534</v>
      </c>
      <c r="P207" s="3">
        <f>SUM($O$4:O207)</f>
        <v>28330</v>
      </c>
      <c r="Y207" s="3">
        <f t="shared" si="45"/>
        <v>204</v>
      </c>
      <c r="Z207" s="3">
        <f t="shared" si="46"/>
        <v>4287925</v>
      </c>
      <c r="AA207" s="7"/>
      <c r="AB207" s="7">
        <f t="shared" si="47"/>
        <v>13040</v>
      </c>
    </row>
    <row r="208" spans="6:28" x14ac:dyDescent="0.15">
      <c r="F208">
        <f t="shared" si="37"/>
        <v>30</v>
      </c>
      <c r="G208">
        <v>205</v>
      </c>
      <c r="H208">
        <f t="shared" si="38"/>
        <v>2090511.4940733481</v>
      </c>
      <c r="I208">
        <f t="shared" si="39"/>
        <v>2090511</v>
      </c>
      <c r="J208" s="1">
        <f t="shared" si="40"/>
        <v>1</v>
      </c>
      <c r="K208" s="1">
        <f t="shared" si="41"/>
        <v>2090511</v>
      </c>
      <c r="L208" s="1">
        <f t="shared" si="42"/>
        <v>466880.7900000001</v>
      </c>
      <c r="M208" s="3">
        <f t="shared" si="43"/>
        <v>534.59721331778553</v>
      </c>
      <c r="N208" s="7">
        <f t="shared" si="48"/>
        <v>466881</v>
      </c>
      <c r="O208" s="7">
        <f t="shared" si="44"/>
        <v>534</v>
      </c>
      <c r="P208" s="3">
        <f>SUM($O$4:O208)</f>
        <v>28864</v>
      </c>
      <c r="Y208" s="3">
        <f t="shared" si="45"/>
        <v>205</v>
      </c>
      <c r="Z208" s="3">
        <f t="shared" si="46"/>
        <v>4524391</v>
      </c>
      <c r="AA208" s="7"/>
      <c r="AB208" s="7">
        <f t="shared" si="47"/>
        <v>13040</v>
      </c>
    </row>
    <row r="209" spans="6:28" x14ac:dyDescent="0.15">
      <c r="F209">
        <f t="shared" si="37"/>
        <v>30</v>
      </c>
      <c r="G209">
        <v>206</v>
      </c>
      <c r="H209">
        <f t="shared" si="38"/>
        <v>2090511.4940733481</v>
      </c>
      <c r="I209">
        <f t="shared" si="39"/>
        <v>2090511</v>
      </c>
      <c r="J209" s="1">
        <f t="shared" si="40"/>
        <v>1</v>
      </c>
      <c r="K209" s="1">
        <f t="shared" si="41"/>
        <v>2090511</v>
      </c>
      <c r="L209" s="1">
        <f t="shared" si="42"/>
        <v>466880.7900000001</v>
      </c>
      <c r="M209" s="3">
        <f t="shared" si="43"/>
        <v>534.59721331778553</v>
      </c>
      <c r="N209" s="7">
        <f t="shared" si="48"/>
        <v>466881</v>
      </c>
      <c r="O209" s="7">
        <f t="shared" si="44"/>
        <v>534</v>
      </c>
      <c r="P209" s="3">
        <f>SUM($O$4:O209)</f>
        <v>29398</v>
      </c>
      <c r="Y209" s="3">
        <f t="shared" si="45"/>
        <v>206</v>
      </c>
      <c r="Z209" s="3">
        <f t="shared" si="46"/>
        <v>4773785</v>
      </c>
      <c r="AA209" s="7"/>
      <c r="AB209" s="7">
        <f t="shared" si="47"/>
        <v>13040</v>
      </c>
    </row>
    <row r="210" spans="6:28" x14ac:dyDescent="0.15">
      <c r="F210">
        <f t="shared" si="37"/>
        <v>30</v>
      </c>
      <c r="G210">
        <v>207</v>
      </c>
      <c r="H210">
        <f t="shared" si="38"/>
        <v>2090511.4940733481</v>
      </c>
      <c r="I210">
        <f t="shared" si="39"/>
        <v>2090511</v>
      </c>
      <c r="J210" s="1">
        <f t="shared" si="40"/>
        <v>1</v>
      </c>
      <c r="K210" s="1">
        <f t="shared" si="41"/>
        <v>2090511</v>
      </c>
      <c r="L210" s="1">
        <f t="shared" si="42"/>
        <v>466880.7900000001</v>
      </c>
      <c r="M210" s="3">
        <f t="shared" si="43"/>
        <v>534.59721331778553</v>
      </c>
      <c r="N210" s="7">
        <f t="shared" si="48"/>
        <v>466881</v>
      </c>
      <c r="O210" s="7">
        <f t="shared" si="44"/>
        <v>534</v>
      </c>
      <c r="P210" s="3">
        <f>SUM($O$4:O210)</f>
        <v>29932</v>
      </c>
      <c r="Y210" s="3">
        <f t="shared" si="45"/>
        <v>207</v>
      </c>
      <c r="Z210" s="3">
        <f t="shared" si="46"/>
        <v>5036806</v>
      </c>
      <c r="AA210" s="7"/>
      <c r="AB210" s="7">
        <f t="shared" si="47"/>
        <v>13040</v>
      </c>
    </row>
    <row r="211" spans="6:28" x14ac:dyDescent="0.15">
      <c r="F211">
        <f t="shared" si="37"/>
        <v>30</v>
      </c>
      <c r="G211">
        <v>208</v>
      </c>
      <c r="H211">
        <f t="shared" si="38"/>
        <v>2090511.4940733481</v>
      </c>
      <c r="I211">
        <f t="shared" si="39"/>
        <v>2090511</v>
      </c>
      <c r="J211" s="1">
        <f t="shared" si="40"/>
        <v>1</v>
      </c>
      <c r="K211" s="1">
        <f t="shared" si="41"/>
        <v>2090511</v>
      </c>
      <c r="L211" s="1">
        <f t="shared" si="42"/>
        <v>466880.7900000001</v>
      </c>
      <c r="M211" s="3">
        <f t="shared" si="43"/>
        <v>534.59721331778553</v>
      </c>
      <c r="N211" s="7">
        <f t="shared" si="48"/>
        <v>466881</v>
      </c>
      <c r="O211" s="7">
        <f t="shared" si="44"/>
        <v>534</v>
      </c>
      <c r="P211" s="3">
        <f>SUM($O$4:O211)</f>
        <v>30466</v>
      </c>
      <c r="Y211" s="3">
        <f t="shared" si="45"/>
        <v>208</v>
      </c>
      <c r="Z211" s="3">
        <f t="shared" si="46"/>
        <v>5314196</v>
      </c>
      <c r="AA211" s="7"/>
      <c r="AB211" s="7">
        <f t="shared" si="47"/>
        <v>13040</v>
      </c>
    </row>
    <row r="212" spans="6:28" x14ac:dyDescent="0.15">
      <c r="F212">
        <f t="shared" si="37"/>
        <v>30</v>
      </c>
      <c r="G212">
        <v>209</v>
      </c>
      <c r="H212">
        <f t="shared" si="38"/>
        <v>2090511.4940733481</v>
      </c>
      <c r="I212">
        <f t="shared" si="39"/>
        <v>2090511</v>
      </c>
      <c r="J212" s="1">
        <f t="shared" si="40"/>
        <v>1</v>
      </c>
      <c r="K212" s="1">
        <f t="shared" si="41"/>
        <v>2090511</v>
      </c>
      <c r="L212" s="1">
        <f t="shared" si="42"/>
        <v>466880.7900000001</v>
      </c>
      <c r="M212" s="3">
        <f t="shared" si="43"/>
        <v>534.59721331778553</v>
      </c>
      <c r="N212" s="7">
        <f t="shared" si="48"/>
        <v>466881</v>
      </c>
      <c r="O212" s="7">
        <f t="shared" si="44"/>
        <v>534</v>
      </c>
      <c r="P212" s="3">
        <f>SUM($O$4:O212)</f>
        <v>31000</v>
      </c>
      <c r="Y212" s="3">
        <f t="shared" si="45"/>
        <v>209</v>
      </c>
      <c r="Z212" s="3">
        <f t="shared" si="46"/>
        <v>5606732</v>
      </c>
      <c r="AA212" s="7"/>
      <c r="AB212" s="7">
        <f t="shared" si="47"/>
        <v>13040</v>
      </c>
    </row>
    <row r="213" spans="6:28" x14ac:dyDescent="0.15">
      <c r="F213">
        <f t="shared" si="37"/>
        <v>30</v>
      </c>
      <c r="G213">
        <v>210</v>
      </c>
      <c r="H213">
        <f t="shared" si="38"/>
        <v>2090511.4940733481</v>
      </c>
      <c r="I213">
        <f t="shared" si="39"/>
        <v>2090511</v>
      </c>
      <c r="J213" s="1">
        <f t="shared" si="40"/>
        <v>10</v>
      </c>
      <c r="K213" s="1">
        <f t="shared" si="41"/>
        <v>20905110</v>
      </c>
      <c r="L213" s="1">
        <f t="shared" si="42"/>
        <v>4668807.9000000004</v>
      </c>
      <c r="M213" s="3">
        <f t="shared" si="43"/>
        <v>5345.9721331778546</v>
      </c>
      <c r="N213" s="7">
        <f t="shared" si="48"/>
        <v>4668808</v>
      </c>
      <c r="O213" s="7">
        <f t="shared" si="44"/>
        <v>5345</v>
      </c>
      <c r="P213" s="3">
        <f>SUM($O$4:O213)</f>
        <v>36345</v>
      </c>
      <c r="Y213" s="3">
        <f t="shared" si="45"/>
        <v>210</v>
      </c>
      <c r="Z213" s="3">
        <f t="shared" si="46"/>
        <v>5915236</v>
      </c>
      <c r="AA213" s="7"/>
      <c r="AB213" s="7">
        <f t="shared" si="47"/>
        <v>13040</v>
      </c>
    </row>
    <row r="214" spans="6:28" x14ac:dyDescent="0.15">
      <c r="F214">
        <f t="shared" si="37"/>
        <v>31</v>
      </c>
      <c r="G214">
        <v>211</v>
      </c>
      <c r="H214">
        <f t="shared" si="38"/>
        <v>3282103.0456951573</v>
      </c>
      <c r="I214">
        <f t="shared" si="39"/>
        <v>3282103</v>
      </c>
      <c r="J214" s="1">
        <f t="shared" si="40"/>
        <v>1</v>
      </c>
      <c r="K214" s="1">
        <f t="shared" si="41"/>
        <v>3282103</v>
      </c>
      <c r="L214" s="1">
        <f t="shared" si="42"/>
        <v>742849.31233333342</v>
      </c>
      <c r="M214" s="3">
        <f t="shared" si="43"/>
        <v>654.30171534865087</v>
      </c>
      <c r="N214" s="7">
        <f t="shared" si="48"/>
        <v>742849</v>
      </c>
      <c r="O214" s="7">
        <f t="shared" si="44"/>
        <v>654</v>
      </c>
      <c r="P214" s="3">
        <f>SUM($O$4:O214)</f>
        <v>36999</v>
      </c>
      <c r="Y214" s="3">
        <f t="shared" si="45"/>
        <v>211</v>
      </c>
      <c r="Z214" s="3">
        <f t="shared" si="46"/>
        <v>6240574</v>
      </c>
      <c r="AA214" s="7"/>
      <c r="AB214" s="7">
        <f t="shared" si="47"/>
        <v>13040</v>
      </c>
    </row>
    <row r="215" spans="6:28" x14ac:dyDescent="0.15">
      <c r="F215">
        <f t="shared" si="37"/>
        <v>31</v>
      </c>
      <c r="G215">
        <v>212</v>
      </c>
      <c r="H215">
        <f t="shared" si="38"/>
        <v>3282103.0456951573</v>
      </c>
      <c r="I215">
        <f t="shared" si="39"/>
        <v>3282103</v>
      </c>
      <c r="J215" s="1">
        <f t="shared" si="40"/>
        <v>1</v>
      </c>
      <c r="K215" s="1">
        <f t="shared" si="41"/>
        <v>3282103</v>
      </c>
      <c r="L215" s="1">
        <f t="shared" si="42"/>
        <v>742849.31233333342</v>
      </c>
      <c r="M215" s="3">
        <f t="shared" si="43"/>
        <v>654.30171534865087</v>
      </c>
      <c r="N215" s="7">
        <f t="shared" si="48"/>
        <v>742849</v>
      </c>
      <c r="O215" s="7">
        <f t="shared" si="44"/>
        <v>654</v>
      </c>
      <c r="P215" s="3">
        <f>SUM($O$4:O215)</f>
        <v>37653</v>
      </c>
      <c r="Y215" s="3">
        <f t="shared" si="45"/>
        <v>212</v>
      </c>
      <c r="Z215" s="3">
        <f t="shared" si="46"/>
        <v>6583658</v>
      </c>
      <c r="AA215" s="7"/>
      <c r="AB215" s="7">
        <f t="shared" si="47"/>
        <v>13040</v>
      </c>
    </row>
    <row r="216" spans="6:28" x14ac:dyDescent="0.15">
      <c r="F216">
        <f t="shared" si="37"/>
        <v>31</v>
      </c>
      <c r="G216">
        <v>213</v>
      </c>
      <c r="H216">
        <f t="shared" si="38"/>
        <v>3282103.0456951573</v>
      </c>
      <c r="I216">
        <f t="shared" si="39"/>
        <v>3282103</v>
      </c>
      <c r="J216" s="1">
        <f t="shared" si="40"/>
        <v>1</v>
      </c>
      <c r="K216" s="1">
        <f t="shared" si="41"/>
        <v>3282103</v>
      </c>
      <c r="L216" s="1">
        <f t="shared" si="42"/>
        <v>742849.31233333342</v>
      </c>
      <c r="M216" s="3">
        <f t="shared" si="43"/>
        <v>654.30171534865087</v>
      </c>
      <c r="N216" s="7">
        <f t="shared" si="48"/>
        <v>742849</v>
      </c>
      <c r="O216" s="7">
        <f t="shared" si="44"/>
        <v>654</v>
      </c>
      <c r="P216" s="3">
        <f>SUM($O$4:O216)</f>
        <v>38307</v>
      </c>
      <c r="Y216" s="3">
        <f t="shared" si="45"/>
        <v>213</v>
      </c>
      <c r="Z216" s="3">
        <f t="shared" si="46"/>
        <v>6945449</v>
      </c>
      <c r="AA216" s="7"/>
      <c r="AB216" s="7">
        <f t="shared" si="47"/>
        <v>13040</v>
      </c>
    </row>
    <row r="217" spans="6:28" x14ac:dyDescent="0.15">
      <c r="F217">
        <f t="shared" si="37"/>
        <v>31</v>
      </c>
      <c r="G217">
        <v>214</v>
      </c>
      <c r="H217">
        <f t="shared" si="38"/>
        <v>3282103.0456951573</v>
      </c>
      <c r="I217">
        <f t="shared" si="39"/>
        <v>3282103</v>
      </c>
      <c r="J217" s="1">
        <f t="shared" si="40"/>
        <v>1</v>
      </c>
      <c r="K217" s="1">
        <f t="shared" si="41"/>
        <v>3282103</v>
      </c>
      <c r="L217" s="1">
        <f t="shared" si="42"/>
        <v>742849.31233333342</v>
      </c>
      <c r="M217" s="3">
        <f t="shared" si="43"/>
        <v>654.30171534865087</v>
      </c>
      <c r="N217" s="7">
        <f t="shared" si="48"/>
        <v>742849</v>
      </c>
      <c r="O217" s="7">
        <f t="shared" si="44"/>
        <v>654</v>
      </c>
      <c r="P217" s="3">
        <f>SUM($O$4:O217)</f>
        <v>38961</v>
      </c>
      <c r="Y217" s="3">
        <f t="shared" si="45"/>
        <v>214</v>
      </c>
      <c r="Z217" s="3">
        <f t="shared" si="46"/>
        <v>7326959</v>
      </c>
      <c r="AA217" s="7"/>
      <c r="AB217" s="7">
        <f t="shared" si="47"/>
        <v>13040</v>
      </c>
    </row>
    <row r="218" spans="6:28" x14ac:dyDescent="0.15">
      <c r="F218">
        <f t="shared" si="37"/>
        <v>31</v>
      </c>
      <c r="G218">
        <v>215</v>
      </c>
      <c r="H218">
        <f t="shared" si="38"/>
        <v>3282103.0456951573</v>
      </c>
      <c r="I218">
        <f t="shared" si="39"/>
        <v>3282103</v>
      </c>
      <c r="J218" s="1">
        <f t="shared" si="40"/>
        <v>1</v>
      </c>
      <c r="K218" s="1">
        <f t="shared" si="41"/>
        <v>3282103</v>
      </c>
      <c r="L218" s="1">
        <f t="shared" si="42"/>
        <v>742849.31233333342</v>
      </c>
      <c r="M218" s="3">
        <f t="shared" si="43"/>
        <v>654.30171534865087</v>
      </c>
      <c r="N218" s="7">
        <f t="shared" si="48"/>
        <v>742849</v>
      </c>
      <c r="O218" s="7">
        <f t="shared" si="44"/>
        <v>654</v>
      </c>
      <c r="P218" s="3">
        <f>SUM($O$4:O218)</f>
        <v>39615</v>
      </c>
      <c r="Y218" s="3">
        <f t="shared" si="45"/>
        <v>215</v>
      </c>
      <c r="Z218" s="3">
        <f t="shared" si="46"/>
        <v>7729257</v>
      </c>
      <c r="AA218" s="7"/>
      <c r="AB218" s="7">
        <f t="shared" si="47"/>
        <v>13040</v>
      </c>
    </row>
    <row r="219" spans="6:28" x14ac:dyDescent="0.15">
      <c r="F219">
        <f t="shared" si="37"/>
        <v>31</v>
      </c>
      <c r="G219">
        <v>216</v>
      </c>
      <c r="H219">
        <f t="shared" si="38"/>
        <v>3282103.0456951573</v>
      </c>
      <c r="I219">
        <f t="shared" si="39"/>
        <v>3282103</v>
      </c>
      <c r="J219" s="1">
        <f t="shared" si="40"/>
        <v>1</v>
      </c>
      <c r="K219" s="1">
        <f t="shared" si="41"/>
        <v>3282103</v>
      </c>
      <c r="L219" s="1">
        <f t="shared" si="42"/>
        <v>742849.31233333342</v>
      </c>
      <c r="M219" s="3">
        <f t="shared" si="43"/>
        <v>654.30171534865087</v>
      </c>
      <c r="N219" s="7">
        <f t="shared" si="48"/>
        <v>742849</v>
      </c>
      <c r="O219" s="7">
        <f t="shared" si="44"/>
        <v>654</v>
      </c>
      <c r="P219" s="3">
        <f>SUM($O$4:O219)</f>
        <v>40269</v>
      </c>
      <c r="Y219" s="3">
        <f t="shared" si="45"/>
        <v>216</v>
      </c>
      <c r="Z219" s="3">
        <f t="shared" si="46"/>
        <v>8153468</v>
      </c>
      <c r="AA219" s="7"/>
      <c r="AB219" s="7">
        <f t="shared" si="47"/>
        <v>13040</v>
      </c>
    </row>
    <row r="220" spans="6:28" x14ac:dyDescent="0.15">
      <c r="F220">
        <f t="shared" si="37"/>
        <v>31</v>
      </c>
      <c r="G220">
        <v>217</v>
      </c>
      <c r="H220">
        <f t="shared" si="38"/>
        <v>3282103.0456951573</v>
      </c>
      <c r="I220">
        <f t="shared" si="39"/>
        <v>3282103</v>
      </c>
      <c r="J220" s="1">
        <f t="shared" si="40"/>
        <v>2</v>
      </c>
      <c r="K220" s="1">
        <f t="shared" si="41"/>
        <v>6564206</v>
      </c>
      <c r="L220" s="1">
        <f t="shared" si="42"/>
        <v>1485698.6246666668</v>
      </c>
      <c r="M220" s="3">
        <f t="shared" si="43"/>
        <v>1308.6034306973017</v>
      </c>
      <c r="N220" s="7">
        <f t="shared" si="48"/>
        <v>1485699</v>
      </c>
      <c r="O220" s="7">
        <f t="shared" si="44"/>
        <v>1308</v>
      </c>
      <c r="P220" s="3">
        <f>SUM($O$4:O220)</f>
        <v>41577</v>
      </c>
      <c r="Y220" s="3">
        <f t="shared" si="45"/>
        <v>217</v>
      </c>
      <c r="Z220" s="3">
        <f t="shared" si="46"/>
        <v>8600776</v>
      </c>
      <c r="AA220" s="7"/>
      <c r="AB220" s="7">
        <f t="shared" si="47"/>
        <v>13040</v>
      </c>
    </row>
    <row r="221" spans="6:28" x14ac:dyDescent="0.15">
      <c r="F221">
        <f t="shared" si="37"/>
        <v>32</v>
      </c>
      <c r="G221">
        <v>218</v>
      </c>
      <c r="H221">
        <f t="shared" si="38"/>
        <v>5152901.7817413956</v>
      </c>
      <c r="I221">
        <f t="shared" si="39"/>
        <v>5152902</v>
      </c>
      <c r="J221" s="1">
        <f t="shared" si="40"/>
        <v>1</v>
      </c>
      <c r="K221" s="1">
        <f t="shared" si="41"/>
        <v>5152902</v>
      </c>
      <c r="L221" s="1">
        <f t="shared" si="42"/>
        <v>1181732.192</v>
      </c>
      <c r="M221" s="3">
        <f t="shared" si="43"/>
        <v>800.66906154547519</v>
      </c>
      <c r="N221" s="7">
        <f t="shared" si="48"/>
        <v>1181732</v>
      </c>
      <c r="O221" s="7">
        <f t="shared" si="44"/>
        <v>800</v>
      </c>
      <c r="P221" s="3">
        <f>SUM($O$4:O221)</f>
        <v>42377</v>
      </c>
      <c r="Y221" s="3">
        <f t="shared" si="45"/>
        <v>218</v>
      </c>
      <c r="Z221" s="3">
        <f t="shared" si="46"/>
        <v>9072431</v>
      </c>
      <c r="AA221" s="7"/>
      <c r="AB221" s="7">
        <f t="shared" si="47"/>
        <v>13040</v>
      </c>
    </row>
    <row r="222" spans="6:28" x14ac:dyDescent="0.15">
      <c r="F222">
        <f t="shared" si="37"/>
        <v>32</v>
      </c>
      <c r="G222">
        <v>219</v>
      </c>
      <c r="H222">
        <f t="shared" si="38"/>
        <v>5152901.7817413956</v>
      </c>
      <c r="I222">
        <f t="shared" si="39"/>
        <v>5152902</v>
      </c>
      <c r="J222" s="1">
        <f t="shared" si="40"/>
        <v>1</v>
      </c>
      <c r="K222" s="1">
        <f t="shared" si="41"/>
        <v>5152902</v>
      </c>
      <c r="L222" s="1">
        <f t="shared" si="42"/>
        <v>1181732.192</v>
      </c>
      <c r="M222" s="3">
        <f t="shared" si="43"/>
        <v>800.66906154547519</v>
      </c>
      <c r="N222" s="7">
        <f t="shared" si="48"/>
        <v>1181732</v>
      </c>
      <c r="O222" s="7">
        <f t="shared" si="44"/>
        <v>800</v>
      </c>
      <c r="P222" s="3">
        <f>SUM($O$4:O222)</f>
        <v>43177</v>
      </c>
      <c r="Y222" s="3">
        <f t="shared" si="45"/>
        <v>219</v>
      </c>
      <c r="Z222" s="3">
        <f t="shared" si="46"/>
        <v>9569750</v>
      </c>
      <c r="AA222" s="7"/>
      <c r="AB222" s="7">
        <f t="shared" si="47"/>
        <v>13040</v>
      </c>
    </row>
    <row r="223" spans="6:28" x14ac:dyDescent="0.15">
      <c r="F223">
        <f t="shared" si="37"/>
        <v>32</v>
      </c>
      <c r="G223">
        <v>220</v>
      </c>
      <c r="H223">
        <f t="shared" si="38"/>
        <v>5152901.7817413956</v>
      </c>
      <c r="I223">
        <f t="shared" si="39"/>
        <v>5152902</v>
      </c>
      <c r="J223" s="1">
        <f t="shared" si="40"/>
        <v>1</v>
      </c>
      <c r="K223" s="1">
        <f t="shared" si="41"/>
        <v>5152902</v>
      </c>
      <c r="L223" s="1">
        <f t="shared" si="42"/>
        <v>1181732.192</v>
      </c>
      <c r="M223" s="3">
        <f t="shared" si="43"/>
        <v>800.66906154547519</v>
      </c>
      <c r="N223" s="7">
        <f t="shared" si="48"/>
        <v>1181732</v>
      </c>
      <c r="O223" s="7">
        <f t="shared" si="44"/>
        <v>800</v>
      </c>
      <c r="P223" s="3">
        <f>SUM($O$4:O223)</f>
        <v>43977</v>
      </c>
      <c r="Y223" s="3">
        <f t="shared" si="45"/>
        <v>220</v>
      </c>
      <c r="Z223" s="3">
        <f t="shared" si="46"/>
        <v>10094120</v>
      </c>
      <c r="AA223" s="7"/>
      <c r="AB223" s="7">
        <f t="shared" si="47"/>
        <v>13040</v>
      </c>
    </row>
    <row r="224" spans="6:28" x14ac:dyDescent="0.15">
      <c r="F224">
        <f t="shared" si="37"/>
        <v>32</v>
      </c>
      <c r="G224">
        <v>221</v>
      </c>
      <c r="H224">
        <f t="shared" si="38"/>
        <v>5152901.7817413956</v>
      </c>
      <c r="I224">
        <f t="shared" si="39"/>
        <v>5152902</v>
      </c>
      <c r="J224" s="1">
        <f t="shared" si="40"/>
        <v>1</v>
      </c>
      <c r="K224" s="1">
        <f t="shared" si="41"/>
        <v>5152902</v>
      </c>
      <c r="L224" s="1">
        <f t="shared" si="42"/>
        <v>1181732.192</v>
      </c>
      <c r="M224" s="3">
        <f t="shared" si="43"/>
        <v>800.66906154547519</v>
      </c>
      <c r="N224" s="7">
        <f t="shared" si="48"/>
        <v>1181732</v>
      </c>
      <c r="O224" s="7">
        <f t="shared" si="44"/>
        <v>800</v>
      </c>
      <c r="P224" s="3">
        <f>SUM($O$4:O224)</f>
        <v>44777</v>
      </c>
      <c r="Y224" s="3">
        <f t="shared" si="45"/>
        <v>221</v>
      </c>
      <c r="Z224" s="3">
        <f t="shared" si="46"/>
        <v>10647003</v>
      </c>
      <c r="AA224" s="7"/>
      <c r="AB224" s="7">
        <f t="shared" si="47"/>
        <v>13040</v>
      </c>
    </row>
    <row r="225" spans="6:28" x14ac:dyDescent="0.15">
      <c r="F225">
        <f t="shared" si="37"/>
        <v>32</v>
      </c>
      <c r="G225">
        <v>222</v>
      </c>
      <c r="H225">
        <f t="shared" si="38"/>
        <v>5152901.7817413956</v>
      </c>
      <c r="I225">
        <f t="shared" si="39"/>
        <v>5152902</v>
      </c>
      <c r="J225" s="1">
        <f t="shared" si="40"/>
        <v>1</v>
      </c>
      <c r="K225" s="1">
        <f t="shared" si="41"/>
        <v>5152902</v>
      </c>
      <c r="L225" s="1">
        <f t="shared" si="42"/>
        <v>1181732.192</v>
      </c>
      <c r="M225" s="3">
        <f t="shared" si="43"/>
        <v>800.66906154547519</v>
      </c>
      <c r="N225" s="7">
        <f t="shared" si="48"/>
        <v>1181732</v>
      </c>
      <c r="O225" s="7">
        <f t="shared" si="44"/>
        <v>800</v>
      </c>
      <c r="P225" s="3">
        <f>SUM($O$4:O225)</f>
        <v>45577</v>
      </c>
      <c r="Y225" s="3">
        <f t="shared" si="45"/>
        <v>222</v>
      </c>
      <c r="Z225" s="3">
        <f t="shared" si="46"/>
        <v>11229938</v>
      </c>
      <c r="AA225" s="7"/>
      <c r="AB225" s="7">
        <f t="shared" si="47"/>
        <v>13040</v>
      </c>
    </row>
    <row r="226" spans="6:28" x14ac:dyDescent="0.15">
      <c r="F226">
        <f t="shared" si="37"/>
        <v>32</v>
      </c>
      <c r="G226">
        <v>223</v>
      </c>
      <c r="H226">
        <f t="shared" si="38"/>
        <v>5152901.7817413956</v>
      </c>
      <c r="I226">
        <f t="shared" si="39"/>
        <v>5152902</v>
      </c>
      <c r="J226" s="1">
        <f t="shared" si="40"/>
        <v>1</v>
      </c>
      <c r="K226" s="1">
        <f t="shared" si="41"/>
        <v>5152902</v>
      </c>
      <c r="L226" s="1">
        <f t="shared" si="42"/>
        <v>1181732.192</v>
      </c>
      <c r="M226" s="3">
        <f t="shared" si="43"/>
        <v>800.66906154547519</v>
      </c>
      <c r="N226" s="7">
        <f t="shared" si="48"/>
        <v>1181732</v>
      </c>
      <c r="O226" s="7">
        <f t="shared" si="44"/>
        <v>800</v>
      </c>
      <c r="P226" s="3">
        <f>SUM($O$4:O226)</f>
        <v>46377</v>
      </c>
      <c r="Y226" s="3">
        <f t="shared" si="45"/>
        <v>223</v>
      </c>
      <c r="Z226" s="3">
        <f t="shared" si="46"/>
        <v>11844550</v>
      </c>
      <c r="AA226" s="7"/>
      <c r="AB226" s="7">
        <f t="shared" si="47"/>
        <v>13040</v>
      </c>
    </row>
    <row r="227" spans="6:28" x14ac:dyDescent="0.15">
      <c r="F227">
        <f t="shared" si="37"/>
        <v>32</v>
      </c>
      <c r="G227">
        <v>224</v>
      </c>
      <c r="H227">
        <f t="shared" si="38"/>
        <v>5152901.7817413956</v>
      </c>
      <c r="I227">
        <f t="shared" si="39"/>
        <v>5152902</v>
      </c>
      <c r="J227" s="1">
        <f t="shared" si="40"/>
        <v>4</v>
      </c>
      <c r="K227" s="1">
        <f t="shared" si="41"/>
        <v>20611608</v>
      </c>
      <c r="L227" s="1">
        <f t="shared" si="42"/>
        <v>4726928.7680000002</v>
      </c>
      <c r="M227" s="3">
        <f t="shared" si="43"/>
        <v>3202.6762461819008</v>
      </c>
      <c r="N227" s="7">
        <f t="shared" si="48"/>
        <v>4726929</v>
      </c>
      <c r="O227" s="7">
        <f t="shared" si="44"/>
        <v>3202</v>
      </c>
      <c r="P227" s="3">
        <f>SUM($O$4:O227)</f>
        <v>49579</v>
      </c>
      <c r="Y227" s="3">
        <f t="shared" si="45"/>
        <v>224</v>
      </c>
      <c r="Z227" s="3">
        <f t="shared" si="46"/>
        <v>12492548</v>
      </c>
      <c r="AA227" s="7"/>
      <c r="AB227" s="7">
        <f t="shared" si="47"/>
        <v>13040</v>
      </c>
    </row>
    <row r="228" spans="6:28" x14ac:dyDescent="0.15">
      <c r="F228">
        <f t="shared" si="37"/>
        <v>33</v>
      </c>
      <c r="G228">
        <v>225</v>
      </c>
      <c r="H228">
        <f t="shared" si="38"/>
        <v>8090055.7973339902</v>
      </c>
      <c r="I228">
        <f t="shared" si="39"/>
        <v>8090056</v>
      </c>
      <c r="J228" s="1">
        <f t="shared" si="40"/>
        <v>1</v>
      </c>
      <c r="K228" s="1">
        <f t="shared" si="41"/>
        <v>8090056</v>
      </c>
      <c r="L228" s="1">
        <f t="shared" si="42"/>
        <v>1879589.6773333333</v>
      </c>
      <c r="M228" s="3">
        <f t="shared" si="43"/>
        <v>979.61106014803954</v>
      </c>
      <c r="N228" s="7">
        <f t="shared" si="48"/>
        <v>1879590</v>
      </c>
      <c r="O228" s="7">
        <f t="shared" si="44"/>
        <v>979</v>
      </c>
      <c r="P228" s="3">
        <f>SUM($O$4:O228)</f>
        <v>50558</v>
      </c>
      <c r="Y228" s="3">
        <f t="shared" si="45"/>
        <v>225</v>
      </c>
      <c r="Z228" s="3">
        <f t="shared" si="46"/>
        <v>13175734</v>
      </c>
      <c r="AA228" s="7"/>
      <c r="AB228" s="7">
        <f t="shared" si="47"/>
        <v>13040</v>
      </c>
    </row>
    <row r="229" spans="6:28" x14ac:dyDescent="0.15">
      <c r="F229">
        <f t="shared" si="37"/>
        <v>33</v>
      </c>
      <c r="G229">
        <v>226</v>
      </c>
      <c r="H229">
        <f t="shared" si="38"/>
        <v>8090055.7973339902</v>
      </c>
      <c r="I229">
        <f t="shared" si="39"/>
        <v>8090056</v>
      </c>
      <c r="J229" s="1">
        <f t="shared" si="40"/>
        <v>1</v>
      </c>
      <c r="K229" s="1">
        <f t="shared" si="41"/>
        <v>8090056</v>
      </c>
      <c r="L229" s="1">
        <f t="shared" si="42"/>
        <v>1879589.6773333333</v>
      </c>
      <c r="M229" s="3">
        <f t="shared" si="43"/>
        <v>979.61106014803954</v>
      </c>
      <c r="N229" s="7">
        <f t="shared" si="48"/>
        <v>1879590</v>
      </c>
      <c r="O229" s="7">
        <f t="shared" si="44"/>
        <v>979</v>
      </c>
      <c r="P229" s="3">
        <f>SUM($O$4:O229)</f>
        <v>51537</v>
      </c>
      <c r="Y229" s="3">
        <f t="shared" si="45"/>
        <v>226</v>
      </c>
      <c r="Z229" s="3">
        <f t="shared" si="46"/>
        <v>13896007</v>
      </c>
      <c r="AA229" s="7"/>
      <c r="AB229" s="7">
        <f t="shared" si="47"/>
        <v>13040</v>
      </c>
    </row>
    <row r="230" spans="6:28" x14ac:dyDescent="0.15">
      <c r="F230">
        <f t="shared" si="37"/>
        <v>33</v>
      </c>
      <c r="G230">
        <v>227</v>
      </c>
      <c r="H230">
        <f t="shared" si="38"/>
        <v>8090055.7973339902</v>
      </c>
      <c r="I230">
        <f t="shared" si="39"/>
        <v>8090056</v>
      </c>
      <c r="J230" s="1">
        <f t="shared" si="40"/>
        <v>1</v>
      </c>
      <c r="K230" s="1">
        <f t="shared" si="41"/>
        <v>8090056</v>
      </c>
      <c r="L230" s="1">
        <f t="shared" si="42"/>
        <v>1879589.6773333333</v>
      </c>
      <c r="M230" s="3">
        <f t="shared" si="43"/>
        <v>979.61106014803954</v>
      </c>
      <c r="N230" s="7">
        <f t="shared" si="48"/>
        <v>1879590</v>
      </c>
      <c r="O230" s="7">
        <f t="shared" si="44"/>
        <v>979</v>
      </c>
      <c r="P230" s="3">
        <f>SUM($O$4:O230)</f>
        <v>52516</v>
      </c>
      <c r="Y230" s="3">
        <f t="shared" si="45"/>
        <v>227</v>
      </c>
      <c r="Z230" s="3">
        <f t="shared" si="46"/>
        <v>14655369</v>
      </c>
      <c r="AA230" s="7"/>
      <c r="AB230" s="7">
        <f t="shared" si="47"/>
        <v>13040</v>
      </c>
    </row>
    <row r="231" spans="6:28" x14ac:dyDescent="0.15">
      <c r="F231">
        <f t="shared" si="37"/>
        <v>33</v>
      </c>
      <c r="G231">
        <v>228</v>
      </c>
      <c r="H231">
        <f t="shared" si="38"/>
        <v>8090055.7973339902</v>
      </c>
      <c r="I231">
        <f t="shared" si="39"/>
        <v>8090056</v>
      </c>
      <c r="J231" s="1">
        <f t="shared" si="40"/>
        <v>1</v>
      </c>
      <c r="K231" s="1">
        <f t="shared" si="41"/>
        <v>8090056</v>
      </c>
      <c r="L231" s="1">
        <f t="shared" si="42"/>
        <v>1879589.6773333333</v>
      </c>
      <c r="M231" s="3">
        <f t="shared" si="43"/>
        <v>979.61106014803954</v>
      </c>
      <c r="N231" s="7">
        <f t="shared" si="48"/>
        <v>1879590</v>
      </c>
      <c r="O231" s="7">
        <f t="shared" si="44"/>
        <v>979</v>
      </c>
      <c r="P231" s="3">
        <f>SUM($O$4:O231)</f>
        <v>53495</v>
      </c>
      <c r="Y231" s="3">
        <f t="shared" si="45"/>
        <v>228</v>
      </c>
      <c r="Z231" s="3">
        <f t="shared" si="46"/>
        <v>15455926</v>
      </c>
      <c r="AA231" s="7"/>
      <c r="AB231" s="7">
        <f t="shared" si="47"/>
        <v>13040</v>
      </c>
    </row>
    <row r="232" spans="6:28" x14ac:dyDescent="0.15">
      <c r="F232">
        <f t="shared" si="37"/>
        <v>33</v>
      </c>
      <c r="G232">
        <v>229</v>
      </c>
      <c r="H232">
        <f t="shared" si="38"/>
        <v>8090055.7973339902</v>
      </c>
      <c r="I232">
        <f t="shared" si="39"/>
        <v>8090056</v>
      </c>
      <c r="J232" s="1">
        <f t="shared" si="40"/>
        <v>1</v>
      </c>
      <c r="K232" s="1">
        <f t="shared" si="41"/>
        <v>8090056</v>
      </c>
      <c r="L232" s="1">
        <f t="shared" si="42"/>
        <v>1879589.6773333333</v>
      </c>
      <c r="M232" s="3">
        <f t="shared" si="43"/>
        <v>979.61106014803954</v>
      </c>
      <c r="N232" s="7">
        <f t="shared" si="48"/>
        <v>1879590</v>
      </c>
      <c r="O232" s="7">
        <f t="shared" si="44"/>
        <v>979</v>
      </c>
      <c r="P232" s="3">
        <f>SUM($O$4:O232)</f>
        <v>54474</v>
      </c>
      <c r="Y232" s="3">
        <f t="shared" si="45"/>
        <v>229</v>
      </c>
      <c r="Z232" s="3">
        <f t="shared" si="46"/>
        <v>16299901</v>
      </c>
      <c r="AA232" s="7"/>
      <c r="AB232" s="7">
        <f t="shared" si="47"/>
        <v>13040</v>
      </c>
    </row>
    <row r="233" spans="6:28" x14ac:dyDescent="0.15">
      <c r="F233">
        <f t="shared" si="37"/>
        <v>33</v>
      </c>
      <c r="G233">
        <v>230</v>
      </c>
      <c r="H233">
        <f t="shared" si="38"/>
        <v>8090055.7973339902</v>
      </c>
      <c r="I233">
        <f t="shared" si="39"/>
        <v>8090056</v>
      </c>
      <c r="J233" s="1">
        <f t="shared" si="40"/>
        <v>1</v>
      </c>
      <c r="K233" s="1">
        <f t="shared" si="41"/>
        <v>8090056</v>
      </c>
      <c r="L233" s="1">
        <f t="shared" si="42"/>
        <v>1879589.6773333333</v>
      </c>
      <c r="M233" s="3">
        <f t="shared" si="43"/>
        <v>979.61106014803954</v>
      </c>
      <c r="N233" s="7">
        <f t="shared" si="48"/>
        <v>1879590</v>
      </c>
      <c r="O233" s="7">
        <f t="shared" si="44"/>
        <v>979</v>
      </c>
      <c r="P233" s="3">
        <f>SUM($O$4:O233)</f>
        <v>55453</v>
      </c>
      <c r="Y233" s="3">
        <f t="shared" si="45"/>
        <v>230</v>
      </c>
      <c r="Z233" s="3">
        <f t="shared" si="46"/>
        <v>17189634</v>
      </c>
      <c r="AA233" s="7"/>
      <c r="AB233" s="7">
        <f t="shared" si="47"/>
        <v>13040</v>
      </c>
    </row>
    <row r="234" spans="6:28" x14ac:dyDescent="0.15">
      <c r="F234">
        <f t="shared" si="37"/>
        <v>33</v>
      </c>
      <c r="G234">
        <v>231</v>
      </c>
      <c r="H234">
        <f t="shared" si="38"/>
        <v>8090055.7973339902</v>
      </c>
      <c r="I234">
        <f t="shared" si="39"/>
        <v>8090056</v>
      </c>
      <c r="J234" s="1">
        <f t="shared" si="40"/>
        <v>6</v>
      </c>
      <c r="K234" s="1">
        <f t="shared" si="41"/>
        <v>48540336</v>
      </c>
      <c r="L234" s="1">
        <f t="shared" si="42"/>
        <v>11277538.063999999</v>
      </c>
      <c r="M234" s="3">
        <f t="shared" si="43"/>
        <v>5877.6663608882373</v>
      </c>
      <c r="N234" s="7">
        <f t="shared" si="48"/>
        <v>11277538</v>
      </c>
      <c r="O234" s="7">
        <f t="shared" si="44"/>
        <v>5877</v>
      </c>
      <c r="P234" s="3">
        <f>SUM($O$4:O234)</f>
        <v>61330</v>
      </c>
      <c r="Y234" s="3">
        <f t="shared" si="45"/>
        <v>231</v>
      </c>
      <c r="Z234" s="3">
        <f t="shared" si="46"/>
        <v>18127590</v>
      </c>
      <c r="AA234" s="7"/>
      <c r="AB234" s="7">
        <f t="shared" si="47"/>
        <v>13040</v>
      </c>
    </row>
    <row r="235" spans="6:28" x14ac:dyDescent="0.15">
      <c r="F235">
        <f t="shared" si="37"/>
        <v>34</v>
      </c>
      <c r="G235">
        <v>232</v>
      </c>
      <c r="H235">
        <f t="shared" si="38"/>
        <v>12701387.601814365</v>
      </c>
      <c r="I235">
        <f t="shared" si="39"/>
        <v>12701388</v>
      </c>
      <c r="J235" s="1">
        <f t="shared" si="40"/>
        <v>1</v>
      </c>
      <c r="K235" s="1">
        <f t="shared" si="41"/>
        <v>12701388</v>
      </c>
      <c r="L235" s="1">
        <f t="shared" si="42"/>
        <v>2989059.9760000003</v>
      </c>
      <c r="M235" s="3">
        <f t="shared" si="43"/>
        <v>1198.3451033311519</v>
      </c>
      <c r="N235" s="7">
        <f t="shared" si="48"/>
        <v>2989060</v>
      </c>
      <c r="O235" s="7">
        <f t="shared" si="44"/>
        <v>1198</v>
      </c>
      <c r="P235" s="3">
        <f>SUM($O$4:O235)</f>
        <v>62528</v>
      </c>
      <c r="Y235" s="3">
        <f t="shared" si="45"/>
        <v>232</v>
      </c>
      <c r="Z235" s="3">
        <f t="shared" si="46"/>
        <v>19116367</v>
      </c>
      <c r="AA235" s="7"/>
      <c r="AB235" s="7">
        <f t="shared" si="47"/>
        <v>13040</v>
      </c>
    </row>
    <row r="236" spans="6:28" x14ac:dyDescent="0.15">
      <c r="F236">
        <f t="shared" si="37"/>
        <v>34</v>
      </c>
      <c r="G236">
        <v>233</v>
      </c>
      <c r="H236">
        <f t="shared" si="38"/>
        <v>12701387.601814365</v>
      </c>
      <c r="I236">
        <f t="shared" si="39"/>
        <v>12701388</v>
      </c>
      <c r="J236" s="1">
        <f t="shared" si="40"/>
        <v>1</v>
      </c>
      <c r="K236" s="1">
        <f t="shared" si="41"/>
        <v>12701388</v>
      </c>
      <c r="L236" s="1">
        <f t="shared" si="42"/>
        <v>2989059.9760000003</v>
      </c>
      <c r="M236" s="3">
        <f t="shared" si="43"/>
        <v>1198.3451033311519</v>
      </c>
      <c r="N236" s="7">
        <f t="shared" si="48"/>
        <v>2989060</v>
      </c>
      <c r="O236" s="7">
        <f t="shared" si="44"/>
        <v>1198</v>
      </c>
      <c r="P236" s="3">
        <f>SUM($O$4:O236)</f>
        <v>63726</v>
      </c>
      <c r="Y236" s="3">
        <f t="shared" si="45"/>
        <v>233</v>
      </c>
      <c r="Z236" s="3">
        <f t="shared" si="46"/>
        <v>20158704</v>
      </c>
      <c r="AA236" s="7"/>
      <c r="AB236" s="7">
        <f t="shared" si="47"/>
        <v>13040</v>
      </c>
    </row>
    <row r="237" spans="6:28" x14ac:dyDescent="0.15">
      <c r="F237">
        <f t="shared" si="37"/>
        <v>34</v>
      </c>
      <c r="G237">
        <v>234</v>
      </c>
      <c r="H237">
        <f t="shared" si="38"/>
        <v>12701387.601814365</v>
      </c>
      <c r="I237">
        <f t="shared" si="39"/>
        <v>12701388</v>
      </c>
      <c r="J237" s="1">
        <f t="shared" si="40"/>
        <v>1</v>
      </c>
      <c r="K237" s="1">
        <f t="shared" si="41"/>
        <v>12701388</v>
      </c>
      <c r="L237" s="1">
        <f t="shared" si="42"/>
        <v>2989059.9760000003</v>
      </c>
      <c r="M237" s="3">
        <f t="shared" si="43"/>
        <v>1198.3451033311519</v>
      </c>
      <c r="N237" s="7">
        <f t="shared" si="48"/>
        <v>2989060</v>
      </c>
      <c r="O237" s="7">
        <f t="shared" si="44"/>
        <v>1198</v>
      </c>
      <c r="P237" s="3">
        <f>SUM($O$4:O237)</f>
        <v>64924</v>
      </c>
      <c r="Y237" s="3">
        <f t="shared" si="45"/>
        <v>234</v>
      </c>
      <c r="Z237" s="3">
        <f t="shared" si="46"/>
        <v>21257483</v>
      </c>
      <c r="AA237" s="7"/>
      <c r="AB237" s="7">
        <f t="shared" si="47"/>
        <v>13040</v>
      </c>
    </row>
    <row r="238" spans="6:28" x14ac:dyDescent="0.15">
      <c r="F238">
        <f t="shared" si="37"/>
        <v>34</v>
      </c>
      <c r="G238">
        <v>235</v>
      </c>
      <c r="H238">
        <f t="shared" si="38"/>
        <v>12701387.601814365</v>
      </c>
      <c r="I238">
        <f t="shared" si="39"/>
        <v>12701388</v>
      </c>
      <c r="J238" s="1">
        <f t="shared" si="40"/>
        <v>1</v>
      </c>
      <c r="K238" s="1">
        <f t="shared" si="41"/>
        <v>12701388</v>
      </c>
      <c r="L238" s="1">
        <f t="shared" si="42"/>
        <v>2989059.9760000003</v>
      </c>
      <c r="M238" s="3">
        <f t="shared" si="43"/>
        <v>1198.3451033311519</v>
      </c>
      <c r="N238" s="7">
        <f t="shared" si="48"/>
        <v>2989060</v>
      </c>
      <c r="O238" s="7">
        <f t="shared" si="44"/>
        <v>1198</v>
      </c>
      <c r="P238" s="3">
        <f>SUM($O$4:O238)</f>
        <v>66122</v>
      </c>
      <c r="Y238" s="3">
        <f t="shared" si="45"/>
        <v>235</v>
      </c>
      <c r="Z238" s="3">
        <f t="shared" si="46"/>
        <v>22415743</v>
      </c>
      <c r="AA238" s="7"/>
      <c r="AB238" s="7">
        <f t="shared" si="47"/>
        <v>13040</v>
      </c>
    </row>
    <row r="239" spans="6:28" x14ac:dyDescent="0.15">
      <c r="F239">
        <f t="shared" si="37"/>
        <v>34</v>
      </c>
      <c r="G239">
        <v>236</v>
      </c>
      <c r="H239">
        <f t="shared" si="38"/>
        <v>12701387.601814365</v>
      </c>
      <c r="I239">
        <f t="shared" si="39"/>
        <v>12701388</v>
      </c>
      <c r="J239" s="1">
        <f t="shared" si="40"/>
        <v>1</v>
      </c>
      <c r="K239" s="1">
        <f t="shared" si="41"/>
        <v>12701388</v>
      </c>
      <c r="L239" s="1">
        <f t="shared" si="42"/>
        <v>2989059.9760000003</v>
      </c>
      <c r="M239" s="3">
        <f t="shared" si="43"/>
        <v>1198.3451033311519</v>
      </c>
      <c r="N239" s="7">
        <f t="shared" si="48"/>
        <v>2989060</v>
      </c>
      <c r="O239" s="7">
        <f t="shared" si="44"/>
        <v>1198</v>
      </c>
      <c r="P239" s="3">
        <f>SUM($O$4:O239)</f>
        <v>67320</v>
      </c>
      <c r="Y239" s="3">
        <f t="shared" si="45"/>
        <v>236</v>
      </c>
      <c r="Z239" s="3">
        <f t="shared" si="46"/>
        <v>23636686</v>
      </c>
      <c r="AA239" s="7"/>
      <c r="AB239" s="7">
        <f t="shared" si="47"/>
        <v>13040</v>
      </c>
    </row>
    <row r="240" spans="6:28" x14ac:dyDescent="0.15">
      <c r="F240">
        <f t="shared" si="37"/>
        <v>34</v>
      </c>
      <c r="G240">
        <v>237</v>
      </c>
      <c r="H240">
        <f t="shared" si="38"/>
        <v>12701387.601814365</v>
      </c>
      <c r="I240">
        <f t="shared" si="39"/>
        <v>12701388</v>
      </c>
      <c r="J240" s="1">
        <f t="shared" si="40"/>
        <v>1</v>
      </c>
      <c r="K240" s="1">
        <f t="shared" si="41"/>
        <v>12701388</v>
      </c>
      <c r="L240" s="1">
        <f t="shared" si="42"/>
        <v>2989059.9760000003</v>
      </c>
      <c r="M240" s="3">
        <f t="shared" si="43"/>
        <v>1198.3451033311519</v>
      </c>
      <c r="N240" s="7">
        <f t="shared" si="48"/>
        <v>2989060</v>
      </c>
      <c r="O240" s="7">
        <f t="shared" si="44"/>
        <v>1198</v>
      </c>
      <c r="P240" s="3">
        <f>SUM($O$4:O240)</f>
        <v>68518</v>
      </c>
      <c r="Y240" s="3">
        <f t="shared" si="45"/>
        <v>237</v>
      </c>
      <c r="Z240" s="3">
        <f t="shared" si="46"/>
        <v>24923683</v>
      </c>
      <c r="AA240" s="7"/>
      <c r="AB240" s="7">
        <f t="shared" si="47"/>
        <v>13040</v>
      </c>
    </row>
    <row r="241" spans="6:28" x14ac:dyDescent="0.15">
      <c r="F241">
        <f t="shared" si="37"/>
        <v>34</v>
      </c>
      <c r="G241">
        <v>238</v>
      </c>
      <c r="H241">
        <f t="shared" si="38"/>
        <v>12701387.601814365</v>
      </c>
      <c r="I241">
        <f t="shared" si="39"/>
        <v>12701388</v>
      </c>
      <c r="J241" s="1">
        <f t="shared" si="40"/>
        <v>7</v>
      </c>
      <c r="K241" s="1">
        <f t="shared" si="41"/>
        <v>88909716</v>
      </c>
      <c r="L241" s="1">
        <f t="shared" si="42"/>
        <v>20923419.832000002</v>
      </c>
      <c r="M241" s="3">
        <f t="shared" si="43"/>
        <v>8388.4157233180631</v>
      </c>
      <c r="N241" s="7">
        <f t="shared" si="48"/>
        <v>20923420</v>
      </c>
      <c r="O241" s="7">
        <f t="shared" si="44"/>
        <v>8388</v>
      </c>
      <c r="P241" s="3">
        <f>SUM($O$4:O241)</f>
        <v>76906</v>
      </c>
      <c r="Y241" s="3">
        <f t="shared" si="45"/>
        <v>238</v>
      </c>
      <c r="Z241" s="3">
        <f t="shared" si="46"/>
        <v>26280289</v>
      </c>
      <c r="AA241" s="7"/>
      <c r="AB241" s="7">
        <f t="shared" si="47"/>
        <v>13040</v>
      </c>
    </row>
    <row r="242" spans="6:28" x14ac:dyDescent="0.15">
      <c r="F242">
        <f t="shared" si="37"/>
        <v>35</v>
      </c>
      <c r="G242">
        <v>239</v>
      </c>
      <c r="H242">
        <f t="shared" si="38"/>
        <v>19941178.534848556</v>
      </c>
      <c r="I242">
        <f t="shared" si="39"/>
        <v>19941179</v>
      </c>
      <c r="J242" s="1">
        <f t="shared" si="40"/>
        <v>1</v>
      </c>
      <c r="K242" s="1">
        <f t="shared" si="41"/>
        <v>19941179</v>
      </c>
      <c r="L242" s="1">
        <f t="shared" si="42"/>
        <v>4752647.661666668</v>
      </c>
      <c r="M242" s="3">
        <f t="shared" si="43"/>
        <v>1465.6812867193535</v>
      </c>
      <c r="N242" s="7">
        <f t="shared" si="48"/>
        <v>4752648</v>
      </c>
      <c r="O242" s="7">
        <f t="shared" si="44"/>
        <v>1465</v>
      </c>
      <c r="P242" s="3">
        <f>SUM($O$4:O242)</f>
        <v>78371</v>
      </c>
      <c r="Y242" s="3">
        <f t="shared" si="45"/>
        <v>239</v>
      </c>
      <c r="Z242" s="3">
        <f t="shared" si="46"/>
        <v>27710246</v>
      </c>
      <c r="AA242" s="7"/>
      <c r="AB242" s="7">
        <f t="shared" si="47"/>
        <v>13040</v>
      </c>
    </row>
    <row r="243" spans="6:28" x14ac:dyDescent="0.15">
      <c r="F243">
        <f t="shared" si="37"/>
        <v>35</v>
      </c>
      <c r="G243">
        <v>240</v>
      </c>
      <c r="H243">
        <f t="shared" si="38"/>
        <v>19941178.534848556</v>
      </c>
      <c r="I243">
        <f t="shared" si="39"/>
        <v>19941179</v>
      </c>
      <c r="J243" s="1">
        <f t="shared" si="40"/>
        <v>1</v>
      </c>
      <c r="K243" s="1">
        <f t="shared" si="41"/>
        <v>19941179</v>
      </c>
      <c r="L243" s="1">
        <f t="shared" si="42"/>
        <v>4752647.661666668</v>
      </c>
      <c r="M243" s="3">
        <f t="shared" si="43"/>
        <v>1465.6812867193535</v>
      </c>
      <c r="N243" s="7">
        <f t="shared" si="48"/>
        <v>4752648</v>
      </c>
      <c r="O243" s="7">
        <f t="shared" si="44"/>
        <v>1465</v>
      </c>
      <c r="P243" s="3">
        <f>SUM($O$4:O243)</f>
        <v>79836</v>
      </c>
      <c r="Y243" s="3">
        <f t="shared" si="45"/>
        <v>240</v>
      </c>
      <c r="Z243" s="3">
        <f t="shared" si="46"/>
        <v>29217498</v>
      </c>
      <c r="AA243" s="7"/>
      <c r="AB243" s="7">
        <f t="shared" si="47"/>
        <v>13040</v>
      </c>
    </row>
    <row r="244" spans="6:28" x14ac:dyDescent="0.15">
      <c r="F244">
        <f t="shared" si="37"/>
        <v>35</v>
      </c>
      <c r="G244">
        <v>241</v>
      </c>
      <c r="H244">
        <f t="shared" si="38"/>
        <v>19941178.534848556</v>
      </c>
      <c r="I244">
        <f t="shared" si="39"/>
        <v>19941179</v>
      </c>
      <c r="J244" s="1">
        <f t="shared" si="40"/>
        <v>1</v>
      </c>
      <c r="K244" s="1">
        <f t="shared" si="41"/>
        <v>19941179</v>
      </c>
      <c r="L244" s="1">
        <f t="shared" si="42"/>
        <v>4752647.661666668</v>
      </c>
      <c r="M244" s="3">
        <f t="shared" si="43"/>
        <v>1465.6812867193535</v>
      </c>
      <c r="N244" s="7">
        <f t="shared" si="48"/>
        <v>4752648</v>
      </c>
      <c r="O244" s="7">
        <f t="shared" si="44"/>
        <v>1465</v>
      </c>
      <c r="P244" s="3">
        <f>SUM($O$4:O244)</f>
        <v>81301</v>
      </c>
      <c r="Y244" s="3">
        <f t="shared" si="45"/>
        <v>241</v>
      </c>
      <c r="Z244" s="3">
        <f t="shared" si="46"/>
        <v>30806199</v>
      </c>
      <c r="AA244" s="7"/>
      <c r="AB244" s="7">
        <f t="shared" si="47"/>
        <v>13040</v>
      </c>
    </row>
    <row r="245" spans="6:28" x14ac:dyDescent="0.15">
      <c r="F245">
        <f t="shared" si="37"/>
        <v>35</v>
      </c>
      <c r="G245">
        <v>242</v>
      </c>
      <c r="H245">
        <f t="shared" si="38"/>
        <v>19941178.534848556</v>
      </c>
      <c r="I245">
        <f t="shared" si="39"/>
        <v>19941179</v>
      </c>
      <c r="J245" s="1">
        <f t="shared" si="40"/>
        <v>1</v>
      </c>
      <c r="K245" s="1">
        <f t="shared" si="41"/>
        <v>19941179</v>
      </c>
      <c r="L245" s="1">
        <f t="shared" si="42"/>
        <v>4752647.661666668</v>
      </c>
      <c r="M245" s="3">
        <f t="shared" si="43"/>
        <v>1465.6812867193535</v>
      </c>
      <c r="N245" s="7">
        <f t="shared" si="48"/>
        <v>4752648</v>
      </c>
      <c r="O245" s="7">
        <f t="shared" si="44"/>
        <v>1465</v>
      </c>
      <c r="P245" s="3">
        <f>SUM($O$4:O245)</f>
        <v>82766</v>
      </c>
      <c r="Y245" s="3">
        <f t="shared" si="45"/>
        <v>242</v>
      </c>
      <c r="Z245" s="3">
        <f t="shared" si="46"/>
        <v>32480727</v>
      </c>
      <c r="AA245" s="7"/>
      <c r="AB245" s="7">
        <f t="shared" si="47"/>
        <v>13040</v>
      </c>
    </row>
    <row r="246" spans="6:28" x14ac:dyDescent="0.15">
      <c r="F246">
        <f t="shared" si="37"/>
        <v>35</v>
      </c>
      <c r="G246">
        <v>243</v>
      </c>
      <c r="H246">
        <f t="shared" si="38"/>
        <v>19941178.534848556</v>
      </c>
      <c r="I246">
        <f t="shared" si="39"/>
        <v>19941179</v>
      </c>
      <c r="J246" s="1">
        <f t="shared" si="40"/>
        <v>1</v>
      </c>
      <c r="K246" s="1">
        <f t="shared" si="41"/>
        <v>19941179</v>
      </c>
      <c r="L246" s="1">
        <f t="shared" si="42"/>
        <v>4752647.661666668</v>
      </c>
      <c r="M246" s="3">
        <f t="shared" si="43"/>
        <v>1465.6812867193535</v>
      </c>
      <c r="N246" s="7">
        <f t="shared" si="48"/>
        <v>4752648</v>
      </c>
      <c r="O246" s="7">
        <f t="shared" si="44"/>
        <v>1465</v>
      </c>
      <c r="P246" s="3">
        <f>SUM($O$4:O246)</f>
        <v>84231</v>
      </c>
      <c r="Y246" s="3">
        <f t="shared" si="45"/>
        <v>243</v>
      </c>
      <c r="Z246" s="3">
        <f t="shared" si="46"/>
        <v>34245692</v>
      </c>
      <c r="AA246" s="7"/>
      <c r="AB246" s="7">
        <f t="shared" si="47"/>
        <v>13040</v>
      </c>
    </row>
    <row r="247" spans="6:28" x14ac:dyDescent="0.15">
      <c r="F247">
        <f t="shared" si="37"/>
        <v>35</v>
      </c>
      <c r="G247">
        <v>244</v>
      </c>
      <c r="H247">
        <f t="shared" si="38"/>
        <v>19941178.534848556</v>
      </c>
      <c r="I247">
        <f t="shared" si="39"/>
        <v>19941179</v>
      </c>
      <c r="J247" s="1">
        <f t="shared" si="40"/>
        <v>1</v>
      </c>
      <c r="K247" s="1">
        <f t="shared" si="41"/>
        <v>19941179</v>
      </c>
      <c r="L247" s="1">
        <f t="shared" si="42"/>
        <v>4752647.661666668</v>
      </c>
      <c r="M247" s="3">
        <f t="shared" si="43"/>
        <v>1465.6812867193535</v>
      </c>
      <c r="N247" s="7">
        <f t="shared" si="48"/>
        <v>4752648</v>
      </c>
      <c r="O247" s="7">
        <f t="shared" si="44"/>
        <v>1465</v>
      </c>
      <c r="P247" s="3">
        <f>SUM($O$4:O247)</f>
        <v>85696</v>
      </c>
      <c r="Y247" s="3">
        <f t="shared" si="45"/>
        <v>244</v>
      </c>
      <c r="Z247" s="3">
        <f t="shared" si="46"/>
        <v>36105952</v>
      </c>
      <c r="AA247" s="7"/>
      <c r="AB247" s="7">
        <f t="shared" si="47"/>
        <v>13040</v>
      </c>
    </row>
    <row r="248" spans="6:28" x14ac:dyDescent="0.15">
      <c r="F248">
        <f t="shared" si="37"/>
        <v>35</v>
      </c>
      <c r="G248">
        <v>245</v>
      </c>
      <c r="H248">
        <f t="shared" si="38"/>
        <v>19941178.534848556</v>
      </c>
      <c r="I248">
        <f t="shared" si="39"/>
        <v>19941179</v>
      </c>
      <c r="J248" s="1">
        <f t="shared" si="40"/>
        <v>10</v>
      </c>
      <c r="K248" s="1">
        <f t="shared" si="41"/>
        <v>199411790</v>
      </c>
      <c r="L248" s="1">
        <f t="shared" si="42"/>
        <v>47526476.616666675</v>
      </c>
      <c r="M248" s="3">
        <f t="shared" si="43"/>
        <v>14656.81286719353</v>
      </c>
      <c r="N248" s="7">
        <f t="shared" si="48"/>
        <v>47526477</v>
      </c>
      <c r="O248" s="7">
        <f t="shared" si="44"/>
        <v>14656</v>
      </c>
      <c r="P248" s="3">
        <f>SUM($O$4:O248)</f>
        <v>100352</v>
      </c>
      <c r="Y248" s="3">
        <f t="shared" si="45"/>
        <v>245</v>
      </c>
      <c r="Z248" s="3">
        <f t="shared" si="46"/>
        <v>38066623</v>
      </c>
      <c r="AA248" s="7"/>
      <c r="AB248" s="7">
        <f t="shared" si="47"/>
        <v>13040</v>
      </c>
    </row>
    <row r="249" spans="6:28" x14ac:dyDescent="0.15">
      <c r="F249">
        <f t="shared" si="37"/>
        <v>36</v>
      </c>
      <c r="G249">
        <v>246</v>
      </c>
      <c r="H249">
        <f t="shared" si="38"/>
        <v>31307650.299712226</v>
      </c>
      <c r="I249">
        <f t="shared" si="39"/>
        <v>31307650</v>
      </c>
      <c r="J249" s="1">
        <f t="shared" si="40"/>
        <v>1</v>
      </c>
      <c r="K249" s="1">
        <f t="shared" si="41"/>
        <v>31307650</v>
      </c>
      <c r="L249" s="1">
        <f t="shared" si="42"/>
        <v>7555579.5333333332</v>
      </c>
      <c r="M249" s="3">
        <f t="shared" si="43"/>
        <v>1792.3728350484789</v>
      </c>
      <c r="N249" s="7">
        <f t="shared" si="48"/>
        <v>7555580</v>
      </c>
      <c r="O249" s="7">
        <f t="shared" si="44"/>
        <v>1792</v>
      </c>
      <c r="P249" s="3">
        <f>SUM($O$4:O249)</f>
        <v>102144</v>
      </c>
      <c r="Y249" s="3">
        <f t="shared" si="45"/>
        <v>246</v>
      </c>
      <c r="Z249" s="3">
        <f t="shared" si="46"/>
        <v>40133097</v>
      </c>
      <c r="AA249" s="7"/>
      <c r="AB249" s="7">
        <f t="shared" si="47"/>
        <v>13040</v>
      </c>
    </row>
    <row r="250" spans="6:28" x14ac:dyDescent="0.15">
      <c r="F250">
        <f t="shared" si="37"/>
        <v>36</v>
      </c>
      <c r="G250">
        <v>247</v>
      </c>
      <c r="H250">
        <f t="shared" si="38"/>
        <v>31307650.299712226</v>
      </c>
      <c r="I250">
        <f t="shared" si="39"/>
        <v>31307650</v>
      </c>
      <c r="J250" s="1">
        <f t="shared" si="40"/>
        <v>1</v>
      </c>
      <c r="K250" s="1">
        <f t="shared" si="41"/>
        <v>31307650</v>
      </c>
      <c r="L250" s="1">
        <f t="shared" si="42"/>
        <v>7555579.5333333332</v>
      </c>
      <c r="M250" s="3">
        <f t="shared" si="43"/>
        <v>1792.3728350484789</v>
      </c>
      <c r="N250" s="7">
        <f t="shared" si="48"/>
        <v>7555580</v>
      </c>
      <c r="O250" s="7">
        <f t="shared" si="44"/>
        <v>1792</v>
      </c>
      <c r="P250" s="3">
        <f>SUM($O$4:O250)</f>
        <v>103936</v>
      </c>
      <c r="Y250" s="3">
        <f t="shared" si="45"/>
        <v>247</v>
      </c>
      <c r="Z250" s="3">
        <f t="shared" si="46"/>
        <v>42311052</v>
      </c>
      <c r="AA250" s="7"/>
      <c r="AB250" s="7">
        <f t="shared" si="47"/>
        <v>13040</v>
      </c>
    </row>
    <row r="251" spans="6:28" x14ac:dyDescent="0.15">
      <c r="F251">
        <f t="shared" si="37"/>
        <v>36</v>
      </c>
      <c r="G251">
        <v>248</v>
      </c>
      <c r="H251">
        <f t="shared" si="38"/>
        <v>31307650.299712226</v>
      </c>
      <c r="I251">
        <f t="shared" si="39"/>
        <v>31307650</v>
      </c>
      <c r="J251" s="1">
        <f t="shared" si="40"/>
        <v>1</v>
      </c>
      <c r="K251" s="1">
        <f t="shared" si="41"/>
        <v>31307650</v>
      </c>
      <c r="L251" s="1">
        <f t="shared" si="42"/>
        <v>7555579.5333333332</v>
      </c>
      <c r="M251" s="3">
        <f t="shared" si="43"/>
        <v>1792.3728350484789</v>
      </c>
      <c r="N251" s="7">
        <f t="shared" si="48"/>
        <v>7555580</v>
      </c>
      <c r="O251" s="7">
        <f t="shared" si="44"/>
        <v>1792</v>
      </c>
      <c r="P251" s="3">
        <f>SUM($O$4:O251)</f>
        <v>105728</v>
      </c>
      <c r="Y251" s="3">
        <f t="shared" si="45"/>
        <v>248</v>
      </c>
      <c r="Z251" s="3">
        <f t="shared" si="46"/>
        <v>44606469</v>
      </c>
      <c r="AA251" s="7"/>
      <c r="AB251" s="7">
        <f t="shared" si="47"/>
        <v>13040</v>
      </c>
    </row>
    <row r="252" spans="6:28" x14ac:dyDescent="0.15">
      <c r="F252">
        <f t="shared" si="37"/>
        <v>36</v>
      </c>
      <c r="G252">
        <v>249</v>
      </c>
      <c r="H252">
        <f t="shared" si="38"/>
        <v>31307650.299712226</v>
      </c>
      <c r="I252">
        <f t="shared" si="39"/>
        <v>31307650</v>
      </c>
      <c r="J252" s="1">
        <f t="shared" si="40"/>
        <v>1</v>
      </c>
      <c r="K252" s="1">
        <f t="shared" si="41"/>
        <v>31307650</v>
      </c>
      <c r="L252" s="1">
        <f t="shared" si="42"/>
        <v>7555579.5333333332</v>
      </c>
      <c r="M252" s="3">
        <f t="shared" si="43"/>
        <v>1792.3728350484789</v>
      </c>
      <c r="N252" s="7">
        <f t="shared" si="48"/>
        <v>7555580</v>
      </c>
      <c r="O252" s="7">
        <f t="shared" si="44"/>
        <v>1792</v>
      </c>
      <c r="P252" s="3">
        <f>SUM($O$4:O252)</f>
        <v>107520</v>
      </c>
      <c r="Y252" s="3">
        <f t="shared" si="45"/>
        <v>249</v>
      </c>
      <c r="Z252" s="3">
        <f t="shared" si="46"/>
        <v>47025651</v>
      </c>
      <c r="AA252" s="7"/>
      <c r="AB252" s="7">
        <f t="shared" si="47"/>
        <v>13040</v>
      </c>
    </row>
    <row r="253" spans="6:28" x14ac:dyDescent="0.15">
      <c r="F253">
        <f t="shared" si="37"/>
        <v>36</v>
      </c>
      <c r="G253">
        <v>250</v>
      </c>
      <c r="H253">
        <f t="shared" si="38"/>
        <v>31307650.299712226</v>
      </c>
      <c r="I253">
        <f t="shared" si="39"/>
        <v>31307650</v>
      </c>
      <c r="J253" s="1">
        <f t="shared" si="40"/>
        <v>1</v>
      </c>
      <c r="K253" s="1">
        <f t="shared" si="41"/>
        <v>31307650</v>
      </c>
      <c r="L253" s="1">
        <f t="shared" si="42"/>
        <v>7555579.5333333332</v>
      </c>
      <c r="M253" s="3">
        <f t="shared" si="43"/>
        <v>1792.3728350484789</v>
      </c>
      <c r="N253" s="7">
        <f t="shared" si="48"/>
        <v>7555580</v>
      </c>
      <c r="O253" s="7">
        <f t="shared" si="44"/>
        <v>1792</v>
      </c>
      <c r="P253" s="3">
        <f>SUM($O$4:O253)</f>
        <v>109312</v>
      </c>
      <c r="Y253" s="3">
        <f t="shared" si="45"/>
        <v>250</v>
      </c>
      <c r="Z253" s="3">
        <f t="shared" si="46"/>
        <v>49575234</v>
      </c>
      <c r="AA253" s="7"/>
      <c r="AB253" s="7">
        <f t="shared" si="47"/>
        <v>13040</v>
      </c>
    </row>
    <row r="254" spans="6:28" x14ac:dyDescent="0.15">
      <c r="F254">
        <f t="shared" si="37"/>
        <v>36</v>
      </c>
      <c r="G254">
        <v>251</v>
      </c>
      <c r="H254">
        <f t="shared" si="38"/>
        <v>31307650.299712226</v>
      </c>
      <c r="I254">
        <f t="shared" si="39"/>
        <v>31307650</v>
      </c>
      <c r="J254" s="1">
        <f t="shared" si="40"/>
        <v>1</v>
      </c>
      <c r="K254" s="1">
        <f t="shared" si="41"/>
        <v>31307650</v>
      </c>
      <c r="L254" s="1">
        <f t="shared" si="42"/>
        <v>7555579.5333333332</v>
      </c>
      <c r="M254" s="3">
        <f t="shared" si="43"/>
        <v>1792.3728350484789</v>
      </c>
      <c r="N254" s="7">
        <f t="shared" si="48"/>
        <v>7555580</v>
      </c>
      <c r="O254" s="7">
        <f t="shared" si="44"/>
        <v>1792</v>
      </c>
      <c r="P254" s="3">
        <f>SUM($O$4:O254)</f>
        <v>111104</v>
      </c>
      <c r="Y254" s="3">
        <f t="shared" si="45"/>
        <v>251</v>
      </c>
      <c r="Z254" s="3">
        <f t="shared" si="46"/>
        <v>52262212</v>
      </c>
      <c r="AA254" s="7"/>
      <c r="AB254" s="7">
        <f t="shared" si="47"/>
        <v>13040</v>
      </c>
    </row>
    <row r="255" spans="6:28" x14ac:dyDescent="0.15">
      <c r="F255">
        <f t="shared" si="37"/>
        <v>36</v>
      </c>
      <c r="G255">
        <v>252</v>
      </c>
      <c r="H255">
        <f t="shared" si="38"/>
        <v>31307650.299712226</v>
      </c>
      <c r="I255">
        <f t="shared" si="39"/>
        <v>31307650</v>
      </c>
      <c r="J255" s="1">
        <f t="shared" si="40"/>
        <v>2</v>
      </c>
      <c r="K255" s="1">
        <f t="shared" si="41"/>
        <v>62615300</v>
      </c>
      <c r="L255" s="1">
        <f t="shared" si="42"/>
        <v>15111159.066666666</v>
      </c>
      <c r="M255" s="3">
        <f t="shared" si="43"/>
        <v>3584.7456700969578</v>
      </c>
      <c r="N255" s="7">
        <f t="shared" si="48"/>
        <v>15111159</v>
      </c>
      <c r="O255" s="7">
        <f t="shared" si="44"/>
        <v>3584</v>
      </c>
      <c r="P255" s="3">
        <f>SUM($O$4:O255)</f>
        <v>114688</v>
      </c>
      <c r="Y255" s="3">
        <f t="shared" si="45"/>
        <v>252</v>
      </c>
      <c r="Z255" s="3">
        <f t="shared" si="46"/>
        <v>55093949</v>
      </c>
      <c r="AA255" s="7"/>
      <c r="AB255" s="7">
        <f t="shared" si="47"/>
        <v>13040</v>
      </c>
    </row>
    <row r="256" spans="6:28" x14ac:dyDescent="0.15">
      <c r="F256">
        <f t="shared" si="37"/>
        <v>37</v>
      </c>
      <c r="G256">
        <v>253</v>
      </c>
      <c r="H256">
        <f t="shared" si="38"/>
        <v>49153010.970548205</v>
      </c>
      <c r="I256">
        <f t="shared" si="39"/>
        <v>49153011</v>
      </c>
      <c r="J256" s="1">
        <f t="shared" si="40"/>
        <v>1</v>
      </c>
      <c r="K256" s="1">
        <f t="shared" si="41"/>
        <v>49153011</v>
      </c>
      <c r="L256" s="1">
        <f t="shared" si="42"/>
        <v>12009719.021000002</v>
      </c>
      <c r="M256" s="3">
        <f t="shared" si="43"/>
        <v>2191.5433524058444</v>
      </c>
      <c r="N256" s="7">
        <f t="shared" si="48"/>
        <v>12009719</v>
      </c>
      <c r="O256" s="7">
        <f t="shared" si="44"/>
        <v>2191</v>
      </c>
      <c r="P256" s="3">
        <f>SUM($O$4:O256)</f>
        <v>116879</v>
      </c>
      <c r="Y256" s="3">
        <f t="shared" si="45"/>
        <v>253</v>
      </c>
      <c r="Z256" s="3">
        <f t="shared" si="46"/>
        <v>58078205</v>
      </c>
      <c r="AA256" s="7"/>
      <c r="AB256" s="7">
        <f t="shared" si="47"/>
        <v>13040</v>
      </c>
    </row>
    <row r="257" spans="6:28" x14ac:dyDescent="0.15">
      <c r="F257">
        <f t="shared" si="37"/>
        <v>37</v>
      </c>
      <c r="G257">
        <v>254</v>
      </c>
      <c r="H257">
        <f t="shared" si="38"/>
        <v>49153010.970548205</v>
      </c>
      <c r="I257">
        <f t="shared" si="39"/>
        <v>49153011</v>
      </c>
      <c r="J257" s="1">
        <f t="shared" si="40"/>
        <v>1</v>
      </c>
      <c r="K257" s="1">
        <f t="shared" si="41"/>
        <v>49153011</v>
      </c>
      <c r="L257" s="1">
        <f t="shared" si="42"/>
        <v>12009719.021000002</v>
      </c>
      <c r="M257" s="3">
        <f t="shared" si="43"/>
        <v>2191.5433524058444</v>
      </c>
      <c r="N257" s="7">
        <f t="shared" si="48"/>
        <v>12009719</v>
      </c>
      <c r="O257" s="7">
        <f t="shared" si="44"/>
        <v>2191</v>
      </c>
      <c r="P257" s="3">
        <f>SUM($O$4:O257)</f>
        <v>119070</v>
      </c>
      <c r="Y257" s="3">
        <f t="shared" si="45"/>
        <v>254</v>
      </c>
      <c r="Z257" s="3">
        <f t="shared" si="46"/>
        <v>61223151</v>
      </c>
      <c r="AA257" s="7"/>
      <c r="AB257" s="7">
        <f t="shared" si="47"/>
        <v>13040</v>
      </c>
    </row>
    <row r="258" spans="6:28" x14ac:dyDescent="0.15">
      <c r="F258">
        <f t="shared" si="37"/>
        <v>37</v>
      </c>
      <c r="G258">
        <v>255</v>
      </c>
      <c r="H258">
        <f t="shared" si="38"/>
        <v>49153010.970548205</v>
      </c>
      <c r="I258">
        <f t="shared" si="39"/>
        <v>49153011</v>
      </c>
      <c r="J258" s="1">
        <f t="shared" si="40"/>
        <v>1</v>
      </c>
      <c r="K258" s="1">
        <f t="shared" si="41"/>
        <v>49153011</v>
      </c>
      <c r="L258" s="1">
        <f t="shared" si="42"/>
        <v>12009719.021000002</v>
      </c>
      <c r="M258" s="3">
        <f t="shared" si="43"/>
        <v>2191.5433524058444</v>
      </c>
      <c r="N258" s="7">
        <f t="shared" si="48"/>
        <v>12009719</v>
      </c>
      <c r="O258" s="7">
        <f t="shared" si="44"/>
        <v>2191</v>
      </c>
      <c r="P258" s="3">
        <f>SUM($O$4:O258)</f>
        <v>121261</v>
      </c>
      <c r="Y258" s="3">
        <f t="shared" si="45"/>
        <v>255</v>
      </c>
      <c r="Z258" s="3">
        <f t="shared" si="46"/>
        <v>64537397</v>
      </c>
      <c r="AA258" s="7"/>
      <c r="AB258" s="7">
        <f t="shared" si="47"/>
        <v>13040</v>
      </c>
    </row>
    <row r="259" spans="6:28" x14ac:dyDescent="0.15">
      <c r="F259">
        <f t="shared" si="37"/>
        <v>37</v>
      </c>
      <c r="G259">
        <v>256</v>
      </c>
      <c r="H259">
        <f t="shared" si="38"/>
        <v>49153010.970548205</v>
      </c>
      <c r="I259">
        <f t="shared" si="39"/>
        <v>49153011</v>
      </c>
      <c r="J259" s="1">
        <f t="shared" si="40"/>
        <v>1</v>
      </c>
      <c r="K259" s="1">
        <f t="shared" si="41"/>
        <v>49153011</v>
      </c>
      <c r="L259" s="1">
        <f t="shared" si="42"/>
        <v>12009719.021000002</v>
      </c>
      <c r="M259" s="3">
        <f t="shared" si="43"/>
        <v>2191.5433524058444</v>
      </c>
      <c r="N259" s="7">
        <f t="shared" si="48"/>
        <v>12009719</v>
      </c>
      <c r="O259" s="7">
        <f t="shared" si="44"/>
        <v>2191</v>
      </c>
      <c r="P259" s="3">
        <f>SUM($O$4:O259)</f>
        <v>123452</v>
      </c>
      <c r="Y259" s="3">
        <f t="shared" si="45"/>
        <v>256</v>
      </c>
      <c r="Z259" s="3">
        <f t="shared" si="46"/>
        <v>68030009</v>
      </c>
      <c r="AA259" s="7"/>
      <c r="AB259" s="7">
        <f t="shared" si="47"/>
        <v>13040</v>
      </c>
    </row>
    <row r="260" spans="6:28" x14ac:dyDescent="0.15">
      <c r="F260">
        <f t="shared" si="37"/>
        <v>37</v>
      </c>
      <c r="G260">
        <v>257</v>
      </c>
      <c r="H260">
        <f t="shared" si="38"/>
        <v>49153010.970548205</v>
      </c>
      <c r="I260">
        <f t="shared" si="39"/>
        <v>49153011</v>
      </c>
      <c r="J260" s="1">
        <f t="shared" si="40"/>
        <v>1</v>
      </c>
      <c r="K260" s="1">
        <f t="shared" si="41"/>
        <v>49153011</v>
      </c>
      <c r="L260" s="1">
        <f t="shared" si="42"/>
        <v>12009719.021000002</v>
      </c>
      <c r="M260" s="3">
        <f t="shared" si="43"/>
        <v>2191.5433524058444</v>
      </c>
      <c r="N260" s="7">
        <f t="shared" si="48"/>
        <v>12009719</v>
      </c>
      <c r="O260" s="7">
        <f t="shared" si="44"/>
        <v>2191</v>
      </c>
      <c r="P260" s="3">
        <f>SUM($O$4:O260)</f>
        <v>125643</v>
      </c>
      <c r="Y260" s="3">
        <f t="shared" si="45"/>
        <v>257</v>
      </c>
      <c r="Z260" s="3">
        <f t="shared" si="46"/>
        <v>71710539</v>
      </c>
      <c r="AA260" s="7"/>
      <c r="AB260" s="7">
        <f t="shared" si="47"/>
        <v>13040</v>
      </c>
    </row>
    <row r="261" spans="6:28" x14ac:dyDescent="0.15">
      <c r="F261">
        <f t="shared" ref="F261:F324" si="49">ROUNDUP(G261/$C$4,0)</f>
        <v>37</v>
      </c>
      <c r="G261">
        <v>258</v>
      </c>
      <c r="H261">
        <f t="shared" ref="H261:H324" si="50">18.5*1.57^MIN(F261,156)*1.17^MAX(F261-156,0)*$C$5</f>
        <v>49153010.970548205</v>
      </c>
      <c r="I261">
        <f t="shared" ref="I261:I324" si="51">ROUND(H261,0)</f>
        <v>49153011</v>
      </c>
      <c r="J261" s="1">
        <f t="shared" ref="J261:J324" si="52">IF(F261=F262,1,LOOKUP(MOD(F261,5),$D$6:$D$10,$C$6:$C$10))</f>
        <v>1</v>
      </c>
      <c r="K261" s="1">
        <f t="shared" ref="K261:K324" si="53">J261*I261</f>
        <v>49153011</v>
      </c>
      <c r="L261" s="1">
        <f t="shared" ref="L261:L324" si="54">K261*(0.02+0.00045*F261)/$C$5</f>
        <v>12009719.021000002</v>
      </c>
      <c r="M261" s="3">
        <f t="shared" ref="M261:M324" si="55">L261/(1.3^F261)*3</f>
        <v>2191.5433524058444</v>
      </c>
      <c r="N261" s="7">
        <f t="shared" si="48"/>
        <v>12009719</v>
      </c>
      <c r="O261" s="7">
        <f t="shared" ref="O261:O324" si="56">ROUNDDOWN(M261,0)</f>
        <v>2191</v>
      </c>
      <c r="P261" s="3">
        <f>SUM($O$4:O261)</f>
        <v>127834</v>
      </c>
      <c r="Y261" s="3">
        <f t="shared" ref="Y261:Y324" si="57">G261</f>
        <v>258</v>
      </c>
      <c r="Z261" s="3">
        <f t="shared" ref="Z261:Z324" si="58">ROUND(1.05^Y261*Y261,0)</f>
        <v>75589046</v>
      </c>
      <c r="AA261" s="7"/>
      <c r="AB261" s="7">
        <f t="shared" ref="AB261:AB324" si="59">LOOKUP(Y261,T:T,P:P)</f>
        <v>13040</v>
      </c>
    </row>
    <row r="262" spans="6:28" x14ac:dyDescent="0.15">
      <c r="F262">
        <f t="shared" si="49"/>
        <v>37</v>
      </c>
      <c r="G262">
        <v>259</v>
      </c>
      <c r="H262">
        <f t="shared" si="50"/>
        <v>49153010.970548205</v>
      </c>
      <c r="I262">
        <f t="shared" si="51"/>
        <v>49153011</v>
      </c>
      <c r="J262" s="1">
        <f t="shared" si="52"/>
        <v>4</v>
      </c>
      <c r="K262" s="1">
        <f t="shared" si="53"/>
        <v>196612044</v>
      </c>
      <c r="L262" s="1">
        <f t="shared" si="54"/>
        <v>48038876.084000006</v>
      </c>
      <c r="M262" s="3">
        <f t="shared" si="55"/>
        <v>8766.1734096233777</v>
      </c>
      <c r="N262" s="7">
        <f t="shared" si="48"/>
        <v>48038876</v>
      </c>
      <c r="O262" s="7">
        <f t="shared" si="56"/>
        <v>8766</v>
      </c>
      <c r="P262" s="3">
        <f>SUM($O$4:O262)</f>
        <v>136600</v>
      </c>
      <c r="Y262" s="3">
        <f t="shared" si="57"/>
        <v>259</v>
      </c>
      <c r="Z262" s="3">
        <f t="shared" si="58"/>
        <v>79676128</v>
      </c>
      <c r="AA262" s="7"/>
      <c r="AB262" s="7">
        <f t="shared" si="59"/>
        <v>13040</v>
      </c>
    </row>
    <row r="263" spans="6:28" x14ac:dyDescent="0.15">
      <c r="F263">
        <f t="shared" si="49"/>
        <v>38</v>
      </c>
      <c r="G263">
        <v>260</v>
      </c>
      <c r="H263">
        <f t="shared" si="50"/>
        <v>77170227.223760679</v>
      </c>
      <c r="I263">
        <f t="shared" si="51"/>
        <v>77170227</v>
      </c>
      <c r="J263" s="1">
        <f t="shared" si="52"/>
        <v>1</v>
      </c>
      <c r="K263" s="1">
        <f t="shared" si="53"/>
        <v>77170227</v>
      </c>
      <c r="L263" s="1">
        <f t="shared" si="54"/>
        <v>19086769.478000004</v>
      </c>
      <c r="M263" s="3">
        <f t="shared" si="55"/>
        <v>2679.2071613173216</v>
      </c>
      <c r="N263" s="7">
        <f t="shared" si="48"/>
        <v>19086769</v>
      </c>
      <c r="O263" s="7">
        <f t="shared" si="56"/>
        <v>2679</v>
      </c>
      <c r="P263" s="3">
        <f>SUM($O$4:O263)</f>
        <v>139279</v>
      </c>
      <c r="Y263" s="3">
        <f t="shared" si="57"/>
        <v>260</v>
      </c>
      <c r="Z263" s="3">
        <f t="shared" si="58"/>
        <v>83982946</v>
      </c>
      <c r="AA263" s="7"/>
      <c r="AB263" s="7">
        <f t="shared" si="59"/>
        <v>13040</v>
      </c>
    </row>
    <row r="264" spans="6:28" x14ac:dyDescent="0.15">
      <c r="F264">
        <f t="shared" si="49"/>
        <v>38</v>
      </c>
      <c r="G264">
        <v>261</v>
      </c>
      <c r="H264">
        <f t="shared" si="50"/>
        <v>77170227.223760679</v>
      </c>
      <c r="I264">
        <f t="shared" si="51"/>
        <v>77170227</v>
      </c>
      <c r="J264" s="1">
        <f t="shared" si="52"/>
        <v>1</v>
      </c>
      <c r="K264" s="1">
        <f t="shared" si="53"/>
        <v>77170227</v>
      </c>
      <c r="L264" s="1">
        <f t="shared" si="54"/>
        <v>19086769.478000004</v>
      </c>
      <c r="M264" s="3">
        <f t="shared" si="55"/>
        <v>2679.2071613173216</v>
      </c>
      <c r="N264" s="7">
        <f t="shared" ref="N264:N327" si="60">ROUND(L264,0)</f>
        <v>19086769</v>
      </c>
      <c r="O264" s="7">
        <f t="shared" si="56"/>
        <v>2679</v>
      </c>
      <c r="P264" s="3">
        <f>SUM($O$4:O264)</f>
        <v>141958</v>
      </c>
      <c r="Y264" s="3">
        <f t="shared" si="57"/>
        <v>261</v>
      </c>
      <c r="Z264" s="3">
        <f t="shared" si="58"/>
        <v>88521255</v>
      </c>
      <c r="AA264" s="7"/>
      <c r="AB264" s="7">
        <f t="shared" si="59"/>
        <v>13040</v>
      </c>
    </row>
    <row r="265" spans="6:28" x14ac:dyDescent="0.15">
      <c r="F265">
        <f t="shared" si="49"/>
        <v>38</v>
      </c>
      <c r="G265">
        <v>262</v>
      </c>
      <c r="H265">
        <f t="shared" si="50"/>
        <v>77170227.223760679</v>
      </c>
      <c r="I265">
        <f t="shared" si="51"/>
        <v>77170227</v>
      </c>
      <c r="J265" s="1">
        <f t="shared" si="52"/>
        <v>1</v>
      </c>
      <c r="K265" s="1">
        <f t="shared" si="53"/>
        <v>77170227</v>
      </c>
      <c r="L265" s="1">
        <f t="shared" si="54"/>
        <v>19086769.478000004</v>
      </c>
      <c r="M265" s="3">
        <f t="shared" si="55"/>
        <v>2679.2071613173216</v>
      </c>
      <c r="N265" s="7">
        <f t="shared" si="60"/>
        <v>19086769</v>
      </c>
      <c r="O265" s="7">
        <f t="shared" si="56"/>
        <v>2679</v>
      </c>
      <c r="P265" s="3">
        <f>SUM($O$4:O265)</f>
        <v>144637</v>
      </c>
      <c r="Y265" s="3">
        <f t="shared" si="57"/>
        <v>262</v>
      </c>
      <c r="Z265" s="3">
        <f t="shared" si="58"/>
        <v>93303438</v>
      </c>
      <c r="AA265" s="7"/>
      <c r="AB265" s="7">
        <f t="shared" si="59"/>
        <v>13040</v>
      </c>
    </row>
    <row r="266" spans="6:28" x14ac:dyDescent="0.15">
      <c r="F266">
        <f t="shared" si="49"/>
        <v>38</v>
      </c>
      <c r="G266">
        <v>263</v>
      </c>
      <c r="H266">
        <f t="shared" si="50"/>
        <v>77170227.223760679</v>
      </c>
      <c r="I266">
        <f t="shared" si="51"/>
        <v>77170227</v>
      </c>
      <c r="J266" s="1">
        <f t="shared" si="52"/>
        <v>1</v>
      </c>
      <c r="K266" s="1">
        <f t="shared" si="53"/>
        <v>77170227</v>
      </c>
      <c r="L266" s="1">
        <f t="shared" si="54"/>
        <v>19086769.478000004</v>
      </c>
      <c r="M266" s="3">
        <f t="shared" si="55"/>
        <v>2679.2071613173216</v>
      </c>
      <c r="N266" s="7">
        <f t="shared" si="60"/>
        <v>19086769</v>
      </c>
      <c r="O266" s="7">
        <f t="shared" si="56"/>
        <v>2679</v>
      </c>
      <c r="P266" s="3">
        <f>SUM($O$4:O266)</f>
        <v>147316</v>
      </c>
      <c r="Y266" s="3">
        <f t="shared" si="57"/>
        <v>263</v>
      </c>
      <c r="Z266" s="3">
        <f t="shared" si="58"/>
        <v>98342536</v>
      </c>
      <c r="AA266" s="7"/>
      <c r="AB266" s="7">
        <f t="shared" si="59"/>
        <v>13040</v>
      </c>
    </row>
    <row r="267" spans="6:28" x14ac:dyDescent="0.15">
      <c r="F267">
        <f t="shared" si="49"/>
        <v>38</v>
      </c>
      <c r="G267">
        <v>264</v>
      </c>
      <c r="H267">
        <f t="shared" si="50"/>
        <v>77170227.223760679</v>
      </c>
      <c r="I267">
        <f t="shared" si="51"/>
        <v>77170227</v>
      </c>
      <c r="J267" s="1">
        <f t="shared" si="52"/>
        <v>1</v>
      </c>
      <c r="K267" s="1">
        <f t="shared" si="53"/>
        <v>77170227</v>
      </c>
      <c r="L267" s="1">
        <f t="shared" si="54"/>
        <v>19086769.478000004</v>
      </c>
      <c r="M267" s="3">
        <f t="shared" si="55"/>
        <v>2679.2071613173216</v>
      </c>
      <c r="N267" s="7">
        <f t="shared" si="60"/>
        <v>19086769</v>
      </c>
      <c r="O267" s="7">
        <f t="shared" si="56"/>
        <v>2679</v>
      </c>
      <c r="P267" s="3">
        <f>SUM($O$4:O267)</f>
        <v>149995</v>
      </c>
      <c r="Y267" s="3">
        <f t="shared" si="57"/>
        <v>264</v>
      </c>
      <c r="Z267" s="3">
        <f t="shared" si="58"/>
        <v>103652285</v>
      </c>
      <c r="AA267" s="7"/>
      <c r="AB267" s="7">
        <f t="shared" si="59"/>
        <v>13040</v>
      </c>
    </row>
    <row r="268" spans="6:28" x14ac:dyDescent="0.15">
      <c r="F268">
        <f t="shared" si="49"/>
        <v>38</v>
      </c>
      <c r="G268">
        <v>265</v>
      </c>
      <c r="H268">
        <f t="shared" si="50"/>
        <v>77170227.223760679</v>
      </c>
      <c r="I268">
        <f t="shared" si="51"/>
        <v>77170227</v>
      </c>
      <c r="J268" s="1">
        <f t="shared" si="52"/>
        <v>1</v>
      </c>
      <c r="K268" s="1">
        <f t="shared" si="53"/>
        <v>77170227</v>
      </c>
      <c r="L268" s="1">
        <f t="shared" si="54"/>
        <v>19086769.478000004</v>
      </c>
      <c r="M268" s="3">
        <f t="shared" si="55"/>
        <v>2679.2071613173216</v>
      </c>
      <c r="N268" s="7">
        <f t="shared" si="60"/>
        <v>19086769</v>
      </c>
      <c r="O268" s="7">
        <f t="shared" si="56"/>
        <v>2679</v>
      </c>
      <c r="P268" s="3">
        <f>SUM($O$4:O268)</f>
        <v>152674</v>
      </c>
      <c r="Y268" s="3">
        <f t="shared" si="57"/>
        <v>265</v>
      </c>
      <c r="Z268" s="3">
        <f t="shared" si="58"/>
        <v>109247153</v>
      </c>
      <c r="AA268" s="7"/>
      <c r="AB268" s="7">
        <f t="shared" si="59"/>
        <v>13040</v>
      </c>
    </row>
    <row r="269" spans="6:28" x14ac:dyDescent="0.15">
      <c r="F269">
        <f t="shared" si="49"/>
        <v>38</v>
      </c>
      <c r="G269">
        <v>266</v>
      </c>
      <c r="H269">
        <f t="shared" si="50"/>
        <v>77170227.223760679</v>
      </c>
      <c r="I269">
        <f t="shared" si="51"/>
        <v>77170227</v>
      </c>
      <c r="J269" s="1">
        <f t="shared" si="52"/>
        <v>6</v>
      </c>
      <c r="K269" s="1">
        <f t="shared" si="53"/>
        <v>463021362</v>
      </c>
      <c r="L269" s="1">
        <f t="shared" si="54"/>
        <v>114520616.86800002</v>
      </c>
      <c r="M269" s="3">
        <f t="shared" si="55"/>
        <v>16075.242967903927</v>
      </c>
      <c r="N269" s="7">
        <f t="shared" si="60"/>
        <v>114520617</v>
      </c>
      <c r="O269" s="7">
        <f t="shared" si="56"/>
        <v>16075</v>
      </c>
      <c r="P269" s="3">
        <f>SUM($O$4:O269)</f>
        <v>168749</v>
      </c>
      <c r="Y269" s="3">
        <f t="shared" si="57"/>
        <v>266</v>
      </c>
      <c r="Z269" s="3">
        <f t="shared" si="58"/>
        <v>115142377</v>
      </c>
      <c r="AA269" s="7"/>
      <c r="AB269" s="7">
        <f t="shared" si="59"/>
        <v>13040</v>
      </c>
    </row>
    <row r="270" spans="6:28" x14ac:dyDescent="0.15">
      <c r="F270">
        <f t="shared" si="49"/>
        <v>39</v>
      </c>
      <c r="G270">
        <v>267</v>
      </c>
      <c r="H270">
        <f t="shared" si="50"/>
        <v>121157256.74130428</v>
      </c>
      <c r="I270">
        <f t="shared" si="51"/>
        <v>121157257</v>
      </c>
      <c r="J270" s="1">
        <f t="shared" si="52"/>
        <v>1</v>
      </c>
      <c r="K270" s="1">
        <f t="shared" si="53"/>
        <v>121157257</v>
      </c>
      <c r="L270" s="1">
        <f t="shared" si="54"/>
        <v>30329700.002333336</v>
      </c>
      <c r="M270" s="3">
        <f t="shared" si="55"/>
        <v>3274.9044200696071</v>
      </c>
      <c r="N270" s="7">
        <f t="shared" si="60"/>
        <v>30329700</v>
      </c>
      <c r="O270" s="7">
        <f t="shared" si="56"/>
        <v>3274</v>
      </c>
      <c r="P270" s="3">
        <f>SUM($O$4:O270)</f>
        <v>172023</v>
      </c>
      <c r="Y270" s="3">
        <f t="shared" si="57"/>
        <v>267</v>
      </c>
      <c r="Z270" s="3">
        <f t="shared" si="58"/>
        <v>121354005</v>
      </c>
      <c r="AA270" s="7"/>
      <c r="AB270" s="7">
        <f t="shared" si="59"/>
        <v>13040</v>
      </c>
    </row>
    <row r="271" spans="6:28" x14ac:dyDescent="0.15">
      <c r="F271">
        <f t="shared" si="49"/>
        <v>39</v>
      </c>
      <c r="G271">
        <v>268</v>
      </c>
      <c r="H271">
        <f t="shared" si="50"/>
        <v>121157256.74130428</v>
      </c>
      <c r="I271">
        <f t="shared" si="51"/>
        <v>121157257</v>
      </c>
      <c r="J271" s="1">
        <f t="shared" si="52"/>
        <v>1</v>
      </c>
      <c r="K271" s="1">
        <f t="shared" si="53"/>
        <v>121157257</v>
      </c>
      <c r="L271" s="1">
        <f t="shared" si="54"/>
        <v>30329700.002333336</v>
      </c>
      <c r="M271" s="3">
        <f t="shared" si="55"/>
        <v>3274.9044200696071</v>
      </c>
      <c r="N271" s="7">
        <f t="shared" si="60"/>
        <v>30329700</v>
      </c>
      <c r="O271" s="7">
        <f t="shared" si="56"/>
        <v>3274</v>
      </c>
      <c r="P271" s="3">
        <f>SUM($O$4:O271)</f>
        <v>175297</v>
      </c>
      <c r="Y271" s="3">
        <f t="shared" si="57"/>
        <v>268</v>
      </c>
      <c r="Z271" s="3">
        <f t="shared" si="58"/>
        <v>127898940</v>
      </c>
      <c r="AA271" s="7"/>
      <c r="AB271" s="7">
        <f t="shared" si="59"/>
        <v>13040</v>
      </c>
    </row>
    <row r="272" spans="6:28" x14ac:dyDescent="0.15">
      <c r="F272">
        <f t="shared" si="49"/>
        <v>39</v>
      </c>
      <c r="G272">
        <v>269</v>
      </c>
      <c r="H272">
        <f t="shared" si="50"/>
        <v>121157256.74130428</v>
      </c>
      <c r="I272">
        <f t="shared" si="51"/>
        <v>121157257</v>
      </c>
      <c r="J272" s="1">
        <f t="shared" si="52"/>
        <v>1</v>
      </c>
      <c r="K272" s="1">
        <f t="shared" si="53"/>
        <v>121157257</v>
      </c>
      <c r="L272" s="1">
        <f t="shared" si="54"/>
        <v>30329700.002333336</v>
      </c>
      <c r="M272" s="3">
        <f t="shared" si="55"/>
        <v>3274.9044200696071</v>
      </c>
      <c r="N272" s="7">
        <f t="shared" si="60"/>
        <v>30329700</v>
      </c>
      <c r="O272" s="7">
        <f t="shared" si="56"/>
        <v>3274</v>
      </c>
      <c r="P272" s="3">
        <f>SUM($O$4:O272)</f>
        <v>178571</v>
      </c>
      <c r="Y272" s="3">
        <f t="shared" si="57"/>
        <v>269</v>
      </c>
      <c r="Z272" s="3">
        <f t="shared" si="58"/>
        <v>134794983</v>
      </c>
      <c r="AA272" s="7"/>
      <c r="AB272" s="7">
        <f t="shared" si="59"/>
        <v>13040</v>
      </c>
    </row>
    <row r="273" spans="6:28" x14ac:dyDescent="0.15">
      <c r="F273">
        <f t="shared" si="49"/>
        <v>39</v>
      </c>
      <c r="G273">
        <v>270</v>
      </c>
      <c r="H273">
        <f t="shared" si="50"/>
        <v>121157256.74130428</v>
      </c>
      <c r="I273">
        <f t="shared" si="51"/>
        <v>121157257</v>
      </c>
      <c r="J273" s="1">
        <f t="shared" si="52"/>
        <v>1</v>
      </c>
      <c r="K273" s="1">
        <f t="shared" si="53"/>
        <v>121157257</v>
      </c>
      <c r="L273" s="1">
        <f t="shared" si="54"/>
        <v>30329700.002333336</v>
      </c>
      <c r="M273" s="3">
        <f t="shared" si="55"/>
        <v>3274.9044200696071</v>
      </c>
      <c r="N273" s="7">
        <f t="shared" si="60"/>
        <v>30329700</v>
      </c>
      <c r="O273" s="7">
        <f t="shared" si="56"/>
        <v>3274</v>
      </c>
      <c r="P273" s="3">
        <f>SUM($O$4:O273)</f>
        <v>181845</v>
      </c>
      <c r="Y273" s="3">
        <f t="shared" si="57"/>
        <v>270</v>
      </c>
      <c r="Z273" s="3">
        <f t="shared" si="58"/>
        <v>142060884</v>
      </c>
      <c r="AA273" s="7"/>
      <c r="AB273" s="7">
        <f t="shared" si="59"/>
        <v>13040</v>
      </c>
    </row>
    <row r="274" spans="6:28" x14ac:dyDescent="0.15">
      <c r="F274">
        <f t="shared" si="49"/>
        <v>39</v>
      </c>
      <c r="G274">
        <v>271</v>
      </c>
      <c r="H274">
        <f t="shared" si="50"/>
        <v>121157256.74130428</v>
      </c>
      <c r="I274">
        <f t="shared" si="51"/>
        <v>121157257</v>
      </c>
      <c r="J274" s="1">
        <f t="shared" si="52"/>
        <v>1</v>
      </c>
      <c r="K274" s="1">
        <f t="shared" si="53"/>
        <v>121157257</v>
      </c>
      <c r="L274" s="1">
        <f t="shared" si="54"/>
        <v>30329700.002333336</v>
      </c>
      <c r="M274" s="3">
        <f t="shared" si="55"/>
        <v>3274.9044200696071</v>
      </c>
      <c r="N274" s="7">
        <f t="shared" si="60"/>
        <v>30329700</v>
      </c>
      <c r="O274" s="7">
        <f t="shared" si="56"/>
        <v>3274</v>
      </c>
      <c r="P274" s="3">
        <f>SUM($O$4:O274)</f>
        <v>185119</v>
      </c>
      <c r="Y274" s="3">
        <f t="shared" si="57"/>
        <v>271</v>
      </c>
      <c r="Z274" s="3">
        <f t="shared" si="58"/>
        <v>149716387</v>
      </c>
      <c r="AA274" s="7"/>
      <c r="AB274" s="7">
        <f t="shared" si="59"/>
        <v>13040</v>
      </c>
    </row>
    <row r="275" spans="6:28" x14ac:dyDescent="0.15">
      <c r="F275">
        <f t="shared" si="49"/>
        <v>39</v>
      </c>
      <c r="G275">
        <v>272</v>
      </c>
      <c r="H275">
        <f t="shared" si="50"/>
        <v>121157256.74130428</v>
      </c>
      <c r="I275">
        <f t="shared" si="51"/>
        <v>121157257</v>
      </c>
      <c r="J275" s="1">
        <f t="shared" si="52"/>
        <v>1</v>
      </c>
      <c r="K275" s="1">
        <f t="shared" si="53"/>
        <v>121157257</v>
      </c>
      <c r="L275" s="1">
        <f t="shared" si="54"/>
        <v>30329700.002333336</v>
      </c>
      <c r="M275" s="3">
        <f t="shared" si="55"/>
        <v>3274.9044200696071</v>
      </c>
      <c r="N275" s="7">
        <f t="shared" si="60"/>
        <v>30329700</v>
      </c>
      <c r="O275" s="7">
        <f t="shared" si="56"/>
        <v>3274</v>
      </c>
      <c r="P275" s="3">
        <f>SUM($O$4:O275)</f>
        <v>188393</v>
      </c>
      <c r="Y275" s="3">
        <f t="shared" si="57"/>
        <v>272</v>
      </c>
      <c r="Z275" s="3">
        <f t="shared" si="58"/>
        <v>157782289</v>
      </c>
      <c r="AA275" s="7"/>
      <c r="AB275" s="7">
        <f t="shared" si="59"/>
        <v>13040</v>
      </c>
    </row>
    <row r="276" spans="6:28" x14ac:dyDescent="0.15">
      <c r="F276">
        <f t="shared" si="49"/>
        <v>39</v>
      </c>
      <c r="G276">
        <v>273</v>
      </c>
      <c r="H276">
        <f t="shared" si="50"/>
        <v>121157256.74130428</v>
      </c>
      <c r="I276">
        <f t="shared" si="51"/>
        <v>121157257</v>
      </c>
      <c r="J276" s="1">
        <f t="shared" si="52"/>
        <v>7</v>
      </c>
      <c r="K276" s="1">
        <f t="shared" si="53"/>
        <v>848100799</v>
      </c>
      <c r="L276" s="1">
        <f t="shared" si="54"/>
        <v>212307900.01633334</v>
      </c>
      <c r="M276" s="3">
        <f t="shared" si="55"/>
        <v>22924.330940487249</v>
      </c>
      <c r="N276" s="7">
        <f t="shared" si="60"/>
        <v>212307900</v>
      </c>
      <c r="O276" s="7">
        <f t="shared" si="56"/>
        <v>22924</v>
      </c>
      <c r="P276" s="3">
        <f>SUM($O$4:O276)</f>
        <v>211317</v>
      </c>
      <c r="Y276" s="3">
        <f t="shared" si="57"/>
        <v>273</v>
      </c>
      <c r="Z276" s="3">
        <f t="shared" si="58"/>
        <v>166280489</v>
      </c>
      <c r="AA276" s="7"/>
      <c r="AB276" s="7">
        <f t="shared" si="59"/>
        <v>13040</v>
      </c>
    </row>
    <row r="277" spans="6:28" x14ac:dyDescent="0.15">
      <c r="F277">
        <f t="shared" si="49"/>
        <v>40</v>
      </c>
      <c r="G277">
        <v>274</v>
      </c>
      <c r="H277">
        <f t="shared" si="50"/>
        <v>190216893.0838477</v>
      </c>
      <c r="I277">
        <f t="shared" si="51"/>
        <v>190216893</v>
      </c>
      <c r="J277" s="1">
        <f t="shared" si="52"/>
        <v>1</v>
      </c>
      <c r="K277" s="1">
        <f t="shared" si="53"/>
        <v>190216893</v>
      </c>
      <c r="L277" s="1">
        <f t="shared" si="54"/>
        <v>48188279.559999995</v>
      </c>
      <c r="M277" s="3">
        <f t="shared" si="55"/>
        <v>4002.4745917863465</v>
      </c>
      <c r="N277" s="7">
        <f t="shared" si="60"/>
        <v>48188280</v>
      </c>
      <c r="O277" s="7">
        <f t="shared" si="56"/>
        <v>4002</v>
      </c>
      <c r="P277" s="3">
        <f>SUM($O$4:O277)</f>
        <v>215319</v>
      </c>
      <c r="Y277" s="3">
        <f t="shared" si="57"/>
        <v>274</v>
      </c>
      <c r="Z277" s="3">
        <f t="shared" si="58"/>
        <v>175234054</v>
      </c>
      <c r="AA277" s="7"/>
      <c r="AB277" s="7">
        <f t="shared" si="59"/>
        <v>13040</v>
      </c>
    </row>
    <row r="278" spans="6:28" x14ac:dyDescent="0.15">
      <c r="F278">
        <f t="shared" si="49"/>
        <v>40</v>
      </c>
      <c r="G278">
        <v>275</v>
      </c>
      <c r="H278">
        <f t="shared" si="50"/>
        <v>190216893.0838477</v>
      </c>
      <c r="I278">
        <f t="shared" si="51"/>
        <v>190216893</v>
      </c>
      <c r="J278" s="1">
        <f t="shared" si="52"/>
        <v>1</v>
      </c>
      <c r="K278" s="1">
        <f t="shared" si="53"/>
        <v>190216893</v>
      </c>
      <c r="L278" s="1">
        <f t="shared" si="54"/>
        <v>48188279.559999995</v>
      </c>
      <c r="M278" s="3">
        <f t="shared" si="55"/>
        <v>4002.4745917863465</v>
      </c>
      <c r="N278" s="7">
        <f t="shared" si="60"/>
        <v>48188280</v>
      </c>
      <c r="O278" s="7">
        <f t="shared" si="56"/>
        <v>4002</v>
      </c>
      <c r="P278" s="3">
        <f>SUM($O$4:O278)</f>
        <v>219321</v>
      </c>
      <c r="Y278" s="3">
        <f t="shared" si="57"/>
        <v>275</v>
      </c>
      <c r="Z278" s="3">
        <f t="shared" si="58"/>
        <v>184667274</v>
      </c>
      <c r="AA278" s="7"/>
      <c r="AB278" s="7">
        <f t="shared" si="59"/>
        <v>13040</v>
      </c>
    </row>
    <row r="279" spans="6:28" x14ac:dyDescent="0.15">
      <c r="F279">
        <f t="shared" si="49"/>
        <v>40</v>
      </c>
      <c r="G279">
        <v>276</v>
      </c>
      <c r="H279">
        <f t="shared" si="50"/>
        <v>190216893.0838477</v>
      </c>
      <c r="I279">
        <f t="shared" si="51"/>
        <v>190216893</v>
      </c>
      <c r="J279" s="1">
        <f t="shared" si="52"/>
        <v>1</v>
      </c>
      <c r="K279" s="1">
        <f t="shared" si="53"/>
        <v>190216893</v>
      </c>
      <c r="L279" s="1">
        <f t="shared" si="54"/>
        <v>48188279.559999995</v>
      </c>
      <c r="M279" s="3">
        <f t="shared" si="55"/>
        <v>4002.4745917863465</v>
      </c>
      <c r="N279" s="7">
        <f t="shared" si="60"/>
        <v>48188280</v>
      </c>
      <c r="O279" s="7">
        <f t="shared" si="56"/>
        <v>4002</v>
      </c>
      <c r="P279" s="3">
        <f>SUM($O$4:O279)</f>
        <v>223323</v>
      </c>
      <c r="Y279" s="3">
        <f t="shared" si="57"/>
        <v>276</v>
      </c>
      <c r="Z279" s="3">
        <f t="shared" si="58"/>
        <v>194605731</v>
      </c>
      <c r="AA279" s="7"/>
      <c r="AB279" s="7">
        <f t="shared" si="59"/>
        <v>13040</v>
      </c>
    </row>
    <row r="280" spans="6:28" x14ac:dyDescent="0.15">
      <c r="F280">
        <f t="shared" si="49"/>
        <v>40</v>
      </c>
      <c r="G280">
        <v>277</v>
      </c>
      <c r="H280">
        <f t="shared" si="50"/>
        <v>190216893.0838477</v>
      </c>
      <c r="I280">
        <f t="shared" si="51"/>
        <v>190216893</v>
      </c>
      <c r="J280" s="1">
        <f t="shared" si="52"/>
        <v>1</v>
      </c>
      <c r="K280" s="1">
        <f t="shared" si="53"/>
        <v>190216893</v>
      </c>
      <c r="L280" s="1">
        <f t="shared" si="54"/>
        <v>48188279.559999995</v>
      </c>
      <c r="M280" s="3">
        <f t="shared" si="55"/>
        <v>4002.4745917863465</v>
      </c>
      <c r="N280" s="7">
        <f t="shared" si="60"/>
        <v>48188280</v>
      </c>
      <c r="O280" s="7">
        <f t="shared" si="56"/>
        <v>4002</v>
      </c>
      <c r="P280" s="3">
        <f>SUM($O$4:O280)</f>
        <v>227325</v>
      </c>
      <c r="Y280" s="3">
        <f t="shared" si="57"/>
        <v>277</v>
      </c>
      <c r="Z280" s="3">
        <f t="shared" si="58"/>
        <v>205076365</v>
      </c>
      <c r="AA280" s="7"/>
      <c r="AB280" s="7">
        <f t="shared" si="59"/>
        <v>13040</v>
      </c>
    </row>
    <row r="281" spans="6:28" x14ac:dyDescent="0.15">
      <c r="F281">
        <f t="shared" si="49"/>
        <v>40</v>
      </c>
      <c r="G281">
        <v>278</v>
      </c>
      <c r="H281">
        <f t="shared" si="50"/>
        <v>190216893.0838477</v>
      </c>
      <c r="I281">
        <f t="shared" si="51"/>
        <v>190216893</v>
      </c>
      <c r="J281" s="1">
        <f t="shared" si="52"/>
        <v>1</v>
      </c>
      <c r="K281" s="1">
        <f t="shared" si="53"/>
        <v>190216893</v>
      </c>
      <c r="L281" s="1">
        <f t="shared" si="54"/>
        <v>48188279.559999995</v>
      </c>
      <c r="M281" s="3">
        <f t="shared" si="55"/>
        <v>4002.4745917863465</v>
      </c>
      <c r="N281" s="7">
        <f t="shared" si="60"/>
        <v>48188280</v>
      </c>
      <c r="O281" s="7">
        <f t="shared" si="56"/>
        <v>4002</v>
      </c>
      <c r="P281" s="3">
        <f>SUM($O$4:O281)</f>
        <v>231327</v>
      </c>
      <c r="Y281" s="3">
        <f t="shared" si="57"/>
        <v>278</v>
      </c>
      <c r="Z281" s="3">
        <f t="shared" si="58"/>
        <v>216107549</v>
      </c>
      <c r="AA281" s="7"/>
      <c r="AB281" s="7">
        <f t="shared" si="59"/>
        <v>13040</v>
      </c>
    </row>
    <row r="282" spans="6:28" x14ac:dyDescent="0.15">
      <c r="F282">
        <f t="shared" si="49"/>
        <v>40</v>
      </c>
      <c r="G282">
        <v>279</v>
      </c>
      <c r="H282">
        <f t="shared" si="50"/>
        <v>190216893.0838477</v>
      </c>
      <c r="I282">
        <f t="shared" si="51"/>
        <v>190216893</v>
      </c>
      <c r="J282" s="1">
        <f t="shared" si="52"/>
        <v>1</v>
      </c>
      <c r="K282" s="1">
        <f t="shared" si="53"/>
        <v>190216893</v>
      </c>
      <c r="L282" s="1">
        <f t="shared" si="54"/>
        <v>48188279.559999995</v>
      </c>
      <c r="M282" s="3">
        <f t="shared" si="55"/>
        <v>4002.4745917863465</v>
      </c>
      <c r="N282" s="7">
        <f t="shared" si="60"/>
        <v>48188280</v>
      </c>
      <c r="O282" s="7">
        <f t="shared" si="56"/>
        <v>4002</v>
      </c>
      <c r="P282" s="3">
        <f>SUM($O$4:O282)</f>
        <v>235329</v>
      </c>
      <c r="Y282" s="3">
        <f t="shared" si="57"/>
        <v>279</v>
      </c>
      <c r="Z282" s="3">
        <f t="shared" si="58"/>
        <v>227729160</v>
      </c>
      <c r="AA282" s="7"/>
      <c r="AB282" s="7">
        <f t="shared" si="59"/>
        <v>13040</v>
      </c>
    </row>
    <row r="283" spans="6:28" x14ac:dyDescent="0.15">
      <c r="F283">
        <f t="shared" si="49"/>
        <v>40</v>
      </c>
      <c r="G283">
        <v>280</v>
      </c>
      <c r="H283">
        <f t="shared" si="50"/>
        <v>190216893.0838477</v>
      </c>
      <c r="I283">
        <f t="shared" si="51"/>
        <v>190216893</v>
      </c>
      <c r="J283" s="1">
        <f t="shared" si="52"/>
        <v>10</v>
      </c>
      <c r="K283" s="1">
        <f t="shared" si="53"/>
        <v>1902168930</v>
      </c>
      <c r="L283" s="1">
        <f t="shared" si="54"/>
        <v>481882795.60000002</v>
      </c>
      <c r="M283" s="3">
        <f t="shared" si="55"/>
        <v>40024.745917863467</v>
      </c>
      <c r="N283" s="7">
        <f t="shared" si="60"/>
        <v>481882796</v>
      </c>
      <c r="O283" s="7">
        <f t="shared" si="56"/>
        <v>40024</v>
      </c>
      <c r="P283" s="3">
        <f>SUM($O$4:O283)</f>
        <v>275353</v>
      </c>
      <c r="Y283" s="3">
        <f t="shared" si="57"/>
        <v>280</v>
      </c>
      <c r="Z283" s="3">
        <f t="shared" si="58"/>
        <v>239972663</v>
      </c>
      <c r="AA283" s="7"/>
      <c r="AB283" s="7">
        <f t="shared" si="59"/>
        <v>13040</v>
      </c>
    </row>
    <row r="284" spans="6:28" x14ac:dyDescent="0.15">
      <c r="F284">
        <f t="shared" si="49"/>
        <v>41</v>
      </c>
      <c r="G284">
        <v>281</v>
      </c>
      <c r="H284">
        <f t="shared" si="50"/>
        <v>298640522.1416409</v>
      </c>
      <c r="I284">
        <f t="shared" si="51"/>
        <v>298640522</v>
      </c>
      <c r="J284" s="1">
        <f t="shared" si="52"/>
        <v>1</v>
      </c>
      <c r="K284" s="1">
        <f t="shared" si="53"/>
        <v>298640522</v>
      </c>
      <c r="L284" s="1">
        <f t="shared" si="54"/>
        <v>76551520.472666666</v>
      </c>
      <c r="M284" s="3">
        <f t="shared" si="55"/>
        <v>4890.9996444732797</v>
      </c>
      <c r="N284" s="7">
        <f t="shared" si="60"/>
        <v>76551520</v>
      </c>
      <c r="O284" s="7">
        <f t="shared" si="56"/>
        <v>4890</v>
      </c>
      <c r="P284" s="3">
        <f>SUM($O$4:O284)</f>
        <v>280243</v>
      </c>
      <c r="Y284" s="3">
        <f t="shared" si="57"/>
        <v>281</v>
      </c>
      <c r="Z284" s="3">
        <f t="shared" si="58"/>
        <v>252871194</v>
      </c>
      <c r="AA284" s="7"/>
      <c r="AB284" s="7">
        <f t="shared" si="59"/>
        <v>13040</v>
      </c>
    </row>
    <row r="285" spans="6:28" x14ac:dyDescent="0.15">
      <c r="F285">
        <f t="shared" si="49"/>
        <v>41</v>
      </c>
      <c r="G285">
        <v>282</v>
      </c>
      <c r="H285">
        <f t="shared" si="50"/>
        <v>298640522.1416409</v>
      </c>
      <c r="I285">
        <f t="shared" si="51"/>
        <v>298640522</v>
      </c>
      <c r="J285" s="1">
        <f t="shared" si="52"/>
        <v>1</v>
      </c>
      <c r="K285" s="1">
        <f t="shared" si="53"/>
        <v>298640522</v>
      </c>
      <c r="L285" s="1">
        <f t="shared" si="54"/>
        <v>76551520.472666666</v>
      </c>
      <c r="M285" s="3">
        <f t="shared" si="55"/>
        <v>4890.9996444732797</v>
      </c>
      <c r="N285" s="7">
        <f t="shared" si="60"/>
        <v>76551520</v>
      </c>
      <c r="O285" s="7">
        <f t="shared" si="56"/>
        <v>4890</v>
      </c>
      <c r="P285" s="3">
        <f>SUM($O$4:O285)</f>
        <v>285133</v>
      </c>
      <c r="Y285" s="3">
        <f t="shared" si="57"/>
        <v>282</v>
      </c>
      <c r="Z285" s="3">
        <f t="shared" si="58"/>
        <v>266459646</v>
      </c>
      <c r="AA285" s="7"/>
      <c r="AB285" s="7">
        <f t="shared" si="59"/>
        <v>13040</v>
      </c>
    </row>
    <row r="286" spans="6:28" x14ac:dyDescent="0.15">
      <c r="F286">
        <f t="shared" si="49"/>
        <v>41</v>
      </c>
      <c r="G286">
        <v>283</v>
      </c>
      <c r="H286">
        <f t="shared" si="50"/>
        <v>298640522.1416409</v>
      </c>
      <c r="I286">
        <f t="shared" si="51"/>
        <v>298640522</v>
      </c>
      <c r="J286" s="1">
        <f t="shared" si="52"/>
        <v>1</v>
      </c>
      <c r="K286" s="1">
        <f t="shared" si="53"/>
        <v>298640522</v>
      </c>
      <c r="L286" s="1">
        <f t="shared" si="54"/>
        <v>76551520.472666666</v>
      </c>
      <c r="M286" s="3">
        <f t="shared" si="55"/>
        <v>4890.9996444732797</v>
      </c>
      <c r="N286" s="7">
        <f t="shared" si="60"/>
        <v>76551520</v>
      </c>
      <c r="O286" s="7">
        <f t="shared" si="56"/>
        <v>4890</v>
      </c>
      <c r="P286" s="3">
        <f>SUM($O$4:O286)</f>
        <v>290023</v>
      </c>
      <c r="Y286" s="3">
        <f t="shared" si="57"/>
        <v>283</v>
      </c>
      <c r="Z286" s="3">
        <f t="shared" si="58"/>
        <v>280774765</v>
      </c>
      <c r="AA286" s="7"/>
      <c r="AB286" s="7">
        <f t="shared" si="59"/>
        <v>13040</v>
      </c>
    </row>
    <row r="287" spans="6:28" x14ac:dyDescent="0.15">
      <c r="F287">
        <f t="shared" si="49"/>
        <v>41</v>
      </c>
      <c r="G287">
        <v>284</v>
      </c>
      <c r="H287">
        <f t="shared" si="50"/>
        <v>298640522.1416409</v>
      </c>
      <c r="I287">
        <f t="shared" si="51"/>
        <v>298640522</v>
      </c>
      <c r="J287" s="1">
        <f t="shared" si="52"/>
        <v>1</v>
      </c>
      <c r="K287" s="1">
        <f t="shared" si="53"/>
        <v>298640522</v>
      </c>
      <c r="L287" s="1">
        <f t="shared" si="54"/>
        <v>76551520.472666666</v>
      </c>
      <c r="M287" s="3">
        <f t="shared" si="55"/>
        <v>4890.9996444732797</v>
      </c>
      <c r="N287" s="7">
        <f t="shared" si="60"/>
        <v>76551520</v>
      </c>
      <c r="O287" s="7">
        <f t="shared" si="56"/>
        <v>4890</v>
      </c>
      <c r="P287" s="3">
        <f>SUM($O$4:O287)</f>
        <v>294913</v>
      </c>
      <c r="Y287" s="3">
        <f t="shared" si="57"/>
        <v>284</v>
      </c>
      <c r="Z287" s="3">
        <f t="shared" si="58"/>
        <v>295855247</v>
      </c>
      <c r="AA287" s="7"/>
      <c r="AB287" s="7">
        <f t="shared" si="59"/>
        <v>13040</v>
      </c>
    </row>
    <row r="288" spans="6:28" x14ac:dyDescent="0.15">
      <c r="F288">
        <f t="shared" si="49"/>
        <v>41</v>
      </c>
      <c r="G288">
        <v>285</v>
      </c>
      <c r="H288">
        <f t="shared" si="50"/>
        <v>298640522.1416409</v>
      </c>
      <c r="I288">
        <f t="shared" si="51"/>
        <v>298640522</v>
      </c>
      <c r="J288" s="1">
        <f t="shared" si="52"/>
        <v>1</v>
      </c>
      <c r="K288" s="1">
        <f t="shared" si="53"/>
        <v>298640522</v>
      </c>
      <c r="L288" s="1">
        <f t="shared" si="54"/>
        <v>76551520.472666666</v>
      </c>
      <c r="M288" s="3">
        <f t="shared" si="55"/>
        <v>4890.9996444732797</v>
      </c>
      <c r="N288" s="7">
        <f t="shared" si="60"/>
        <v>76551520</v>
      </c>
      <c r="O288" s="7">
        <f t="shared" si="56"/>
        <v>4890</v>
      </c>
      <c r="P288" s="3">
        <f>SUM($O$4:O288)</f>
        <v>299803</v>
      </c>
      <c r="Y288" s="3">
        <f t="shared" si="57"/>
        <v>285</v>
      </c>
      <c r="Z288" s="3">
        <f t="shared" si="58"/>
        <v>311741840</v>
      </c>
      <c r="AA288" s="7"/>
      <c r="AB288" s="7">
        <f t="shared" si="59"/>
        <v>13040</v>
      </c>
    </row>
    <row r="289" spans="6:28" x14ac:dyDescent="0.15">
      <c r="F289">
        <f t="shared" si="49"/>
        <v>41</v>
      </c>
      <c r="G289">
        <v>286</v>
      </c>
      <c r="H289">
        <f t="shared" si="50"/>
        <v>298640522.1416409</v>
      </c>
      <c r="I289">
        <f t="shared" si="51"/>
        <v>298640522</v>
      </c>
      <c r="J289" s="1">
        <f t="shared" si="52"/>
        <v>1</v>
      </c>
      <c r="K289" s="1">
        <f t="shared" si="53"/>
        <v>298640522</v>
      </c>
      <c r="L289" s="1">
        <f t="shared" si="54"/>
        <v>76551520.472666666</v>
      </c>
      <c r="M289" s="3">
        <f t="shared" si="55"/>
        <v>4890.9996444732797</v>
      </c>
      <c r="N289" s="7">
        <f t="shared" si="60"/>
        <v>76551520</v>
      </c>
      <c r="O289" s="7">
        <f t="shared" si="56"/>
        <v>4890</v>
      </c>
      <c r="P289" s="3">
        <f>SUM($O$4:O289)</f>
        <v>304693</v>
      </c>
      <c r="Y289" s="3">
        <f t="shared" si="57"/>
        <v>286</v>
      </c>
      <c r="Z289" s="3">
        <f t="shared" si="58"/>
        <v>328477455</v>
      </c>
      <c r="AA289" s="7"/>
      <c r="AB289" s="7">
        <f t="shared" si="59"/>
        <v>13040</v>
      </c>
    </row>
    <row r="290" spans="6:28" x14ac:dyDescent="0.15">
      <c r="F290">
        <f t="shared" si="49"/>
        <v>41</v>
      </c>
      <c r="G290">
        <v>287</v>
      </c>
      <c r="H290">
        <f t="shared" si="50"/>
        <v>298640522.1416409</v>
      </c>
      <c r="I290">
        <f t="shared" si="51"/>
        <v>298640522</v>
      </c>
      <c r="J290" s="1">
        <f t="shared" si="52"/>
        <v>2</v>
      </c>
      <c r="K290" s="1">
        <f t="shared" si="53"/>
        <v>597281044</v>
      </c>
      <c r="L290" s="1">
        <f t="shared" si="54"/>
        <v>153103040.94533333</v>
      </c>
      <c r="M290" s="3">
        <f t="shared" si="55"/>
        <v>9781.9992889465593</v>
      </c>
      <c r="N290" s="7">
        <f t="shared" si="60"/>
        <v>153103041</v>
      </c>
      <c r="O290" s="7">
        <f t="shared" si="56"/>
        <v>9781</v>
      </c>
      <c r="P290" s="3">
        <f>SUM($O$4:O290)</f>
        <v>314474</v>
      </c>
      <c r="Y290" s="3">
        <f t="shared" si="57"/>
        <v>287</v>
      </c>
      <c r="Z290" s="3">
        <f t="shared" si="58"/>
        <v>346107276</v>
      </c>
      <c r="AA290" s="7"/>
      <c r="AB290" s="7">
        <f t="shared" si="59"/>
        <v>13040</v>
      </c>
    </row>
    <row r="291" spans="6:28" x14ac:dyDescent="0.15">
      <c r="F291">
        <f t="shared" si="49"/>
        <v>42</v>
      </c>
      <c r="G291">
        <v>288</v>
      </c>
      <c r="H291">
        <f t="shared" si="50"/>
        <v>468865619.76237613</v>
      </c>
      <c r="I291">
        <f t="shared" si="51"/>
        <v>468865620</v>
      </c>
      <c r="J291" s="1">
        <f t="shared" si="52"/>
        <v>1</v>
      </c>
      <c r="K291" s="1">
        <f t="shared" si="53"/>
        <v>468865620</v>
      </c>
      <c r="L291" s="1">
        <f t="shared" si="54"/>
        <v>121592484.12</v>
      </c>
      <c r="M291" s="3">
        <f t="shared" si="55"/>
        <v>5975.9532175647983</v>
      </c>
      <c r="N291" s="7">
        <f t="shared" si="60"/>
        <v>121592484</v>
      </c>
      <c r="O291" s="7">
        <f t="shared" si="56"/>
        <v>5975</v>
      </c>
      <c r="P291" s="3">
        <f>SUM($O$4:O291)</f>
        <v>320449</v>
      </c>
      <c r="Y291" s="3">
        <f t="shared" si="57"/>
        <v>288</v>
      </c>
      <c r="Z291" s="3">
        <f t="shared" si="58"/>
        <v>364678886</v>
      </c>
      <c r="AA291" s="7"/>
      <c r="AB291" s="7">
        <f t="shared" si="59"/>
        <v>13040</v>
      </c>
    </row>
    <row r="292" spans="6:28" x14ac:dyDescent="0.15">
      <c r="F292">
        <f t="shared" si="49"/>
        <v>42</v>
      </c>
      <c r="G292">
        <v>289</v>
      </c>
      <c r="H292">
        <f t="shared" si="50"/>
        <v>468865619.76237613</v>
      </c>
      <c r="I292">
        <f t="shared" si="51"/>
        <v>468865620</v>
      </c>
      <c r="J292" s="1">
        <f t="shared" si="52"/>
        <v>1</v>
      </c>
      <c r="K292" s="1">
        <f t="shared" si="53"/>
        <v>468865620</v>
      </c>
      <c r="L292" s="1">
        <f t="shared" si="54"/>
        <v>121592484.12</v>
      </c>
      <c r="M292" s="3">
        <f t="shared" si="55"/>
        <v>5975.9532175647983</v>
      </c>
      <c r="N292" s="7">
        <f t="shared" si="60"/>
        <v>121592484</v>
      </c>
      <c r="O292" s="7">
        <f t="shared" si="56"/>
        <v>5975</v>
      </c>
      <c r="P292" s="3">
        <f>SUM($O$4:O292)</f>
        <v>326424</v>
      </c>
      <c r="Y292" s="3">
        <f t="shared" si="57"/>
        <v>289</v>
      </c>
      <c r="Z292" s="3">
        <f t="shared" si="58"/>
        <v>384242389</v>
      </c>
      <c r="AA292" s="7"/>
      <c r="AB292" s="7">
        <f t="shared" si="59"/>
        <v>13040</v>
      </c>
    </row>
    <row r="293" spans="6:28" x14ac:dyDescent="0.15">
      <c r="F293">
        <f t="shared" si="49"/>
        <v>42</v>
      </c>
      <c r="G293">
        <v>290</v>
      </c>
      <c r="H293">
        <f t="shared" si="50"/>
        <v>468865619.76237613</v>
      </c>
      <c r="I293">
        <f t="shared" si="51"/>
        <v>468865620</v>
      </c>
      <c r="J293" s="1">
        <f t="shared" si="52"/>
        <v>1</v>
      </c>
      <c r="K293" s="1">
        <f t="shared" si="53"/>
        <v>468865620</v>
      </c>
      <c r="L293" s="1">
        <f t="shared" si="54"/>
        <v>121592484.12</v>
      </c>
      <c r="M293" s="3">
        <f t="shared" si="55"/>
        <v>5975.9532175647983</v>
      </c>
      <c r="N293" s="7">
        <f t="shared" si="60"/>
        <v>121592484</v>
      </c>
      <c r="O293" s="7">
        <f t="shared" si="56"/>
        <v>5975</v>
      </c>
      <c r="P293" s="3">
        <f>SUM($O$4:O293)</f>
        <v>332399</v>
      </c>
      <c r="Y293" s="3">
        <f t="shared" si="57"/>
        <v>290</v>
      </c>
      <c r="Z293" s="3">
        <f t="shared" si="58"/>
        <v>404850545</v>
      </c>
      <c r="AA293" s="7"/>
      <c r="AB293" s="7">
        <f t="shared" si="59"/>
        <v>13040</v>
      </c>
    </row>
    <row r="294" spans="6:28" x14ac:dyDescent="0.15">
      <c r="F294">
        <f t="shared" si="49"/>
        <v>42</v>
      </c>
      <c r="G294">
        <v>291</v>
      </c>
      <c r="H294">
        <f t="shared" si="50"/>
        <v>468865619.76237613</v>
      </c>
      <c r="I294">
        <f t="shared" si="51"/>
        <v>468865620</v>
      </c>
      <c r="J294" s="1">
        <f t="shared" si="52"/>
        <v>1</v>
      </c>
      <c r="K294" s="1">
        <f t="shared" si="53"/>
        <v>468865620</v>
      </c>
      <c r="L294" s="1">
        <f t="shared" si="54"/>
        <v>121592484.12</v>
      </c>
      <c r="M294" s="3">
        <f t="shared" si="55"/>
        <v>5975.9532175647983</v>
      </c>
      <c r="N294" s="7">
        <f t="shared" si="60"/>
        <v>121592484</v>
      </c>
      <c r="O294" s="7">
        <f t="shared" si="56"/>
        <v>5975</v>
      </c>
      <c r="P294" s="3">
        <f>SUM($O$4:O294)</f>
        <v>338374</v>
      </c>
      <c r="Y294" s="3">
        <f t="shared" si="57"/>
        <v>291</v>
      </c>
      <c r="Z294" s="3">
        <f t="shared" si="58"/>
        <v>426558910</v>
      </c>
      <c r="AA294" s="7"/>
      <c r="AB294" s="7">
        <f t="shared" si="59"/>
        <v>13040</v>
      </c>
    </row>
    <row r="295" spans="6:28" x14ac:dyDescent="0.15">
      <c r="F295">
        <f t="shared" si="49"/>
        <v>42</v>
      </c>
      <c r="G295">
        <v>292</v>
      </c>
      <c r="H295">
        <f t="shared" si="50"/>
        <v>468865619.76237613</v>
      </c>
      <c r="I295">
        <f t="shared" si="51"/>
        <v>468865620</v>
      </c>
      <c r="J295" s="1">
        <f t="shared" si="52"/>
        <v>1</v>
      </c>
      <c r="K295" s="1">
        <f t="shared" si="53"/>
        <v>468865620</v>
      </c>
      <c r="L295" s="1">
        <f t="shared" si="54"/>
        <v>121592484.12</v>
      </c>
      <c r="M295" s="3">
        <f t="shared" si="55"/>
        <v>5975.9532175647983</v>
      </c>
      <c r="N295" s="7">
        <f t="shared" si="60"/>
        <v>121592484</v>
      </c>
      <c r="O295" s="7">
        <f t="shared" si="56"/>
        <v>5975</v>
      </c>
      <c r="P295" s="3">
        <f>SUM($O$4:O295)</f>
        <v>344349</v>
      </c>
      <c r="Y295" s="3">
        <f t="shared" si="57"/>
        <v>292</v>
      </c>
      <c r="Z295" s="3">
        <f t="shared" si="58"/>
        <v>449425986</v>
      </c>
      <c r="AA295" s="7"/>
      <c r="AB295" s="7">
        <f t="shared" si="59"/>
        <v>13040</v>
      </c>
    </row>
    <row r="296" spans="6:28" x14ac:dyDescent="0.15">
      <c r="F296">
        <f t="shared" si="49"/>
        <v>42</v>
      </c>
      <c r="G296">
        <v>293</v>
      </c>
      <c r="H296">
        <f t="shared" si="50"/>
        <v>468865619.76237613</v>
      </c>
      <c r="I296">
        <f t="shared" si="51"/>
        <v>468865620</v>
      </c>
      <c r="J296" s="1">
        <f t="shared" si="52"/>
        <v>1</v>
      </c>
      <c r="K296" s="1">
        <f t="shared" si="53"/>
        <v>468865620</v>
      </c>
      <c r="L296" s="1">
        <f t="shared" si="54"/>
        <v>121592484.12</v>
      </c>
      <c r="M296" s="3">
        <f t="shared" si="55"/>
        <v>5975.9532175647983</v>
      </c>
      <c r="N296" s="7">
        <f t="shared" si="60"/>
        <v>121592484</v>
      </c>
      <c r="O296" s="7">
        <f t="shared" si="56"/>
        <v>5975</v>
      </c>
      <c r="P296" s="3">
        <f>SUM($O$4:O296)</f>
        <v>350324</v>
      </c>
      <c r="Y296" s="3">
        <f t="shared" si="57"/>
        <v>293</v>
      </c>
      <c r="Z296" s="3">
        <f t="shared" si="58"/>
        <v>473513372</v>
      </c>
      <c r="AA296" s="7"/>
      <c r="AB296" s="7">
        <f t="shared" si="59"/>
        <v>13040</v>
      </c>
    </row>
    <row r="297" spans="6:28" x14ac:dyDescent="0.15">
      <c r="F297">
        <f t="shared" si="49"/>
        <v>42</v>
      </c>
      <c r="G297">
        <v>294</v>
      </c>
      <c r="H297">
        <f t="shared" si="50"/>
        <v>468865619.76237613</v>
      </c>
      <c r="I297">
        <f t="shared" si="51"/>
        <v>468865620</v>
      </c>
      <c r="J297" s="1">
        <f t="shared" si="52"/>
        <v>4</v>
      </c>
      <c r="K297" s="1">
        <f t="shared" si="53"/>
        <v>1875462480</v>
      </c>
      <c r="L297" s="1">
        <f t="shared" si="54"/>
        <v>486369936.48000002</v>
      </c>
      <c r="M297" s="3">
        <f t="shared" si="55"/>
        <v>23903.812870259193</v>
      </c>
      <c r="N297" s="7">
        <f t="shared" si="60"/>
        <v>486369936</v>
      </c>
      <c r="O297" s="7">
        <f t="shared" si="56"/>
        <v>23903</v>
      </c>
      <c r="P297" s="3">
        <f>SUM($O$4:O297)</f>
        <v>374227</v>
      </c>
      <c r="Y297" s="3">
        <f t="shared" si="57"/>
        <v>294</v>
      </c>
      <c r="Z297" s="3">
        <f t="shared" si="58"/>
        <v>498885931</v>
      </c>
      <c r="AA297" s="7"/>
      <c r="AB297" s="7">
        <f t="shared" si="59"/>
        <v>13040</v>
      </c>
    </row>
    <row r="298" spans="6:28" x14ac:dyDescent="0.15">
      <c r="F298">
        <f t="shared" si="49"/>
        <v>43</v>
      </c>
      <c r="G298">
        <v>295</v>
      </c>
      <c r="H298">
        <f t="shared" si="50"/>
        <v>736119023.02693057</v>
      </c>
      <c r="I298">
        <f t="shared" si="51"/>
        <v>736119023</v>
      </c>
      <c r="J298" s="1">
        <f t="shared" si="52"/>
        <v>1</v>
      </c>
      <c r="K298" s="1">
        <f t="shared" si="53"/>
        <v>736119023</v>
      </c>
      <c r="L298" s="1">
        <f t="shared" si="54"/>
        <v>193108557.03366664</v>
      </c>
      <c r="M298" s="3">
        <f t="shared" si="55"/>
        <v>7300.6011786420659</v>
      </c>
      <c r="N298" s="7">
        <f t="shared" si="60"/>
        <v>193108557</v>
      </c>
      <c r="O298" s="7">
        <f t="shared" si="56"/>
        <v>7300</v>
      </c>
      <c r="P298" s="3">
        <f>SUM($O$4:O298)</f>
        <v>381527</v>
      </c>
      <c r="Y298" s="3">
        <f t="shared" si="57"/>
        <v>295</v>
      </c>
      <c r="Z298" s="3">
        <f t="shared" si="58"/>
        <v>525611963</v>
      </c>
      <c r="AA298" s="7"/>
      <c r="AB298" s="7">
        <f t="shared" si="59"/>
        <v>13040</v>
      </c>
    </row>
    <row r="299" spans="6:28" x14ac:dyDescent="0.15">
      <c r="F299">
        <f t="shared" si="49"/>
        <v>43</v>
      </c>
      <c r="G299">
        <v>296</v>
      </c>
      <c r="H299">
        <f t="shared" si="50"/>
        <v>736119023.02693057</v>
      </c>
      <c r="I299">
        <f t="shared" si="51"/>
        <v>736119023</v>
      </c>
      <c r="J299" s="1">
        <f t="shared" si="52"/>
        <v>1</v>
      </c>
      <c r="K299" s="1">
        <f t="shared" si="53"/>
        <v>736119023</v>
      </c>
      <c r="L299" s="1">
        <f t="shared" si="54"/>
        <v>193108557.03366664</v>
      </c>
      <c r="M299" s="3">
        <f t="shared" si="55"/>
        <v>7300.6011786420659</v>
      </c>
      <c r="N299" s="7">
        <f t="shared" si="60"/>
        <v>193108557</v>
      </c>
      <c r="O299" s="7">
        <f t="shared" si="56"/>
        <v>7300</v>
      </c>
      <c r="P299" s="3">
        <f>SUM($O$4:O299)</f>
        <v>388827</v>
      </c>
      <c r="Y299" s="3">
        <f t="shared" si="57"/>
        <v>296</v>
      </c>
      <c r="Z299" s="3">
        <f t="shared" si="58"/>
        <v>553763384</v>
      </c>
      <c r="AA299" s="7"/>
      <c r="AB299" s="7">
        <f t="shared" si="59"/>
        <v>13040</v>
      </c>
    </row>
    <row r="300" spans="6:28" x14ac:dyDescent="0.15">
      <c r="F300">
        <f t="shared" si="49"/>
        <v>43</v>
      </c>
      <c r="G300">
        <v>297</v>
      </c>
      <c r="H300">
        <f t="shared" si="50"/>
        <v>736119023.02693057</v>
      </c>
      <c r="I300">
        <f t="shared" si="51"/>
        <v>736119023</v>
      </c>
      <c r="J300" s="1">
        <f t="shared" si="52"/>
        <v>1</v>
      </c>
      <c r="K300" s="1">
        <f t="shared" si="53"/>
        <v>736119023</v>
      </c>
      <c r="L300" s="1">
        <f t="shared" si="54"/>
        <v>193108557.03366664</v>
      </c>
      <c r="M300" s="3">
        <f t="shared" si="55"/>
        <v>7300.6011786420659</v>
      </c>
      <c r="N300" s="7">
        <f t="shared" si="60"/>
        <v>193108557</v>
      </c>
      <c r="O300" s="7">
        <f t="shared" si="56"/>
        <v>7300</v>
      </c>
      <c r="P300" s="3">
        <f>SUM($O$4:O300)</f>
        <v>396127</v>
      </c>
      <c r="Y300" s="3">
        <f t="shared" si="57"/>
        <v>297</v>
      </c>
      <c r="Z300" s="3">
        <f t="shared" si="58"/>
        <v>583415916</v>
      </c>
      <c r="AA300" s="7"/>
      <c r="AB300" s="7">
        <f t="shared" si="59"/>
        <v>13040</v>
      </c>
    </row>
    <row r="301" spans="6:28" x14ac:dyDescent="0.15">
      <c r="F301">
        <f t="shared" si="49"/>
        <v>43</v>
      </c>
      <c r="G301">
        <v>298</v>
      </c>
      <c r="H301">
        <f t="shared" si="50"/>
        <v>736119023.02693057</v>
      </c>
      <c r="I301">
        <f t="shared" si="51"/>
        <v>736119023</v>
      </c>
      <c r="J301" s="1">
        <f t="shared" si="52"/>
        <v>1</v>
      </c>
      <c r="K301" s="1">
        <f t="shared" si="53"/>
        <v>736119023</v>
      </c>
      <c r="L301" s="1">
        <f t="shared" si="54"/>
        <v>193108557.03366664</v>
      </c>
      <c r="M301" s="3">
        <f t="shared" si="55"/>
        <v>7300.6011786420659</v>
      </c>
      <c r="N301" s="7">
        <f t="shared" si="60"/>
        <v>193108557</v>
      </c>
      <c r="O301" s="7">
        <f t="shared" si="56"/>
        <v>7300</v>
      </c>
      <c r="P301" s="3">
        <f>SUM($O$4:O301)</f>
        <v>403427</v>
      </c>
      <c r="Y301" s="3">
        <f t="shared" si="57"/>
        <v>298</v>
      </c>
      <c r="Z301" s="3">
        <f t="shared" si="58"/>
        <v>614649294</v>
      </c>
      <c r="AA301" s="7"/>
      <c r="AB301" s="7">
        <f t="shared" si="59"/>
        <v>13040</v>
      </c>
    </row>
    <row r="302" spans="6:28" x14ac:dyDescent="0.15">
      <c r="F302">
        <f t="shared" si="49"/>
        <v>43</v>
      </c>
      <c r="G302">
        <v>299</v>
      </c>
      <c r="H302">
        <f t="shared" si="50"/>
        <v>736119023.02693057</v>
      </c>
      <c r="I302">
        <f t="shared" si="51"/>
        <v>736119023</v>
      </c>
      <c r="J302" s="1">
        <f t="shared" si="52"/>
        <v>1</v>
      </c>
      <c r="K302" s="1">
        <f t="shared" si="53"/>
        <v>736119023</v>
      </c>
      <c r="L302" s="1">
        <f t="shared" si="54"/>
        <v>193108557.03366664</v>
      </c>
      <c r="M302" s="3">
        <f t="shared" si="55"/>
        <v>7300.6011786420659</v>
      </c>
      <c r="N302" s="7">
        <f t="shared" si="60"/>
        <v>193108557</v>
      </c>
      <c r="O302" s="7">
        <f t="shared" si="56"/>
        <v>7300</v>
      </c>
      <c r="P302" s="3">
        <f>SUM($O$4:O302)</f>
        <v>410727</v>
      </c>
      <c r="Y302" s="3">
        <f t="shared" si="57"/>
        <v>299</v>
      </c>
      <c r="Z302" s="3">
        <f t="shared" si="58"/>
        <v>647547469</v>
      </c>
      <c r="AA302" s="7"/>
      <c r="AB302" s="7">
        <f t="shared" si="59"/>
        <v>13040</v>
      </c>
    </row>
    <row r="303" spans="6:28" x14ac:dyDescent="0.15">
      <c r="F303">
        <f t="shared" si="49"/>
        <v>43</v>
      </c>
      <c r="G303">
        <v>300</v>
      </c>
      <c r="H303">
        <f t="shared" si="50"/>
        <v>736119023.02693057</v>
      </c>
      <c r="I303">
        <f t="shared" si="51"/>
        <v>736119023</v>
      </c>
      <c r="J303" s="1">
        <f t="shared" si="52"/>
        <v>1</v>
      </c>
      <c r="K303" s="1">
        <f t="shared" si="53"/>
        <v>736119023</v>
      </c>
      <c r="L303" s="1">
        <f t="shared" si="54"/>
        <v>193108557.03366664</v>
      </c>
      <c r="M303" s="3">
        <f t="shared" si="55"/>
        <v>7300.6011786420659</v>
      </c>
      <c r="N303" s="7">
        <f t="shared" si="60"/>
        <v>193108557</v>
      </c>
      <c r="O303" s="7">
        <f t="shared" si="56"/>
        <v>7300</v>
      </c>
      <c r="P303" s="3">
        <f>SUM($O$4:O303)</f>
        <v>418027</v>
      </c>
      <c r="Y303" s="3">
        <f t="shared" si="57"/>
        <v>300</v>
      </c>
      <c r="Z303" s="3">
        <f t="shared" si="58"/>
        <v>682198839</v>
      </c>
      <c r="AA303" s="7"/>
      <c r="AB303" s="7">
        <f t="shared" si="59"/>
        <v>13040</v>
      </c>
    </row>
    <row r="304" spans="6:28" x14ac:dyDescent="0.15">
      <c r="F304">
        <f t="shared" si="49"/>
        <v>43</v>
      </c>
      <c r="G304">
        <v>301</v>
      </c>
      <c r="H304">
        <f t="shared" si="50"/>
        <v>736119023.02693057</v>
      </c>
      <c r="I304">
        <f t="shared" si="51"/>
        <v>736119023</v>
      </c>
      <c r="J304" s="1">
        <f t="shared" si="52"/>
        <v>6</v>
      </c>
      <c r="K304" s="1">
        <f t="shared" si="53"/>
        <v>4416714138</v>
      </c>
      <c r="L304" s="1">
        <f t="shared" si="54"/>
        <v>1158651342.2019999</v>
      </c>
      <c r="M304" s="3">
        <f t="shared" si="55"/>
        <v>43803.607071852399</v>
      </c>
      <c r="N304" s="7">
        <f t="shared" si="60"/>
        <v>1158651342</v>
      </c>
      <c r="O304" s="7">
        <f t="shared" si="56"/>
        <v>43803</v>
      </c>
      <c r="P304" s="3">
        <f>SUM($O$4:O304)</f>
        <v>461830</v>
      </c>
      <c r="Y304" s="3">
        <f t="shared" si="57"/>
        <v>301</v>
      </c>
      <c r="Z304" s="3">
        <f t="shared" si="58"/>
        <v>718696476</v>
      </c>
      <c r="AA304" s="7"/>
      <c r="AB304" s="7">
        <f t="shared" si="59"/>
        <v>13040</v>
      </c>
    </row>
    <row r="305" spans="6:28" x14ac:dyDescent="0.15">
      <c r="F305">
        <f t="shared" si="49"/>
        <v>44</v>
      </c>
      <c r="G305">
        <v>302</v>
      </c>
      <c r="H305">
        <f t="shared" si="50"/>
        <v>1155706866.152281</v>
      </c>
      <c r="I305">
        <f t="shared" si="51"/>
        <v>1155706866</v>
      </c>
      <c r="J305" s="1">
        <f t="shared" si="52"/>
        <v>1</v>
      </c>
      <c r="K305" s="1">
        <f t="shared" si="53"/>
        <v>1155706866</v>
      </c>
      <c r="L305" s="1">
        <f t="shared" si="54"/>
        <v>306647555.11200005</v>
      </c>
      <c r="M305" s="3">
        <f t="shared" si="55"/>
        <v>8917.7082436752735</v>
      </c>
      <c r="N305" s="7">
        <f t="shared" si="60"/>
        <v>306647555</v>
      </c>
      <c r="O305" s="7">
        <f t="shared" si="56"/>
        <v>8917</v>
      </c>
      <c r="P305" s="3">
        <f>SUM($O$4:O305)</f>
        <v>470747</v>
      </c>
      <c r="Y305" s="3">
        <f t="shared" si="57"/>
        <v>302</v>
      </c>
      <c r="Z305" s="3">
        <f t="shared" si="58"/>
        <v>757138381</v>
      </c>
      <c r="AA305" s="7"/>
      <c r="AB305" s="7">
        <f t="shared" si="59"/>
        <v>13040</v>
      </c>
    </row>
    <row r="306" spans="6:28" x14ac:dyDescent="0.15">
      <c r="F306">
        <f t="shared" si="49"/>
        <v>44</v>
      </c>
      <c r="G306">
        <v>303</v>
      </c>
      <c r="H306">
        <f t="shared" si="50"/>
        <v>1155706866.152281</v>
      </c>
      <c r="I306">
        <f t="shared" si="51"/>
        <v>1155706866</v>
      </c>
      <c r="J306" s="1">
        <f t="shared" si="52"/>
        <v>1</v>
      </c>
      <c r="K306" s="1">
        <f t="shared" si="53"/>
        <v>1155706866</v>
      </c>
      <c r="L306" s="1">
        <f t="shared" si="54"/>
        <v>306647555.11200005</v>
      </c>
      <c r="M306" s="3">
        <f t="shared" si="55"/>
        <v>8917.7082436752735</v>
      </c>
      <c r="N306" s="7">
        <f t="shared" si="60"/>
        <v>306647555</v>
      </c>
      <c r="O306" s="7">
        <f t="shared" si="56"/>
        <v>8917</v>
      </c>
      <c r="P306" s="3">
        <f>SUM($O$4:O306)</f>
        <v>479664</v>
      </c>
      <c r="Y306" s="3">
        <f t="shared" si="57"/>
        <v>303</v>
      </c>
      <c r="Z306" s="3">
        <f t="shared" si="58"/>
        <v>797627735</v>
      </c>
      <c r="AA306" s="7"/>
      <c r="AB306" s="7">
        <f t="shared" si="59"/>
        <v>13040</v>
      </c>
    </row>
    <row r="307" spans="6:28" x14ac:dyDescent="0.15">
      <c r="F307">
        <f t="shared" si="49"/>
        <v>44</v>
      </c>
      <c r="G307">
        <v>304</v>
      </c>
      <c r="H307">
        <f t="shared" si="50"/>
        <v>1155706866.152281</v>
      </c>
      <c r="I307">
        <f t="shared" si="51"/>
        <v>1155706866</v>
      </c>
      <c r="J307" s="1">
        <f t="shared" si="52"/>
        <v>1</v>
      </c>
      <c r="K307" s="1">
        <f t="shared" si="53"/>
        <v>1155706866</v>
      </c>
      <c r="L307" s="1">
        <f t="shared" si="54"/>
        <v>306647555.11200005</v>
      </c>
      <c r="M307" s="3">
        <f t="shared" si="55"/>
        <v>8917.7082436752735</v>
      </c>
      <c r="N307" s="7">
        <f t="shared" si="60"/>
        <v>306647555</v>
      </c>
      <c r="O307" s="7">
        <f t="shared" si="56"/>
        <v>8917</v>
      </c>
      <c r="P307" s="3">
        <f>SUM($O$4:O307)</f>
        <v>488581</v>
      </c>
      <c r="Y307" s="3">
        <f t="shared" si="57"/>
        <v>304</v>
      </c>
      <c r="Z307" s="3">
        <f t="shared" si="58"/>
        <v>840273178</v>
      </c>
      <c r="AA307" s="7"/>
      <c r="AB307" s="7">
        <f t="shared" si="59"/>
        <v>13040</v>
      </c>
    </row>
    <row r="308" spans="6:28" x14ac:dyDescent="0.15">
      <c r="F308">
        <f t="shared" si="49"/>
        <v>44</v>
      </c>
      <c r="G308">
        <v>305</v>
      </c>
      <c r="H308">
        <f t="shared" si="50"/>
        <v>1155706866.152281</v>
      </c>
      <c r="I308">
        <f t="shared" si="51"/>
        <v>1155706866</v>
      </c>
      <c r="J308" s="1">
        <f t="shared" si="52"/>
        <v>1</v>
      </c>
      <c r="K308" s="1">
        <f t="shared" si="53"/>
        <v>1155706866</v>
      </c>
      <c r="L308" s="1">
        <f t="shared" si="54"/>
        <v>306647555.11200005</v>
      </c>
      <c r="M308" s="3">
        <f t="shared" si="55"/>
        <v>8917.7082436752735</v>
      </c>
      <c r="N308" s="7">
        <f t="shared" si="60"/>
        <v>306647555</v>
      </c>
      <c r="O308" s="7">
        <f t="shared" si="56"/>
        <v>8917</v>
      </c>
      <c r="P308" s="3">
        <f>SUM($O$4:O308)</f>
        <v>497498</v>
      </c>
      <c r="Y308" s="3">
        <f t="shared" si="57"/>
        <v>305</v>
      </c>
      <c r="Z308" s="3">
        <f t="shared" si="58"/>
        <v>885189096</v>
      </c>
      <c r="AA308" s="7"/>
      <c r="AB308" s="7">
        <f t="shared" si="59"/>
        <v>13040</v>
      </c>
    </row>
    <row r="309" spans="6:28" x14ac:dyDescent="0.15">
      <c r="F309">
        <f t="shared" si="49"/>
        <v>44</v>
      </c>
      <c r="G309">
        <v>306</v>
      </c>
      <c r="H309">
        <f t="shared" si="50"/>
        <v>1155706866.152281</v>
      </c>
      <c r="I309">
        <f t="shared" si="51"/>
        <v>1155706866</v>
      </c>
      <c r="J309" s="1">
        <f t="shared" si="52"/>
        <v>1</v>
      </c>
      <c r="K309" s="1">
        <f t="shared" si="53"/>
        <v>1155706866</v>
      </c>
      <c r="L309" s="1">
        <f t="shared" si="54"/>
        <v>306647555.11200005</v>
      </c>
      <c r="M309" s="3">
        <f t="shared" si="55"/>
        <v>8917.7082436752735</v>
      </c>
      <c r="N309" s="7">
        <f t="shared" si="60"/>
        <v>306647555</v>
      </c>
      <c r="O309" s="7">
        <f t="shared" si="56"/>
        <v>8917</v>
      </c>
      <c r="P309" s="3">
        <f>SUM($O$4:O309)</f>
        <v>506415</v>
      </c>
      <c r="Y309" s="3">
        <f t="shared" si="57"/>
        <v>306</v>
      </c>
      <c r="Z309" s="3">
        <f t="shared" si="58"/>
        <v>932495923</v>
      </c>
      <c r="AA309" s="7"/>
      <c r="AB309" s="7">
        <f t="shared" si="59"/>
        <v>13040</v>
      </c>
    </row>
    <row r="310" spans="6:28" x14ac:dyDescent="0.15">
      <c r="F310">
        <f t="shared" si="49"/>
        <v>44</v>
      </c>
      <c r="G310">
        <v>307</v>
      </c>
      <c r="H310">
        <f t="shared" si="50"/>
        <v>1155706866.152281</v>
      </c>
      <c r="I310">
        <f t="shared" si="51"/>
        <v>1155706866</v>
      </c>
      <c r="J310" s="1">
        <f t="shared" si="52"/>
        <v>1</v>
      </c>
      <c r="K310" s="1">
        <f t="shared" si="53"/>
        <v>1155706866</v>
      </c>
      <c r="L310" s="1">
        <f t="shared" si="54"/>
        <v>306647555.11200005</v>
      </c>
      <c r="M310" s="3">
        <f t="shared" si="55"/>
        <v>8917.7082436752735</v>
      </c>
      <c r="N310" s="7">
        <f t="shared" si="60"/>
        <v>306647555</v>
      </c>
      <c r="O310" s="7">
        <f t="shared" si="56"/>
        <v>8917</v>
      </c>
      <c r="P310" s="3">
        <f>SUM($O$4:O310)</f>
        <v>515332</v>
      </c>
      <c r="Y310" s="3">
        <f t="shared" si="57"/>
        <v>307</v>
      </c>
      <c r="Z310" s="3">
        <f t="shared" si="58"/>
        <v>982320460</v>
      </c>
      <c r="AA310" s="7"/>
      <c r="AB310" s="7">
        <f t="shared" si="59"/>
        <v>13040</v>
      </c>
    </row>
    <row r="311" spans="6:28" x14ac:dyDescent="0.15">
      <c r="F311">
        <f t="shared" si="49"/>
        <v>44</v>
      </c>
      <c r="G311">
        <v>308</v>
      </c>
      <c r="H311">
        <f t="shared" si="50"/>
        <v>1155706866.152281</v>
      </c>
      <c r="I311">
        <f t="shared" si="51"/>
        <v>1155706866</v>
      </c>
      <c r="J311" s="1">
        <f t="shared" si="52"/>
        <v>7</v>
      </c>
      <c r="K311" s="1">
        <f t="shared" si="53"/>
        <v>8089948062</v>
      </c>
      <c r="L311" s="1">
        <f t="shared" si="54"/>
        <v>2146532885.7840002</v>
      </c>
      <c r="M311" s="3">
        <f t="shared" si="55"/>
        <v>62423.957705726905</v>
      </c>
      <c r="N311" s="7">
        <f t="shared" si="60"/>
        <v>2146532886</v>
      </c>
      <c r="O311" s="7">
        <f t="shared" si="56"/>
        <v>62423</v>
      </c>
      <c r="P311" s="3">
        <f>SUM($O$4:O311)</f>
        <v>577755</v>
      </c>
      <c r="Y311" s="3">
        <f t="shared" si="57"/>
        <v>308</v>
      </c>
      <c r="Z311" s="3">
        <f t="shared" si="58"/>
        <v>1034796211</v>
      </c>
      <c r="AA311" s="7"/>
      <c r="AB311" s="7">
        <f t="shared" si="59"/>
        <v>13040</v>
      </c>
    </row>
    <row r="312" spans="6:28" x14ac:dyDescent="0.15">
      <c r="F312">
        <f t="shared" si="49"/>
        <v>45</v>
      </c>
      <c r="G312">
        <v>309</v>
      </c>
      <c r="H312">
        <f t="shared" si="50"/>
        <v>1814459779.8590813</v>
      </c>
      <c r="I312">
        <f t="shared" si="51"/>
        <v>1814459780</v>
      </c>
      <c r="J312" s="1">
        <f t="shared" si="52"/>
        <v>1</v>
      </c>
      <c r="K312" s="1">
        <f t="shared" si="53"/>
        <v>1814459780</v>
      </c>
      <c r="L312" s="1">
        <f t="shared" si="54"/>
        <v>486880040.96666664</v>
      </c>
      <c r="M312" s="3">
        <f t="shared" si="55"/>
        <v>10891.617284624455</v>
      </c>
      <c r="N312" s="7">
        <f t="shared" si="60"/>
        <v>486880041</v>
      </c>
      <c r="O312" s="7">
        <f t="shared" si="56"/>
        <v>10891</v>
      </c>
      <c r="P312" s="3">
        <f>SUM($O$4:O312)</f>
        <v>588646</v>
      </c>
      <c r="Y312" s="3">
        <f t="shared" si="57"/>
        <v>309</v>
      </c>
      <c r="Z312" s="3">
        <f t="shared" si="58"/>
        <v>1090063736</v>
      </c>
      <c r="AA312" s="7"/>
      <c r="AB312" s="7">
        <f t="shared" si="59"/>
        <v>13040</v>
      </c>
    </row>
    <row r="313" spans="6:28" x14ac:dyDescent="0.15">
      <c r="F313">
        <f t="shared" si="49"/>
        <v>45</v>
      </c>
      <c r="G313">
        <v>310</v>
      </c>
      <c r="H313">
        <f t="shared" si="50"/>
        <v>1814459779.8590813</v>
      </c>
      <c r="I313">
        <f t="shared" si="51"/>
        <v>1814459780</v>
      </c>
      <c r="J313" s="1">
        <f t="shared" si="52"/>
        <v>1</v>
      </c>
      <c r="K313" s="1">
        <f t="shared" si="53"/>
        <v>1814459780</v>
      </c>
      <c r="L313" s="1">
        <f t="shared" si="54"/>
        <v>486880040.96666664</v>
      </c>
      <c r="M313" s="3">
        <f t="shared" si="55"/>
        <v>10891.617284624455</v>
      </c>
      <c r="N313" s="7">
        <f t="shared" si="60"/>
        <v>486880041</v>
      </c>
      <c r="O313" s="7">
        <f t="shared" si="56"/>
        <v>10891</v>
      </c>
      <c r="P313" s="3">
        <f>SUM($O$4:O313)</f>
        <v>599537</v>
      </c>
      <c r="Y313" s="3">
        <f t="shared" si="57"/>
        <v>310</v>
      </c>
      <c r="Z313" s="3">
        <f t="shared" si="58"/>
        <v>1148271023</v>
      </c>
      <c r="AA313" s="7"/>
      <c r="AB313" s="7">
        <f t="shared" si="59"/>
        <v>13040</v>
      </c>
    </row>
    <row r="314" spans="6:28" x14ac:dyDescent="0.15">
      <c r="F314">
        <f t="shared" si="49"/>
        <v>45</v>
      </c>
      <c r="G314">
        <v>311</v>
      </c>
      <c r="H314">
        <f t="shared" si="50"/>
        <v>1814459779.8590813</v>
      </c>
      <c r="I314">
        <f t="shared" si="51"/>
        <v>1814459780</v>
      </c>
      <c r="J314" s="1">
        <f t="shared" si="52"/>
        <v>1</v>
      </c>
      <c r="K314" s="1">
        <f t="shared" si="53"/>
        <v>1814459780</v>
      </c>
      <c r="L314" s="1">
        <f t="shared" si="54"/>
        <v>486880040.96666664</v>
      </c>
      <c r="M314" s="3">
        <f t="shared" si="55"/>
        <v>10891.617284624455</v>
      </c>
      <c r="N314" s="7">
        <f t="shared" si="60"/>
        <v>486880041</v>
      </c>
      <c r="O314" s="7">
        <f t="shared" si="56"/>
        <v>10891</v>
      </c>
      <c r="P314" s="3">
        <f>SUM($O$4:O314)</f>
        <v>610428</v>
      </c>
      <c r="Y314" s="3">
        <f t="shared" si="57"/>
        <v>311</v>
      </c>
      <c r="Z314" s="3">
        <f t="shared" si="58"/>
        <v>1209573880</v>
      </c>
      <c r="AA314" s="7"/>
      <c r="AB314" s="7">
        <f t="shared" si="59"/>
        <v>13040</v>
      </c>
    </row>
    <row r="315" spans="6:28" x14ac:dyDescent="0.15">
      <c r="F315">
        <f t="shared" si="49"/>
        <v>45</v>
      </c>
      <c r="G315">
        <v>312</v>
      </c>
      <c r="H315">
        <f t="shared" si="50"/>
        <v>1814459779.8590813</v>
      </c>
      <c r="I315">
        <f t="shared" si="51"/>
        <v>1814459780</v>
      </c>
      <c r="J315" s="1">
        <f t="shared" si="52"/>
        <v>1</v>
      </c>
      <c r="K315" s="1">
        <f t="shared" si="53"/>
        <v>1814459780</v>
      </c>
      <c r="L315" s="1">
        <f t="shared" si="54"/>
        <v>486880040.96666664</v>
      </c>
      <c r="M315" s="3">
        <f t="shared" si="55"/>
        <v>10891.617284624455</v>
      </c>
      <c r="N315" s="7">
        <f t="shared" si="60"/>
        <v>486880041</v>
      </c>
      <c r="O315" s="7">
        <f t="shared" si="56"/>
        <v>10891</v>
      </c>
      <c r="P315" s="3">
        <f>SUM($O$4:O315)</f>
        <v>621319</v>
      </c>
      <c r="Y315" s="3">
        <f t="shared" si="57"/>
        <v>312</v>
      </c>
      <c r="Z315" s="3">
        <f t="shared" si="58"/>
        <v>1274136344</v>
      </c>
      <c r="AA315" s="7"/>
      <c r="AB315" s="7">
        <f t="shared" si="59"/>
        <v>13040</v>
      </c>
    </row>
    <row r="316" spans="6:28" x14ac:dyDescent="0.15">
      <c r="F316">
        <f t="shared" si="49"/>
        <v>45</v>
      </c>
      <c r="G316">
        <v>313</v>
      </c>
      <c r="H316">
        <f t="shared" si="50"/>
        <v>1814459779.8590813</v>
      </c>
      <c r="I316">
        <f t="shared" si="51"/>
        <v>1814459780</v>
      </c>
      <c r="J316" s="1">
        <f t="shared" si="52"/>
        <v>1</v>
      </c>
      <c r="K316" s="1">
        <f t="shared" si="53"/>
        <v>1814459780</v>
      </c>
      <c r="L316" s="1">
        <f t="shared" si="54"/>
        <v>486880040.96666664</v>
      </c>
      <c r="M316" s="3">
        <f t="shared" si="55"/>
        <v>10891.617284624455</v>
      </c>
      <c r="N316" s="7">
        <f t="shared" si="60"/>
        <v>486880041</v>
      </c>
      <c r="O316" s="7">
        <f t="shared" si="56"/>
        <v>10891</v>
      </c>
      <c r="P316" s="3">
        <f>SUM($O$4:O316)</f>
        <v>632210</v>
      </c>
      <c r="Y316" s="3">
        <f t="shared" si="57"/>
        <v>313</v>
      </c>
      <c r="Z316" s="3">
        <f t="shared" si="58"/>
        <v>1342131120</v>
      </c>
      <c r="AA316" s="7"/>
      <c r="AB316" s="7">
        <f t="shared" si="59"/>
        <v>13040</v>
      </c>
    </row>
    <row r="317" spans="6:28" x14ac:dyDescent="0.15">
      <c r="F317">
        <f t="shared" si="49"/>
        <v>45</v>
      </c>
      <c r="G317">
        <v>314</v>
      </c>
      <c r="H317">
        <f t="shared" si="50"/>
        <v>1814459779.8590813</v>
      </c>
      <c r="I317">
        <f t="shared" si="51"/>
        <v>1814459780</v>
      </c>
      <c r="J317" s="1">
        <f t="shared" si="52"/>
        <v>1</v>
      </c>
      <c r="K317" s="1">
        <f t="shared" si="53"/>
        <v>1814459780</v>
      </c>
      <c r="L317" s="1">
        <f t="shared" si="54"/>
        <v>486880040.96666664</v>
      </c>
      <c r="M317" s="3">
        <f t="shared" si="55"/>
        <v>10891.617284624455</v>
      </c>
      <c r="N317" s="7">
        <f t="shared" si="60"/>
        <v>486880041</v>
      </c>
      <c r="O317" s="7">
        <f t="shared" si="56"/>
        <v>10891</v>
      </c>
      <c r="P317" s="3">
        <f>SUM($O$4:O317)</f>
        <v>643101</v>
      </c>
      <c r="Y317" s="3">
        <f t="shared" si="57"/>
        <v>314</v>
      </c>
      <c r="Z317" s="3">
        <f t="shared" si="58"/>
        <v>1413740033</v>
      </c>
      <c r="AA317" s="7"/>
      <c r="AB317" s="7">
        <f t="shared" si="59"/>
        <v>13040</v>
      </c>
    </row>
    <row r="318" spans="6:28" x14ac:dyDescent="0.15">
      <c r="F318">
        <f t="shared" si="49"/>
        <v>45</v>
      </c>
      <c r="G318">
        <v>315</v>
      </c>
      <c r="H318">
        <f t="shared" si="50"/>
        <v>1814459779.8590813</v>
      </c>
      <c r="I318">
        <f t="shared" si="51"/>
        <v>1814459780</v>
      </c>
      <c r="J318" s="1">
        <f t="shared" si="52"/>
        <v>10</v>
      </c>
      <c r="K318" s="1">
        <f t="shared" si="53"/>
        <v>18144597800</v>
      </c>
      <c r="L318" s="1">
        <f t="shared" si="54"/>
        <v>4868800409.666667</v>
      </c>
      <c r="M318" s="3">
        <f t="shared" si="55"/>
        <v>108916.17284624459</v>
      </c>
      <c r="N318" s="7">
        <f t="shared" si="60"/>
        <v>4868800410</v>
      </c>
      <c r="O318" s="7">
        <f t="shared" si="56"/>
        <v>108916</v>
      </c>
      <c r="P318" s="3">
        <f>SUM($O$4:O318)</f>
        <v>752017</v>
      </c>
      <c r="Y318" s="3">
        <f t="shared" si="57"/>
        <v>315</v>
      </c>
      <c r="Z318" s="3">
        <f t="shared" si="58"/>
        <v>1489154509</v>
      </c>
      <c r="AA318" s="7"/>
      <c r="AB318" s="7">
        <f t="shared" si="59"/>
        <v>13040</v>
      </c>
    </row>
    <row r="319" spans="6:28" x14ac:dyDescent="0.15">
      <c r="F319">
        <f t="shared" si="49"/>
        <v>46</v>
      </c>
      <c r="G319">
        <v>316</v>
      </c>
      <c r="H319">
        <f t="shared" si="50"/>
        <v>2848701854.378758</v>
      </c>
      <c r="I319">
        <f t="shared" si="51"/>
        <v>2848701854</v>
      </c>
      <c r="J319" s="1">
        <f t="shared" si="52"/>
        <v>1</v>
      </c>
      <c r="K319" s="1">
        <f t="shared" si="53"/>
        <v>2848701854</v>
      </c>
      <c r="L319" s="1">
        <f t="shared" si="54"/>
        <v>772947769.71866667</v>
      </c>
      <c r="M319" s="3">
        <f t="shared" si="55"/>
        <v>13300.78266074788</v>
      </c>
      <c r="N319" s="7">
        <f t="shared" si="60"/>
        <v>772947770</v>
      </c>
      <c r="O319" s="7">
        <f t="shared" si="56"/>
        <v>13300</v>
      </c>
      <c r="P319" s="3">
        <f>SUM($O$4:O319)</f>
        <v>765317</v>
      </c>
      <c r="Y319" s="3">
        <f t="shared" si="57"/>
        <v>316</v>
      </c>
      <c r="Z319" s="3">
        <f t="shared" si="58"/>
        <v>1568576083</v>
      </c>
      <c r="AA319" s="7"/>
      <c r="AB319" s="7">
        <f t="shared" si="59"/>
        <v>13040</v>
      </c>
    </row>
    <row r="320" spans="6:28" x14ac:dyDescent="0.15">
      <c r="F320">
        <f t="shared" si="49"/>
        <v>46</v>
      </c>
      <c r="G320">
        <v>317</v>
      </c>
      <c r="H320">
        <f t="shared" si="50"/>
        <v>2848701854.378758</v>
      </c>
      <c r="I320">
        <f t="shared" si="51"/>
        <v>2848701854</v>
      </c>
      <c r="J320" s="1">
        <f t="shared" si="52"/>
        <v>1</v>
      </c>
      <c r="K320" s="1">
        <f t="shared" si="53"/>
        <v>2848701854</v>
      </c>
      <c r="L320" s="1">
        <f t="shared" si="54"/>
        <v>772947769.71866667</v>
      </c>
      <c r="M320" s="3">
        <f t="shared" si="55"/>
        <v>13300.78266074788</v>
      </c>
      <c r="N320" s="7">
        <f t="shared" si="60"/>
        <v>772947770</v>
      </c>
      <c r="O320" s="7">
        <f t="shared" si="56"/>
        <v>13300</v>
      </c>
      <c r="P320" s="3">
        <f>SUM($O$4:O320)</f>
        <v>778617</v>
      </c>
      <c r="Y320" s="3">
        <f t="shared" si="57"/>
        <v>317</v>
      </c>
      <c r="Z320" s="3">
        <f t="shared" si="58"/>
        <v>1652216928</v>
      </c>
      <c r="AA320" s="7"/>
      <c r="AB320" s="7">
        <f t="shared" si="59"/>
        <v>13040</v>
      </c>
    </row>
    <row r="321" spans="6:28" x14ac:dyDescent="0.15">
      <c r="F321">
        <f t="shared" si="49"/>
        <v>46</v>
      </c>
      <c r="G321">
        <v>318</v>
      </c>
      <c r="H321">
        <f t="shared" si="50"/>
        <v>2848701854.378758</v>
      </c>
      <c r="I321">
        <f t="shared" si="51"/>
        <v>2848701854</v>
      </c>
      <c r="J321" s="1">
        <f t="shared" si="52"/>
        <v>1</v>
      </c>
      <c r="K321" s="1">
        <f t="shared" si="53"/>
        <v>2848701854</v>
      </c>
      <c r="L321" s="1">
        <f t="shared" si="54"/>
        <v>772947769.71866667</v>
      </c>
      <c r="M321" s="3">
        <f t="shared" si="55"/>
        <v>13300.78266074788</v>
      </c>
      <c r="N321" s="7">
        <f t="shared" si="60"/>
        <v>772947770</v>
      </c>
      <c r="O321" s="7">
        <f t="shared" si="56"/>
        <v>13300</v>
      </c>
      <c r="P321" s="3">
        <f>SUM($O$4:O321)</f>
        <v>791917</v>
      </c>
      <c r="Y321" s="3">
        <f t="shared" si="57"/>
        <v>318</v>
      </c>
      <c r="Z321" s="3">
        <f t="shared" si="58"/>
        <v>1740300417</v>
      </c>
      <c r="AA321" s="7"/>
      <c r="AB321" s="7">
        <f t="shared" si="59"/>
        <v>13040</v>
      </c>
    </row>
    <row r="322" spans="6:28" x14ac:dyDescent="0.15">
      <c r="F322">
        <f t="shared" si="49"/>
        <v>46</v>
      </c>
      <c r="G322">
        <v>319</v>
      </c>
      <c r="H322">
        <f t="shared" si="50"/>
        <v>2848701854.378758</v>
      </c>
      <c r="I322">
        <f t="shared" si="51"/>
        <v>2848701854</v>
      </c>
      <c r="J322" s="1">
        <f t="shared" si="52"/>
        <v>1</v>
      </c>
      <c r="K322" s="1">
        <f t="shared" si="53"/>
        <v>2848701854</v>
      </c>
      <c r="L322" s="1">
        <f t="shared" si="54"/>
        <v>772947769.71866667</v>
      </c>
      <c r="M322" s="3">
        <f t="shared" si="55"/>
        <v>13300.78266074788</v>
      </c>
      <c r="N322" s="7">
        <f t="shared" si="60"/>
        <v>772947770</v>
      </c>
      <c r="O322" s="7">
        <f t="shared" si="56"/>
        <v>13300</v>
      </c>
      <c r="P322" s="3">
        <f>SUM($O$4:O322)</f>
        <v>805217</v>
      </c>
      <c r="Y322" s="3">
        <f t="shared" si="57"/>
        <v>319</v>
      </c>
      <c r="Z322" s="3">
        <f t="shared" si="58"/>
        <v>1833061713</v>
      </c>
      <c r="AA322" s="7"/>
      <c r="AB322" s="7">
        <f t="shared" si="59"/>
        <v>13040</v>
      </c>
    </row>
    <row r="323" spans="6:28" x14ac:dyDescent="0.15">
      <c r="F323">
        <f t="shared" si="49"/>
        <v>46</v>
      </c>
      <c r="G323">
        <v>320</v>
      </c>
      <c r="H323">
        <f t="shared" si="50"/>
        <v>2848701854.378758</v>
      </c>
      <c r="I323">
        <f t="shared" si="51"/>
        <v>2848701854</v>
      </c>
      <c r="J323" s="1">
        <f t="shared" si="52"/>
        <v>1</v>
      </c>
      <c r="K323" s="1">
        <f t="shared" si="53"/>
        <v>2848701854</v>
      </c>
      <c r="L323" s="1">
        <f t="shared" si="54"/>
        <v>772947769.71866667</v>
      </c>
      <c r="M323" s="3">
        <f t="shared" si="55"/>
        <v>13300.78266074788</v>
      </c>
      <c r="N323" s="7">
        <f t="shared" si="60"/>
        <v>772947770</v>
      </c>
      <c r="O323" s="7">
        <f t="shared" si="56"/>
        <v>13300</v>
      </c>
      <c r="P323" s="3">
        <f>SUM($O$4:O323)</f>
        <v>818517</v>
      </c>
      <c r="Y323" s="3">
        <f t="shared" si="57"/>
        <v>320</v>
      </c>
      <c r="Z323" s="3">
        <f t="shared" si="58"/>
        <v>1930748387</v>
      </c>
      <c r="AA323" s="7"/>
      <c r="AB323" s="7">
        <f t="shared" si="59"/>
        <v>13040</v>
      </c>
    </row>
    <row r="324" spans="6:28" x14ac:dyDescent="0.15">
      <c r="F324">
        <f t="shared" si="49"/>
        <v>46</v>
      </c>
      <c r="G324">
        <v>321</v>
      </c>
      <c r="H324">
        <f t="shared" si="50"/>
        <v>2848701854.378758</v>
      </c>
      <c r="I324">
        <f t="shared" si="51"/>
        <v>2848701854</v>
      </c>
      <c r="J324" s="1">
        <f t="shared" si="52"/>
        <v>1</v>
      </c>
      <c r="K324" s="1">
        <f t="shared" si="53"/>
        <v>2848701854</v>
      </c>
      <c r="L324" s="1">
        <f t="shared" si="54"/>
        <v>772947769.71866667</v>
      </c>
      <c r="M324" s="3">
        <f t="shared" si="55"/>
        <v>13300.78266074788</v>
      </c>
      <c r="N324" s="7">
        <f t="shared" si="60"/>
        <v>772947770</v>
      </c>
      <c r="O324" s="7">
        <f t="shared" si="56"/>
        <v>13300</v>
      </c>
      <c r="P324" s="3">
        <f>SUM($O$4:O324)</f>
        <v>831817</v>
      </c>
      <c r="Y324" s="3">
        <f t="shared" si="57"/>
        <v>321</v>
      </c>
      <c r="Z324" s="3">
        <f t="shared" si="58"/>
        <v>2033621075</v>
      </c>
      <c r="AA324" s="7"/>
      <c r="AB324" s="7">
        <f t="shared" si="59"/>
        <v>13040</v>
      </c>
    </row>
    <row r="325" spans="6:28" x14ac:dyDescent="0.15">
      <c r="F325">
        <f t="shared" ref="F325:F388" si="61">ROUNDUP(G325/$C$4,0)</f>
        <v>46</v>
      </c>
      <c r="G325">
        <v>322</v>
      </c>
      <c r="H325">
        <f t="shared" ref="H325:H388" si="62">18.5*1.57^MIN(F325,156)*1.17^MAX(F325-156,0)*$C$5</f>
        <v>2848701854.378758</v>
      </c>
      <c r="I325">
        <f t="shared" ref="I325:I388" si="63">ROUND(H325,0)</f>
        <v>2848701854</v>
      </c>
      <c r="J325" s="1">
        <f t="shared" ref="J325:J388" si="64">IF(F325=F326,1,LOOKUP(MOD(F325,5),$D$6:$D$10,$C$6:$C$10))</f>
        <v>2</v>
      </c>
      <c r="K325" s="1">
        <f t="shared" ref="K325:K388" si="65">J325*I325</f>
        <v>5697403708</v>
      </c>
      <c r="L325" s="1">
        <f t="shared" ref="L325:L388" si="66">K325*(0.02+0.00045*F325)/$C$5</f>
        <v>1545895539.4373333</v>
      </c>
      <c r="M325" s="3">
        <f t="shared" ref="M325:M388" si="67">L325/(1.3^F325)*3</f>
        <v>26601.56532149576</v>
      </c>
      <c r="N325" s="7">
        <f t="shared" si="60"/>
        <v>1545895539</v>
      </c>
      <c r="O325" s="7">
        <f t="shared" ref="O325:O388" si="68">ROUNDDOWN(M325,0)</f>
        <v>26601</v>
      </c>
      <c r="P325" s="3">
        <f>SUM($O$4:O325)</f>
        <v>858418</v>
      </c>
      <c r="Y325" s="3">
        <f t="shared" ref="Y325:Y388" si="69">G325</f>
        <v>322</v>
      </c>
      <c r="Z325" s="3">
        <f t="shared" ref="Z325:Z388" si="70">ROUND(1.05^Y325*Y325,0)</f>
        <v>2141954160</v>
      </c>
      <c r="AA325" s="7"/>
      <c r="AB325" s="7">
        <f t="shared" ref="AB325:AB388" si="71">LOOKUP(Y325,T:T,P:P)</f>
        <v>13040</v>
      </c>
    </row>
    <row r="326" spans="6:28" x14ac:dyDescent="0.15">
      <c r="F326">
        <f t="shared" si="61"/>
        <v>47</v>
      </c>
      <c r="G326">
        <v>323</v>
      </c>
      <c r="H326">
        <f t="shared" si="62"/>
        <v>4472461911.37465</v>
      </c>
      <c r="I326">
        <f t="shared" si="63"/>
        <v>4472461911</v>
      </c>
      <c r="J326" s="1">
        <f t="shared" si="64"/>
        <v>1</v>
      </c>
      <c r="K326" s="1">
        <f t="shared" si="65"/>
        <v>4472461911</v>
      </c>
      <c r="L326" s="1">
        <f t="shared" si="66"/>
        <v>1226945384.2509999</v>
      </c>
      <c r="M326" s="3">
        <f t="shared" si="67"/>
        <v>16240.856439826423</v>
      </c>
      <c r="N326" s="7">
        <f t="shared" si="60"/>
        <v>1226945384</v>
      </c>
      <c r="O326" s="7">
        <f t="shared" si="68"/>
        <v>16240</v>
      </c>
      <c r="P326" s="3">
        <f>SUM($O$4:O326)</f>
        <v>874658</v>
      </c>
      <c r="Y326" s="3">
        <f t="shared" si="69"/>
        <v>323</v>
      </c>
      <c r="Z326" s="3">
        <f t="shared" si="70"/>
        <v>2256036501</v>
      </c>
      <c r="AA326" s="7"/>
      <c r="AB326" s="7">
        <f t="shared" si="71"/>
        <v>13040</v>
      </c>
    </row>
    <row r="327" spans="6:28" x14ac:dyDescent="0.15">
      <c r="F327">
        <f t="shared" si="61"/>
        <v>47</v>
      </c>
      <c r="G327">
        <v>324</v>
      </c>
      <c r="H327">
        <f t="shared" si="62"/>
        <v>4472461911.37465</v>
      </c>
      <c r="I327">
        <f t="shared" si="63"/>
        <v>4472461911</v>
      </c>
      <c r="J327" s="1">
        <f t="shared" si="64"/>
        <v>1</v>
      </c>
      <c r="K327" s="1">
        <f t="shared" si="65"/>
        <v>4472461911</v>
      </c>
      <c r="L327" s="1">
        <f t="shared" si="66"/>
        <v>1226945384.2509999</v>
      </c>
      <c r="M327" s="3">
        <f t="shared" si="67"/>
        <v>16240.856439826423</v>
      </c>
      <c r="N327" s="7">
        <f t="shared" si="60"/>
        <v>1226945384</v>
      </c>
      <c r="O327" s="7">
        <f t="shared" si="68"/>
        <v>16240</v>
      </c>
      <c r="P327" s="3">
        <f>SUM($O$4:O327)</f>
        <v>890898</v>
      </c>
      <c r="Y327" s="3">
        <f t="shared" si="69"/>
        <v>324</v>
      </c>
      <c r="Z327" s="3">
        <f t="shared" si="70"/>
        <v>2376172191</v>
      </c>
      <c r="AA327" s="7"/>
      <c r="AB327" s="7">
        <f t="shared" si="71"/>
        <v>13040</v>
      </c>
    </row>
    <row r="328" spans="6:28" x14ac:dyDescent="0.15">
      <c r="F328">
        <f t="shared" si="61"/>
        <v>47</v>
      </c>
      <c r="G328">
        <v>325</v>
      </c>
      <c r="H328">
        <f t="shared" si="62"/>
        <v>4472461911.37465</v>
      </c>
      <c r="I328">
        <f t="shared" si="63"/>
        <v>4472461911</v>
      </c>
      <c r="J328" s="1">
        <f t="shared" si="64"/>
        <v>1</v>
      </c>
      <c r="K328" s="1">
        <f t="shared" si="65"/>
        <v>4472461911</v>
      </c>
      <c r="L328" s="1">
        <f t="shared" si="66"/>
        <v>1226945384.2509999</v>
      </c>
      <c r="M328" s="3">
        <f t="shared" si="67"/>
        <v>16240.856439826423</v>
      </c>
      <c r="N328" s="7">
        <f t="shared" ref="N328:N391" si="72">ROUND(L328,0)</f>
        <v>1226945384</v>
      </c>
      <c r="O328" s="7">
        <f t="shared" si="68"/>
        <v>16240</v>
      </c>
      <c r="P328" s="3">
        <f>SUM($O$4:O328)</f>
        <v>907138</v>
      </c>
      <c r="Y328" s="3">
        <f t="shared" si="69"/>
        <v>325</v>
      </c>
      <c r="Z328" s="3">
        <f t="shared" si="70"/>
        <v>2502681358</v>
      </c>
      <c r="AA328" s="7"/>
      <c r="AB328" s="7">
        <f t="shared" si="71"/>
        <v>13040</v>
      </c>
    </row>
    <row r="329" spans="6:28" x14ac:dyDescent="0.15">
      <c r="F329">
        <f t="shared" si="61"/>
        <v>47</v>
      </c>
      <c r="G329">
        <v>326</v>
      </c>
      <c r="H329">
        <f t="shared" si="62"/>
        <v>4472461911.37465</v>
      </c>
      <c r="I329">
        <f t="shared" si="63"/>
        <v>4472461911</v>
      </c>
      <c r="J329" s="1">
        <f t="shared" si="64"/>
        <v>1</v>
      </c>
      <c r="K329" s="1">
        <f t="shared" si="65"/>
        <v>4472461911</v>
      </c>
      <c r="L329" s="1">
        <f t="shared" si="66"/>
        <v>1226945384.2509999</v>
      </c>
      <c r="M329" s="3">
        <f t="shared" si="67"/>
        <v>16240.856439826423</v>
      </c>
      <c r="N329" s="7">
        <f t="shared" si="72"/>
        <v>1226945384</v>
      </c>
      <c r="O329" s="7">
        <f t="shared" si="68"/>
        <v>16240</v>
      </c>
      <c r="P329" s="3">
        <f>SUM($O$4:O329)</f>
        <v>923378</v>
      </c>
      <c r="Y329" s="3">
        <f t="shared" si="69"/>
        <v>326</v>
      </c>
      <c r="Z329" s="3">
        <f t="shared" si="70"/>
        <v>2635901012</v>
      </c>
      <c r="AA329" s="7"/>
      <c r="AB329" s="7">
        <f t="shared" si="71"/>
        <v>13040</v>
      </c>
    </row>
    <row r="330" spans="6:28" x14ac:dyDescent="0.15">
      <c r="F330">
        <f t="shared" si="61"/>
        <v>47</v>
      </c>
      <c r="G330">
        <v>327</v>
      </c>
      <c r="H330">
        <f t="shared" si="62"/>
        <v>4472461911.37465</v>
      </c>
      <c r="I330">
        <f t="shared" si="63"/>
        <v>4472461911</v>
      </c>
      <c r="J330" s="1">
        <f t="shared" si="64"/>
        <v>1</v>
      </c>
      <c r="K330" s="1">
        <f t="shared" si="65"/>
        <v>4472461911</v>
      </c>
      <c r="L330" s="1">
        <f t="shared" si="66"/>
        <v>1226945384.2509999</v>
      </c>
      <c r="M330" s="3">
        <f t="shared" si="67"/>
        <v>16240.856439826423</v>
      </c>
      <c r="N330" s="7">
        <f t="shared" si="72"/>
        <v>1226945384</v>
      </c>
      <c r="O330" s="7">
        <f t="shared" si="68"/>
        <v>16240</v>
      </c>
      <c r="P330" s="3">
        <f>SUM($O$4:O330)</f>
        <v>939618</v>
      </c>
      <c r="Y330" s="3">
        <f t="shared" si="69"/>
        <v>327</v>
      </c>
      <c r="Z330" s="3">
        <f t="shared" si="70"/>
        <v>2776185928</v>
      </c>
      <c r="AA330" s="7"/>
      <c r="AB330" s="7">
        <f t="shared" si="71"/>
        <v>13040</v>
      </c>
    </row>
    <row r="331" spans="6:28" x14ac:dyDescent="0.15">
      <c r="F331">
        <f t="shared" si="61"/>
        <v>47</v>
      </c>
      <c r="G331">
        <v>328</v>
      </c>
      <c r="H331">
        <f t="shared" si="62"/>
        <v>4472461911.37465</v>
      </c>
      <c r="I331">
        <f t="shared" si="63"/>
        <v>4472461911</v>
      </c>
      <c r="J331" s="1">
        <f t="shared" si="64"/>
        <v>1</v>
      </c>
      <c r="K331" s="1">
        <f t="shared" si="65"/>
        <v>4472461911</v>
      </c>
      <c r="L331" s="1">
        <f t="shared" si="66"/>
        <v>1226945384.2509999</v>
      </c>
      <c r="M331" s="3">
        <f t="shared" si="67"/>
        <v>16240.856439826423</v>
      </c>
      <c r="N331" s="7">
        <f t="shared" si="72"/>
        <v>1226945384</v>
      </c>
      <c r="O331" s="7">
        <f t="shared" si="68"/>
        <v>16240</v>
      </c>
      <c r="P331" s="3">
        <f>SUM($O$4:O331)</f>
        <v>955858</v>
      </c>
      <c r="Y331" s="3">
        <f t="shared" si="69"/>
        <v>328</v>
      </c>
      <c r="Z331" s="3">
        <f t="shared" si="70"/>
        <v>2923909583</v>
      </c>
      <c r="AA331" s="7"/>
      <c r="AB331" s="7">
        <f t="shared" si="71"/>
        <v>13040</v>
      </c>
    </row>
    <row r="332" spans="6:28" x14ac:dyDescent="0.15">
      <c r="F332">
        <f t="shared" si="61"/>
        <v>47</v>
      </c>
      <c r="G332">
        <v>329</v>
      </c>
      <c r="H332">
        <f t="shared" si="62"/>
        <v>4472461911.37465</v>
      </c>
      <c r="I332">
        <f t="shared" si="63"/>
        <v>4472461911</v>
      </c>
      <c r="J332" s="1">
        <f t="shared" si="64"/>
        <v>4</v>
      </c>
      <c r="K332" s="1">
        <f t="shared" si="65"/>
        <v>17889847644</v>
      </c>
      <c r="L332" s="1">
        <f t="shared" si="66"/>
        <v>4907781537.0039997</v>
      </c>
      <c r="M332" s="3">
        <f t="shared" si="67"/>
        <v>64963.42575930569</v>
      </c>
      <c r="N332" s="7">
        <f t="shared" si="72"/>
        <v>4907781537</v>
      </c>
      <c r="O332" s="7">
        <f t="shared" si="68"/>
        <v>64963</v>
      </c>
      <c r="P332" s="3">
        <f>SUM($O$4:O332)</f>
        <v>1020821</v>
      </c>
      <c r="Y332" s="3">
        <f t="shared" si="69"/>
        <v>329</v>
      </c>
      <c r="Z332" s="3">
        <f t="shared" si="70"/>
        <v>3079465138</v>
      </c>
      <c r="AA332" s="7"/>
      <c r="AB332" s="7">
        <f t="shared" si="71"/>
        <v>13040</v>
      </c>
    </row>
    <row r="333" spans="6:28" x14ac:dyDescent="0.15">
      <c r="F333">
        <f t="shared" si="61"/>
        <v>48</v>
      </c>
      <c r="G333">
        <v>330</v>
      </c>
      <c r="H333">
        <f t="shared" si="62"/>
        <v>7021765200.8581991</v>
      </c>
      <c r="I333">
        <f t="shared" si="63"/>
        <v>7021765201</v>
      </c>
      <c r="J333" s="1">
        <f t="shared" si="64"/>
        <v>1</v>
      </c>
      <c r="K333" s="1">
        <f t="shared" si="65"/>
        <v>7021765201</v>
      </c>
      <c r="L333" s="1">
        <f t="shared" si="66"/>
        <v>1947369549.0773332</v>
      </c>
      <c r="M333" s="3">
        <f t="shared" si="67"/>
        <v>19828.447815837346</v>
      </c>
      <c r="N333" s="7">
        <f t="shared" si="72"/>
        <v>1947369549</v>
      </c>
      <c r="O333" s="7">
        <f t="shared" si="68"/>
        <v>19828</v>
      </c>
      <c r="P333" s="3">
        <f>SUM($O$4:O333)</f>
        <v>1040649</v>
      </c>
      <c r="Y333" s="3">
        <f t="shared" si="69"/>
        <v>330</v>
      </c>
      <c r="Z333" s="3">
        <f t="shared" si="70"/>
        <v>3243266476</v>
      </c>
      <c r="AA333" s="7"/>
      <c r="AB333" s="7">
        <f t="shared" si="71"/>
        <v>13040</v>
      </c>
    </row>
    <row r="334" spans="6:28" x14ac:dyDescent="0.15">
      <c r="F334">
        <f t="shared" si="61"/>
        <v>48</v>
      </c>
      <c r="G334">
        <v>331</v>
      </c>
      <c r="H334">
        <f t="shared" si="62"/>
        <v>7021765200.8581991</v>
      </c>
      <c r="I334">
        <f t="shared" si="63"/>
        <v>7021765201</v>
      </c>
      <c r="J334" s="1">
        <f t="shared" si="64"/>
        <v>1</v>
      </c>
      <c r="K334" s="1">
        <f t="shared" si="65"/>
        <v>7021765201</v>
      </c>
      <c r="L334" s="1">
        <f t="shared" si="66"/>
        <v>1947369549.0773332</v>
      </c>
      <c r="M334" s="3">
        <f t="shared" si="67"/>
        <v>19828.447815837346</v>
      </c>
      <c r="N334" s="7">
        <f t="shared" si="72"/>
        <v>1947369549</v>
      </c>
      <c r="O334" s="7">
        <f t="shared" si="68"/>
        <v>19828</v>
      </c>
      <c r="P334" s="3">
        <f>SUM($O$4:O334)</f>
        <v>1060477</v>
      </c>
      <c r="Y334" s="3">
        <f t="shared" si="69"/>
        <v>331</v>
      </c>
      <c r="Z334" s="3">
        <f t="shared" si="70"/>
        <v>3415749284</v>
      </c>
      <c r="AA334" s="7"/>
      <c r="AB334" s="7">
        <f t="shared" si="71"/>
        <v>13040</v>
      </c>
    </row>
    <row r="335" spans="6:28" x14ac:dyDescent="0.15">
      <c r="F335">
        <f t="shared" si="61"/>
        <v>48</v>
      </c>
      <c r="G335">
        <v>332</v>
      </c>
      <c r="H335">
        <f t="shared" si="62"/>
        <v>7021765200.8581991</v>
      </c>
      <c r="I335">
        <f t="shared" si="63"/>
        <v>7021765201</v>
      </c>
      <c r="J335" s="1">
        <f t="shared" si="64"/>
        <v>1</v>
      </c>
      <c r="K335" s="1">
        <f t="shared" si="65"/>
        <v>7021765201</v>
      </c>
      <c r="L335" s="1">
        <f t="shared" si="66"/>
        <v>1947369549.0773332</v>
      </c>
      <c r="M335" s="3">
        <f t="shared" si="67"/>
        <v>19828.447815837346</v>
      </c>
      <c r="N335" s="7">
        <f t="shared" si="72"/>
        <v>1947369549</v>
      </c>
      <c r="O335" s="7">
        <f t="shared" si="68"/>
        <v>19828</v>
      </c>
      <c r="P335" s="3">
        <f>SUM($O$4:O335)</f>
        <v>1080305</v>
      </c>
      <c r="Y335" s="3">
        <f t="shared" si="69"/>
        <v>332</v>
      </c>
      <c r="Z335" s="3">
        <f t="shared" si="70"/>
        <v>3597372206</v>
      </c>
      <c r="AA335" s="7"/>
      <c r="AB335" s="7">
        <f t="shared" si="71"/>
        <v>13040</v>
      </c>
    </row>
    <row r="336" spans="6:28" x14ac:dyDescent="0.15">
      <c r="F336">
        <f t="shared" si="61"/>
        <v>48</v>
      </c>
      <c r="G336">
        <v>333</v>
      </c>
      <c r="H336">
        <f t="shared" si="62"/>
        <v>7021765200.8581991</v>
      </c>
      <c r="I336">
        <f t="shared" si="63"/>
        <v>7021765201</v>
      </c>
      <c r="J336" s="1">
        <f t="shared" si="64"/>
        <v>1</v>
      </c>
      <c r="K336" s="1">
        <f t="shared" si="65"/>
        <v>7021765201</v>
      </c>
      <c r="L336" s="1">
        <f t="shared" si="66"/>
        <v>1947369549.0773332</v>
      </c>
      <c r="M336" s="3">
        <f t="shared" si="67"/>
        <v>19828.447815837346</v>
      </c>
      <c r="N336" s="7">
        <f t="shared" si="72"/>
        <v>1947369549</v>
      </c>
      <c r="O336" s="7">
        <f t="shared" si="68"/>
        <v>19828</v>
      </c>
      <c r="P336" s="3">
        <f>SUM($O$4:O336)</f>
        <v>1100133</v>
      </c>
      <c r="Y336" s="3">
        <f t="shared" si="69"/>
        <v>333</v>
      </c>
      <c r="Z336" s="3">
        <f t="shared" si="70"/>
        <v>3788618048</v>
      </c>
      <c r="AA336" s="7"/>
      <c r="AB336" s="7">
        <f t="shared" si="71"/>
        <v>13040</v>
      </c>
    </row>
    <row r="337" spans="6:28" x14ac:dyDescent="0.15">
      <c r="F337">
        <f t="shared" si="61"/>
        <v>48</v>
      </c>
      <c r="G337">
        <v>334</v>
      </c>
      <c r="H337">
        <f t="shared" si="62"/>
        <v>7021765200.8581991</v>
      </c>
      <c r="I337">
        <f t="shared" si="63"/>
        <v>7021765201</v>
      </c>
      <c r="J337" s="1">
        <f t="shared" si="64"/>
        <v>1</v>
      </c>
      <c r="K337" s="1">
        <f t="shared" si="65"/>
        <v>7021765201</v>
      </c>
      <c r="L337" s="1">
        <f t="shared" si="66"/>
        <v>1947369549.0773332</v>
      </c>
      <c r="M337" s="3">
        <f t="shared" si="67"/>
        <v>19828.447815837346</v>
      </c>
      <c r="N337" s="7">
        <f t="shared" si="72"/>
        <v>1947369549</v>
      </c>
      <c r="O337" s="7">
        <f t="shared" si="68"/>
        <v>19828</v>
      </c>
      <c r="P337" s="3">
        <f>SUM($O$4:O337)</f>
        <v>1119961</v>
      </c>
      <c r="Y337" s="3">
        <f t="shared" si="69"/>
        <v>334</v>
      </c>
      <c r="Z337" s="3">
        <f t="shared" si="70"/>
        <v>3989995043</v>
      </c>
      <c r="AA337" s="7"/>
      <c r="AB337" s="7">
        <f t="shared" si="71"/>
        <v>13040</v>
      </c>
    </row>
    <row r="338" spans="6:28" x14ac:dyDescent="0.15">
      <c r="F338">
        <f t="shared" si="61"/>
        <v>48</v>
      </c>
      <c r="G338">
        <v>335</v>
      </c>
      <c r="H338">
        <f t="shared" si="62"/>
        <v>7021765200.8581991</v>
      </c>
      <c r="I338">
        <f t="shared" si="63"/>
        <v>7021765201</v>
      </c>
      <c r="J338" s="1">
        <f t="shared" si="64"/>
        <v>1</v>
      </c>
      <c r="K338" s="1">
        <f t="shared" si="65"/>
        <v>7021765201</v>
      </c>
      <c r="L338" s="1">
        <f t="shared" si="66"/>
        <v>1947369549.0773332</v>
      </c>
      <c r="M338" s="3">
        <f t="shared" si="67"/>
        <v>19828.447815837346</v>
      </c>
      <c r="N338" s="7">
        <f t="shared" si="72"/>
        <v>1947369549</v>
      </c>
      <c r="O338" s="7">
        <f t="shared" si="68"/>
        <v>19828</v>
      </c>
      <c r="P338" s="3">
        <f>SUM($O$4:O338)</f>
        <v>1139789</v>
      </c>
      <c r="Y338" s="3">
        <f t="shared" si="69"/>
        <v>335</v>
      </c>
      <c r="Z338" s="3">
        <f t="shared" si="70"/>
        <v>4202038193</v>
      </c>
      <c r="AA338" s="7"/>
      <c r="AB338" s="7">
        <f t="shared" si="71"/>
        <v>13040</v>
      </c>
    </row>
    <row r="339" spans="6:28" x14ac:dyDescent="0.15">
      <c r="F339">
        <f t="shared" si="61"/>
        <v>48</v>
      </c>
      <c r="G339">
        <v>336</v>
      </c>
      <c r="H339">
        <f t="shared" si="62"/>
        <v>7021765200.8581991</v>
      </c>
      <c r="I339">
        <f t="shared" si="63"/>
        <v>7021765201</v>
      </c>
      <c r="J339" s="1">
        <f t="shared" si="64"/>
        <v>6</v>
      </c>
      <c r="K339" s="1">
        <f t="shared" si="65"/>
        <v>42130591206</v>
      </c>
      <c r="L339" s="1">
        <f t="shared" si="66"/>
        <v>11684217294.464001</v>
      </c>
      <c r="M339" s="3">
        <f t="shared" si="67"/>
        <v>118970.68689502408</v>
      </c>
      <c r="N339" s="7">
        <f t="shared" si="72"/>
        <v>11684217294</v>
      </c>
      <c r="O339" s="7">
        <f t="shared" si="68"/>
        <v>118970</v>
      </c>
      <c r="P339" s="3">
        <f>SUM($O$4:O339)</f>
        <v>1258759</v>
      </c>
      <c r="Y339" s="3">
        <f t="shared" si="69"/>
        <v>336</v>
      </c>
      <c r="Z339" s="3">
        <f t="shared" si="70"/>
        <v>4425310670</v>
      </c>
      <c r="AA339" s="7"/>
      <c r="AB339" s="7">
        <f t="shared" si="71"/>
        <v>13040</v>
      </c>
    </row>
    <row r="340" spans="6:28" x14ac:dyDescent="0.15">
      <c r="F340">
        <f t="shared" si="61"/>
        <v>49</v>
      </c>
      <c r="G340">
        <v>337</v>
      </c>
      <c r="H340">
        <f t="shared" si="62"/>
        <v>11024171365.347372</v>
      </c>
      <c r="I340">
        <f t="shared" si="63"/>
        <v>11024171365</v>
      </c>
      <c r="J340" s="1">
        <f t="shared" si="64"/>
        <v>1</v>
      </c>
      <c r="K340" s="1">
        <f t="shared" si="65"/>
        <v>11024171365</v>
      </c>
      <c r="L340" s="1">
        <f t="shared" si="66"/>
        <v>3090442705.9883337</v>
      </c>
      <c r="M340" s="3">
        <f t="shared" si="67"/>
        <v>24205.702331031331</v>
      </c>
      <c r="N340" s="7">
        <f t="shared" si="72"/>
        <v>3090442706</v>
      </c>
      <c r="O340" s="7">
        <f t="shared" si="68"/>
        <v>24205</v>
      </c>
      <c r="P340" s="3">
        <f>SUM($O$4:O340)</f>
        <v>1282964</v>
      </c>
      <c r="Y340" s="3">
        <f t="shared" si="69"/>
        <v>337</v>
      </c>
      <c r="Z340" s="3">
        <f t="shared" si="70"/>
        <v>4660405300</v>
      </c>
      <c r="AA340" s="7"/>
      <c r="AB340" s="7">
        <f t="shared" si="71"/>
        <v>13040</v>
      </c>
    </row>
    <row r="341" spans="6:28" x14ac:dyDescent="0.15">
      <c r="F341">
        <f t="shared" si="61"/>
        <v>49</v>
      </c>
      <c r="G341">
        <v>338</v>
      </c>
      <c r="H341">
        <f t="shared" si="62"/>
        <v>11024171365.347372</v>
      </c>
      <c r="I341">
        <f t="shared" si="63"/>
        <v>11024171365</v>
      </c>
      <c r="J341" s="1">
        <f t="shared" si="64"/>
        <v>1</v>
      </c>
      <c r="K341" s="1">
        <f t="shared" si="65"/>
        <v>11024171365</v>
      </c>
      <c r="L341" s="1">
        <f t="shared" si="66"/>
        <v>3090442705.9883337</v>
      </c>
      <c r="M341" s="3">
        <f t="shared" si="67"/>
        <v>24205.702331031331</v>
      </c>
      <c r="N341" s="7">
        <f t="shared" si="72"/>
        <v>3090442706</v>
      </c>
      <c r="O341" s="7">
        <f t="shared" si="68"/>
        <v>24205</v>
      </c>
      <c r="P341" s="3">
        <f>SUM($O$4:O341)</f>
        <v>1307169</v>
      </c>
      <c r="Y341" s="3">
        <f t="shared" si="69"/>
        <v>338</v>
      </c>
      <c r="Z341" s="3">
        <f t="shared" si="70"/>
        <v>4907946115</v>
      </c>
      <c r="AA341" s="7"/>
      <c r="AB341" s="7">
        <f t="shared" si="71"/>
        <v>13040</v>
      </c>
    </row>
    <row r="342" spans="6:28" x14ac:dyDescent="0.15">
      <c r="F342">
        <f t="shared" si="61"/>
        <v>49</v>
      </c>
      <c r="G342">
        <v>339</v>
      </c>
      <c r="H342">
        <f t="shared" si="62"/>
        <v>11024171365.347372</v>
      </c>
      <c r="I342">
        <f t="shared" si="63"/>
        <v>11024171365</v>
      </c>
      <c r="J342" s="1">
        <f t="shared" si="64"/>
        <v>1</v>
      </c>
      <c r="K342" s="1">
        <f t="shared" si="65"/>
        <v>11024171365</v>
      </c>
      <c r="L342" s="1">
        <f t="shared" si="66"/>
        <v>3090442705.9883337</v>
      </c>
      <c r="M342" s="3">
        <f t="shared" si="67"/>
        <v>24205.702331031331</v>
      </c>
      <c r="N342" s="7">
        <f t="shared" si="72"/>
        <v>3090442706</v>
      </c>
      <c r="O342" s="7">
        <f t="shared" si="68"/>
        <v>24205</v>
      </c>
      <c r="P342" s="3">
        <f>SUM($O$4:O342)</f>
        <v>1331374</v>
      </c>
      <c r="Y342" s="3">
        <f t="shared" si="69"/>
        <v>339</v>
      </c>
      <c r="Z342" s="3">
        <f t="shared" si="70"/>
        <v>5168589999</v>
      </c>
      <c r="AA342" s="7"/>
      <c r="AB342" s="7">
        <f t="shared" si="71"/>
        <v>13040</v>
      </c>
    </row>
    <row r="343" spans="6:28" x14ac:dyDescent="0.15">
      <c r="F343">
        <f t="shared" si="61"/>
        <v>49</v>
      </c>
      <c r="G343">
        <v>340</v>
      </c>
      <c r="H343">
        <f t="shared" si="62"/>
        <v>11024171365.347372</v>
      </c>
      <c r="I343">
        <f t="shared" si="63"/>
        <v>11024171365</v>
      </c>
      <c r="J343" s="1">
        <f t="shared" si="64"/>
        <v>1</v>
      </c>
      <c r="K343" s="1">
        <f t="shared" si="65"/>
        <v>11024171365</v>
      </c>
      <c r="L343" s="1">
        <f t="shared" si="66"/>
        <v>3090442705.9883337</v>
      </c>
      <c r="M343" s="3">
        <f t="shared" si="67"/>
        <v>24205.702331031331</v>
      </c>
      <c r="N343" s="7">
        <f t="shared" si="72"/>
        <v>3090442706</v>
      </c>
      <c r="O343" s="7">
        <f t="shared" si="68"/>
        <v>24205</v>
      </c>
      <c r="P343" s="3">
        <f>SUM($O$4:O343)</f>
        <v>1355579</v>
      </c>
      <c r="Y343" s="3">
        <f t="shared" si="69"/>
        <v>340</v>
      </c>
      <c r="Z343" s="3">
        <f t="shared" si="70"/>
        <v>5443028406</v>
      </c>
      <c r="AA343" s="7"/>
      <c r="AB343" s="7">
        <f t="shared" si="71"/>
        <v>13040</v>
      </c>
    </row>
    <row r="344" spans="6:28" x14ac:dyDescent="0.15">
      <c r="F344">
        <f t="shared" si="61"/>
        <v>49</v>
      </c>
      <c r="G344">
        <v>341</v>
      </c>
      <c r="H344">
        <f t="shared" si="62"/>
        <v>11024171365.347372</v>
      </c>
      <c r="I344">
        <f t="shared" si="63"/>
        <v>11024171365</v>
      </c>
      <c r="J344" s="1">
        <f t="shared" si="64"/>
        <v>1</v>
      </c>
      <c r="K344" s="1">
        <f t="shared" si="65"/>
        <v>11024171365</v>
      </c>
      <c r="L344" s="1">
        <f t="shared" si="66"/>
        <v>3090442705.9883337</v>
      </c>
      <c r="M344" s="3">
        <f t="shared" si="67"/>
        <v>24205.702331031331</v>
      </c>
      <c r="N344" s="7">
        <f t="shared" si="72"/>
        <v>3090442706</v>
      </c>
      <c r="O344" s="7">
        <f t="shared" si="68"/>
        <v>24205</v>
      </c>
      <c r="P344" s="3">
        <f>SUM($O$4:O344)</f>
        <v>1379784</v>
      </c>
      <c r="Y344" s="3">
        <f t="shared" si="69"/>
        <v>341</v>
      </c>
      <c r="Z344" s="3">
        <f t="shared" si="70"/>
        <v>5731989179</v>
      </c>
      <c r="AA344" s="7"/>
      <c r="AB344" s="7">
        <f t="shared" si="71"/>
        <v>13040</v>
      </c>
    </row>
    <row r="345" spans="6:28" x14ac:dyDescent="0.15">
      <c r="F345">
        <f t="shared" si="61"/>
        <v>49</v>
      </c>
      <c r="G345">
        <v>342</v>
      </c>
      <c r="H345">
        <f t="shared" si="62"/>
        <v>11024171365.347372</v>
      </c>
      <c r="I345">
        <f t="shared" si="63"/>
        <v>11024171365</v>
      </c>
      <c r="J345" s="1">
        <f t="shared" si="64"/>
        <v>1</v>
      </c>
      <c r="K345" s="1">
        <f t="shared" si="65"/>
        <v>11024171365</v>
      </c>
      <c r="L345" s="1">
        <f t="shared" si="66"/>
        <v>3090442705.9883337</v>
      </c>
      <c r="M345" s="3">
        <f t="shared" si="67"/>
        <v>24205.702331031331</v>
      </c>
      <c r="N345" s="7">
        <f t="shared" si="72"/>
        <v>3090442706</v>
      </c>
      <c r="O345" s="7">
        <f t="shared" si="68"/>
        <v>24205</v>
      </c>
      <c r="P345" s="3">
        <f>SUM($O$4:O345)</f>
        <v>1403989</v>
      </c>
      <c r="Y345" s="3">
        <f t="shared" si="69"/>
        <v>342</v>
      </c>
      <c r="Z345" s="3">
        <f t="shared" si="70"/>
        <v>6036238458</v>
      </c>
      <c r="AA345" s="7"/>
      <c r="AB345" s="7">
        <f t="shared" si="71"/>
        <v>13040</v>
      </c>
    </row>
    <row r="346" spans="6:28" x14ac:dyDescent="0.15">
      <c r="F346">
        <f t="shared" si="61"/>
        <v>49</v>
      </c>
      <c r="G346">
        <v>343</v>
      </c>
      <c r="H346">
        <f t="shared" si="62"/>
        <v>11024171365.347372</v>
      </c>
      <c r="I346">
        <f t="shared" si="63"/>
        <v>11024171365</v>
      </c>
      <c r="J346" s="1">
        <f t="shared" si="64"/>
        <v>7</v>
      </c>
      <c r="K346" s="1">
        <f t="shared" si="65"/>
        <v>77169199555</v>
      </c>
      <c r="L346" s="1">
        <f t="shared" si="66"/>
        <v>21633098941.918335</v>
      </c>
      <c r="M346" s="3">
        <f t="shared" si="67"/>
        <v>169439.91631721932</v>
      </c>
      <c r="N346" s="7">
        <f t="shared" si="72"/>
        <v>21633098942</v>
      </c>
      <c r="O346" s="7">
        <f t="shared" si="68"/>
        <v>169439</v>
      </c>
      <c r="P346" s="3">
        <f>SUM($O$4:O346)</f>
        <v>1573428</v>
      </c>
      <c r="Y346" s="3">
        <f t="shared" si="69"/>
        <v>343</v>
      </c>
      <c r="Z346" s="3">
        <f t="shared" si="70"/>
        <v>6356582692</v>
      </c>
      <c r="AA346" s="7"/>
      <c r="AB346" s="7">
        <f t="shared" si="71"/>
        <v>13040</v>
      </c>
    </row>
    <row r="347" spans="6:28" x14ac:dyDescent="0.15">
      <c r="F347">
        <f t="shared" si="61"/>
        <v>50</v>
      </c>
      <c r="G347">
        <v>344</v>
      </c>
      <c r="H347">
        <f t="shared" si="62"/>
        <v>17307949043.595379</v>
      </c>
      <c r="I347">
        <f t="shared" si="63"/>
        <v>17307949044</v>
      </c>
      <c r="J347" s="1">
        <f t="shared" si="64"/>
        <v>1</v>
      </c>
      <c r="K347" s="1">
        <f t="shared" si="65"/>
        <v>17307949044</v>
      </c>
      <c r="L347" s="1">
        <f t="shared" si="66"/>
        <v>4903918895.7999992</v>
      </c>
      <c r="M347" s="3">
        <f t="shared" si="67"/>
        <v>29545.879230343293</v>
      </c>
      <c r="N347" s="7">
        <f t="shared" si="72"/>
        <v>4903918896</v>
      </c>
      <c r="O347" s="7">
        <f t="shared" si="68"/>
        <v>29545</v>
      </c>
      <c r="P347" s="3">
        <f>SUM($O$4:O347)</f>
        <v>1602973</v>
      </c>
      <c r="Y347" s="3">
        <f t="shared" si="69"/>
        <v>344</v>
      </c>
      <c r="Z347" s="3">
        <f t="shared" si="70"/>
        <v>6693870753</v>
      </c>
      <c r="AA347" s="7"/>
      <c r="AB347" s="7">
        <f t="shared" si="71"/>
        <v>13040</v>
      </c>
    </row>
    <row r="348" spans="6:28" x14ac:dyDescent="0.15">
      <c r="F348">
        <f t="shared" si="61"/>
        <v>50</v>
      </c>
      <c r="G348">
        <v>345</v>
      </c>
      <c r="H348">
        <f t="shared" si="62"/>
        <v>17307949043.595379</v>
      </c>
      <c r="I348">
        <f t="shared" si="63"/>
        <v>17307949044</v>
      </c>
      <c r="J348" s="1">
        <f t="shared" si="64"/>
        <v>1</v>
      </c>
      <c r="K348" s="1">
        <f t="shared" si="65"/>
        <v>17307949044</v>
      </c>
      <c r="L348" s="1">
        <f t="shared" si="66"/>
        <v>4903918895.7999992</v>
      </c>
      <c r="M348" s="3">
        <f t="shared" si="67"/>
        <v>29545.879230343293</v>
      </c>
      <c r="N348" s="7">
        <f t="shared" si="72"/>
        <v>4903918896</v>
      </c>
      <c r="O348" s="7">
        <f t="shared" si="68"/>
        <v>29545</v>
      </c>
      <c r="P348" s="3">
        <f>SUM($O$4:O348)</f>
        <v>1632518</v>
      </c>
      <c r="Y348" s="3">
        <f t="shared" si="69"/>
        <v>345</v>
      </c>
      <c r="Z348" s="3">
        <f t="shared" si="70"/>
        <v>7048996164</v>
      </c>
      <c r="AA348" s="7"/>
      <c r="AB348" s="7">
        <f t="shared" si="71"/>
        <v>13040</v>
      </c>
    </row>
    <row r="349" spans="6:28" x14ac:dyDescent="0.15">
      <c r="F349">
        <f t="shared" si="61"/>
        <v>50</v>
      </c>
      <c r="G349">
        <v>346</v>
      </c>
      <c r="H349">
        <f t="shared" si="62"/>
        <v>17307949043.595379</v>
      </c>
      <c r="I349">
        <f t="shared" si="63"/>
        <v>17307949044</v>
      </c>
      <c r="J349" s="1">
        <f t="shared" si="64"/>
        <v>1</v>
      </c>
      <c r="K349" s="1">
        <f t="shared" si="65"/>
        <v>17307949044</v>
      </c>
      <c r="L349" s="1">
        <f t="shared" si="66"/>
        <v>4903918895.7999992</v>
      </c>
      <c r="M349" s="3">
        <f t="shared" si="67"/>
        <v>29545.879230343293</v>
      </c>
      <c r="N349" s="7">
        <f t="shared" si="72"/>
        <v>4903918896</v>
      </c>
      <c r="O349" s="7">
        <f t="shared" si="68"/>
        <v>29545</v>
      </c>
      <c r="P349" s="3">
        <f>SUM($O$4:O349)</f>
        <v>1662063</v>
      </c>
      <c r="Y349" s="3">
        <f t="shared" si="69"/>
        <v>346</v>
      </c>
      <c r="Z349" s="3">
        <f t="shared" si="70"/>
        <v>7422899438</v>
      </c>
      <c r="AA349" s="7"/>
      <c r="AB349" s="7">
        <f t="shared" si="71"/>
        <v>13040</v>
      </c>
    </row>
    <row r="350" spans="6:28" x14ac:dyDescent="0.15">
      <c r="F350">
        <f t="shared" si="61"/>
        <v>50</v>
      </c>
      <c r="G350">
        <v>347</v>
      </c>
      <c r="H350">
        <f t="shared" si="62"/>
        <v>17307949043.595379</v>
      </c>
      <c r="I350">
        <f t="shared" si="63"/>
        <v>17307949044</v>
      </c>
      <c r="J350" s="1">
        <f t="shared" si="64"/>
        <v>1</v>
      </c>
      <c r="K350" s="1">
        <f t="shared" si="65"/>
        <v>17307949044</v>
      </c>
      <c r="L350" s="1">
        <f t="shared" si="66"/>
        <v>4903918895.7999992</v>
      </c>
      <c r="M350" s="3">
        <f t="shared" si="67"/>
        <v>29545.879230343293</v>
      </c>
      <c r="N350" s="7">
        <f t="shared" si="72"/>
        <v>4903918896</v>
      </c>
      <c r="O350" s="7">
        <f t="shared" si="68"/>
        <v>29545</v>
      </c>
      <c r="P350" s="3">
        <f>SUM($O$4:O350)</f>
        <v>1691608</v>
      </c>
      <c r="Y350" s="3">
        <f t="shared" si="69"/>
        <v>347</v>
      </c>
      <c r="Z350" s="3">
        <f t="shared" si="70"/>
        <v>7816570550</v>
      </c>
      <c r="AA350" s="7"/>
      <c r="AB350" s="7">
        <f t="shared" si="71"/>
        <v>13040</v>
      </c>
    </row>
    <row r="351" spans="6:28" x14ac:dyDescent="0.15">
      <c r="F351">
        <f t="shared" si="61"/>
        <v>50</v>
      </c>
      <c r="G351">
        <v>348</v>
      </c>
      <c r="H351">
        <f t="shared" si="62"/>
        <v>17307949043.595379</v>
      </c>
      <c r="I351">
        <f t="shared" si="63"/>
        <v>17307949044</v>
      </c>
      <c r="J351" s="1">
        <f t="shared" si="64"/>
        <v>1</v>
      </c>
      <c r="K351" s="1">
        <f t="shared" si="65"/>
        <v>17307949044</v>
      </c>
      <c r="L351" s="1">
        <f t="shared" si="66"/>
        <v>4903918895.7999992</v>
      </c>
      <c r="M351" s="3">
        <f t="shared" si="67"/>
        <v>29545.879230343293</v>
      </c>
      <c r="N351" s="7">
        <f t="shared" si="72"/>
        <v>4903918896</v>
      </c>
      <c r="O351" s="7">
        <f t="shared" si="68"/>
        <v>29545</v>
      </c>
      <c r="P351" s="3">
        <f>SUM($O$4:O351)</f>
        <v>1721153</v>
      </c>
      <c r="Y351" s="3">
        <f t="shared" si="69"/>
        <v>348</v>
      </c>
      <c r="Z351" s="3">
        <f t="shared" si="70"/>
        <v>8231051525</v>
      </c>
      <c r="AA351" s="7"/>
      <c r="AB351" s="7">
        <f t="shared" si="71"/>
        <v>13040</v>
      </c>
    </row>
    <row r="352" spans="6:28" x14ac:dyDescent="0.15">
      <c r="F352">
        <f t="shared" si="61"/>
        <v>50</v>
      </c>
      <c r="G352">
        <v>349</v>
      </c>
      <c r="H352">
        <f t="shared" si="62"/>
        <v>17307949043.595379</v>
      </c>
      <c r="I352">
        <f t="shared" si="63"/>
        <v>17307949044</v>
      </c>
      <c r="J352" s="1">
        <f t="shared" si="64"/>
        <v>1</v>
      </c>
      <c r="K352" s="1">
        <f t="shared" si="65"/>
        <v>17307949044</v>
      </c>
      <c r="L352" s="1">
        <f t="shared" si="66"/>
        <v>4903918895.7999992</v>
      </c>
      <c r="M352" s="3">
        <f t="shared" si="67"/>
        <v>29545.879230343293</v>
      </c>
      <c r="N352" s="7">
        <f t="shared" si="72"/>
        <v>4903918896</v>
      </c>
      <c r="O352" s="7">
        <f t="shared" si="68"/>
        <v>29545</v>
      </c>
      <c r="P352" s="3">
        <f>SUM($O$4:O352)</f>
        <v>1750698</v>
      </c>
      <c r="Y352" s="3">
        <f t="shared" si="69"/>
        <v>349</v>
      </c>
      <c r="Z352" s="3">
        <f t="shared" si="70"/>
        <v>8667439170</v>
      </c>
      <c r="AA352" s="7"/>
      <c r="AB352" s="7">
        <f t="shared" si="71"/>
        <v>13040</v>
      </c>
    </row>
    <row r="353" spans="6:28" x14ac:dyDescent="0.15">
      <c r="F353">
        <f t="shared" si="61"/>
        <v>50</v>
      </c>
      <c r="G353">
        <v>350</v>
      </c>
      <c r="H353">
        <f t="shared" si="62"/>
        <v>17307949043.595379</v>
      </c>
      <c r="I353">
        <f t="shared" si="63"/>
        <v>17307949044</v>
      </c>
      <c r="J353" s="1">
        <f t="shared" si="64"/>
        <v>10</v>
      </c>
      <c r="K353" s="1">
        <f t="shared" si="65"/>
        <v>173079490440</v>
      </c>
      <c r="L353" s="1">
        <f t="shared" si="66"/>
        <v>49039188957.999992</v>
      </c>
      <c r="M353" s="3">
        <f t="shared" si="67"/>
        <v>295458.79230343294</v>
      </c>
      <c r="N353" s="7">
        <f t="shared" si="72"/>
        <v>49039188958</v>
      </c>
      <c r="O353" s="7">
        <f t="shared" si="68"/>
        <v>295458</v>
      </c>
      <c r="P353" s="3">
        <f>SUM($O$4:O353)</f>
        <v>2046156</v>
      </c>
      <c r="Y353" s="3">
        <f t="shared" si="69"/>
        <v>350</v>
      </c>
      <c r="Z353" s="3">
        <f t="shared" si="70"/>
        <v>9126887951</v>
      </c>
      <c r="AA353" s="7"/>
      <c r="AB353" s="7">
        <f t="shared" si="71"/>
        <v>13040</v>
      </c>
    </row>
    <row r="354" spans="6:28" x14ac:dyDescent="0.15">
      <c r="F354">
        <f t="shared" si="61"/>
        <v>51</v>
      </c>
      <c r="G354">
        <v>351</v>
      </c>
      <c r="H354">
        <f t="shared" si="62"/>
        <v>27173479998.444744</v>
      </c>
      <c r="I354">
        <f t="shared" si="63"/>
        <v>27173479998</v>
      </c>
      <c r="J354" s="1">
        <f t="shared" si="64"/>
        <v>1</v>
      </c>
      <c r="K354" s="1">
        <f t="shared" si="65"/>
        <v>27173479998</v>
      </c>
      <c r="L354" s="1">
        <f t="shared" si="66"/>
        <v>7780673106.0940018</v>
      </c>
      <c r="M354" s="3">
        <f t="shared" si="67"/>
        <v>36060.143986275296</v>
      </c>
      <c r="N354" s="7">
        <f t="shared" si="72"/>
        <v>7780673106</v>
      </c>
      <c r="O354" s="7">
        <f t="shared" si="68"/>
        <v>36060</v>
      </c>
      <c r="P354" s="3">
        <f>SUM($O$4:O354)</f>
        <v>2082216</v>
      </c>
      <c r="Y354" s="3">
        <f t="shared" si="69"/>
        <v>351</v>
      </c>
      <c r="Z354" s="3">
        <f t="shared" si="70"/>
        <v>9610613013</v>
      </c>
      <c r="AA354" s="7"/>
      <c r="AB354" s="7">
        <f t="shared" si="71"/>
        <v>13040</v>
      </c>
    </row>
    <row r="355" spans="6:28" x14ac:dyDescent="0.15">
      <c r="F355">
        <f t="shared" si="61"/>
        <v>51</v>
      </c>
      <c r="G355">
        <v>352</v>
      </c>
      <c r="H355">
        <f t="shared" si="62"/>
        <v>27173479998.444744</v>
      </c>
      <c r="I355">
        <f t="shared" si="63"/>
        <v>27173479998</v>
      </c>
      <c r="J355" s="1">
        <f t="shared" si="64"/>
        <v>1</v>
      </c>
      <c r="K355" s="1">
        <f t="shared" si="65"/>
        <v>27173479998</v>
      </c>
      <c r="L355" s="1">
        <f t="shared" si="66"/>
        <v>7780673106.0940018</v>
      </c>
      <c r="M355" s="3">
        <f t="shared" si="67"/>
        <v>36060.143986275296</v>
      </c>
      <c r="N355" s="7">
        <f t="shared" si="72"/>
        <v>7780673106</v>
      </c>
      <c r="O355" s="7">
        <f t="shared" si="68"/>
        <v>36060</v>
      </c>
      <c r="P355" s="3">
        <f>SUM($O$4:O355)</f>
        <v>2118276</v>
      </c>
      <c r="Y355" s="3">
        <f t="shared" si="69"/>
        <v>352</v>
      </c>
      <c r="Z355" s="3">
        <f t="shared" si="70"/>
        <v>10119893360</v>
      </c>
      <c r="AA355" s="7"/>
      <c r="AB355" s="7">
        <f t="shared" si="71"/>
        <v>13040</v>
      </c>
    </row>
    <row r="356" spans="6:28" x14ac:dyDescent="0.15">
      <c r="F356">
        <f t="shared" si="61"/>
        <v>51</v>
      </c>
      <c r="G356">
        <v>353</v>
      </c>
      <c r="H356">
        <f t="shared" si="62"/>
        <v>27173479998.444744</v>
      </c>
      <c r="I356">
        <f t="shared" si="63"/>
        <v>27173479998</v>
      </c>
      <c r="J356" s="1">
        <f t="shared" si="64"/>
        <v>1</v>
      </c>
      <c r="K356" s="1">
        <f t="shared" si="65"/>
        <v>27173479998</v>
      </c>
      <c r="L356" s="1">
        <f t="shared" si="66"/>
        <v>7780673106.0940018</v>
      </c>
      <c r="M356" s="3">
        <f t="shared" si="67"/>
        <v>36060.143986275296</v>
      </c>
      <c r="N356" s="7">
        <f t="shared" si="72"/>
        <v>7780673106</v>
      </c>
      <c r="O356" s="7">
        <f t="shared" si="68"/>
        <v>36060</v>
      </c>
      <c r="P356" s="3">
        <f>SUM($O$4:O356)</f>
        <v>2154336</v>
      </c>
      <c r="Y356" s="3">
        <f t="shared" si="69"/>
        <v>353</v>
      </c>
      <c r="Z356" s="3">
        <f t="shared" si="70"/>
        <v>10656075210</v>
      </c>
      <c r="AA356" s="7"/>
      <c r="AB356" s="7">
        <f t="shared" si="71"/>
        <v>13040</v>
      </c>
    </row>
    <row r="357" spans="6:28" x14ac:dyDescent="0.15">
      <c r="F357">
        <f t="shared" si="61"/>
        <v>51</v>
      </c>
      <c r="G357">
        <v>354</v>
      </c>
      <c r="H357">
        <f t="shared" si="62"/>
        <v>27173479998.444744</v>
      </c>
      <c r="I357">
        <f t="shared" si="63"/>
        <v>27173479998</v>
      </c>
      <c r="J357" s="1">
        <f t="shared" si="64"/>
        <v>1</v>
      </c>
      <c r="K357" s="1">
        <f t="shared" si="65"/>
        <v>27173479998</v>
      </c>
      <c r="L357" s="1">
        <f t="shared" si="66"/>
        <v>7780673106.0940018</v>
      </c>
      <c r="M357" s="3">
        <f t="shared" si="67"/>
        <v>36060.143986275296</v>
      </c>
      <c r="N357" s="7">
        <f t="shared" si="72"/>
        <v>7780673106</v>
      </c>
      <c r="O357" s="7">
        <f t="shared" si="68"/>
        <v>36060</v>
      </c>
      <c r="P357" s="3">
        <f>SUM($O$4:O357)</f>
        <v>2190396</v>
      </c>
      <c r="Y357" s="3">
        <f t="shared" si="69"/>
        <v>354</v>
      </c>
      <c r="Z357" s="3">
        <f t="shared" si="70"/>
        <v>11220575512</v>
      </c>
      <c r="AA357" s="7"/>
      <c r="AB357" s="7">
        <f t="shared" si="71"/>
        <v>13040</v>
      </c>
    </row>
    <row r="358" spans="6:28" x14ac:dyDescent="0.15">
      <c r="F358">
        <f t="shared" si="61"/>
        <v>51</v>
      </c>
      <c r="G358">
        <v>355</v>
      </c>
      <c r="H358">
        <f t="shared" si="62"/>
        <v>27173479998.444744</v>
      </c>
      <c r="I358">
        <f t="shared" si="63"/>
        <v>27173479998</v>
      </c>
      <c r="J358" s="1">
        <f t="shared" si="64"/>
        <v>1</v>
      </c>
      <c r="K358" s="1">
        <f t="shared" si="65"/>
        <v>27173479998</v>
      </c>
      <c r="L358" s="1">
        <f t="shared" si="66"/>
        <v>7780673106.0940018</v>
      </c>
      <c r="M358" s="3">
        <f t="shared" si="67"/>
        <v>36060.143986275296</v>
      </c>
      <c r="N358" s="7">
        <f t="shared" si="72"/>
        <v>7780673106</v>
      </c>
      <c r="O358" s="7">
        <f t="shared" si="68"/>
        <v>36060</v>
      </c>
      <c r="P358" s="3">
        <f>SUM($O$4:O358)</f>
        <v>2226456</v>
      </c>
      <c r="Y358" s="3">
        <f t="shared" si="69"/>
        <v>355</v>
      </c>
      <c r="Z358" s="3">
        <f t="shared" si="70"/>
        <v>11814885655</v>
      </c>
      <c r="AA358" s="7"/>
      <c r="AB358" s="7">
        <f t="shared" si="71"/>
        <v>13040</v>
      </c>
    </row>
    <row r="359" spans="6:28" x14ac:dyDescent="0.15">
      <c r="F359">
        <f t="shared" si="61"/>
        <v>51</v>
      </c>
      <c r="G359">
        <v>356</v>
      </c>
      <c r="H359">
        <f t="shared" si="62"/>
        <v>27173479998.444744</v>
      </c>
      <c r="I359">
        <f t="shared" si="63"/>
        <v>27173479998</v>
      </c>
      <c r="J359" s="1">
        <f t="shared" si="64"/>
        <v>1</v>
      </c>
      <c r="K359" s="1">
        <f t="shared" si="65"/>
        <v>27173479998</v>
      </c>
      <c r="L359" s="1">
        <f t="shared" si="66"/>
        <v>7780673106.0940018</v>
      </c>
      <c r="M359" s="3">
        <f t="shared" si="67"/>
        <v>36060.143986275296</v>
      </c>
      <c r="N359" s="7">
        <f t="shared" si="72"/>
        <v>7780673106</v>
      </c>
      <c r="O359" s="7">
        <f t="shared" si="68"/>
        <v>36060</v>
      </c>
      <c r="P359" s="3">
        <f>SUM($O$4:O359)</f>
        <v>2262516</v>
      </c>
      <c r="Y359" s="3">
        <f t="shared" si="69"/>
        <v>356</v>
      </c>
      <c r="Z359" s="3">
        <f t="shared" si="70"/>
        <v>12440575375</v>
      </c>
      <c r="AA359" s="7"/>
      <c r="AB359" s="7">
        <f t="shared" si="71"/>
        <v>13040</v>
      </c>
    </row>
    <row r="360" spans="6:28" x14ac:dyDescent="0.15">
      <c r="F360">
        <f t="shared" si="61"/>
        <v>51</v>
      </c>
      <c r="G360">
        <v>357</v>
      </c>
      <c r="H360">
        <f t="shared" si="62"/>
        <v>27173479998.444744</v>
      </c>
      <c r="I360">
        <f t="shared" si="63"/>
        <v>27173479998</v>
      </c>
      <c r="J360" s="1">
        <f t="shared" si="64"/>
        <v>2</v>
      </c>
      <c r="K360" s="1">
        <f t="shared" si="65"/>
        <v>54346959996</v>
      </c>
      <c r="L360" s="1">
        <f t="shared" si="66"/>
        <v>15561346212.188004</v>
      </c>
      <c r="M360" s="3">
        <f t="shared" si="67"/>
        <v>72120.287972550592</v>
      </c>
      <c r="N360" s="7">
        <f t="shared" si="72"/>
        <v>15561346212</v>
      </c>
      <c r="O360" s="7">
        <f t="shared" si="68"/>
        <v>72120</v>
      </c>
      <c r="P360" s="3">
        <f>SUM($O$4:O360)</f>
        <v>2334636</v>
      </c>
      <c r="Y360" s="3">
        <f t="shared" si="69"/>
        <v>357</v>
      </c>
      <c r="Z360" s="3">
        <f t="shared" si="70"/>
        <v>13099296852</v>
      </c>
      <c r="AA360" s="7"/>
      <c r="AB360" s="7">
        <f t="shared" si="71"/>
        <v>13040</v>
      </c>
    </row>
    <row r="361" spans="6:28" x14ac:dyDescent="0.15">
      <c r="F361">
        <f t="shared" si="61"/>
        <v>52</v>
      </c>
      <c r="G361">
        <v>358</v>
      </c>
      <c r="H361">
        <f t="shared" si="62"/>
        <v>42662363597.55825</v>
      </c>
      <c r="I361">
        <f t="shared" si="63"/>
        <v>42662363598</v>
      </c>
      <c r="J361" s="1">
        <f t="shared" si="64"/>
        <v>1</v>
      </c>
      <c r="K361" s="1">
        <f t="shared" si="65"/>
        <v>42662363598</v>
      </c>
      <c r="L361" s="1">
        <f t="shared" si="66"/>
        <v>12343643867.688002</v>
      </c>
      <c r="M361" s="3">
        <f t="shared" si="67"/>
        <v>44005.840261529193</v>
      </c>
      <c r="N361" s="7">
        <f t="shared" si="72"/>
        <v>12343643868</v>
      </c>
      <c r="O361" s="7">
        <f t="shared" si="68"/>
        <v>44005</v>
      </c>
      <c r="P361" s="3">
        <f>SUM($O$4:O361)</f>
        <v>2378641</v>
      </c>
      <c r="Y361" s="3">
        <f t="shared" si="69"/>
        <v>358</v>
      </c>
      <c r="Z361" s="3">
        <f t="shared" si="70"/>
        <v>13792789038</v>
      </c>
      <c r="AA361" s="7"/>
      <c r="AB361" s="7">
        <f t="shared" si="71"/>
        <v>13040</v>
      </c>
    </row>
    <row r="362" spans="6:28" x14ac:dyDescent="0.15">
      <c r="F362">
        <f t="shared" si="61"/>
        <v>52</v>
      </c>
      <c r="G362">
        <v>359</v>
      </c>
      <c r="H362">
        <f t="shared" si="62"/>
        <v>42662363597.55825</v>
      </c>
      <c r="I362">
        <f t="shared" si="63"/>
        <v>42662363598</v>
      </c>
      <c r="J362" s="1">
        <f t="shared" si="64"/>
        <v>1</v>
      </c>
      <c r="K362" s="1">
        <f t="shared" si="65"/>
        <v>42662363598</v>
      </c>
      <c r="L362" s="1">
        <f t="shared" si="66"/>
        <v>12343643867.688002</v>
      </c>
      <c r="M362" s="3">
        <f t="shared" si="67"/>
        <v>44005.840261529193</v>
      </c>
      <c r="N362" s="7">
        <f t="shared" si="72"/>
        <v>12343643868</v>
      </c>
      <c r="O362" s="7">
        <f t="shared" si="68"/>
        <v>44005</v>
      </c>
      <c r="P362" s="3">
        <f>SUM($O$4:O362)</f>
        <v>2422646</v>
      </c>
      <c r="Y362" s="3">
        <f t="shared" si="69"/>
        <v>359</v>
      </c>
      <c r="Z362" s="3">
        <f t="shared" si="70"/>
        <v>14522882201</v>
      </c>
      <c r="AA362" s="7"/>
      <c r="AB362" s="7">
        <f t="shared" si="71"/>
        <v>13040</v>
      </c>
    </row>
    <row r="363" spans="6:28" x14ac:dyDescent="0.15">
      <c r="F363">
        <f t="shared" si="61"/>
        <v>52</v>
      </c>
      <c r="G363">
        <v>360</v>
      </c>
      <c r="H363">
        <f t="shared" si="62"/>
        <v>42662363597.55825</v>
      </c>
      <c r="I363">
        <f t="shared" si="63"/>
        <v>42662363598</v>
      </c>
      <c r="J363" s="1">
        <f t="shared" si="64"/>
        <v>1</v>
      </c>
      <c r="K363" s="1">
        <f t="shared" si="65"/>
        <v>42662363598</v>
      </c>
      <c r="L363" s="1">
        <f t="shared" si="66"/>
        <v>12343643867.688002</v>
      </c>
      <c r="M363" s="3">
        <f t="shared" si="67"/>
        <v>44005.840261529193</v>
      </c>
      <c r="N363" s="7">
        <f t="shared" si="72"/>
        <v>12343643868</v>
      </c>
      <c r="O363" s="7">
        <f t="shared" si="68"/>
        <v>44005</v>
      </c>
      <c r="P363" s="3">
        <f>SUM($O$4:O363)</f>
        <v>2466651</v>
      </c>
      <c r="Y363" s="3">
        <f t="shared" si="69"/>
        <v>360</v>
      </c>
      <c r="Z363" s="3">
        <f t="shared" si="70"/>
        <v>15291502707</v>
      </c>
      <c r="AA363" s="7"/>
      <c r="AB363" s="7">
        <f t="shared" si="71"/>
        <v>13040</v>
      </c>
    </row>
    <row r="364" spans="6:28" x14ac:dyDescent="0.15">
      <c r="F364">
        <f t="shared" si="61"/>
        <v>52</v>
      </c>
      <c r="G364">
        <v>361</v>
      </c>
      <c r="H364">
        <f t="shared" si="62"/>
        <v>42662363597.55825</v>
      </c>
      <c r="I364">
        <f t="shared" si="63"/>
        <v>42662363598</v>
      </c>
      <c r="J364" s="1">
        <f t="shared" si="64"/>
        <v>1</v>
      </c>
      <c r="K364" s="1">
        <f t="shared" si="65"/>
        <v>42662363598</v>
      </c>
      <c r="L364" s="1">
        <f t="shared" si="66"/>
        <v>12343643867.688002</v>
      </c>
      <c r="M364" s="3">
        <f t="shared" si="67"/>
        <v>44005.840261529193</v>
      </c>
      <c r="N364" s="7">
        <f t="shared" si="72"/>
        <v>12343643868</v>
      </c>
      <c r="O364" s="7">
        <f t="shared" si="68"/>
        <v>44005</v>
      </c>
      <c r="P364" s="3">
        <f>SUM($O$4:O364)</f>
        <v>2510656</v>
      </c>
      <c r="Y364" s="3">
        <f t="shared" si="69"/>
        <v>361</v>
      </c>
      <c r="Z364" s="3">
        <f t="shared" si="70"/>
        <v>16100678059</v>
      </c>
      <c r="AA364" s="7"/>
      <c r="AB364" s="7">
        <f t="shared" si="71"/>
        <v>13040</v>
      </c>
    </row>
    <row r="365" spans="6:28" x14ac:dyDescent="0.15">
      <c r="F365">
        <f t="shared" si="61"/>
        <v>52</v>
      </c>
      <c r="G365">
        <v>362</v>
      </c>
      <c r="H365">
        <f t="shared" si="62"/>
        <v>42662363597.55825</v>
      </c>
      <c r="I365">
        <f t="shared" si="63"/>
        <v>42662363598</v>
      </c>
      <c r="J365" s="1">
        <f t="shared" si="64"/>
        <v>1</v>
      </c>
      <c r="K365" s="1">
        <f t="shared" si="65"/>
        <v>42662363598</v>
      </c>
      <c r="L365" s="1">
        <f t="shared" si="66"/>
        <v>12343643867.688002</v>
      </c>
      <c r="M365" s="3">
        <f t="shared" si="67"/>
        <v>44005.840261529193</v>
      </c>
      <c r="N365" s="7">
        <f t="shared" si="72"/>
        <v>12343643868</v>
      </c>
      <c r="O365" s="7">
        <f t="shared" si="68"/>
        <v>44005</v>
      </c>
      <c r="P365" s="3">
        <f>SUM($O$4:O365)</f>
        <v>2554661</v>
      </c>
      <c r="Y365" s="3">
        <f t="shared" si="69"/>
        <v>362</v>
      </c>
      <c r="Z365" s="3">
        <f t="shared" si="70"/>
        <v>16952542189</v>
      </c>
      <c r="AA365" s="7"/>
      <c r="AB365" s="7">
        <f t="shared" si="71"/>
        <v>13040</v>
      </c>
    </row>
    <row r="366" spans="6:28" x14ac:dyDescent="0.15">
      <c r="F366">
        <f t="shared" si="61"/>
        <v>52</v>
      </c>
      <c r="G366">
        <v>363</v>
      </c>
      <c r="H366">
        <f t="shared" si="62"/>
        <v>42662363597.55825</v>
      </c>
      <c r="I366">
        <f t="shared" si="63"/>
        <v>42662363598</v>
      </c>
      <c r="J366" s="1">
        <f t="shared" si="64"/>
        <v>1</v>
      </c>
      <c r="K366" s="1">
        <f t="shared" si="65"/>
        <v>42662363598</v>
      </c>
      <c r="L366" s="1">
        <f t="shared" si="66"/>
        <v>12343643867.688002</v>
      </c>
      <c r="M366" s="3">
        <f t="shared" si="67"/>
        <v>44005.840261529193</v>
      </c>
      <c r="N366" s="7">
        <f t="shared" si="72"/>
        <v>12343643868</v>
      </c>
      <c r="O366" s="7">
        <f t="shared" si="68"/>
        <v>44005</v>
      </c>
      <c r="P366" s="3">
        <f>SUM($O$4:O366)</f>
        <v>2598666</v>
      </c>
      <c r="Y366" s="3">
        <f t="shared" si="69"/>
        <v>363</v>
      </c>
      <c r="Z366" s="3">
        <f t="shared" si="70"/>
        <v>17849341037</v>
      </c>
      <c r="AA366" s="7"/>
      <c r="AB366" s="7">
        <f t="shared" si="71"/>
        <v>13040</v>
      </c>
    </row>
    <row r="367" spans="6:28" x14ac:dyDescent="0.15">
      <c r="F367">
        <f t="shared" si="61"/>
        <v>52</v>
      </c>
      <c r="G367">
        <v>364</v>
      </c>
      <c r="H367">
        <f t="shared" si="62"/>
        <v>42662363597.55825</v>
      </c>
      <c r="I367">
        <f t="shared" si="63"/>
        <v>42662363598</v>
      </c>
      <c r="J367" s="1">
        <f t="shared" si="64"/>
        <v>4</v>
      </c>
      <c r="K367" s="1">
        <f t="shared" si="65"/>
        <v>170649454392</v>
      </c>
      <c r="L367" s="1">
        <f t="shared" si="66"/>
        <v>49374575470.752007</v>
      </c>
      <c r="M367" s="3">
        <f t="shared" si="67"/>
        <v>176023.36104611677</v>
      </c>
      <c r="N367" s="7">
        <f t="shared" si="72"/>
        <v>49374575471</v>
      </c>
      <c r="O367" s="7">
        <f t="shared" si="68"/>
        <v>176023</v>
      </c>
      <c r="P367" s="3">
        <f>SUM($O$4:O367)</f>
        <v>2774689</v>
      </c>
      <c r="Y367" s="3">
        <f t="shared" si="69"/>
        <v>364</v>
      </c>
      <c r="Z367" s="3">
        <f t="shared" si="70"/>
        <v>18793438414</v>
      </c>
      <c r="AA367" s="7"/>
      <c r="AB367" s="7">
        <f t="shared" si="71"/>
        <v>13040</v>
      </c>
    </row>
    <row r="368" spans="6:28" x14ac:dyDescent="0.15">
      <c r="F368">
        <f t="shared" si="61"/>
        <v>53</v>
      </c>
      <c r="G368">
        <v>365</v>
      </c>
      <c r="H368">
        <f t="shared" si="62"/>
        <v>66979910848.166443</v>
      </c>
      <c r="I368">
        <f t="shared" si="63"/>
        <v>66979910848</v>
      </c>
      <c r="J368" s="1">
        <f t="shared" si="64"/>
        <v>1</v>
      </c>
      <c r="K368" s="1">
        <f t="shared" si="65"/>
        <v>66979910848</v>
      </c>
      <c r="L368" s="1">
        <f t="shared" si="66"/>
        <v>19580460604.565334</v>
      </c>
      <c r="M368" s="3">
        <f t="shared" si="67"/>
        <v>53696.562740977446</v>
      </c>
      <c r="N368" s="7">
        <f t="shared" si="72"/>
        <v>19580460605</v>
      </c>
      <c r="O368" s="7">
        <f t="shared" si="68"/>
        <v>53696</v>
      </c>
      <c r="P368" s="3">
        <f>SUM($O$4:O368)</f>
        <v>2828385</v>
      </c>
      <c r="Y368" s="3">
        <f t="shared" si="69"/>
        <v>365</v>
      </c>
      <c r="Z368" s="3">
        <f t="shared" si="70"/>
        <v>19787322176</v>
      </c>
      <c r="AA368" s="7"/>
      <c r="AB368" s="7">
        <f t="shared" si="71"/>
        <v>13040</v>
      </c>
    </row>
    <row r="369" spans="6:28" x14ac:dyDescent="0.15">
      <c r="F369">
        <f t="shared" si="61"/>
        <v>53</v>
      </c>
      <c r="G369">
        <v>366</v>
      </c>
      <c r="H369">
        <f t="shared" si="62"/>
        <v>66979910848.166443</v>
      </c>
      <c r="I369">
        <f t="shared" si="63"/>
        <v>66979910848</v>
      </c>
      <c r="J369" s="1">
        <f t="shared" si="64"/>
        <v>1</v>
      </c>
      <c r="K369" s="1">
        <f t="shared" si="65"/>
        <v>66979910848</v>
      </c>
      <c r="L369" s="1">
        <f t="shared" si="66"/>
        <v>19580460604.565334</v>
      </c>
      <c r="M369" s="3">
        <f t="shared" si="67"/>
        <v>53696.562740977446</v>
      </c>
      <c r="N369" s="7">
        <f t="shared" si="72"/>
        <v>19580460605</v>
      </c>
      <c r="O369" s="7">
        <f t="shared" si="68"/>
        <v>53696</v>
      </c>
      <c r="P369" s="3">
        <f>SUM($O$4:O369)</f>
        <v>2882081</v>
      </c>
      <c r="Y369" s="3">
        <f t="shared" si="69"/>
        <v>366</v>
      </c>
      <c r="Z369" s="3">
        <f t="shared" si="70"/>
        <v>20833610718</v>
      </c>
      <c r="AA369" s="7"/>
      <c r="AB369" s="7">
        <f t="shared" si="71"/>
        <v>13040</v>
      </c>
    </row>
    <row r="370" spans="6:28" x14ac:dyDescent="0.15">
      <c r="F370">
        <f t="shared" si="61"/>
        <v>53</v>
      </c>
      <c r="G370">
        <v>367</v>
      </c>
      <c r="H370">
        <f t="shared" si="62"/>
        <v>66979910848.166443</v>
      </c>
      <c r="I370">
        <f t="shared" si="63"/>
        <v>66979910848</v>
      </c>
      <c r="J370" s="1">
        <f t="shared" si="64"/>
        <v>1</v>
      </c>
      <c r="K370" s="1">
        <f t="shared" si="65"/>
        <v>66979910848</v>
      </c>
      <c r="L370" s="1">
        <f t="shared" si="66"/>
        <v>19580460604.565334</v>
      </c>
      <c r="M370" s="3">
        <f t="shared" si="67"/>
        <v>53696.562740977446</v>
      </c>
      <c r="N370" s="7">
        <f t="shared" si="72"/>
        <v>19580460605</v>
      </c>
      <c r="O370" s="7">
        <f t="shared" si="68"/>
        <v>53696</v>
      </c>
      <c r="P370" s="3">
        <f>SUM($O$4:O370)</f>
        <v>2935777</v>
      </c>
      <c r="Y370" s="3">
        <f t="shared" si="69"/>
        <v>367</v>
      </c>
      <c r="Z370" s="3">
        <f t="shared" si="70"/>
        <v>21935059810</v>
      </c>
      <c r="AA370" s="7"/>
      <c r="AB370" s="7">
        <f t="shared" si="71"/>
        <v>13040</v>
      </c>
    </row>
    <row r="371" spans="6:28" x14ac:dyDescent="0.15">
      <c r="F371">
        <f t="shared" si="61"/>
        <v>53</v>
      </c>
      <c r="G371">
        <v>368</v>
      </c>
      <c r="H371">
        <f t="shared" si="62"/>
        <v>66979910848.166443</v>
      </c>
      <c r="I371">
        <f t="shared" si="63"/>
        <v>66979910848</v>
      </c>
      <c r="J371" s="1">
        <f t="shared" si="64"/>
        <v>1</v>
      </c>
      <c r="K371" s="1">
        <f t="shared" si="65"/>
        <v>66979910848</v>
      </c>
      <c r="L371" s="1">
        <f t="shared" si="66"/>
        <v>19580460604.565334</v>
      </c>
      <c r="M371" s="3">
        <f t="shared" si="67"/>
        <v>53696.562740977446</v>
      </c>
      <c r="N371" s="7">
        <f t="shared" si="72"/>
        <v>19580460605</v>
      </c>
      <c r="O371" s="7">
        <f t="shared" si="68"/>
        <v>53696</v>
      </c>
      <c r="P371" s="3">
        <f>SUM($O$4:O371)</f>
        <v>2989473</v>
      </c>
      <c r="Y371" s="3">
        <f t="shared" si="69"/>
        <v>368</v>
      </c>
      <c r="Z371" s="3">
        <f t="shared" si="70"/>
        <v>23094569783</v>
      </c>
      <c r="AA371" s="7"/>
      <c r="AB371" s="7">
        <f t="shared" si="71"/>
        <v>13040</v>
      </c>
    </row>
    <row r="372" spans="6:28" x14ac:dyDescent="0.15">
      <c r="F372">
        <f t="shared" si="61"/>
        <v>53</v>
      </c>
      <c r="G372">
        <v>369</v>
      </c>
      <c r="H372">
        <f t="shared" si="62"/>
        <v>66979910848.166443</v>
      </c>
      <c r="I372">
        <f t="shared" si="63"/>
        <v>66979910848</v>
      </c>
      <c r="J372" s="1">
        <f t="shared" si="64"/>
        <v>1</v>
      </c>
      <c r="K372" s="1">
        <f t="shared" si="65"/>
        <v>66979910848</v>
      </c>
      <c r="L372" s="1">
        <f t="shared" si="66"/>
        <v>19580460604.565334</v>
      </c>
      <c r="M372" s="3">
        <f t="shared" si="67"/>
        <v>53696.562740977446</v>
      </c>
      <c r="N372" s="7">
        <f t="shared" si="72"/>
        <v>19580460605</v>
      </c>
      <c r="O372" s="7">
        <f t="shared" si="68"/>
        <v>53696</v>
      </c>
      <c r="P372" s="3">
        <f>SUM($O$4:O372)</f>
        <v>3043169</v>
      </c>
      <c r="Y372" s="3">
        <f t="shared" si="69"/>
        <v>369</v>
      </c>
      <c r="Z372" s="3">
        <f t="shared" si="70"/>
        <v>24315193105</v>
      </c>
      <c r="AA372" s="7"/>
      <c r="AB372" s="7">
        <f t="shared" si="71"/>
        <v>13040</v>
      </c>
    </row>
    <row r="373" spans="6:28" x14ac:dyDescent="0.15">
      <c r="F373">
        <f t="shared" si="61"/>
        <v>53</v>
      </c>
      <c r="G373">
        <v>370</v>
      </c>
      <c r="H373">
        <f t="shared" si="62"/>
        <v>66979910848.166443</v>
      </c>
      <c r="I373">
        <f t="shared" si="63"/>
        <v>66979910848</v>
      </c>
      <c r="J373" s="1">
        <f t="shared" si="64"/>
        <v>1</v>
      </c>
      <c r="K373" s="1">
        <f t="shared" si="65"/>
        <v>66979910848</v>
      </c>
      <c r="L373" s="1">
        <f t="shared" si="66"/>
        <v>19580460604.565334</v>
      </c>
      <c r="M373" s="3">
        <f t="shared" si="67"/>
        <v>53696.562740977446</v>
      </c>
      <c r="N373" s="7">
        <f t="shared" si="72"/>
        <v>19580460605</v>
      </c>
      <c r="O373" s="7">
        <f t="shared" si="68"/>
        <v>53696</v>
      </c>
      <c r="P373" s="3">
        <f>SUM($O$4:O373)</f>
        <v>3096865</v>
      </c>
      <c r="Y373" s="3">
        <f t="shared" si="69"/>
        <v>370</v>
      </c>
      <c r="Z373" s="3">
        <f t="shared" si="70"/>
        <v>25600142334</v>
      </c>
      <c r="AA373" s="7"/>
      <c r="AB373" s="7">
        <f t="shared" si="71"/>
        <v>13040</v>
      </c>
    </row>
    <row r="374" spans="6:28" x14ac:dyDescent="0.15">
      <c r="F374">
        <f t="shared" si="61"/>
        <v>53</v>
      </c>
      <c r="G374">
        <v>371</v>
      </c>
      <c r="H374">
        <f t="shared" si="62"/>
        <v>66979910848.166443</v>
      </c>
      <c r="I374">
        <f t="shared" si="63"/>
        <v>66979910848</v>
      </c>
      <c r="J374" s="1">
        <f t="shared" si="64"/>
        <v>6</v>
      </c>
      <c r="K374" s="1">
        <f t="shared" si="65"/>
        <v>401879465088</v>
      </c>
      <c r="L374" s="1">
        <f t="shared" si="66"/>
        <v>117482763627.392</v>
      </c>
      <c r="M374" s="3">
        <f t="shared" si="67"/>
        <v>322179.37644586468</v>
      </c>
      <c r="N374" s="7">
        <f t="shared" si="72"/>
        <v>117482763627</v>
      </c>
      <c r="O374" s="7">
        <f t="shared" si="68"/>
        <v>322179</v>
      </c>
      <c r="P374" s="3">
        <f>SUM($O$4:O374)</f>
        <v>3419044</v>
      </c>
      <c r="Y374" s="3">
        <f t="shared" si="69"/>
        <v>371</v>
      </c>
      <c r="Z374" s="3">
        <f t="shared" si="70"/>
        <v>26952798503</v>
      </c>
      <c r="AA374" s="7"/>
      <c r="AB374" s="7">
        <f t="shared" si="71"/>
        <v>13040</v>
      </c>
    </row>
    <row r="375" spans="6:28" x14ac:dyDescent="0.15">
      <c r="F375">
        <f t="shared" si="61"/>
        <v>54</v>
      </c>
      <c r="G375">
        <v>372</v>
      </c>
      <c r="H375">
        <f t="shared" si="62"/>
        <v>105158460031.62132</v>
      </c>
      <c r="I375">
        <f t="shared" si="63"/>
        <v>105158460032</v>
      </c>
      <c r="J375" s="1">
        <f t="shared" si="64"/>
        <v>1</v>
      </c>
      <c r="K375" s="1">
        <f t="shared" si="65"/>
        <v>105158460032</v>
      </c>
      <c r="L375" s="1">
        <f t="shared" si="66"/>
        <v>31056798529.450665</v>
      </c>
      <c r="M375" s="3">
        <f t="shared" si="67"/>
        <v>65514.422159818452</v>
      </c>
      <c r="N375" s="7">
        <f t="shared" si="72"/>
        <v>31056798529</v>
      </c>
      <c r="O375" s="7">
        <f t="shared" si="68"/>
        <v>65514</v>
      </c>
      <c r="P375" s="3">
        <f>SUM($O$4:O375)</f>
        <v>3484558</v>
      </c>
      <c r="Y375" s="3">
        <f t="shared" si="69"/>
        <v>372</v>
      </c>
      <c r="Z375" s="3">
        <f t="shared" si="70"/>
        <v>28376719933</v>
      </c>
      <c r="AA375" s="7"/>
      <c r="AB375" s="7">
        <f t="shared" si="71"/>
        <v>13040</v>
      </c>
    </row>
    <row r="376" spans="6:28" x14ac:dyDescent="0.15">
      <c r="F376">
        <f t="shared" si="61"/>
        <v>54</v>
      </c>
      <c r="G376">
        <v>373</v>
      </c>
      <c r="H376">
        <f t="shared" si="62"/>
        <v>105158460031.62132</v>
      </c>
      <c r="I376">
        <f t="shared" si="63"/>
        <v>105158460032</v>
      </c>
      <c r="J376" s="1">
        <f t="shared" si="64"/>
        <v>1</v>
      </c>
      <c r="K376" s="1">
        <f t="shared" si="65"/>
        <v>105158460032</v>
      </c>
      <c r="L376" s="1">
        <f t="shared" si="66"/>
        <v>31056798529.450665</v>
      </c>
      <c r="M376" s="3">
        <f t="shared" si="67"/>
        <v>65514.422159818452</v>
      </c>
      <c r="N376" s="7">
        <f t="shared" si="72"/>
        <v>31056798529</v>
      </c>
      <c r="O376" s="7">
        <f t="shared" si="68"/>
        <v>65514</v>
      </c>
      <c r="P376" s="3">
        <f>SUM($O$4:O376)</f>
        <v>3550072</v>
      </c>
      <c r="Y376" s="3">
        <f t="shared" si="69"/>
        <v>373</v>
      </c>
      <c r="Z376" s="3">
        <f t="shared" si="70"/>
        <v>29875651510</v>
      </c>
      <c r="AA376" s="7"/>
      <c r="AB376" s="7">
        <f t="shared" si="71"/>
        <v>13040</v>
      </c>
    </row>
    <row r="377" spans="6:28" x14ac:dyDescent="0.15">
      <c r="F377">
        <f t="shared" si="61"/>
        <v>54</v>
      </c>
      <c r="G377">
        <v>374</v>
      </c>
      <c r="H377">
        <f t="shared" si="62"/>
        <v>105158460031.62132</v>
      </c>
      <c r="I377">
        <f t="shared" si="63"/>
        <v>105158460032</v>
      </c>
      <c r="J377" s="1">
        <f t="shared" si="64"/>
        <v>1</v>
      </c>
      <c r="K377" s="1">
        <f t="shared" si="65"/>
        <v>105158460032</v>
      </c>
      <c r="L377" s="1">
        <f t="shared" si="66"/>
        <v>31056798529.450665</v>
      </c>
      <c r="M377" s="3">
        <f t="shared" si="67"/>
        <v>65514.422159818452</v>
      </c>
      <c r="N377" s="7">
        <f t="shared" si="72"/>
        <v>31056798529</v>
      </c>
      <c r="O377" s="7">
        <f t="shared" si="68"/>
        <v>65514</v>
      </c>
      <c r="P377" s="3">
        <f>SUM($O$4:O377)</f>
        <v>3615586</v>
      </c>
      <c r="Y377" s="3">
        <f t="shared" si="69"/>
        <v>374</v>
      </c>
      <c r="Z377" s="3">
        <f t="shared" si="70"/>
        <v>31453534445</v>
      </c>
      <c r="AA377" s="7"/>
      <c r="AB377" s="7">
        <f t="shared" si="71"/>
        <v>13040</v>
      </c>
    </row>
    <row r="378" spans="6:28" x14ac:dyDescent="0.15">
      <c r="F378">
        <f t="shared" si="61"/>
        <v>54</v>
      </c>
      <c r="G378">
        <v>375</v>
      </c>
      <c r="H378">
        <f t="shared" si="62"/>
        <v>105158460031.62132</v>
      </c>
      <c r="I378">
        <f t="shared" si="63"/>
        <v>105158460032</v>
      </c>
      <c r="J378" s="1">
        <f t="shared" si="64"/>
        <v>1</v>
      </c>
      <c r="K378" s="1">
        <f t="shared" si="65"/>
        <v>105158460032</v>
      </c>
      <c r="L378" s="1">
        <f t="shared" si="66"/>
        <v>31056798529.450665</v>
      </c>
      <c r="M378" s="3">
        <f t="shared" si="67"/>
        <v>65514.422159818452</v>
      </c>
      <c r="N378" s="7">
        <f t="shared" si="72"/>
        <v>31056798529</v>
      </c>
      <c r="O378" s="7">
        <f t="shared" si="68"/>
        <v>65514</v>
      </c>
      <c r="P378" s="3">
        <f>SUM($O$4:O378)</f>
        <v>3681100</v>
      </c>
      <c r="Y378" s="3">
        <f t="shared" si="69"/>
        <v>375</v>
      </c>
      <c r="Z378" s="3">
        <f t="shared" si="70"/>
        <v>33114516545</v>
      </c>
      <c r="AA378" s="7"/>
      <c r="AB378" s="7">
        <f t="shared" si="71"/>
        <v>13040</v>
      </c>
    </row>
    <row r="379" spans="6:28" x14ac:dyDescent="0.15">
      <c r="F379">
        <f t="shared" si="61"/>
        <v>54</v>
      </c>
      <c r="G379">
        <v>376</v>
      </c>
      <c r="H379">
        <f t="shared" si="62"/>
        <v>105158460031.62132</v>
      </c>
      <c r="I379">
        <f t="shared" si="63"/>
        <v>105158460032</v>
      </c>
      <c r="J379" s="1">
        <f t="shared" si="64"/>
        <v>1</v>
      </c>
      <c r="K379" s="1">
        <f t="shared" si="65"/>
        <v>105158460032</v>
      </c>
      <c r="L379" s="1">
        <f t="shared" si="66"/>
        <v>31056798529.450665</v>
      </c>
      <c r="M379" s="3">
        <f t="shared" si="67"/>
        <v>65514.422159818452</v>
      </c>
      <c r="N379" s="7">
        <f t="shared" si="72"/>
        <v>31056798529</v>
      </c>
      <c r="O379" s="7">
        <f t="shared" si="68"/>
        <v>65514</v>
      </c>
      <c r="P379" s="3">
        <f>SUM($O$4:O379)</f>
        <v>3746614</v>
      </c>
      <c r="Y379" s="3">
        <f t="shared" si="69"/>
        <v>376</v>
      </c>
      <c r="Z379" s="3">
        <f t="shared" si="70"/>
        <v>34862963019</v>
      </c>
      <c r="AA379" s="7"/>
      <c r="AB379" s="7">
        <f t="shared" si="71"/>
        <v>13040</v>
      </c>
    </row>
    <row r="380" spans="6:28" x14ac:dyDescent="0.15">
      <c r="F380">
        <f t="shared" si="61"/>
        <v>54</v>
      </c>
      <c r="G380">
        <v>377</v>
      </c>
      <c r="H380">
        <f t="shared" si="62"/>
        <v>105158460031.62132</v>
      </c>
      <c r="I380">
        <f t="shared" si="63"/>
        <v>105158460032</v>
      </c>
      <c r="J380" s="1">
        <f t="shared" si="64"/>
        <v>1</v>
      </c>
      <c r="K380" s="1">
        <f t="shared" si="65"/>
        <v>105158460032</v>
      </c>
      <c r="L380" s="1">
        <f t="shared" si="66"/>
        <v>31056798529.450665</v>
      </c>
      <c r="M380" s="3">
        <f t="shared" si="67"/>
        <v>65514.422159818452</v>
      </c>
      <c r="N380" s="7">
        <f t="shared" si="72"/>
        <v>31056798529</v>
      </c>
      <c r="O380" s="7">
        <f t="shared" si="68"/>
        <v>65514</v>
      </c>
      <c r="P380" s="3">
        <f>SUM($O$4:O380)</f>
        <v>3812128</v>
      </c>
      <c r="Y380" s="3">
        <f t="shared" si="69"/>
        <v>377</v>
      </c>
      <c r="Z380" s="3">
        <f t="shared" si="70"/>
        <v>36703467848</v>
      </c>
      <c r="AA380" s="7"/>
      <c r="AB380" s="7">
        <f t="shared" si="71"/>
        <v>13040</v>
      </c>
    </row>
    <row r="381" spans="6:28" x14ac:dyDescent="0.15">
      <c r="F381">
        <f t="shared" si="61"/>
        <v>54</v>
      </c>
      <c r="G381">
        <v>378</v>
      </c>
      <c r="H381">
        <f t="shared" si="62"/>
        <v>105158460031.62132</v>
      </c>
      <c r="I381">
        <f t="shared" si="63"/>
        <v>105158460032</v>
      </c>
      <c r="J381" s="1">
        <f t="shared" si="64"/>
        <v>7</v>
      </c>
      <c r="K381" s="1">
        <f t="shared" si="65"/>
        <v>736109220224</v>
      </c>
      <c r="L381" s="1">
        <f t="shared" si="66"/>
        <v>217397589706.15466</v>
      </c>
      <c r="M381" s="3">
        <f t="shared" si="67"/>
        <v>458600.95511872915</v>
      </c>
      <c r="N381" s="7">
        <f t="shared" si="72"/>
        <v>217397589706</v>
      </c>
      <c r="O381" s="7">
        <f t="shared" si="68"/>
        <v>458600</v>
      </c>
      <c r="P381" s="3">
        <f>SUM($O$4:O381)</f>
        <v>4270728</v>
      </c>
      <c r="Y381" s="3">
        <f t="shared" si="69"/>
        <v>378</v>
      </c>
      <c r="Z381" s="3">
        <f t="shared" si="70"/>
        <v>38640865753</v>
      </c>
      <c r="AA381" s="7"/>
      <c r="AB381" s="7">
        <f t="shared" si="71"/>
        <v>13040</v>
      </c>
    </row>
    <row r="382" spans="6:28" x14ac:dyDescent="0.15">
      <c r="F382">
        <f t="shared" si="61"/>
        <v>55</v>
      </c>
      <c r="G382">
        <v>379</v>
      </c>
      <c r="H382">
        <f t="shared" si="62"/>
        <v>165098782249.64545</v>
      </c>
      <c r="I382">
        <f t="shared" si="63"/>
        <v>165098782250</v>
      </c>
      <c r="J382" s="1">
        <f t="shared" si="64"/>
        <v>1</v>
      </c>
      <c r="K382" s="1">
        <f t="shared" si="65"/>
        <v>165098782250</v>
      </c>
      <c r="L382" s="1">
        <f t="shared" si="66"/>
        <v>49254470037.916672</v>
      </c>
      <c r="M382" s="3">
        <f t="shared" si="67"/>
        <v>79924.978553338326</v>
      </c>
      <c r="N382" s="7">
        <f t="shared" si="72"/>
        <v>49254470038</v>
      </c>
      <c r="O382" s="7">
        <f t="shared" si="68"/>
        <v>79924</v>
      </c>
      <c r="P382" s="3">
        <f>SUM($O$4:O382)</f>
        <v>4350652</v>
      </c>
      <c r="Y382" s="3">
        <f t="shared" si="69"/>
        <v>379</v>
      </c>
      <c r="Z382" s="3">
        <f t="shared" si="70"/>
        <v>40680244779</v>
      </c>
      <c r="AA382" s="7"/>
      <c r="AB382" s="7">
        <f t="shared" si="71"/>
        <v>13040</v>
      </c>
    </row>
    <row r="383" spans="6:28" x14ac:dyDescent="0.15">
      <c r="F383">
        <f t="shared" si="61"/>
        <v>55</v>
      </c>
      <c r="G383">
        <v>380</v>
      </c>
      <c r="H383">
        <f t="shared" si="62"/>
        <v>165098782249.64545</v>
      </c>
      <c r="I383">
        <f t="shared" si="63"/>
        <v>165098782250</v>
      </c>
      <c r="J383" s="1">
        <f t="shared" si="64"/>
        <v>1</v>
      </c>
      <c r="K383" s="1">
        <f t="shared" si="65"/>
        <v>165098782250</v>
      </c>
      <c r="L383" s="1">
        <f t="shared" si="66"/>
        <v>49254470037.916672</v>
      </c>
      <c r="M383" s="3">
        <f t="shared" si="67"/>
        <v>79924.978553338326</v>
      </c>
      <c r="N383" s="7">
        <f t="shared" si="72"/>
        <v>49254470038</v>
      </c>
      <c r="O383" s="7">
        <f t="shared" si="68"/>
        <v>79924</v>
      </c>
      <c r="P383" s="3">
        <f>SUM($O$4:O383)</f>
        <v>4430576</v>
      </c>
      <c r="Y383" s="3">
        <f t="shared" si="69"/>
        <v>380</v>
      </c>
      <c r="Z383" s="3">
        <f t="shared" si="70"/>
        <v>42826959543</v>
      </c>
      <c r="AA383" s="7"/>
      <c r="AB383" s="7">
        <f t="shared" si="71"/>
        <v>13040</v>
      </c>
    </row>
    <row r="384" spans="6:28" x14ac:dyDescent="0.15">
      <c r="F384">
        <f t="shared" si="61"/>
        <v>55</v>
      </c>
      <c r="G384">
        <v>381</v>
      </c>
      <c r="H384">
        <f t="shared" si="62"/>
        <v>165098782249.64545</v>
      </c>
      <c r="I384">
        <f t="shared" si="63"/>
        <v>165098782250</v>
      </c>
      <c r="J384" s="1">
        <f t="shared" si="64"/>
        <v>1</v>
      </c>
      <c r="K384" s="1">
        <f t="shared" si="65"/>
        <v>165098782250</v>
      </c>
      <c r="L384" s="1">
        <f t="shared" si="66"/>
        <v>49254470037.916672</v>
      </c>
      <c r="M384" s="3">
        <f t="shared" si="67"/>
        <v>79924.978553338326</v>
      </c>
      <c r="N384" s="7">
        <f t="shared" si="72"/>
        <v>49254470038</v>
      </c>
      <c r="O384" s="7">
        <f t="shared" si="68"/>
        <v>79924</v>
      </c>
      <c r="P384" s="3">
        <f>SUM($O$4:O384)</f>
        <v>4510500</v>
      </c>
      <c r="Y384" s="3">
        <f t="shared" si="69"/>
        <v>381</v>
      </c>
      <c r="Z384" s="3">
        <f t="shared" si="70"/>
        <v>45086645172</v>
      </c>
      <c r="AA384" s="7"/>
      <c r="AB384" s="7">
        <f t="shared" si="71"/>
        <v>13040</v>
      </c>
    </row>
    <row r="385" spans="6:28" x14ac:dyDescent="0.15">
      <c r="F385">
        <f t="shared" si="61"/>
        <v>55</v>
      </c>
      <c r="G385">
        <v>382</v>
      </c>
      <c r="H385">
        <f t="shared" si="62"/>
        <v>165098782249.64545</v>
      </c>
      <c r="I385">
        <f t="shared" si="63"/>
        <v>165098782250</v>
      </c>
      <c r="J385" s="1">
        <f t="shared" si="64"/>
        <v>1</v>
      </c>
      <c r="K385" s="1">
        <f t="shared" si="65"/>
        <v>165098782250</v>
      </c>
      <c r="L385" s="1">
        <f t="shared" si="66"/>
        <v>49254470037.916672</v>
      </c>
      <c r="M385" s="3">
        <f t="shared" si="67"/>
        <v>79924.978553338326</v>
      </c>
      <c r="N385" s="7">
        <f t="shared" si="72"/>
        <v>49254470038</v>
      </c>
      <c r="O385" s="7">
        <f t="shared" si="68"/>
        <v>79924</v>
      </c>
      <c r="P385" s="3">
        <f>SUM($O$4:O385)</f>
        <v>4590424</v>
      </c>
      <c r="Y385" s="3">
        <f t="shared" si="69"/>
        <v>382</v>
      </c>
      <c r="Z385" s="3">
        <f t="shared" si="70"/>
        <v>47465231964</v>
      </c>
      <c r="AA385" s="7"/>
      <c r="AB385" s="7">
        <f t="shared" si="71"/>
        <v>13040</v>
      </c>
    </row>
    <row r="386" spans="6:28" x14ac:dyDescent="0.15">
      <c r="F386">
        <f t="shared" si="61"/>
        <v>55</v>
      </c>
      <c r="G386">
        <v>383</v>
      </c>
      <c r="H386">
        <f t="shared" si="62"/>
        <v>165098782249.64545</v>
      </c>
      <c r="I386">
        <f t="shared" si="63"/>
        <v>165098782250</v>
      </c>
      <c r="J386" s="1">
        <f t="shared" si="64"/>
        <v>1</v>
      </c>
      <c r="K386" s="1">
        <f t="shared" si="65"/>
        <v>165098782250</v>
      </c>
      <c r="L386" s="1">
        <f t="shared" si="66"/>
        <v>49254470037.916672</v>
      </c>
      <c r="M386" s="3">
        <f t="shared" si="67"/>
        <v>79924.978553338326</v>
      </c>
      <c r="N386" s="7">
        <f t="shared" si="72"/>
        <v>49254470038</v>
      </c>
      <c r="O386" s="7">
        <f t="shared" si="68"/>
        <v>79924</v>
      </c>
      <c r="P386" s="3">
        <f>SUM($O$4:O386)</f>
        <v>4670348</v>
      </c>
      <c r="Y386" s="3">
        <f t="shared" si="69"/>
        <v>383</v>
      </c>
      <c r="Z386" s="3">
        <f t="shared" si="70"/>
        <v>49968960823</v>
      </c>
      <c r="AA386" s="7"/>
      <c r="AB386" s="7">
        <f t="shared" si="71"/>
        <v>13040</v>
      </c>
    </row>
    <row r="387" spans="6:28" x14ac:dyDescent="0.15">
      <c r="F387">
        <f t="shared" si="61"/>
        <v>55</v>
      </c>
      <c r="G387">
        <v>384</v>
      </c>
      <c r="H387">
        <f t="shared" si="62"/>
        <v>165098782249.64545</v>
      </c>
      <c r="I387">
        <f t="shared" si="63"/>
        <v>165098782250</v>
      </c>
      <c r="J387" s="1">
        <f t="shared" si="64"/>
        <v>1</v>
      </c>
      <c r="K387" s="1">
        <f t="shared" si="65"/>
        <v>165098782250</v>
      </c>
      <c r="L387" s="1">
        <f t="shared" si="66"/>
        <v>49254470037.916672</v>
      </c>
      <c r="M387" s="3">
        <f t="shared" si="67"/>
        <v>79924.978553338326</v>
      </c>
      <c r="N387" s="7">
        <f t="shared" si="72"/>
        <v>49254470038</v>
      </c>
      <c r="O387" s="7">
        <f t="shared" si="68"/>
        <v>79924</v>
      </c>
      <c r="P387" s="3">
        <f>SUM($O$4:O387)</f>
        <v>4750272</v>
      </c>
      <c r="Y387" s="3">
        <f t="shared" si="69"/>
        <v>384</v>
      </c>
      <c r="Z387" s="3">
        <f t="shared" si="70"/>
        <v>52604399488</v>
      </c>
      <c r="AA387" s="7"/>
      <c r="AB387" s="7">
        <f t="shared" si="71"/>
        <v>13040</v>
      </c>
    </row>
    <row r="388" spans="6:28" x14ac:dyDescent="0.15">
      <c r="F388">
        <f t="shared" si="61"/>
        <v>55</v>
      </c>
      <c r="G388">
        <v>385</v>
      </c>
      <c r="H388">
        <f t="shared" si="62"/>
        <v>165098782249.64545</v>
      </c>
      <c r="I388">
        <f t="shared" si="63"/>
        <v>165098782250</v>
      </c>
      <c r="J388" s="1">
        <f t="shared" si="64"/>
        <v>10</v>
      </c>
      <c r="K388" s="1">
        <f t="shared" si="65"/>
        <v>1650987822500</v>
      </c>
      <c r="L388" s="1">
        <f t="shared" si="66"/>
        <v>492544700379.16669</v>
      </c>
      <c r="M388" s="3">
        <f t="shared" si="67"/>
        <v>799249.78553338326</v>
      </c>
      <c r="N388" s="7">
        <f t="shared" si="72"/>
        <v>492544700379</v>
      </c>
      <c r="O388" s="7">
        <f t="shared" si="68"/>
        <v>799249</v>
      </c>
      <c r="P388" s="3">
        <f>SUM($O$4:O388)</f>
        <v>5549521</v>
      </c>
      <c r="Y388" s="3">
        <f t="shared" si="69"/>
        <v>385</v>
      </c>
      <c r="Z388" s="3">
        <f t="shared" si="70"/>
        <v>55378459617</v>
      </c>
      <c r="AA388" s="7"/>
      <c r="AB388" s="7">
        <f t="shared" si="71"/>
        <v>13040</v>
      </c>
    </row>
    <row r="389" spans="6:28" x14ac:dyDescent="0.15">
      <c r="F389">
        <f t="shared" ref="F389:F452" si="73">ROUNDUP(G389/$C$4,0)</f>
        <v>56</v>
      </c>
      <c r="G389">
        <v>386</v>
      </c>
      <c r="H389">
        <f t="shared" ref="H389:H452" si="74">18.5*1.57^MIN(F389,156)*1.17^MAX(F389-156,0)*$C$5</f>
        <v>259205088131.94336</v>
      </c>
      <c r="I389">
        <f t="shared" ref="I389:I452" si="75">ROUND(H389,0)</f>
        <v>259205088132</v>
      </c>
      <c r="J389" s="1">
        <f t="shared" ref="J389:J452" si="76">IF(F389=F390,1,LOOKUP(MOD(F389,5),$D$6:$D$10,$C$6:$C$10))</f>
        <v>1</v>
      </c>
      <c r="K389" s="1">
        <f t="shared" ref="K389:K452" si="77">J389*I389</f>
        <v>259205088132</v>
      </c>
      <c r="L389" s="1">
        <f t="shared" ref="L389:L452" si="78">K389*(0.02+0.00045*F389)/$C$5</f>
        <v>78107133223.776001</v>
      </c>
      <c r="M389" s="3">
        <f t="shared" ref="M389:M452" si="79">L389/(1.3^F389)*3</f>
        <v>97495.422054974828</v>
      </c>
      <c r="N389" s="7">
        <f t="shared" si="72"/>
        <v>78107133224</v>
      </c>
      <c r="O389" s="7">
        <f t="shared" ref="O389:O452" si="80">ROUNDDOWN(M389,0)</f>
        <v>97495</v>
      </c>
      <c r="P389" s="3">
        <f>SUM($O$4:O389)</f>
        <v>5647016</v>
      </c>
      <c r="Y389" s="3">
        <f t="shared" ref="Y389:Y452" si="81">G389</f>
        <v>386</v>
      </c>
      <c r="Z389" s="3">
        <f t="shared" ref="Z389:Z452" si="82">ROUND(1.05^Y389*Y389,0)</f>
        <v>58298414761</v>
      </c>
      <c r="AA389" s="7"/>
      <c r="AB389" s="7">
        <f t="shared" ref="AB389:AB452" si="83">LOOKUP(Y389,T:T,P:P)</f>
        <v>13040</v>
      </c>
    </row>
    <row r="390" spans="6:28" x14ac:dyDescent="0.15">
      <c r="F390">
        <f t="shared" si="73"/>
        <v>56</v>
      </c>
      <c r="G390">
        <v>387</v>
      </c>
      <c r="H390">
        <f t="shared" si="74"/>
        <v>259205088131.94336</v>
      </c>
      <c r="I390">
        <f t="shared" si="75"/>
        <v>259205088132</v>
      </c>
      <c r="J390" s="1">
        <f t="shared" si="76"/>
        <v>1</v>
      </c>
      <c r="K390" s="1">
        <f t="shared" si="77"/>
        <v>259205088132</v>
      </c>
      <c r="L390" s="1">
        <f t="shared" si="78"/>
        <v>78107133223.776001</v>
      </c>
      <c r="M390" s="3">
        <f t="shared" si="79"/>
        <v>97495.422054974828</v>
      </c>
      <c r="N390" s="7">
        <f t="shared" si="72"/>
        <v>78107133224</v>
      </c>
      <c r="O390" s="7">
        <f t="shared" si="80"/>
        <v>97495</v>
      </c>
      <c r="P390" s="3">
        <f>SUM($O$4:O390)</f>
        <v>5744511</v>
      </c>
      <c r="Y390" s="3">
        <f t="shared" si="81"/>
        <v>387</v>
      </c>
      <c r="Z390" s="3">
        <f t="shared" si="82"/>
        <v>61371919270</v>
      </c>
      <c r="AA390" s="7"/>
      <c r="AB390" s="7">
        <f t="shared" si="83"/>
        <v>13040</v>
      </c>
    </row>
    <row r="391" spans="6:28" x14ac:dyDescent="0.15">
      <c r="F391">
        <f t="shared" si="73"/>
        <v>56</v>
      </c>
      <c r="G391">
        <v>388</v>
      </c>
      <c r="H391">
        <f t="shared" si="74"/>
        <v>259205088131.94336</v>
      </c>
      <c r="I391">
        <f t="shared" si="75"/>
        <v>259205088132</v>
      </c>
      <c r="J391" s="1">
        <f t="shared" si="76"/>
        <v>1</v>
      </c>
      <c r="K391" s="1">
        <f t="shared" si="77"/>
        <v>259205088132</v>
      </c>
      <c r="L391" s="1">
        <f t="shared" si="78"/>
        <v>78107133223.776001</v>
      </c>
      <c r="M391" s="3">
        <f t="shared" si="79"/>
        <v>97495.422054974828</v>
      </c>
      <c r="N391" s="7">
        <f t="shared" si="72"/>
        <v>78107133224</v>
      </c>
      <c r="O391" s="7">
        <f t="shared" si="80"/>
        <v>97495</v>
      </c>
      <c r="P391" s="3">
        <f>SUM($O$4:O391)</f>
        <v>5842006</v>
      </c>
      <c r="Y391" s="3">
        <f t="shared" si="81"/>
        <v>388</v>
      </c>
      <c r="Z391" s="3">
        <f t="shared" si="82"/>
        <v>64607028192</v>
      </c>
      <c r="AA391" s="7"/>
      <c r="AB391" s="7">
        <f t="shared" si="83"/>
        <v>13040</v>
      </c>
    </row>
    <row r="392" spans="6:28" x14ac:dyDescent="0.15">
      <c r="F392">
        <f t="shared" si="73"/>
        <v>56</v>
      </c>
      <c r="G392">
        <v>389</v>
      </c>
      <c r="H392">
        <f t="shared" si="74"/>
        <v>259205088131.94336</v>
      </c>
      <c r="I392">
        <f t="shared" si="75"/>
        <v>259205088132</v>
      </c>
      <c r="J392" s="1">
        <f t="shared" si="76"/>
        <v>1</v>
      </c>
      <c r="K392" s="1">
        <f t="shared" si="77"/>
        <v>259205088132</v>
      </c>
      <c r="L392" s="1">
        <f t="shared" si="78"/>
        <v>78107133223.776001</v>
      </c>
      <c r="M392" s="3">
        <f t="shared" si="79"/>
        <v>97495.422054974828</v>
      </c>
      <c r="N392" s="7">
        <f t="shared" ref="N392:N455" si="84">ROUND(L392,0)</f>
        <v>78107133224</v>
      </c>
      <c r="O392" s="7">
        <f t="shared" si="80"/>
        <v>97495</v>
      </c>
      <c r="P392" s="3">
        <f>SUM($O$4:O392)</f>
        <v>5939501</v>
      </c>
      <c r="Y392" s="3">
        <f t="shared" si="81"/>
        <v>389</v>
      </c>
      <c r="Z392" s="3">
        <f t="shared" si="82"/>
        <v>68012218209</v>
      </c>
      <c r="AA392" s="7"/>
      <c r="AB392" s="7">
        <f t="shared" si="83"/>
        <v>13040</v>
      </c>
    </row>
    <row r="393" spans="6:28" x14ac:dyDescent="0.15">
      <c r="F393">
        <f t="shared" si="73"/>
        <v>56</v>
      </c>
      <c r="G393">
        <v>390</v>
      </c>
      <c r="H393">
        <f t="shared" si="74"/>
        <v>259205088131.94336</v>
      </c>
      <c r="I393">
        <f t="shared" si="75"/>
        <v>259205088132</v>
      </c>
      <c r="J393" s="1">
        <f t="shared" si="76"/>
        <v>1</v>
      </c>
      <c r="K393" s="1">
        <f t="shared" si="77"/>
        <v>259205088132</v>
      </c>
      <c r="L393" s="1">
        <f t="shared" si="78"/>
        <v>78107133223.776001</v>
      </c>
      <c r="M393" s="3">
        <f t="shared" si="79"/>
        <v>97495.422054974828</v>
      </c>
      <c r="N393" s="7">
        <f t="shared" si="84"/>
        <v>78107133224</v>
      </c>
      <c r="O393" s="7">
        <f t="shared" si="80"/>
        <v>97495</v>
      </c>
      <c r="P393" s="3">
        <f>SUM($O$4:O393)</f>
        <v>6036996</v>
      </c>
      <c r="Y393" s="3">
        <f t="shared" si="81"/>
        <v>390</v>
      </c>
      <c r="Z393" s="3">
        <f t="shared" si="82"/>
        <v>71596409657</v>
      </c>
      <c r="AA393" s="7"/>
      <c r="AB393" s="7">
        <f t="shared" si="83"/>
        <v>13040</v>
      </c>
    </row>
    <row r="394" spans="6:28" x14ac:dyDescent="0.15">
      <c r="F394">
        <f t="shared" si="73"/>
        <v>56</v>
      </c>
      <c r="G394">
        <v>391</v>
      </c>
      <c r="H394">
        <f t="shared" si="74"/>
        <v>259205088131.94336</v>
      </c>
      <c r="I394">
        <f t="shared" si="75"/>
        <v>259205088132</v>
      </c>
      <c r="J394" s="1">
        <f t="shared" si="76"/>
        <v>1</v>
      </c>
      <c r="K394" s="1">
        <f t="shared" si="77"/>
        <v>259205088132</v>
      </c>
      <c r="L394" s="1">
        <f t="shared" si="78"/>
        <v>78107133223.776001</v>
      </c>
      <c r="M394" s="3">
        <f t="shared" si="79"/>
        <v>97495.422054974828</v>
      </c>
      <c r="N394" s="7">
        <f t="shared" si="84"/>
        <v>78107133224</v>
      </c>
      <c r="O394" s="7">
        <f t="shared" si="80"/>
        <v>97495</v>
      </c>
      <c r="P394" s="3">
        <f>SUM($O$4:O394)</f>
        <v>6134491</v>
      </c>
      <c r="Y394" s="3">
        <f t="shared" si="81"/>
        <v>391</v>
      </c>
      <c r="Z394" s="3">
        <f t="shared" si="82"/>
        <v>75368989704</v>
      </c>
      <c r="AA394" s="7"/>
      <c r="AB394" s="7">
        <f t="shared" si="83"/>
        <v>13040</v>
      </c>
    </row>
    <row r="395" spans="6:28" x14ac:dyDescent="0.15">
      <c r="F395">
        <f t="shared" si="73"/>
        <v>56</v>
      </c>
      <c r="G395">
        <v>392</v>
      </c>
      <c r="H395">
        <f t="shared" si="74"/>
        <v>259205088131.94336</v>
      </c>
      <c r="I395">
        <f t="shared" si="75"/>
        <v>259205088132</v>
      </c>
      <c r="J395" s="1">
        <f t="shared" si="76"/>
        <v>2</v>
      </c>
      <c r="K395" s="1">
        <f t="shared" si="77"/>
        <v>518410176264</v>
      </c>
      <c r="L395" s="1">
        <f t="shared" si="78"/>
        <v>156214266447.552</v>
      </c>
      <c r="M395" s="3">
        <f t="shared" si="79"/>
        <v>194990.84410994966</v>
      </c>
      <c r="N395" s="7">
        <f t="shared" si="84"/>
        <v>156214266448</v>
      </c>
      <c r="O395" s="7">
        <f t="shared" si="80"/>
        <v>194990</v>
      </c>
      <c r="P395" s="3">
        <f>SUM($O$4:O395)</f>
        <v>6329481</v>
      </c>
      <c r="Y395" s="3">
        <f t="shared" si="81"/>
        <v>392</v>
      </c>
      <c r="Z395" s="3">
        <f t="shared" si="82"/>
        <v>79339836732</v>
      </c>
      <c r="AA395" s="7"/>
      <c r="AB395" s="7">
        <f t="shared" si="83"/>
        <v>13040</v>
      </c>
    </row>
    <row r="396" spans="6:28" x14ac:dyDescent="0.15">
      <c r="F396">
        <f t="shared" si="73"/>
        <v>57</v>
      </c>
      <c r="G396">
        <v>393</v>
      </c>
      <c r="H396">
        <f t="shared" si="74"/>
        <v>406951988367.15118</v>
      </c>
      <c r="I396">
        <f t="shared" si="75"/>
        <v>406951988367</v>
      </c>
      <c r="J396" s="1">
        <f t="shared" si="76"/>
        <v>1</v>
      </c>
      <c r="K396" s="1">
        <f t="shared" si="77"/>
        <v>406951988367</v>
      </c>
      <c r="L396" s="1">
        <f t="shared" si="78"/>
        <v>123849055126.35699</v>
      </c>
      <c r="M396" s="3">
        <f t="shared" si="79"/>
        <v>118916.70603109174</v>
      </c>
      <c r="N396" s="7">
        <f t="shared" si="84"/>
        <v>123849055126</v>
      </c>
      <c r="O396" s="7">
        <f t="shared" si="80"/>
        <v>118916</v>
      </c>
      <c r="P396" s="3">
        <f>SUM($O$4:O396)</f>
        <v>6448397</v>
      </c>
      <c r="Y396" s="3">
        <f t="shared" si="81"/>
        <v>393</v>
      </c>
      <c r="Z396" s="3">
        <f t="shared" si="82"/>
        <v>83519345989</v>
      </c>
      <c r="AA396" s="7"/>
      <c r="AB396" s="7">
        <f t="shared" si="83"/>
        <v>13040</v>
      </c>
    </row>
    <row r="397" spans="6:28" x14ac:dyDescent="0.15">
      <c r="F397">
        <f t="shared" si="73"/>
        <v>57</v>
      </c>
      <c r="G397">
        <v>394</v>
      </c>
      <c r="H397">
        <f t="shared" si="74"/>
        <v>406951988367.15118</v>
      </c>
      <c r="I397">
        <f t="shared" si="75"/>
        <v>406951988367</v>
      </c>
      <c r="J397" s="1">
        <f t="shared" si="76"/>
        <v>1</v>
      </c>
      <c r="K397" s="1">
        <f t="shared" si="77"/>
        <v>406951988367</v>
      </c>
      <c r="L397" s="1">
        <f t="shared" si="78"/>
        <v>123849055126.35699</v>
      </c>
      <c r="M397" s="3">
        <f t="shared" si="79"/>
        <v>118916.70603109174</v>
      </c>
      <c r="N397" s="7">
        <f t="shared" si="84"/>
        <v>123849055126</v>
      </c>
      <c r="O397" s="7">
        <f t="shared" si="80"/>
        <v>118916</v>
      </c>
      <c r="P397" s="3">
        <f>SUM($O$4:O397)</f>
        <v>6567313</v>
      </c>
      <c r="Y397" s="3">
        <f t="shared" si="81"/>
        <v>394</v>
      </c>
      <c r="Z397" s="3">
        <f t="shared" si="82"/>
        <v>87918456579</v>
      </c>
      <c r="AA397" s="7"/>
      <c r="AB397" s="7">
        <f t="shared" si="83"/>
        <v>13040</v>
      </c>
    </row>
    <row r="398" spans="6:28" x14ac:dyDescent="0.15">
      <c r="F398">
        <f t="shared" si="73"/>
        <v>57</v>
      </c>
      <c r="G398">
        <v>395</v>
      </c>
      <c r="H398">
        <f t="shared" si="74"/>
        <v>406951988367.15118</v>
      </c>
      <c r="I398">
        <f t="shared" si="75"/>
        <v>406951988367</v>
      </c>
      <c r="J398" s="1">
        <f t="shared" si="76"/>
        <v>1</v>
      </c>
      <c r="K398" s="1">
        <f t="shared" si="77"/>
        <v>406951988367</v>
      </c>
      <c r="L398" s="1">
        <f t="shared" si="78"/>
        <v>123849055126.35699</v>
      </c>
      <c r="M398" s="3">
        <f t="shared" si="79"/>
        <v>118916.70603109174</v>
      </c>
      <c r="N398" s="7">
        <f t="shared" si="84"/>
        <v>123849055126</v>
      </c>
      <c r="O398" s="7">
        <f t="shared" si="80"/>
        <v>118916</v>
      </c>
      <c r="P398" s="3">
        <f>SUM($O$4:O398)</f>
        <v>6686229</v>
      </c>
      <c r="Y398" s="3">
        <f t="shared" si="81"/>
        <v>395</v>
      </c>
      <c r="Z398" s="3">
        <f t="shared" si="82"/>
        <v>92548679863</v>
      </c>
      <c r="AA398" s="7"/>
      <c r="AB398" s="7">
        <f t="shared" si="83"/>
        <v>13040</v>
      </c>
    </row>
    <row r="399" spans="6:28" x14ac:dyDescent="0.15">
      <c r="F399">
        <f t="shared" si="73"/>
        <v>57</v>
      </c>
      <c r="G399">
        <v>396</v>
      </c>
      <c r="H399">
        <f t="shared" si="74"/>
        <v>406951988367.15118</v>
      </c>
      <c r="I399">
        <f t="shared" si="75"/>
        <v>406951988367</v>
      </c>
      <c r="J399" s="1">
        <f t="shared" si="76"/>
        <v>1</v>
      </c>
      <c r="K399" s="1">
        <f t="shared" si="77"/>
        <v>406951988367</v>
      </c>
      <c r="L399" s="1">
        <f t="shared" si="78"/>
        <v>123849055126.35699</v>
      </c>
      <c r="M399" s="3">
        <f t="shared" si="79"/>
        <v>118916.70603109174</v>
      </c>
      <c r="N399" s="7">
        <f t="shared" si="84"/>
        <v>123849055126</v>
      </c>
      <c r="O399" s="7">
        <f t="shared" si="80"/>
        <v>118916</v>
      </c>
      <c r="P399" s="3">
        <f>SUM($O$4:O399)</f>
        <v>6805145</v>
      </c>
      <c r="Y399" s="3">
        <f t="shared" si="81"/>
        <v>396</v>
      </c>
      <c r="Z399" s="3">
        <f t="shared" si="82"/>
        <v>97422129335</v>
      </c>
      <c r="AA399" s="7"/>
      <c r="AB399" s="7">
        <f t="shared" si="83"/>
        <v>13040</v>
      </c>
    </row>
    <row r="400" spans="6:28" x14ac:dyDescent="0.15">
      <c r="F400">
        <f t="shared" si="73"/>
        <v>57</v>
      </c>
      <c r="G400">
        <v>397</v>
      </c>
      <c r="H400">
        <f t="shared" si="74"/>
        <v>406951988367.15118</v>
      </c>
      <c r="I400">
        <f t="shared" si="75"/>
        <v>406951988367</v>
      </c>
      <c r="J400" s="1">
        <f t="shared" si="76"/>
        <v>1</v>
      </c>
      <c r="K400" s="1">
        <f t="shared" si="77"/>
        <v>406951988367</v>
      </c>
      <c r="L400" s="1">
        <f t="shared" si="78"/>
        <v>123849055126.35699</v>
      </c>
      <c r="M400" s="3">
        <f t="shared" si="79"/>
        <v>118916.70603109174</v>
      </c>
      <c r="N400" s="7">
        <f t="shared" si="84"/>
        <v>123849055126</v>
      </c>
      <c r="O400" s="7">
        <f t="shared" si="80"/>
        <v>118916</v>
      </c>
      <c r="P400" s="3">
        <f>SUM($O$4:O400)</f>
        <v>6924061</v>
      </c>
      <c r="Y400" s="3">
        <f t="shared" si="81"/>
        <v>397</v>
      </c>
      <c r="Z400" s="3">
        <f t="shared" si="82"/>
        <v>102551552053</v>
      </c>
      <c r="AA400" s="7"/>
      <c r="AB400" s="7">
        <f t="shared" si="83"/>
        <v>13040</v>
      </c>
    </row>
    <row r="401" spans="6:28" x14ac:dyDescent="0.15">
      <c r="F401">
        <f t="shared" si="73"/>
        <v>57</v>
      </c>
      <c r="G401">
        <v>398</v>
      </c>
      <c r="H401">
        <f t="shared" si="74"/>
        <v>406951988367.15118</v>
      </c>
      <c r="I401">
        <f t="shared" si="75"/>
        <v>406951988367</v>
      </c>
      <c r="J401" s="1">
        <f t="shared" si="76"/>
        <v>1</v>
      </c>
      <c r="K401" s="1">
        <f t="shared" si="77"/>
        <v>406951988367</v>
      </c>
      <c r="L401" s="1">
        <f t="shared" si="78"/>
        <v>123849055126.35699</v>
      </c>
      <c r="M401" s="3">
        <f t="shared" si="79"/>
        <v>118916.70603109174</v>
      </c>
      <c r="N401" s="7">
        <f t="shared" si="84"/>
        <v>123849055126</v>
      </c>
      <c r="O401" s="7">
        <f t="shared" si="80"/>
        <v>118916</v>
      </c>
      <c r="P401" s="3">
        <f>SUM($O$4:O401)</f>
        <v>7042977</v>
      </c>
      <c r="Y401" s="3">
        <f t="shared" si="81"/>
        <v>398</v>
      </c>
      <c r="Z401" s="3">
        <f t="shared" si="82"/>
        <v>107950361721</v>
      </c>
      <c r="AA401" s="7"/>
      <c r="AB401" s="7">
        <f t="shared" si="83"/>
        <v>13040</v>
      </c>
    </row>
    <row r="402" spans="6:28" x14ac:dyDescent="0.15">
      <c r="F402">
        <f t="shared" si="73"/>
        <v>57</v>
      </c>
      <c r="G402">
        <v>399</v>
      </c>
      <c r="H402">
        <f t="shared" si="74"/>
        <v>406951988367.15118</v>
      </c>
      <c r="I402">
        <f t="shared" si="75"/>
        <v>406951988367</v>
      </c>
      <c r="J402" s="1">
        <f t="shared" si="76"/>
        <v>4</v>
      </c>
      <c r="K402" s="1">
        <f t="shared" si="77"/>
        <v>1627807953468</v>
      </c>
      <c r="L402" s="1">
        <f t="shared" si="78"/>
        <v>495396220505.42798</v>
      </c>
      <c r="M402" s="3">
        <f t="shared" si="79"/>
        <v>475666.82412436698</v>
      </c>
      <c r="N402" s="7">
        <f t="shared" si="84"/>
        <v>495396220505</v>
      </c>
      <c r="O402" s="7">
        <f t="shared" si="80"/>
        <v>475666</v>
      </c>
      <c r="P402" s="3">
        <f>SUM($O$4:O402)</f>
        <v>7518643</v>
      </c>
      <c r="Y402" s="3">
        <f t="shared" si="81"/>
        <v>399</v>
      </c>
      <c r="Z402" s="3">
        <f t="shared" si="82"/>
        <v>113632673475</v>
      </c>
      <c r="AA402" s="7"/>
      <c r="AB402" s="7">
        <f t="shared" si="83"/>
        <v>13040</v>
      </c>
    </row>
    <row r="403" spans="6:28" x14ac:dyDescent="0.15">
      <c r="F403">
        <f t="shared" si="73"/>
        <v>58</v>
      </c>
      <c r="G403">
        <v>400</v>
      </c>
      <c r="H403">
        <f t="shared" si="74"/>
        <v>638914621736.42725</v>
      </c>
      <c r="I403">
        <f t="shared" si="75"/>
        <v>638914621736</v>
      </c>
      <c r="J403" s="1">
        <f t="shared" si="76"/>
        <v>1</v>
      </c>
      <c r="K403" s="1">
        <f t="shared" si="77"/>
        <v>638914621736</v>
      </c>
      <c r="L403" s="1">
        <f t="shared" si="78"/>
        <v>196359760413.5307</v>
      </c>
      <c r="M403" s="3">
        <f t="shared" si="79"/>
        <v>145030.49005661419</v>
      </c>
      <c r="N403" s="7">
        <f t="shared" si="84"/>
        <v>196359760414</v>
      </c>
      <c r="O403" s="7">
        <f t="shared" si="80"/>
        <v>145030</v>
      </c>
      <c r="P403" s="3">
        <f>SUM($O$4:O403)</f>
        <v>7663673</v>
      </c>
      <c r="Y403" s="3">
        <f t="shared" si="81"/>
        <v>400</v>
      </c>
      <c r="Z403" s="3">
        <f t="shared" si="82"/>
        <v>119613340500</v>
      </c>
      <c r="AA403" s="7"/>
      <c r="AB403" s="7">
        <f t="shared" si="83"/>
        <v>13040</v>
      </c>
    </row>
    <row r="404" spans="6:28" x14ac:dyDescent="0.15">
      <c r="F404">
        <f t="shared" si="73"/>
        <v>58</v>
      </c>
      <c r="G404">
        <v>401</v>
      </c>
      <c r="H404">
        <f t="shared" si="74"/>
        <v>638914621736.42725</v>
      </c>
      <c r="I404">
        <f t="shared" si="75"/>
        <v>638914621736</v>
      </c>
      <c r="J404" s="1">
        <f t="shared" si="76"/>
        <v>1</v>
      </c>
      <c r="K404" s="1">
        <f t="shared" si="77"/>
        <v>638914621736</v>
      </c>
      <c r="L404" s="1">
        <f t="shared" si="78"/>
        <v>196359760413.5307</v>
      </c>
      <c r="M404" s="3">
        <f t="shared" si="79"/>
        <v>145030.49005661419</v>
      </c>
      <c r="N404" s="7">
        <f t="shared" si="84"/>
        <v>196359760414</v>
      </c>
      <c r="O404" s="7">
        <f t="shared" si="80"/>
        <v>145030</v>
      </c>
      <c r="P404" s="3">
        <f>SUM($O$4:O404)</f>
        <v>7808703</v>
      </c>
      <c r="Y404" s="3">
        <f t="shared" si="81"/>
        <v>401</v>
      </c>
      <c r="Z404" s="3">
        <f t="shared" si="82"/>
        <v>125907992543</v>
      </c>
      <c r="AA404" s="7"/>
      <c r="AB404" s="7">
        <f t="shared" si="83"/>
        <v>13040</v>
      </c>
    </row>
    <row r="405" spans="6:28" x14ac:dyDescent="0.15">
      <c r="F405">
        <f t="shared" si="73"/>
        <v>58</v>
      </c>
      <c r="G405">
        <v>402</v>
      </c>
      <c r="H405">
        <f t="shared" si="74"/>
        <v>638914621736.42725</v>
      </c>
      <c r="I405">
        <f t="shared" si="75"/>
        <v>638914621736</v>
      </c>
      <c r="J405" s="1">
        <f t="shared" si="76"/>
        <v>1</v>
      </c>
      <c r="K405" s="1">
        <f t="shared" si="77"/>
        <v>638914621736</v>
      </c>
      <c r="L405" s="1">
        <f t="shared" si="78"/>
        <v>196359760413.5307</v>
      </c>
      <c r="M405" s="3">
        <f t="shared" si="79"/>
        <v>145030.49005661419</v>
      </c>
      <c r="N405" s="7">
        <f t="shared" si="84"/>
        <v>196359760414</v>
      </c>
      <c r="O405" s="7">
        <f t="shared" si="80"/>
        <v>145030</v>
      </c>
      <c r="P405" s="3">
        <f>SUM($O$4:O405)</f>
        <v>7953733</v>
      </c>
      <c r="Y405" s="3">
        <f t="shared" si="81"/>
        <v>402</v>
      </c>
      <c r="Z405" s="3">
        <f t="shared" si="82"/>
        <v>132533076440</v>
      </c>
      <c r="AA405" s="7"/>
      <c r="AB405" s="7">
        <f t="shared" si="83"/>
        <v>13040</v>
      </c>
    </row>
    <row r="406" spans="6:28" x14ac:dyDescent="0.15">
      <c r="F406">
        <f t="shared" si="73"/>
        <v>58</v>
      </c>
      <c r="G406">
        <v>403</v>
      </c>
      <c r="H406">
        <f t="shared" si="74"/>
        <v>638914621736.42725</v>
      </c>
      <c r="I406">
        <f t="shared" si="75"/>
        <v>638914621736</v>
      </c>
      <c r="J406" s="1">
        <f t="shared" si="76"/>
        <v>1</v>
      </c>
      <c r="K406" s="1">
        <f t="shared" si="77"/>
        <v>638914621736</v>
      </c>
      <c r="L406" s="1">
        <f t="shared" si="78"/>
        <v>196359760413.5307</v>
      </c>
      <c r="M406" s="3">
        <f t="shared" si="79"/>
        <v>145030.49005661419</v>
      </c>
      <c r="N406" s="7">
        <f t="shared" si="84"/>
        <v>196359760414</v>
      </c>
      <c r="O406" s="7">
        <f t="shared" si="80"/>
        <v>145030</v>
      </c>
      <c r="P406" s="3">
        <f>SUM($O$4:O406)</f>
        <v>8098763</v>
      </c>
      <c r="Y406" s="3">
        <f t="shared" si="81"/>
        <v>403</v>
      </c>
      <c r="Z406" s="3">
        <f t="shared" si="82"/>
        <v>139505898745</v>
      </c>
      <c r="AA406" s="7"/>
      <c r="AB406" s="7">
        <f t="shared" si="83"/>
        <v>13040</v>
      </c>
    </row>
    <row r="407" spans="6:28" x14ac:dyDescent="0.15">
      <c r="F407">
        <f t="shared" si="73"/>
        <v>58</v>
      </c>
      <c r="G407">
        <v>404</v>
      </c>
      <c r="H407">
        <f t="shared" si="74"/>
        <v>638914621736.42725</v>
      </c>
      <c r="I407">
        <f t="shared" si="75"/>
        <v>638914621736</v>
      </c>
      <c r="J407" s="1">
        <f t="shared" si="76"/>
        <v>1</v>
      </c>
      <c r="K407" s="1">
        <f t="shared" si="77"/>
        <v>638914621736</v>
      </c>
      <c r="L407" s="1">
        <f t="shared" si="78"/>
        <v>196359760413.5307</v>
      </c>
      <c r="M407" s="3">
        <f t="shared" si="79"/>
        <v>145030.49005661419</v>
      </c>
      <c r="N407" s="7">
        <f t="shared" si="84"/>
        <v>196359760414</v>
      </c>
      <c r="O407" s="7">
        <f t="shared" si="80"/>
        <v>145030</v>
      </c>
      <c r="P407" s="3">
        <f>SUM($O$4:O407)</f>
        <v>8243793</v>
      </c>
      <c r="Y407" s="3">
        <f t="shared" si="81"/>
        <v>404</v>
      </c>
      <c r="Z407" s="3">
        <f t="shared" si="82"/>
        <v>146844670590</v>
      </c>
      <c r="AA407" s="7"/>
      <c r="AB407" s="7">
        <f t="shared" si="83"/>
        <v>13040</v>
      </c>
    </row>
    <row r="408" spans="6:28" x14ac:dyDescent="0.15">
      <c r="F408">
        <f t="shared" si="73"/>
        <v>58</v>
      </c>
      <c r="G408">
        <v>405</v>
      </c>
      <c r="H408">
        <f t="shared" si="74"/>
        <v>638914621736.42725</v>
      </c>
      <c r="I408">
        <f t="shared" si="75"/>
        <v>638914621736</v>
      </c>
      <c r="J408" s="1">
        <f t="shared" si="76"/>
        <v>1</v>
      </c>
      <c r="K408" s="1">
        <f t="shared" si="77"/>
        <v>638914621736</v>
      </c>
      <c r="L408" s="1">
        <f t="shared" si="78"/>
        <v>196359760413.5307</v>
      </c>
      <c r="M408" s="3">
        <f t="shared" si="79"/>
        <v>145030.49005661419</v>
      </c>
      <c r="N408" s="7">
        <f t="shared" si="84"/>
        <v>196359760414</v>
      </c>
      <c r="O408" s="7">
        <f t="shared" si="80"/>
        <v>145030</v>
      </c>
      <c r="P408" s="3">
        <f>SUM($O$4:O408)</f>
        <v>8388823</v>
      </c>
      <c r="Y408" s="3">
        <f t="shared" si="81"/>
        <v>405</v>
      </c>
      <c r="Z408" s="3">
        <f t="shared" si="82"/>
        <v>154568554872</v>
      </c>
      <c r="AA408" s="7"/>
      <c r="AB408" s="7">
        <f t="shared" si="83"/>
        <v>13040</v>
      </c>
    </row>
    <row r="409" spans="6:28" x14ac:dyDescent="0.15">
      <c r="F409">
        <f t="shared" si="73"/>
        <v>58</v>
      </c>
      <c r="G409">
        <v>406</v>
      </c>
      <c r="H409">
        <f t="shared" si="74"/>
        <v>638914621736.42725</v>
      </c>
      <c r="I409">
        <f t="shared" si="75"/>
        <v>638914621736</v>
      </c>
      <c r="J409" s="1">
        <f t="shared" si="76"/>
        <v>6</v>
      </c>
      <c r="K409" s="1">
        <f t="shared" si="77"/>
        <v>3833487730416</v>
      </c>
      <c r="L409" s="1">
        <f t="shared" si="78"/>
        <v>1178158562481.1841</v>
      </c>
      <c r="M409" s="3">
        <f t="shared" si="79"/>
        <v>870182.94033968518</v>
      </c>
      <c r="N409" s="7">
        <f t="shared" si="84"/>
        <v>1178158562481</v>
      </c>
      <c r="O409" s="7">
        <f t="shared" si="80"/>
        <v>870182</v>
      </c>
      <c r="P409" s="3">
        <f>SUM($O$4:O409)</f>
        <v>9259005</v>
      </c>
      <c r="Y409" s="3">
        <f t="shared" si="81"/>
        <v>406</v>
      </c>
      <c r="Z409" s="3">
        <f t="shared" si="82"/>
        <v>162697715906</v>
      </c>
      <c r="AA409" s="7"/>
      <c r="AB409" s="7">
        <f t="shared" si="83"/>
        <v>13040</v>
      </c>
    </row>
    <row r="410" spans="6:28" x14ac:dyDescent="0.15">
      <c r="F410">
        <f t="shared" si="73"/>
        <v>59</v>
      </c>
      <c r="G410">
        <v>407</v>
      </c>
      <c r="H410">
        <f t="shared" si="74"/>
        <v>1003095956126.1908</v>
      </c>
      <c r="I410">
        <f t="shared" si="75"/>
        <v>1003095956126</v>
      </c>
      <c r="J410" s="1">
        <f t="shared" si="76"/>
        <v>1</v>
      </c>
      <c r="K410" s="1">
        <f t="shared" si="77"/>
        <v>1003095956126</v>
      </c>
      <c r="L410" s="1">
        <f t="shared" si="78"/>
        <v>311294111717.76868</v>
      </c>
      <c r="M410" s="3">
        <f t="shared" si="79"/>
        <v>176861.93592620778</v>
      </c>
      <c r="N410" s="7">
        <f t="shared" si="84"/>
        <v>311294111718</v>
      </c>
      <c r="O410" s="7">
        <f t="shared" si="80"/>
        <v>176861</v>
      </c>
      <c r="P410" s="3">
        <f>SUM($O$4:O410)</f>
        <v>9435866</v>
      </c>
      <c r="Y410" s="3">
        <f t="shared" si="81"/>
        <v>407</v>
      </c>
      <c r="Z410" s="3">
        <f t="shared" si="82"/>
        <v>171253371657</v>
      </c>
      <c r="AA410" s="7"/>
      <c r="AB410" s="7">
        <f t="shared" si="83"/>
        <v>13040</v>
      </c>
    </row>
    <row r="411" spans="6:28" x14ac:dyDescent="0.15">
      <c r="F411">
        <f t="shared" si="73"/>
        <v>59</v>
      </c>
      <c r="G411">
        <v>408</v>
      </c>
      <c r="H411">
        <f t="shared" si="74"/>
        <v>1003095956126.1908</v>
      </c>
      <c r="I411">
        <f t="shared" si="75"/>
        <v>1003095956126</v>
      </c>
      <c r="J411" s="1">
        <f t="shared" si="76"/>
        <v>1</v>
      </c>
      <c r="K411" s="1">
        <f t="shared" si="77"/>
        <v>1003095956126</v>
      </c>
      <c r="L411" s="1">
        <f t="shared" si="78"/>
        <v>311294111717.76868</v>
      </c>
      <c r="M411" s="3">
        <f t="shared" si="79"/>
        <v>176861.93592620778</v>
      </c>
      <c r="N411" s="7">
        <f t="shared" si="84"/>
        <v>311294111718</v>
      </c>
      <c r="O411" s="7">
        <f t="shared" si="80"/>
        <v>176861</v>
      </c>
      <c r="P411" s="3">
        <f>SUM($O$4:O411)</f>
        <v>9612727</v>
      </c>
      <c r="Y411" s="3">
        <f t="shared" si="81"/>
        <v>408</v>
      </c>
      <c r="Z411" s="3">
        <f t="shared" si="82"/>
        <v>180257848692</v>
      </c>
      <c r="AA411" s="7"/>
      <c r="AB411" s="7">
        <f t="shared" si="83"/>
        <v>13040</v>
      </c>
    </row>
    <row r="412" spans="6:28" x14ac:dyDescent="0.15">
      <c r="F412">
        <f t="shared" si="73"/>
        <v>59</v>
      </c>
      <c r="G412">
        <v>409</v>
      </c>
      <c r="H412">
        <f t="shared" si="74"/>
        <v>1003095956126.1908</v>
      </c>
      <c r="I412">
        <f t="shared" si="75"/>
        <v>1003095956126</v>
      </c>
      <c r="J412" s="1">
        <f t="shared" si="76"/>
        <v>1</v>
      </c>
      <c r="K412" s="1">
        <f t="shared" si="77"/>
        <v>1003095956126</v>
      </c>
      <c r="L412" s="1">
        <f t="shared" si="78"/>
        <v>311294111717.76868</v>
      </c>
      <c r="M412" s="3">
        <f t="shared" si="79"/>
        <v>176861.93592620778</v>
      </c>
      <c r="N412" s="7">
        <f t="shared" si="84"/>
        <v>311294111718</v>
      </c>
      <c r="O412" s="7">
        <f t="shared" si="80"/>
        <v>176861</v>
      </c>
      <c r="P412" s="3">
        <f>SUM($O$4:O412)</f>
        <v>9789588</v>
      </c>
      <c r="Y412" s="3">
        <f t="shared" si="81"/>
        <v>409</v>
      </c>
      <c r="Z412" s="3">
        <f t="shared" si="82"/>
        <v>189734640002</v>
      </c>
      <c r="AA412" s="7"/>
      <c r="AB412" s="7">
        <f t="shared" si="83"/>
        <v>13040</v>
      </c>
    </row>
    <row r="413" spans="6:28" x14ac:dyDescent="0.15">
      <c r="F413">
        <f t="shared" si="73"/>
        <v>59</v>
      </c>
      <c r="G413">
        <v>410</v>
      </c>
      <c r="H413">
        <f t="shared" si="74"/>
        <v>1003095956126.1908</v>
      </c>
      <c r="I413">
        <f t="shared" si="75"/>
        <v>1003095956126</v>
      </c>
      <c r="J413" s="1">
        <f t="shared" si="76"/>
        <v>1</v>
      </c>
      <c r="K413" s="1">
        <f t="shared" si="77"/>
        <v>1003095956126</v>
      </c>
      <c r="L413" s="1">
        <f t="shared" si="78"/>
        <v>311294111717.76868</v>
      </c>
      <c r="M413" s="3">
        <f t="shared" si="79"/>
        <v>176861.93592620778</v>
      </c>
      <c r="N413" s="7">
        <f t="shared" si="84"/>
        <v>311294111718</v>
      </c>
      <c r="O413" s="7">
        <f t="shared" si="80"/>
        <v>176861</v>
      </c>
      <c r="P413" s="3">
        <f>SUM($O$4:O413)</f>
        <v>9966449</v>
      </c>
      <c r="Y413" s="3">
        <f t="shared" si="81"/>
        <v>410</v>
      </c>
      <c r="Z413" s="3">
        <f t="shared" si="82"/>
        <v>199708465821</v>
      </c>
      <c r="AA413" s="7"/>
      <c r="AB413" s="7">
        <f t="shared" si="83"/>
        <v>13040</v>
      </c>
    </row>
    <row r="414" spans="6:28" x14ac:dyDescent="0.15">
      <c r="F414">
        <f t="shared" si="73"/>
        <v>59</v>
      </c>
      <c r="G414">
        <v>411</v>
      </c>
      <c r="H414">
        <f t="shared" si="74"/>
        <v>1003095956126.1908</v>
      </c>
      <c r="I414">
        <f t="shared" si="75"/>
        <v>1003095956126</v>
      </c>
      <c r="J414" s="1">
        <f t="shared" si="76"/>
        <v>1</v>
      </c>
      <c r="K414" s="1">
        <f t="shared" si="77"/>
        <v>1003095956126</v>
      </c>
      <c r="L414" s="1">
        <f t="shared" si="78"/>
        <v>311294111717.76868</v>
      </c>
      <c r="M414" s="3">
        <f t="shared" si="79"/>
        <v>176861.93592620778</v>
      </c>
      <c r="N414" s="7">
        <f t="shared" si="84"/>
        <v>311294111718</v>
      </c>
      <c r="O414" s="7">
        <f t="shared" si="80"/>
        <v>176861</v>
      </c>
      <c r="P414" s="3">
        <f>SUM($O$4:O414)</f>
        <v>10143310</v>
      </c>
      <c r="Y414" s="3">
        <f t="shared" si="81"/>
        <v>411</v>
      </c>
      <c r="Z414" s="3">
        <f t="shared" si="82"/>
        <v>210205337622</v>
      </c>
      <c r="AA414" s="7"/>
      <c r="AB414" s="7">
        <f t="shared" si="83"/>
        <v>13040</v>
      </c>
    </row>
    <row r="415" spans="6:28" x14ac:dyDescent="0.15">
      <c r="F415">
        <f t="shared" si="73"/>
        <v>59</v>
      </c>
      <c r="G415">
        <v>412</v>
      </c>
      <c r="H415">
        <f t="shared" si="74"/>
        <v>1003095956126.1908</v>
      </c>
      <c r="I415">
        <f t="shared" si="75"/>
        <v>1003095956126</v>
      </c>
      <c r="J415" s="1">
        <f t="shared" si="76"/>
        <v>1</v>
      </c>
      <c r="K415" s="1">
        <f t="shared" si="77"/>
        <v>1003095956126</v>
      </c>
      <c r="L415" s="1">
        <f t="shared" si="78"/>
        <v>311294111717.76868</v>
      </c>
      <c r="M415" s="3">
        <f t="shared" si="79"/>
        <v>176861.93592620778</v>
      </c>
      <c r="N415" s="7">
        <f t="shared" si="84"/>
        <v>311294111718</v>
      </c>
      <c r="O415" s="7">
        <f t="shared" si="80"/>
        <v>176861</v>
      </c>
      <c r="P415" s="3">
        <f>SUM($O$4:O415)</f>
        <v>10320171</v>
      </c>
      <c r="Y415" s="3">
        <f t="shared" si="81"/>
        <v>412</v>
      </c>
      <c r="Z415" s="3">
        <f t="shared" si="82"/>
        <v>221252625439</v>
      </c>
      <c r="AA415" s="7"/>
      <c r="AB415" s="7">
        <f t="shared" si="83"/>
        <v>13040</v>
      </c>
    </row>
    <row r="416" spans="6:28" x14ac:dyDescent="0.15">
      <c r="F416">
        <f t="shared" si="73"/>
        <v>59</v>
      </c>
      <c r="G416">
        <v>413</v>
      </c>
      <c r="H416">
        <f t="shared" si="74"/>
        <v>1003095956126.1908</v>
      </c>
      <c r="I416">
        <f t="shared" si="75"/>
        <v>1003095956126</v>
      </c>
      <c r="J416" s="1">
        <f t="shared" si="76"/>
        <v>7</v>
      </c>
      <c r="K416" s="1">
        <f t="shared" si="77"/>
        <v>7021671692882</v>
      </c>
      <c r="L416" s="1">
        <f t="shared" si="78"/>
        <v>2179058782024.3809</v>
      </c>
      <c r="M416" s="3">
        <f t="shared" si="79"/>
        <v>1238033.5514834546</v>
      </c>
      <c r="N416" s="7">
        <f t="shared" si="84"/>
        <v>2179058782024</v>
      </c>
      <c r="O416" s="7">
        <f t="shared" si="80"/>
        <v>1238033</v>
      </c>
      <c r="P416" s="3">
        <f>SUM($O$4:O416)</f>
        <v>11558204</v>
      </c>
      <c r="Y416" s="3">
        <f t="shared" si="81"/>
        <v>413</v>
      </c>
      <c r="Z416" s="3">
        <f t="shared" si="82"/>
        <v>232879128693</v>
      </c>
      <c r="AA416" s="7"/>
      <c r="AB416" s="7">
        <f t="shared" si="83"/>
        <v>13040</v>
      </c>
    </row>
    <row r="417" spans="6:28" x14ac:dyDescent="0.15">
      <c r="F417">
        <f t="shared" si="73"/>
        <v>60</v>
      </c>
      <c r="G417">
        <v>414</v>
      </c>
      <c r="H417">
        <f t="shared" si="74"/>
        <v>1574860651118.1196</v>
      </c>
      <c r="I417">
        <f t="shared" si="75"/>
        <v>1574860651118</v>
      </c>
      <c r="J417" s="1">
        <f t="shared" si="76"/>
        <v>1</v>
      </c>
      <c r="K417" s="1">
        <f t="shared" si="77"/>
        <v>1574860651118</v>
      </c>
      <c r="L417" s="1">
        <f t="shared" si="78"/>
        <v>493456337350.3067</v>
      </c>
      <c r="M417" s="3">
        <f t="shared" si="79"/>
        <v>215659.62574562282</v>
      </c>
      <c r="N417" s="7">
        <f t="shared" si="84"/>
        <v>493456337350</v>
      </c>
      <c r="O417" s="7">
        <f t="shared" si="80"/>
        <v>215659</v>
      </c>
      <c r="P417" s="3">
        <f>SUM($O$4:O417)</f>
        <v>11773863</v>
      </c>
      <c r="Y417" s="3">
        <f t="shared" si="81"/>
        <v>414</v>
      </c>
      <c r="Z417" s="3">
        <f t="shared" si="82"/>
        <v>245115150709</v>
      </c>
      <c r="AA417" s="7"/>
      <c r="AB417" s="7">
        <f t="shared" si="83"/>
        <v>13040</v>
      </c>
    </row>
    <row r="418" spans="6:28" x14ac:dyDescent="0.15">
      <c r="F418">
        <f t="shared" si="73"/>
        <v>60</v>
      </c>
      <c r="G418">
        <v>415</v>
      </c>
      <c r="H418">
        <f t="shared" si="74"/>
        <v>1574860651118.1196</v>
      </c>
      <c r="I418">
        <f t="shared" si="75"/>
        <v>1574860651118</v>
      </c>
      <c r="J418" s="1">
        <f t="shared" si="76"/>
        <v>1</v>
      </c>
      <c r="K418" s="1">
        <f t="shared" si="77"/>
        <v>1574860651118</v>
      </c>
      <c r="L418" s="1">
        <f t="shared" si="78"/>
        <v>493456337350.3067</v>
      </c>
      <c r="M418" s="3">
        <f t="shared" si="79"/>
        <v>215659.62574562282</v>
      </c>
      <c r="N418" s="7">
        <f t="shared" si="84"/>
        <v>493456337350</v>
      </c>
      <c r="O418" s="7">
        <f t="shared" si="80"/>
        <v>215659</v>
      </c>
      <c r="P418" s="3">
        <f>SUM($O$4:O418)</f>
        <v>11989522</v>
      </c>
      <c r="Y418" s="3">
        <f t="shared" si="81"/>
        <v>415</v>
      </c>
      <c r="Z418" s="3">
        <f t="shared" si="82"/>
        <v>257992577105</v>
      </c>
      <c r="AA418" s="7"/>
      <c r="AB418" s="7">
        <f t="shared" si="83"/>
        <v>13040</v>
      </c>
    </row>
    <row r="419" spans="6:28" x14ac:dyDescent="0.15">
      <c r="F419">
        <f t="shared" si="73"/>
        <v>60</v>
      </c>
      <c r="G419">
        <v>416</v>
      </c>
      <c r="H419">
        <f t="shared" si="74"/>
        <v>1574860651118.1196</v>
      </c>
      <c r="I419">
        <f t="shared" si="75"/>
        <v>1574860651118</v>
      </c>
      <c r="J419" s="1">
        <f t="shared" si="76"/>
        <v>1</v>
      </c>
      <c r="K419" s="1">
        <f t="shared" si="77"/>
        <v>1574860651118</v>
      </c>
      <c r="L419" s="1">
        <f t="shared" si="78"/>
        <v>493456337350.3067</v>
      </c>
      <c r="M419" s="3">
        <f t="shared" si="79"/>
        <v>215659.62574562282</v>
      </c>
      <c r="N419" s="7">
        <f t="shared" si="84"/>
        <v>493456337350</v>
      </c>
      <c r="O419" s="7">
        <f t="shared" si="80"/>
        <v>215659</v>
      </c>
      <c r="P419" s="3">
        <f>SUM($O$4:O419)</f>
        <v>12205181</v>
      </c>
      <c r="Y419" s="3">
        <f t="shared" si="81"/>
        <v>416</v>
      </c>
      <c r="Z419" s="3">
        <f t="shared" si="82"/>
        <v>271544958264</v>
      </c>
      <c r="AA419" s="7"/>
      <c r="AB419" s="7">
        <f t="shared" si="83"/>
        <v>13040</v>
      </c>
    </row>
    <row r="420" spans="6:28" x14ac:dyDescent="0.15">
      <c r="F420">
        <f t="shared" si="73"/>
        <v>60</v>
      </c>
      <c r="G420">
        <v>417</v>
      </c>
      <c r="H420">
        <f t="shared" si="74"/>
        <v>1574860651118.1196</v>
      </c>
      <c r="I420">
        <f t="shared" si="75"/>
        <v>1574860651118</v>
      </c>
      <c r="J420" s="1">
        <f t="shared" si="76"/>
        <v>1</v>
      </c>
      <c r="K420" s="1">
        <f t="shared" si="77"/>
        <v>1574860651118</v>
      </c>
      <c r="L420" s="1">
        <f t="shared" si="78"/>
        <v>493456337350.3067</v>
      </c>
      <c r="M420" s="3">
        <f t="shared" si="79"/>
        <v>215659.62574562282</v>
      </c>
      <c r="N420" s="7">
        <f t="shared" si="84"/>
        <v>493456337350</v>
      </c>
      <c r="O420" s="7">
        <f t="shared" si="80"/>
        <v>215659</v>
      </c>
      <c r="P420" s="3">
        <f>SUM($O$4:O420)</f>
        <v>12420840</v>
      </c>
      <c r="Y420" s="3">
        <f t="shared" si="81"/>
        <v>417</v>
      </c>
      <c r="Z420" s="3">
        <f t="shared" si="82"/>
        <v>285807596096</v>
      </c>
      <c r="AA420" s="7"/>
      <c r="AB420" s="7">
        <f t="shared" si="83"/>
        <v>13040</v>
      </c>
    </row>
    <row r="421" spans="6:28" x14ac:dyDescent="0.15">
      <c r="F421">
        <f t="shared" si="73"/>
        <v>60</v>
      </c>
      <c r="G421">
        <v>418</v>
      </c>
      <c r="H421">
        <f t="shared" si="74"/>
        <v>1574860651118.1196</v>
      </c>
      <c r="I421">
        <f t="shared" si="75"/>
        <v>1574860651118</v>
      </c>
      <c r="J421" s="1">
        <f t="shared" si="76"/>
        <v>1</v>
      </c>
      <c r="K421" s="1">
        <f t="shared" si="77"/>
        <v>1574860651118</v>
      </c>
      <c r="L421" s="1">
        <f t="shared" si="78"/>
        <v>493456337350.3067</v>
      </c>
      <c r="M421" s="3">
        <f t="shared" si="79"/>
        <v>215659.62574562282</v>
      </c>
      <c r="N421" s="7">
        <f t="shared" si="84"/>
        <v>493456337350</v>
      </c>
      <c r="O421" s="7">
        <f t="shared" si="80"/>
        <v>215659</v>
      </c>
      <c r="P421" s="3">
        <f>SUM($O$4:O421)</f>
        <v>12636499</v>
      </c>
      <c r="Y421" s="3">
        <f t="shared" si="81"/>
        <v>418</v>
      </c>
      <c r="Z421" s="3">
        <f t="shared" si="82"/>
        <v>300817635316</v>
      </c>
      <c r="AA421" s="7"/>
      <c r="AB421" s="7">
        <f t="shared" si="83"/>
        <v>13040</v>
      </c>
    </row>
    <row r="422" spans="6:28" x14ac:dyDescent="0.15">
      <c r="F422">
        <f t="shared" si="73"/>
        <v>60</v>
      </c>
      <c r="G422">
        <v>419</v>
      </c>
      <c r="H422">
        <f t="shared" si="74"/>
        <v>1574860651118.1196</v>
      </c>
      <c r="I422">
        <f t="shared" si="75"/>
        <v>1574860651118</v>
      </c>
      <c r="J422" s="1">
        <f t="shared" si="76"/>
        <v>1</v>
      </c>
      <c r="K422" s="1">
        <f t="shared" si="77"/>
        <v>1574860651118</v>
      </c>
      <c r="L422" s="1">
        <f t="shared" si="78"/>
        <v>493456337350.3067</v>
      </c>
      <c r="M422" s="3">
        <f t="shared" si="79"/>
        <v>215659.62574562282</v>
      </c>
      <c r="N422" s="7">
        <f t="shared" si="84"/>
        <v>493456337350</v>
      </c>
      <c r="O422" s="7">
        <f t="shared" si="80"/>
        <v>215659</v>
      </c>
      <c r="P422" s="3">
        <f>SUM($O$4:O422)</f>
        <v>12852158</v>
      </c>
      <c r="Y422" s="3">
        <f t="shared" si="81"/>
        <v>419</v>
      </c>
      <c r="Z422" s="3">
        <f t="shared" si="82"/>
        <v>316614159467</v>
      </c>
      <c r="AA422" s="7"/>
      <c r="AB422" s="7">
        <f t="shared" si="83"/>
        <v>13040</v>
      </c>
    </row>
    <row r="423" spans="6:28" x14ac:dyDescent="0.15">
      <c r="F423">
        <f t="shared" si="73"/>
        <v>60</v>
      </c>
      <c r="G423">
        <v>420</v>
      </c>
      <c r="H423">
        <f t="shared" si="74"/>
        <v>1574860651118.1196</v>
      </c>
      <c r="I423">
        <f t="shared" si="75"/>
        <v>1574860651118</v>
      </c>
      <c r="J423" s="1">
        <f t="shared" si="76"/>
        <v>10</v>
      </c>
      <c r="K423" s="1">
        <f t="shared" si="77"/>
        <v>15748606511180</v>
      </c>
      <c r="L423" s="1">
        <f t="shared" si="78"/>
        <v>4934563373503.0664</v>
      </c>
      <c r="M423" s="3">
        <f t="shared" si="79"/>
        <v>2156596.2574562281</v>
      </c>
      <c r="N423" s="7">
        <f t="shared" si="84"/>
        <v>4934563373503</v>
      </c>
      <c r="O423" s="7">
        <f t="shared" si="80"/>
        <v>2156596</v>
      </c>
      <c r="P423" s="3">
        <f>SUM($O$4:O423)</f>
        <v>15008754</v>
      </c>
      <c r="Y423" s="3">
        <f t="shared" si="81"/>
        <v>420</v>
      </c>
      <c r="Z423" s="3">
        <f t="shared" si="82"/>
        <v>333238291945</v>
      </c>
      <c r="AA423" s="7"/>
      <c r="AB423" s="7">
        <f t="shared" si="83"/>
        <v>13040</v>
      </c>
    </row>
    <row r="424" spans="6:28" x14ac:dyDescent="0.15">
      <c r="F424">
        <f t="shared" si="73"/>
        <v>61</v>
      </c>
      <c r="G424">
        <v>421</v>
      </c>
      <c r="H424">
        <f t="shared" si="74"/>
        <v>2472531222255.4478</v>
      </c>
      <c r="I424">
        <f t="shared" si="75"/>
        <v>2472531222255</v>
      </c>
      <c r="J424" s="1">
        <f t="shared" si="76"/>
        <v>1</v>
      </c>
      <c r="K424" s="1">
        <f t="shared" si="77"/>
        <v>2472531222255</v>
      </c>
      <c r="L424" s="1">
        <f t="shared" si="78"/>
        <v>782144043306.66492</v>
      </c>
      <c r="M424" s="3">
        <f t="shared" si="79"/>
        <v>262944.14581599174</v>
      </c>
      <c r="N424" s="7">
        <f t="shared" si="84"/>
        <v>782144043307</v>
      </c>
      <c r="O424" s="7">
        <f t="shared" si="80"/>
        <v>262944</v>
      </c>
      <c r="P424" s="3">
        <f>SUM($O$4:O424)</f>
        <v>15271698</v>
      </c>
      <c r="Y424" s="3">
        <f t="shared" si="81"/>
        <v>421</v>
      </c>
      <c r="Z424" s="3">
        <f t="shared" si="82"/>
        <v>350733302272</v>
      </c>
      <c r="AA424" s="7"/>
      <c r="AB424" s="7">
        <f t="shared" si="83"/>
        <v>13040</v>
      </c>
    </row>
    <row r="425" spans="6:28" x14ac:dyDescent="0.15">
      <c r="F425">
        <f t="shared" si="73"/>
        <v>61</v>
      </c>
      <c r="G425">
        <v>422</v>
      </c>
      <c r="H425">
        <f t="shared" si="74"/>
        <v>2472531222255.4478</v>
      </c>
      <c r="I425">
        <f t="shared" si="75"/>
        <v>2472531222255</v>
      </c>
      <c r="J425" s="1">
        <f t="shared" si="76"/>
        <v>1</v>
      </c>
      <c r="K425" s="1">
        <f t="shared" si="77"/>
        <v>2472531222255</v>
      </c>
      <c r="L425" s="1">
        <f t="shared" si="78"/>
        <v>782144043306.66492</v>
      </c>
      <c r="M425" s="3">
        <f t="shared" si="79"/>
        <v>262944.14581599174</v>
      </c>
      <c r="N425" s="7">
        <f t="shared" si="84"/>
        <v>782144043307</v>
      </c>
      <c r="O425" s="7">
        <f t="shared" si="80"/>
        <v>262944</v>
      </c>
      <c r="P425" s="3">
        <f>SUM($O$4:O425)</f>
        <v>15534642</v>
      </c>
      <c r="Y425" s="3">
        <f t="shared" si="81"/>
        <v>422</v>
      </c>
      <c r="Z425" s="3">
        <f t="shared" si="82"/>
        <v>369144717902</v>
      </c>
      <c r="AA425" s="7"/>
      <c r="AB425" s="7">
        <f t="shared" si="83"/>
        <v>13040</v>
      </c>
    </row>
    <row r="426" spans="6:28" x14ac:dyDescent="0.15">
      <c r="F426">
        <f t="shared" si="73"/>
        <v>61</v>
      </c>
      <c r="G426">
        <v>423</v>
      </c>
      <c r="H426">
        <f t="shared" si="74"/>
        <v>2472531222255.4478</v>
      </c>
      <c r="I426">
        <f t="shared" si="75"/>
        <v>2472531222255</v>
      </c>
      <c r="J426" s="1">
        <f t="shared" si="76"/>
        <v>1</v>
      </c>
      <c r="K426" s="1">
        <f t="shared" si="77"/>
        <v>2472531222255</v>
      </c>
      <c r="L426" s="1">
        <f t="shared" si="78"/>
        <v>782144043306.66492</v>
      </c>
      <c r="M426" s="3">
        <f t="shared" si="79"/>
        <v>262944.14581599174</v>
      </c>
      <c r="N426" s="7">
        <f t="shared" si="84"/>
        <v>782144043307</v>
      </c>
      <c r="O426" s="7">
        <f t="shared" si="80"/>
        <v>262944</v>
      </c>
      <c r="P426" s="3">
        <f>SUM($O$4:O426)</f>
        <v>15797586</v>
      </c>
      <c r="Y426" s="3">
        <f t="shared" si="81"/>
        <v>423</v>
      </c>
      <c r="Z426" s="3">
        <f t="shared" si="82"/>
        <v>388520441839</v>
      </c>
      <c r="AA426" s="7"/>
      <c r="AB426" s="7">
        <f t="shared" si="83"/>
        <v>13040</v>
      </c>
    </row>
    <row r="427" spans="6:28" x14ac:dyDescent="0.15">
      <c r="F427">
        <f t="shared" si="73"/>
        <v>61</v>
      </c>
      <c r="G427">
        <v>424</v>
      </c>
      <c r="H427">
        <f t="shared" si="74"/>
        <v>2472531222255.4478</v>
      </c>
      <c r="I427">
        <f t="shared" si="75"/>
        <v>2472531222255</v>
      </c>
      <c r="J427" s="1">
        <f t="shared" si="76"/>
        <v>1</v>
      </c>
      <c r="K427" s="1">
        <f t="shared" si="77"/>
        <v>2472531222255</v>
      </c>
      <c r="L427" s="1">
        <f t="shared" si="78"/>
        <v>782144043306.66492</v>
      </c>
      <c r="M427" s="3">
        <f t="shared" si="79"/>
        <v>262944.14581599174</v>
      </c>
      <c r="N427" s="7">
        <f t="shared" si="84"/>
        <v>782144043307</v>
      </c>
      <c r="O427" s="7">
        <f t="shared" si="80"/>
        <v>262944</v>
      </c>
      <c r="P427" s="3">
        <f>SUM($O$4:O427)</f>
        <v>16060530</v>
      </c>
      <c r="Y427" s="3">
        <f t="shared" si="81"/>
        <v>424</v>
      </c>
      <c r="Z427" s="3">
        <f t="shared" si="82"/>
        <v>408910876375</v>
      </c>
      <c r="AA427" s="7"/>
      <c r="AB427" s="7">
        <f t="shared" si="83"/>
        <v>13040</v>
      </c>
    </row>
    <row r="428" spans="6:28" x14ac:dyDescent="0.15">
      <c r="F428">
        <f t="shared" si="73"/>
        <v>61</v>
      </c>
      <c r="G428">
        <v>425</v>
      </c>
      <c r="H428">
        <f t="shared" si="74"/>
        <v>2472531222255.4478</v>
      </c>
      <c r="I428">
        <f t="shared" si="75"/>
        <v>2472531222255</v>
      </c>
      <c r="J428" s="1">
        <f t="shared" si="76"/>
        <v>1</v>
      </c>
      <c r="K428" s="1">
        <f t="shared" si="77"/>
        <v>2472531222255</v>
      </c>
      <c r="L428" s="1">
        <f t="shared" si="78"/>
        <v>782144043306.66492</v>
      </c>
      <c r="M428" s="3">
        <f t="shared" si="79"/>
        <v>262944.14581599174</v>
      </c>
      <c r="N428" s="7">
        <f t="shared" si="84"/>
        <v>782144043307</v>
      </c>
      <c r="O428" s="7">
        <f t="shared" si="80"/>
        <v>262944</v>
      </c>
      <c r="P428" s="3">
        <f>SUM($O$4:O428)</f>
        <v>16323474</v>
      </c>
      <c r="Y428" s="3">
        <f t="shared" si="81"/>
        <v>425</v>
      </c>
      <c r="Z428" s="3">
        <f t="shared" si="82"/>
        <v>430369053260</v>
      </c>
      <c r="AA428" s="7"/>
      <c r="AB428" s="7">
        <f t="shared" si="83"/>
        <v>13040</v>
      </c>
    </row>
    <row r="429" spans="6:28" x14ac:dyDescent="0.15">
      <c r="F429">
        <f t="shared" si="73"/>
        <v>61</v>
      </c>
      <c r="G429">
        <v>426</v>
      </c>
      <c r="H429">
        <f t="shared" si="74"/>
        <v>2472531222255.4478</v>
      </c>
      <c r="I429">
        <f t="shared" si="75"/>
        <v>2472531222255</v>
      </c>
      <c r="J429" s="1">
        <f t="shared" si="76"/>
        <v>1</v>
      </c>
      <c r="K429" s="1">
        <f t="shared" si="77"/>
        <v>2472531222255</v>
      </c>
      <c r="L429" s="1">
        <f t="shared" si="78"/>
        <v>782144043306.66492</v>
      </c>
      <c r="M429" s="3">
        <f t="shared" si="79"/>
        <v>262944.14581599174</v>
      </c>
      <c r="N429" s="7">
        <f t="shared" si="84"/>
        <v>782144043307</v>
      </c>
      <c r="O429" s="7">
        <f t="shared" si="80"/>
        <v>262944</v>
      </c>
      <c r="P429" s="3">
        <f>SUM($O$4:O429)</f>
        <v>16586418</v>
      </c>
      <c r="Y429" s="3">
        <f t="shared" si="81"/>
        <v>426</v>
      </c>
      <c r="Z429" s="3">
        <f t="shared" si="82"/>
        <v>452950770643</v>
      </c>
      <c r="AA429" s="7"/>
      <c r="AB429" s="7">
        <f t="shared" si="83"/>
        <v>13040</v>
      </c>
    </row>
    <row r="430" spans="6:28" x14ac:dyDescent="0.15">
      <c r="F430">
        <f t="shared" si="73"/>
        <v>61</v>
      </c>
      <c r="G430">
        <v>427</v>
      </c>
      <c r="H430">
        <f t="shared" si="74"/>
        <v>2472531222255.4478</v>
      </c>
      <c r="I430">
        <f t="shared" si="75"/>
        <v>2472531222255</v>
      </c>
      <c r="J430" s="1">
        <f t="shared" si="76"/>
        <v>2</v>
      </c>
      <c r="K430" s="1">
        <f t="shared" si="77"/>
        <v>4945062444510</v>
      </c>
      <c r="L430" s="1">
        <f t="shared" si="78"/>
        <v>1564288086613.3298</v>
      </c>
      <c r="M430" s="3">
        <f t="shared" si="79"/>
        <v>525888.29163198348</v>
      </c>
      <c r="N430" s="7">
        <f t="shared" si="84"/>
        <v>1564288086613</v>
      </c>
      <c r="O430" s="7">
        <f t="shared" si="80"/>
        <v>525888</v>
      </c>
      <c r="P430" s="3">
        <f>SUM($O$4:O430)</f>
        <v>17112306</v>
      </c>
      <c r="Y430" s="3">
        <f t="shared" si="81"/>
        <v>427</v>
      </c>
      <c r="Z430" s="3">
        <f t="shared" si="82"/>
        <v>476714737131</v>
      </c>
      <c r="AA430" s="7"/>
      <c r="AB430" s="7">
        <f t="shared" si="83"/>
        <v>13040</v>
      </c>
    </row>
    <row r="431" spans="6:28" x14ac:dyDescent="0.15">
      <c r="F431">
        <f t="shared" si="73"/>
        <v>62</v>
      </c>
      <c r="G431">
        <v>428</v>
      </c>
      <c r="H431">
        <f t="shared" si="74"/>
        <v>3881874018941.0537</v>
      </c>
      <c r="I431">
        <f t="shared" si="75"/>
        <v>3881874018941</v>
      </c>
      <c r="J431" s="1">
        <f t="shared" si="76"/>
        <v>1</v>
      </c>
      <c r="K431" s="1">
        <f t="shared" si="77"/>
        <v>3881874018941</v>
      </c>
      <c r="L431" s="1">
        <f t="shared" si="78"/>
        <v>1239611770048.4927</v>
      </c>
      <c r="M431" s="3">
        <f t="shared" si="79"/>
        <v>320567.21403588133</v>
      </c>
      <c r="N431" s="7">
        <f t="shared" si="84"/>
        <v>1239611770048</v>
      </c>
      <c r="O431" s="7">
        <f t="shared" si="80"/>
        <v>320567</v>
      </c>
      <c r="P431" s="3">
        <f>SUM($O$4:O431)</f>
        <v>17432873</v>
      </c>
      <c r="Y431" s="3">
        <f t="shared" si="81"/>
        <v>428</v>
      </c>
      <c r="Z431" s="3">
        <f t="shared" si="82"/>
        <v>501722723341</v>
      </c>
      <c r="AA431" s="7"/>
      <c r="AB431" s="7">
        <f t="shared" si="83"/>
        <v>13040</v>
      </c>
    </row>
    <row r="432" spans="6:28" x14ac:dyDescent="0.15">
      <c r="F432">
        <f t="shared" si="73"/>
        <v>62</v>
      </c>
      <c r="G432">
        <v>429</v>
      </c>
      <c r="H432">
        <f t="shared" si="74"/>
        <v>3881874018941.0537</v>
      </c>
      <c r="I432">
        <f t="shared" si="75"/>
        <v>3881874018941</v>
      </c>
      <c r="J432" s="1">
        <f t="shared" si="76"/>
        <v>1</v>
      </c>
      <c r="K432" s="1">
        <f t="shared" si="77"/>
        <v>3881874018941</v>
      </c>
      <c r="L432" s="1">
        <f t="shared" si="78"/>
        <v>1239611770048.4927</v>
      </c>
      <c r="M432" s="3">
        <f t="shared" si="79"/>
        <v>320567.21403588133</v>
      </c>
      <c r="N432" s="7">
        <f t="shared" si="84"/>
        <v>1239611770048</v>
      </c>
      <c r="O432" s="7">
        <f t="shared" si="80"/>
        <v>320567</v>
      </c>
      <c r="P432" s="3">
        <f>SUM($O$4:O432)</f>
        <v>17753440</v>
      </c>
      <c r="Y432" s="3">
        <f t="shared" si="81"/>
        <v>429</v>
      </c>
      <c r="Z432" s="3">
        <f t="shared" si="82"/>
        <v>528039721330</v>
      </c>
      <c r="AA432" s="7"/>
      <c r="AB432" s="7">
        <f t="shared" si="83"/>
        <v>13040</v>
      </c>
    </row>
    <row r="433" spans="6:28" x14ac:dyDescent="0.15">
      <c r="F433">
        <f t="shared" si="73"/>
        <v>62</v>
      </c>
      <c r="G433">
        <v>430</v>
      </c>
      <c r="H433">
        <f t="shared" si="74"/>
        <v>3881874018941.0537</v>
      </c>
      <c r="I433">
        <f t="shared" si="75"/>
        <v>3881874018941</v>
      </c>
      <c r="J433" s="1">
        <f t="shared" si="76"/>
        <v>1</v>
      </c>
      <c r="K433" s="1">
        <f t="shared" si="77"/>
        <v>3881874018941</v>
      </c>
      <c r="L433" s="1">
        <f t="shared" si="78"/>
        <v>1239611770048.4927</v>
      </c>
      <c r="M433" s="3">
        <f t="shared" si="79"/>
        <v>320567.21403588133</v>
      </c>
      <c r="N433" s="7">
        <f t="shared" si="84"/>
        <v>1239611770048</v>
      </c>
      <c r="O433" s="7">
        <f t="shared" si="80"/>
        <v>320567</v>
      </c>
      <c r="P433" s="3">
        <f>SUM($O$4:O433)</f>
        <v>18074007</v>
      </c>
      <c r="Y433" s="3">
        <f t="shared" si="81"/>
        <v>430</v>
      </c>
      <c r="Z433" s="3">
        <f t="shared" si="82"/>
        <v>555734112309</v>
      </c>
      <c r="AA433" s="7"/>
      <c r="AB433" s="7">
        <f t="shared" si="83"/>
        <v>13040</v>
      </c>
    </row>
    <row r="434" spans="6:28" x14ac:dyDescent="0.15">
      <c r="F434">
        <f t="shared" si="73"/>
        <v>62</v>
      </c>
      <c r="G434">
        <v>431</v>
      </c>
      <c r="H434">
        <f t="shared" si="74"/>
        <v>3881874018941.0537</v>
      </c>
      <c r="I434">
        <f t="shared" si="75"/>
        <v>3881874018941</v>
      </c>
      <c r="J434" s="1">
        <f t="shared" si="76"/>
        <v>1</v>
      </c>
      <c r="K434" s="1">
        <f t="shared" si="77"/>
        <v>3881874018941</v>
      </c>
      <c r="L434" s="1">
        <f t="shared" si="78"/>
        <v>1239611770048.4927</v>
      </c>
      <c r="M434" s="3">
        <f t="shared" si="79"/>
        <v>320567.21403588133</v>
      </c>
      <c r="N434" s="7">
        <f t="shared" si="84"/>
        <v>1239611770048</v>
      </c>
      <c r="O434" s="7">
        <f t="shared" si="80"/>
        <v>320567</v>
      </c>
      <c r="P434" s="3">
        <f>SUM($O$4:O434)</f>
        <v>18394574</v>
      </c>
      <c r="Y434" s="3">
        <f t="shared" si="81"/>
        <v>431</v>
      </c>
      <c r="Z434" s="3">
        <f t="shared" si="82"/>
        <v>584877843082</v>
      </c>
      <c r="AA434" s="7"/>
      <c r="AB434" s="7">
        <f t="shared" si="83"/>
        <v>13040</v>
      </c>
    </row>
    <row r="435" spans="6:28" x14ac:dyDescent="0.15">
      <c r="F435">
        <f t="shared" si="73"/>
        <v>62</v>
      </c>
      <c r="G435">
        <v>432</v>
      </c>
      <c r="H435">
        <f t="shared" si="74"/>
        <v>3881874018941.0537</v>
      </c>
      <c r="I435">
        <f t="shared" si="75"/>
        <v>3881874018941</v>
      </c>
      <c r="J435" s="1">
        <f t="shared" si="76"/>
        <v>1</v>
      </c>
      <c r="K435" s="1">
        <f t="shared" si="77"/>
        <v>3881874018941</v>
      </c>
      <c r="L435" s="1">
        <f t="shared" si="78"/>
        <v>1239611770048.4927</v>
      </c>
      <c r="M435" s="3">
        <f t="shared" si="79"/>
        <v>320567.21403588133</v>
      </c>
      <c r="N435" s="7">
        <f t="shared" si="84"/>
        <v>1239611770048</v>
      </c>
      <c r="O435" s="7">
        <f t="shared" si="80"/>
        <v>320567</v>
      </c>
      <c r="P435" s="3">
        <f>SUM($O$4:O435)</f>
        <v>18715141</v>
      </c>
      <c r="Y435" s="3">
        <f t="shared" si="81"/>
        <v>432</v>
      </c>
      <c r="Z435" s="3">
        <f t="shared" si="82"/>
        <v>615546611652</v>
      </c>
      <c r="AA435" s="7"/>
      <c r="AB435" s="7">
        <f t="shared" si="83"/>
        <v>13040</v>
      </c>
    </row>
    <row r="436" spans="6:28" x14ac:dyDescent="0.15">
      <c r="F436">
        <f t="shared" si="73"/>
        <v>62</v>
      </c>
      <c r="G436">
        <v>433</v>
      </c>
      <c r="H436">
        <f t="shared" si="74"/>
        <v>3881874018941.0537</v>
      </c>
      <c r="I436">
        <f t="shared" si="75"/>
        <v>3881874018941</v>
      </c>
      <c r="J436" s="1">
        <f t="shared" si="76"/>
        <v>1</v>
      </c>
      <c r="K436" s="1">
        <f t="shared" si="77"/>
        <v>3881874018941</v>
      </c>
      <c r="L436" s="1">
        <f t="shared" si="78"/>
        <v>1239611770048.4927</v>
      </c>
      <c r="M436" s="3">
        <f t="shared" si="79"/>
        <v>320567.21403588133</v>
      </c>
      <c r="N436" s="7">
        <f t="shared" si="84"/>
        <v>1239611770048</v>
      </c>
      <c r="O436" s="7">
        <f t="shared" si="80"/>
        <v>320567</v>
      </c>
      <c r="P436" s="3">
        <f>SUM($O$4:O436)</f>
        <v>19035708</v>
      </c>
      <c r="Y436" s="3">
        <f t="shared" si="81"/>
        <v>433</v>
      </c>
      <c r="Z436" s="3">
        <f t="shared" si="82"/>
        <v>647820062471</v>
      </c>
      <c r="AA436" s="7"/>
      <c r="AB436" s="7">
        <f t="shared" si="83"/>
        <v>13040</v>
      </c>
    </row>
    <row r="437" spans="6:28" x14ac:dyDescent="0.15">
      <c r="F437">
        <f t="shared" si="73"/>
        <v>62</v>
      </c>
      <c r="G437">
        <v>434</v>
      </c>
      <c r="H437">
        <f t="shared" si="74"/>
        <v>3881874018941.0537</v>
      </c>
      <c r="I437">
        <f t="shared" si="75"/>
        <v>3881874018941</v>
      </c>
      <c r="J437" s="1">
        <f t="shared" si="76"/>
        <v>4</v>
      </c>
      <c r="K437" s="1">
        <f t="shared" si="77"/>
        <v>15527496075764</v>
      </c>
      <c r="L437" s="1">
        <f t="shared" si="78"/>
        <v>4958447080193.9707</v>
      </c>
      <c r="M437" s="3">
        <f t="shared" si="79"/>
        <v>1282268.8561435253</v>
      </c>
      <c r="N437" s="7">
        <f t="shared" si="84"/>
        <v>4958447080194</v>
      </c>
      <c r="O437" s="7">
        <f t="shared" si="80"/>
        <v>1282268</v>
      </c>
      <c r="P437" s="3">
        <f>SUM($O$4:O437)</f>
        <v>20317976</v>
      </c>
      <c r="Y437" s="3">
        <f t="shared" si="81"/>
        <v>434</v>
      </c>
      <c r="Z437" s="3">
        <f t="shared" si="82"/>
        <v>681781991843</v>
      </c>
      <c r="AA437" s="7"/>
      <c r="AB437" s="7">
        <f t="shared" si="83"/>
        <v>13040</v>
      </c>
    </row>
    <row r="438" spans="6:28" x14ac:dyDescent="0.15">
      <c r="F438">
        <f t="shared" si="73"/>
        <v>63</v>
      </c>
      <c r="G438">
        <v>435</v>
      </c>
      <c r="H438">
        <f t="shared" si="74"/>
        <v>6094542209737.4541</v>
      </c>
      <c r="I438">
        <f t="shared" si="75"/>
        <v>6094542209737</v>
      </c>
      <c r="J438" s="1">
        <f t="shared" si="76"/>
        <v>1</v>
      </c>
      <c r="K438" s="1">
        <f t="shared" si="77"/>
        <v>6094542209737</v>
      </c>
      <c r="L438" s="1">
        <f t="shared" si="78"/>
        <v>1964474105605.2268</v>
      </c>
      <c r="M438" s="3">
        <f t="shared" si="79"/>
        <v>390783.63471744442</v>
      </c>
      <c r="N438" s="7">
        <f t="shared" si="84"/>
        <v>1964474105605</v>
      </c>
      <c r="O438" s="7">
        <f t="shared" si="80"/>
        <v>390783</v>
      </c>
      <c r="P438" s="3">
        <f>SUM($O$4:O438)</f>
        <v>20708759</v>
      </c>
      <c r="Y438" s="3">
        <f t="shared" si="81"/>
        <v>435</v>
      </c>
      <c r="Z438" s="3">
        <f t="shared" si="82"/>
        <v>717520563996</v>
      </c>
      <c r="AA438" s="7"/>
      <c r="AB438" s="7">
        <f t="shared" si="83"/>
        <v>13040</v>
      </c>
    </row>
    <row r="439" spans="6:28" x14ac:dyDescent="0.15">
      <c r="F439">
        <f t="shared" si="73"/>
        <v>63</v>
      </c>
      <c r="G439">
        <v>436</v>
      </c>
      <c r="H439">
        <f t="shared" si="74"/>
        <v>6094542209737.4541</v>
      </c>
      <c r="I439">
        <f t="shared" si="75"/>
        <v>6094542209737</v>
      </c>
      <c r="J439" s="1">
        <f t="shared" si="76"/>
        <v>1</v>
      </c>
      <c r="K439" s="1">
        <f t="shared" si="77"/>
        <v>6094542209737</v>
      </c>
      <c r="L439" s="1">
        <f t="shared" si="78"/>
        <v>1964474105605.2268</v>
      </c>
      <c r="M439" s="3">
        <f t="shared" si="79"/>
        <v>390783.63471744442</v>
      </c>
      <c r="N439" s="7">
        <f t="shared" si="84"/>
        <v>1964474105605</v>
      </c>
      <c r="O439" s="7">
        <f t="shared" si="80"/>
        <v>390783</v>
      </c>
      <c r="P439" s="3">
        <f>SUM($O$4:O439)</f>
        <v>21099542</v>
      </c>
      <c r="Y439" s="3">
        <f t="shared" si="81"/>
        <v>436</v>
      </c>
      <c r="Z439" s="3">
        <f t="shared" si="82"/>
        <v>755128538385</v>
      </c>
      <c r="AA439" s="7"/>
      <c r="AB439" s="7">
        <f t="shared" si="83"/>
        <v>13040</v>
      </c>
    </row>
    <row r="440" spans="6:28" x14ac:dyDescent="0.15">
      <c r="F440">
        <f t="shared" si="73"/>
        <v>63</v>
      </c>
      <c r="G440">
        <v>437</v>
      </c>
      <c r="H440">
        <f t="shared" si="74"/>
        <v>6094542209737.4541</v>
      </c>
      <c r="I440">
        <f t="shared" si="75"/>
        <v>6094542209737</v>
      </c>
      <c r="J440" s="1">
        <f t="shared" si="76"/>
        <v>1</v>
      </c>
      <c r="K440" s="1">
        <f t="shared" si="77"/>
        <v>6094542209737</v>
      </c>
      <c r="L440" s="1">
        <f t="shared" si="78"/>
        <v>1964474105605.2268</v>
      </c>
      <c r="M440" s="3">
        <f t="shared" si="79"/>
        <v>390783.63471744442</v>
      </c>
      <c r="N440" s="7">
        <f t="shared" si="84"/>
        <v>1964474105605</v>
      </c>
      <c r="O440" s="7">
        <f t="shared" si="80"/>
        <v>390783</v>
      </c>
      <c r="P440" s="3">
        <f>SUM($O$4:O440)</f>
        <v>21490325</v>
      </c>
      <c r="Y440" s="3">
        <f t="shared" si="81"/>
        <v>437</v>
      </c>
      <c r="Z440" s="3">
        <f t="shared" si="82"/>
        <v>794703508803</v>
      </c>
      <c r="AA440" s="7"/>
      <c r="AB440" s="7">
        <f t="shared" si="83"/>
        <v>13040</v>
      </c>
    </row>
    <row r="441" spans="6:28" x14ac:dyDescent="0.15">
      <c r="F441">
        <f t="shared" si="73"/>
        <v>63</v>
      </c>
      <c r="G441">
        <v>438</v>
      </c>
      <c r="H441">
        <f t="shared" si="74"/>
        <v>6094542209737.4541</v>
      </c>
      <c r="I441">
        <f t="shared" si="75"/>
        <v>6094542209737</v>
      </c>
      <c r="J441" s="1">
        <f t="shared" si="76"/>
        <v>1</v>
      </c>
      <c r="K441" s="1">
        <f t="shared" si="77"/>
        <v>6094542209737</v>
      </c>
      <c r="L441" s="1">
        <f t="shared" si="78"/>
        <v>1964474105605.2268</v>
      </c>
      <c r="M441" s="3">
        <f t="shared" si="79"/>
        <v>390783.63471744442</v>
      </c>
      <c r="N441" s="7">
        <f t="shared" si="84"/>
        <v>1964474105605</v>
      </c>
      <c r="O441" s="7">
        <f t="shared" si="80"/>
        <v>390783</v>
      </c>
      <c r="P441" s="3">
        <f>SUM($O$4:O441)</f>
        <v>21881108</v>
      </c>
      <c r="Y441" s="3">
        <f t="shared" si="81"/>
        <v>438</v>
      </c>
      <c r="Z441" s="3">
        <f t="shared" si="82"/>
        <v>836348154916</v>
      </c>
      <c r="AA441" s="7"/>
      <c r="AB441" s="7">
        <f t="shared" si="83"/>
        <v>13040</v>
      </c>
    </row>
    <row r="442" spans="6:28" x14ac:dyDescent="0.15">
      <c r="F442">
        <f t="shared" si="73"/>
        <v>63</v>
      </c>
      <c r="G442">
        <v>439</v>
      </c>
      <c r="H442">
        <f t="shared" si="74"/>
        <v>6094542209737.4541</v>
      </c>
      <c r="I442">
        <f t="shared" si="75"/>
        <v>6094542209737</v>
      </c>
      <c r="J442" s="1">
        <f t="shared" si="76"/>
        <v>1</v>
      </c>
      <c r="K442" s="1">
        <f t="shared" si="77"/>
        <v>6094542209737</v>
      </c>
      <c r="L442" s="1">
        <f t="shared" si="78"/>
        <v>1964474105605.2268</v>
      </c>
      <c r="M442" s="3">
        <f t="shared" si="79"/>
        <v>390783.63471744442</v>
      </c>
      <c r="N442" s="7">
        <f t="shared" si="84"/>
        <v>1964474105605</v>
      </c>
      <c r="O442" s="7">
        <f t="shared" si="80"/>
        <v>390783</v>
      </c>
      <c r="P442" s="3">
        <f>SUM($O$4:O442)</f>
        <v>22271891</v>
      </c>
      <c r="Y442" s="3">
        <f t="shared" si="81"/>
        <v>439</v>
      </c>
      <c r="Z442" s="3">
        <f t="shared" si="82"/>
        <v>880170506869</v>
      </c>
      <c r="AA442" s="7"/>
      <c r="AB442" s="7">
        <f t="shared" si="83"/>
        <v>13040</v>
      </c>
    </row>
    <row r="443" spans="6:28" x14ac:dyDescent="0.15">
      <c r="F443">
        <f t="shared" si="73"/>
        <v>63</v>
      </c>
      <c r="G443">
        <v>440</v>
      </c>
      <c r="H443">
        <f t="shared" si="74"/>
        <v>6094542209737.4541</v>
      </c>
      <c r="I443">
        <f t="shared" si="75"/>
        <v>6094542209737</v>
      </c>
      <c r="J443" s="1">
        <f t="shared" si="76"/>
        <v>1</v>
      </c>
      <c r="K443" s="1">
        <f t="shared" si="77"/>
        <v>6094542209737</v>
      </c>
      <c r="L443" s="1">
        <f t="shared" si="78"/>
        <v>1964474105605.2268</v>
      </c>
      <c r="M443" s="3">
        <f t="shared" si="79"/>
        <v>390783.63471744442</v>
      </c>
      <c r="N443" s="7">
        <f t="shared" si="84"/>
        <v>1964474105605</v>
      </c>
      <c r="O443" s="7">
        <f t="shared" si="80"/>
        <v>390783</v>
      </c>
      <c r="P443" s="3">
        <f>SUM($O$4:O443)</f>
        <v>22662674</v>
      </c>
      <c r="Y443" s="3">
        <f t="shared" si="81"/>
        <v>440</v>
      </c>
      <c r="Z443" s="3">
        <f t="shared" si="82"/>
        <v>926284223630</v>
      </c>
      <c r="AA443" s="7"/>
      <c r="AB443" s="7">
        <f t="shared" si="83"/>
        <v>13040</v>
      </c>
    </row>
    <row r="444" spans="6:28" x14ac:dyDescent="0.15">
      <c r="F444">
        <f t="shared" si="73"/>
        <v>63</v>
      </c>
      <c r="G444">
        <v>441</v>
      </c>
      <c r="H444">
        <f t="shared" si="74"/>
        <v>6094542209737.4541</v>
      </c>
      <c r="I444">
        <f t="shared" si="75"/>
        <v>6094542209737</v>
      </c>
      <c r="J444" s="1">
        <f t="shared" si="76"/>
        <v>6</v>
      </c>
      <c r="K444" s="1">
        <f t="shared" si="77"/>
        <v>36567253258422</v>
      </c>
      <c r="L444" s="1">
        <f t="shared" si="78"/>
        <v>11786844633631.359</v>
      </c>
      <c r="M444" s="3">
        <f t="shared" si="79"/>
        <v>2344701.8083046661</v>
      </c>
      <c r="N444" s="7">
        <f t="shared" si="84"/>
        <v>11786844633631</v>
      </c>
      <c r="O444" s="7">
        <f t="shared" si="80"/>
        <v>2344701</v>
      </c>
      <c r="P444" s="3">
        <f>SUM($O$4:O444)</f>
        <v>25007375</v>
      </c>
      <c r="Y444" s="3">
        <f t="shared" si="81"/>
        <v>441</v>
      </c>
      <c r="Z444" s="3">
        <f t="shared" si="82"/>
        <v>974808885800</v>
      </c>
      <c r="AA444" s="7"/>
      <c r="AB444" s="7">
        <f t="shared" si="83"/>
        <v>13040</v>
      </c>
    </row>
    <row r="445" spans="6:28" x14ac:dyDescent="0.15">
      <c r="F445">
        <f t="shared" si="73"/>
        <v>64</v>
      </c>
      <c r="G445">
        <v>442</v>
      </c>
      <c r="H445">
        <f t="shared" si="74"/>
        <v>9568431269287.7988</v>
      </c>
      <c r="I445">
        <f t="shared" si="75"/>
        <v>9568431269288</v>
      </c>
      <c r="J445" s="1">
        <f t="shared" si="76"/>
        <v>1</v>
      </c>
      <c r="K445" s="1">
        <f t="shared" si="77"/>
        <v>9568431269288</v>
      </c>
      <c r="L445" s="1">
        <f t="shared" si="78"/>
        <v>3112929639608.3623</v>
      </c>
      <c r="M445" s="3">
        <f t="shared" si="79"/>
        <v>476338.85860336584</v>
      </c>
      <c r="N445" s="7">
        <f t="shared" si="84"/>
        <v>3112929639608</v>
      </c>
      <c r="O445" s="7">
        <f t="shared" si="80"/>
        <v>476338</v>
      </c>
      <c r="P445" s="3">
        <f>SUM($O$4:O445)</f>
        <v>25483713</v>
      </c>
      <c r="Y445" s="3">
        <f t="shared" si="81"/>
        <v>442</v>
      </c>
      <c r="Z445" s="3">
        <f t="shared" si="82"/>
        <v>1025870303627</v>
      </c>
      <c r="AA445" s="7"/>
      <c r="AB445" s="7">
        <f t="shared" si="83"/>
        <v>13040</v>
      </c>
    </row>
    <row r="446" spans="6:28" x14ac:dyDescent="0.15">
      <c r="F446">
        <f t="shared" si="73"/>
        <v>64</v>
      </c>
      <c r="G446">
        <v>443</v>
      </c>
      <c r="H446">
        <f t="shared" si="74"/>
        <v>9568431269287.7988</v>
      </c>
      <c r="I446">
        <f t="shared" si="75"/>
        <v>9568431269288</v>
      </c>
      <c r="J446" s="1">
        <f t="shared" si="76"/>
        <v>1</v>
      </c>
      <c r="K446" s="1">
        <f t="shared" si="77"/>
        <v>9568431269288</v>
      </c>
      <c r="L446" s="1">
        <f t="shared" si="78"/>
        <v>3112929639608.3623</v>
      </c>
      <c r="M446" s="3">
        <f t="shared" si="79"/>
        <v>476338.85860336584</v>
      </c>
      <c r="N446" s="7">
        <f t="shared" si="84"/>
        <v>3112929639608</v>
      </c>
      <c r="O446" s="7">
        <f t="shared" si="80"/>
        <v>476338</v>
      </c>
      <c r="P446" s="3">
        <f>SUM($O$4:O446)</f>
        <v>25960051</v>
      </c>
      <c r="Y446" s="3">
        <f t="shared" si="81"/>
        <v>443</v>
      </c>
      <c r="Z446" s="3">
        <f t="shared" si="82"/>
        <v>1079600841023</v>
      </c>
      <c r="AA446" s="7"/>
      <c r="AB446" s="7">
        <f t="shared" si="83"/>
        <v>13040</v>
      </c>
    </row>
    <row r="447" spans="6:28" x14ac:dyDescent="0.15">
      <c r="F447">
        <f t="shared" si="73"/>
        <v>64</v>
      </c>
      <c r="G447">
        <v>444</v>
      </c>
      <c r="H447">
        <f t="shared" si="74"/>
        <v>9568431269287.7988</v>
      </c>
      <c r="I447">
        <f t="shared" si="75"/>
        <v>9568431269288</v>
      </c>
      <c r="J447" s="1">
        <f t="shared" si="76"/>
        <v>1</v>
      </c>
      <c r="K447" s="1">
        <f t="shared" si="77"/>
        <v>9568431269288</v>
      </c>
      <c r="L447" s="1">
        <f t="shared" si="78"/>
        <v>3112929639608.3623</v>
      </c>
      <c r="M447" s="3">
        <f t="shared" si="79"/>
        <v>476338.85860336584</v>
      </c>
      <c r="N447" s="7">
        <f t="shared" si="84"/>
        <v>3112929639608</v>
      </c>
      <c r="O447" s="7">
        <f t="shared" si="80"/>
        <v>476338</v>
      </c>
      <c r="P447" s="3">
        <f>SUM($O$4:O447)</f>
        <v>26436389</v>
      </c>
      <c r="Y447" s="3">
        <f t="shared" si="81"/>
        <v>444</v>
      </c>
      <c r="Z447" s="3">
        <f t="shared" si="82"/>
        <v>1136139756399</v>
      </c>
      <c r="AA447" s="7"/>
      <c r="AB447" s="7">
        <f t="shared" si="83"/>
        <v>13040</v>
      </c>
    </row>
    <row r="448" spans="6:28" x14ac:dyDescent="0.15">
      <c r="F448">
        <f t="shared" si="73"/>
        <v>64</v>
      </c>
      <c r="G448">
        <v>445</v>
      </c>
      <c r="H448">
        <f t="shared" si="74"/>
        <v>9568431269287.7988</v>
      </c>
      <c r="I448">
        <f t="shared" si="75"/>
        <v>9568431269288</v>
      </c>
      <c r="J448" s="1">
        <f t="shared" si="76"/>
        <v>1</v>
      </c>
      <c r="K448" s="1">
        <f t="shared" si="77"/>
        <v>9568431269288</v>
      </c>
      <c r="L448" s="1">
        <f t="shared" si="78"/>
        <v>3112929639608.3623</v>
      </c>
      <c r="M448" s="3">
        <f t="shared" si="79"/>
        <v>476338.85860336584</v>
      </c>
      <c r="N448" s="7">
        <f t="shared" si="84"/>
        <v>3112929639608</v>
      </c>
      <c r="O448" s="7">
        <f t="shared" si="80"/>
        <v>476338</v>
      </c>
      <c r="P448" s="3">
        <f>SUM($O$4:O448)</f>
        <v>26912727</v>
      </c>
      <c r="Y448" s="3">
        <f t="shared" si="81"/>
        <v>445</v>
      </c>
      <c r="Z448" s="3">
        <f t="shared" si="82"/>
        <v>1195633561211</v>
      </c>
      <c r="AA448" s="7"/>
      <c r="AB448" s="7">
        <f t="shared" si="83"/>
        <v>13040</v>
      </c>
    </row>
    <row r="449" spans="6:28" x14ac:dyDescent="0.15">
      <c r="F449">
        <f t="shared" si="73"/>
        <v>64</v>
      </c>
      <c r="G449">
        <v>446</v>
      </c>
      <c r="H449">
        <f t="shared" si="74"/>
        <v>9568431269287.7988</v>
      </c>
      <c r="I449">
        <f t="shared" si="75"/>
        <v>9568431269288</v>
      </c>
      <c r="J449" s="1">
        <f t="shared" si="76"/>
        <v>1</v>
      </c>
      <c r="K449" s="1">
        <f t="shared" si="77"/>
        <v>9568431269288</v>
      </c>
      <c r="L449" s="1">
        <f t="shared" si="78"/>
        <v>3112929639608.3623</v>
      </c>
      <c r="M449" s="3">
        <f t="shared" si="79"/>
        <v>476338.85860336584</v>
      </c>
      <c r="N449" s="7">
        <f t="shared" si="84"/>
        <v>3112929639608</v>
      </c>
      <c r="O449" s="7">
        <f t="shared" si="80"/>
        <v>476338</v>
      </c>
      <c r="P449" s="3">
        <f>SUM($O$4:O449)</f>
        <v>27389065</v>
      </c>
      <c r="Y449" s="3">
        <f t="shared" si="81"/>
        <v>446</v>
      </c>
      <c r="Z449" s="3">
        <f t="shared" si="82"/>
        <v>1258236397112</v>
      </c>
      <c r="AA449" s="7"/>
      <c r="AB449" s="7">
        <f t="shared" si="83"/>
        <v>13040</v>
      </c>
    </row>
    <row r="450" spans="6:28" x14ac:dyDescent="0.15">
      <c r="F450">
        <f t="shared" si="73"/>
        <v>64</v>
      </c>
      <c r="G450">
        <v>447</v>
      </c>
      <c r="H450">
        <f t="shared" si="74"/>
        <v>9568431269287.7988</v>
      </c>
      <c r="I450">
        <f t="shared" si="75"/>
        <v>9568431269288</v>
      </c>
      <c r="J450" s="1">
        <f t="shared" si="76"/>
        <v>1</v>
      </c>
      <c r="K450" s="1">
        <f t="shared" si="77"/>
        <v>9568431269288</v>
      </c>
      <c r="L450" s="1">
        <f t="shared" si="78"/>
        <v>3112929639608.3623</v>
      </c>
      <c r="M450" s="3">
        <f t="shared" si="79"/>
        <v>476338.85860336584</v>
      </c>
      <c r="N450" s="7">
        <f t="shared" si="84"/>
        <v>3112929639608</v>
      </c>
      <c r="O450" s="7">
        <f t="shared" si="80"/>
        <v>476338</v>
      </c>
      <c r="P450" s="3">
        <f>SUM($O$4:O450)</f>
        <v>27865403</v>
      </c>
      <c r="Y450" s="3">
        <f t="shared" si="81"/>
        <v>447</v>
      </c>
      <c r="Z450" s="3">
        <f t="shared" si="82"/>
        <v>1324110432701</v>
      </c>
      <c r="AA450" s="7"/>
      <c r="AB450" s="7">
        <f t="shared" si="83"/>
        <v>13040</v>
      </c>
    </row>
    <row r="451" spans="6:28" x14ac:dyDescent="0.15">
      <c r="F451">
        <f t="shared" si="73"/>
        <v>64</v>
      </c>
      <c r="G451">
        <v>448</v>
      </c>
      <c r="H451">
        <f t="shared" si="74"/>
        <v>9568431269287.7988</v>
      </c>
      <c r="I451">
        <f t="shared" si="75"/>
        <v>9568431269288</v>
      </c>
      <c r="J451" s="1">
        <f t="shared" si="76"/>
        <v>7</v>
      </c>
      <c r="K451" s="1">
        <f t="shared" si="77"/>
        <v>66979018885016</v>
      </c>
      <c r="L451" s="1">
        <f t="shared" si="78"/>
        <v>21790507477258.539</v>
      </c>
      <c r="M451" s="3">
        <f t="shared" si="79"/>
        <v>3334372.010223561</v>
      </c>
      <c r="N451" s="7">
        <f t="shared" si="84"/>
        <v>21790507477259</v>
      </c>
      <c r="O451" s="7">
        <f t="shared" si="80"/>
        <v>3334372</v>
      </c>
      <c r="P451" s="3">
        <f>SUM($O$4:O451)</f>
        <v>31199775</v>
      </c>
      <c r="Y451" s="3">
        <f t="shared" si="81"/>
        <v>448</v>
      </c>
      <c r="Z451" s="3">
        <f t="shared" si="82"/>
        <v>1393426280856</v>
      </c>
      <c r="AA451" s="7"/>
      <c r="AB451" s="7">
        <f t="shared" si="83"/>
        <v>13040</v>
      </c>
    </row>
    <row r="452" spans="6:28" x14ac:dyDescent="0.15">
      <c r="F452">
        <f t="shared" si="73"/>
        <v>65</v>
      </c>
      <c r="G452">
        <v>449</v>
      </c>
      <c r="H452">
        <f t="shared" si="74"/>
        <v>15022437092781.848</v>
      </c>
      <c r="I452">
        <f t="shared" si="75"/>
        <v>15022437092782</v>
      </c>
      <c r="J452" s="1">
        <f t="shared" si="76"/>
        <v>1</v>
      </c>
      <c r="K452" s="1">
        <f t="shared" si="77"/>
        <v>15022437092782</v>
      </c>
      <c r="L452" s="1">
        <f t="shared" si="78"/>
        <v>4932366845463.4238</v>
      </c>
      <c r="M452" s="3">
        <f t="shared" si="79"/>
        <v>580575.5263927863</v>
      </c>
      <c r="N452" s="7">
        <f t="shared" si="84"/>
        <v>4932366845463</v>
      </c>
      <c r="O452" s="7">
        <f t="shared" si="80"/>
        <v>580575</v>
      </c>
      <c r="P452" s="3">
        <f>SUM($O$4:O452)</f>
        <v>31780350</v>
      </c>
      <c r="Y452" s="3">
        <f t="shared" si="81"/>
        <v>449</v>
      </c>
      <c r="Z452" s="3">
        <f t="shared" si="82"/>
        <v>1466363437745</v>
      </c>
      <c r="AA452" s="7"/>
      <c r="AB452" s="7">
        <f t="shared" si="83"/>
        <v>13040</v>
      </c>
    </row>
    <row r="453" spans="6:28" x14ac:dyDescent="0.15">
      <c r="F453">
        <f t="shared" ref="F453:F516" si="85">ROUNDUP(G453/$C$4,0)</f>
        <v>65</v>
      </c>
      <c r="G453">
        <v>450</v>
      </c>
      <c r="H453">
        <f t="shared" ref="H453:H516" si="86">18.5*1.57^MIN(F453,156)*1.17^MAX(F453-156,0)*$C$5</f>
        <v>15022437092781.848</v>
      </c>
      <c r="I453">
        <f t="shared" ref="I453:I516" si="87">ROUND(H453,0)</f>
        <v>15022437092782</v>
      </c>
      <c r="J453" s="1">
        <f t="shared" ref="J453:J516" si="88">IF(F453=F454,1,LOOKUP(MOD(F453,5),$D$6:$D$10,$C$6:$C$10))</f>
        <v>1</v>
      </c>
      <c r="K453" s="1">
        <f t="shared" ref="K453:K516" si="89">J453*I453</f>
        <v>15022437092782</v>
      </c>
      <c r="L453" s="1">
        <f t="shared" ref="L453:L516" si="90">K453*(0.02+0.00045*F453)/$C$5</f>
        <v>4932366845463.4238</v>
      </c>
      <c r="M453" s="3">
        <f t="shared" ref="M453:M516" si="91">L453/(1.3^F453)*3</f>
        <v>580575.5263927863</v>
      </c>
      <c r="N453" s="7">
        <f t="shared" si="84"/>
        <v>4932366845463</v>
      </c>
      <c r="O453" s="7">
        <f t="shared" ref="O453:O516" si="92">ROUNDDOWN(M453,0)</f>
        <v>580575</v>
      </c>
      <c r="P453" s="3">
        <f>SUM($O$4:O453)</f>
        <v>32360925</v>
      </c>
      <c r="Y453" s="3">
        <f t="shared" ref="Y453:Y516" si="93">G453</f>
        <v>450</v>
      </c>
      <c r="Z453" s="3">
        <f t="shared" ref="Z453:Z516" si="94">ROUND(1.05^Y453*Y453,0)</f>
        <v>1543110744620</v>
      </c>
      <c r="AA453" s="7"/>
      <c r="AB453" s="7">
        <f t="shared" ref="AB453:AB516" si="95">LOOKUP(Y453,T:T,P:P)</f>
        <v>13040</v>
      </c>
    </row>
    <row r="454" spans="6:28" x14ac:dyDescent="0.15">
      <c r="F454">
        <f t="shared" si="85"/>
        <v>65</v>
      </c>
      <c r="G454">
        <v>451</v>
      </c>
      <c r="H454">
        <f t="shared" si="86"/>
        <v>15022437092781.848</v>
      </c>
      <c r="I454">
        <f t="shared" si="87"/>
        <v>15022437092782</v>
      </c>
      <c r="J454" s="1">
        <f t="shared" si="88"/>
        <v>1</v>
      </c>
      <c r="K454" s="1">
        <f t="shared" si="89"/>
        <v>15022437092782</v>
      </c>
      <c r="L454" s="1">
        <f t="shared" si="90"/>
        <v>4932366845463.4238</v>
      </c>
      <c r="M454" s="3">
        <f t="shared" si="91"/>
        <v>580575.5263927863</v>
      </c>
      <c r="N454" s="7">
        <f t="shared" si="84"/>
        <v>4932366845463</v>
      </c>
      <c r="O454" s="7">
        <f t="shared" si="92"/>
        <v>580575</v>
      </c>
      <c r="P454" s="3">
        <f>SUM($O$4:O454)</f>
        <v>32941500</v>
      </c>
      <c r="Y454" s="3">
        <f t="shared" si="93"/>
        <v>451</v>
      </c>
      <c r="Z454" s="3">
        <f t="shared" si="94"/>
        <v>1623866873588</v>
      </c>
      <c r="AA454" s="7"/>
      <c r="AB454" s="7">
        <f t="shared" si="95"/>
        <v>13040</v>
      </c>
    </row>
    <row r="455" spans="6:28" x14ac:dyDescent="0.15">
      <c r="F455">
        <f t="shared" si="85"/>
        <v>65</v>
      </c>
      <c r="G455">
        <v>452</v>
      </c>
      <c r="H455">
        <f t="shared" si="86"/>
        <v>15022437092781.848</v>
      </c>
      <c r="I455">
        <f t="shared" si="87"/>
        <v>15022437092782</v>
      </c>
      <c r="J455" s="1">
        <f t="shared" si="88"/>
        <v>1</v>
      </c>
      <c r="K455" s="1">
        <f t="shared" si="89"/>
        <v>15022437092782</v>
      </c>
      <c r="L455" s="1">
        <f t="shared" si="90"/>
        <v>4932366845463.4238</v>
      </c>
      <c r="M455" s="3">
        <f t="shared" si="91"/>
        <v>580575.5263927863</v>
      </c>
      <c r="N455" s="7">
        <f t="shared" si="84"/>
        <v>4932366845463</v>
      </c>
      <c r="O455" s="7">
        <f t="shared" si="92"/>
        <v>580575</v>
      </c>
      <c r="P455" s="3">
        <f>SUM($O$4:O455)</f>
        <v>33522075</v>
      </c>
      <c r="Y455" s="3">
        <f t="shared" si="93"/>
        <v>452</v>
      </c>
      <c r="Z455" s="3">
        <f t="shared" si="94"/>
        <v>1708840838592</v>
      </c>
      <c r="AA455" s="7"/>
      <c r="AB455" s="7">
        <f t="shared" si="95"/>
        <v>13040</v>
      </c>
    </row>
    <row r="456" spans="6:28" x14ac:dyDescent="0.15">
      <c r="F456">
        <f t="shared" si="85"/>
        <v>65</v>
      </c>
      <c r="G456">
        <v>453</v>
      </c>
      <c r="H456">
        <f t="shared" si="86"/>
        <v>15022437092781.848</v>
      </c>
      <c r="I456">
        <f t="shared" si="87"/>
        <v>15022437092782</v>
      </c>
      <c r="J456" s="1">
        <f t="shared" si="88"/>
        <v>1</v>
      </c>
      <c r="K456" s="1">
        <f t="shared" si="89"/>
        <v>15022437092782</v>
      </c>
      <c r="L456" s="1">
        <f t="shared" si="90"/>
        <v>4932366845463.4238</v>
      </c>
      <c r="M456" s="3">
        <f t="shared" si="91"/>
        <v>580575.5263927863</v>
      </c>
      <c r="N456" s="7">
        <f t="shared" ref="N456:N519" si="96">ROUND(L456,0)</f>
        <v>4932366845463</v>
      </c>
      <c r="O456" s="7">
        <f t="shared" si="92"/>
        <v>580575</v>
      </c>
      <c r="P456" s="3">
        <f>SUM($O$4:O456)</f>
        <v>34102650</v>
      </c>
      <c r="Y456" s="3">
        <f t="shared" si="93"/>
        <v>453</v>
      </c>
      <c r="Z456" s="3">
        <f t="shared" si="94"/>
        <v>1798252532912</v>
      </c>
      <c r="AA456" s="7"/>
      <c r="AB456" s="7">
        <f t="shared" si="95"/>
        <v>13040</v>
      </c>
    </row>
    <row r="457" spans="6:28" x14ac:dyDescent="0.15">
      <c r="F457">
        <f t="shared" si="85"/>
        <v>65</v>
      </c>
      <c r="G457">
        <v>454</v>
      </c>
      <c r="H457">
        <f t="shared" si="86"/>
        <v>15022437092781.848</v>
      </c>
      <c r="I457">
        <f t="shared" si="87"/>
        <v>15022437092782</v>
      </c>
      <c r="J457" s="1">
        <f t="shared" si="88"/>
        <v>1</v>
      </c>
      <c r="K457" s="1">
        <f t="shared" si="89"/>
        <v>15022437092782</v>
      </c>
      <c r="L457" s="1">
        <f t="shared" si="90"/>
        <v>4932366845463.4238</v>
      </c>
      <c r="M457" s="3">
        <f t="shared" si="91"/>
        <v>580575.5263927863</v>
      </c>
      <c r="N457" s="7">
        <f t="shared" si="96"/>
        <v>4932366845463</v>
      </c>
      <c r="O457" s="7">
        <f t="shared" si="92"/>
        <v>580575</v>
      </c>
      <c r="P457" s="3">
        <f>SUM($O$4:O457)</f>
        <v>34683225</v>
      </c>
      <c r="Y457" s="3">
        <f t="shared" si="93"/>
        <v>454</v>
      </c>
      <c r="Z457" s="3">
        <f t="shared" si="94"/>
        <v>1892333294568</v>
      </c>
      <c r="AA457" s="7"/>
      <c r="AB457" s="7">
        <f t="shared" si="95"/>
        <v>13040</v>
      </c>
    </row>
    <row r="458" spans="6:28" x14ac:dyDescent="0.15">
      <c r="F458">
        <f t="shared" si="85"/>
        <v>65</v>
      </c>
      <c r="G458">
        <v>455</v>
      </c>
      <c r="H458">
        <f t="shared" si="86"/>
        <v>15022437092781.848</v>
      </c>
      <c r="I458">
        <f t="shared" si="87"/>
        <v>15022437092782</v>
      </c>
      <c r="J458" s="1">
        <f t="shared" si="88"/>
        <v>10</v>
      </c>
      <c r="K458" s="1">
        <f t="shared" si="89"/>
        <v>150224370927820</v>
      </c>
      <c r="L458" s="1">
        <f t="shared" si="90"/>
        <v>49323668454634.242</v>
      </c>
      <c r="M458" s="3">
        <f t="shared" si="91"/>
        <v>5805755.2639278639</v>
      </c>
      <c r="N458" s="7">
        <f t="shared" si="96"/>
        <v>49323668454634</v>
      </c>
      <c r="O458" s="7">
        <f t="shared" si="92"/>
        <v>5805755</v>
      </c>
      <c r="P458" s="3">
        <f>SUM($O$4:O458)</f>
        <v>40488980</v>
      </c>
      <c r="Y458" s="3">
        <f t="shared" si="93"/>
        <v>455</v>
      </c>
      <c r="Z458" s="3">
        <f t="shared" si="94"/>
        <v>1991326501057</v>
      </c>
      <c r="AA458" s="7"/>
      <c r="AB458" s="7">
        <f t="shared" si="95"/>
        <v>13040</v>
      </c>
    </row>
    <row r="459" spans="6:28" x14ac:dyDescent="0.15">
      <c r="F459">
        <f t="shared" si="85"/>
        <v>66</v>
      </c>
      <c r="G459">
        <v>456</v>
      </c>
      <c r="H459">
        <f t="shared" si="86"/>
        <v>23585226235667.496</v>
      </c>
      <c r="I459">
        <f t="shared" si="87"/>
        <v>23585226235668</v>
      </c>
      <c r="J459" s="1">
        <f t="shared" si="88"/>
        <v>1</v>
      </c>
      <c r="K459" s="1">
        <f t="shared" si="89"/>
        <v>23585226235668</v>
      </c>
      <c r="L459" s="1">
        <f t="shared" si="90"/>
        <v>7814571626084.665</v>
      </c>
      <c r="M459" s="3">
        <f t="shared" si="91"/>
        <v>707563.10423901945</v>
      </c>
      <c r="N459" s="7">
        <f t="shared" si="96"/>
        <v>7814571626085</v>
      </c>
      <c r="O459" s="7">
        <f t="shared" si="92"/>
        <v>707563</v>
      </c>
      <c r="P459" s="3">
        <f>SUM($O$4:O459)</f>
        <v>41196543</v>
      </c>
      <c r="Y459" s="3">
        <f t="shared" si="93"/>
        <v>456</v>
      </c>
      <c r="Z459" s="3">
        <f t="shared" si="94"/>
        <v>2095488194958</v>
      </c>
      <c r="AA459" s="7"/>
      <c r="AB459" s="7">
        <f t="shared" si="95"/>
        <v>13040</v>
      </c>
    </row>
    <row r="460" spans="6:28" x14ac:dyDescent="0.15">
      <c r="F460">
        <f t="shared" si="85"/>
        <v>66</v>
      </c>
      <c r="G460">
        <v>457</v>
      </c>
      <c r="H460">
        <f t="shared" si="86"/>
        <v>23585226235667.496</v>
      </c>
      <c r="I460">
        <f t="shared" si="87"/>
        <v>23585226235668</v>
      </c>
      <c r="J460" s="1">
        <f t="shared" si="88"/>
        <v>1</v>
      </c>
      <c r="K460" s="1">
        <f t="shared" si="89"/>
        <v>23585226235668</v>
      </c>
      <c r="L460" s="1">
        <f t="shared" si="90"/>
        <v>7814571626084.665</v>
      </c>
      <c r="M460" s="3">
        <f t="shared" si="91"/>
        <v>707563.10423901945</v>
      </c>
      <c r="N460" s="7">
        <f t="shared" si="96"/>
        <v>7814571626085</v>
      </c>
      <c r="O460" s="7">
        <f t="shared" si="92"/>
        <v>707563</v>
      </c>
      <c r="P460" s="3">
        <f>SUM($O$4:O460)</f>
        <v>41904106</v>
      </c>
      <c r="Y460" s="3">
        <f t="shared" si="93"/>
        <v>457</v>
      </c>
      <c r="Z460" s="3">
        <f t="shared" si="94"/>
        <v>2205087741997</v>
      </c>
      <c r="AA460" s="7"/>
      <c r="AB460" s="7">
        <f t="shared" si="95"/>
        <v>13040</v>
      </c>
    </row>
    <row r="461" spans="6:28" x14ac:dyDescent="0.15">
      <c r="F461">
        <f t="shared" si="85"/>
        <v>66</v>
      </c>
      <c r="G461">
        <v>458</v>
      </c>
      <c r="H461">
        <f t="shared" si="86"/>
        <v>23585226235667.496</v>
      </c>
      <c r="I461">
        <f t="shared" si="87"/>
        <v>23585226235668</v>
      </c>
      <c r="J461" s="1">
        <f t="shared" si="88"/>
        <v>1</v>
      </c>
      <c r="K461" s="1">
        <f t="shared" si="89"/>
        <v>23585226235668</v>
      </c>
      <c r="L461" s="1">
        <f t="shared" si="90"/>
        <v>7814571626084.665</v>
      </c>
      <c r="M461" s="3">
        <f t="shared" si="91"/>
        <v>707563.10423901945</v>
      </c>
      <c r="N461" s="7">
        <f t="shared" si="96"/>
        <v>7814571626085</v>
      </c>
      <c r="O461" s="7">
        <f t="shared" si="92"/>
        <v>707563</v>
      </c>
      <c r="P461" s="3">
        <f>SUM($O$4:O461)</f>
        <v>42611669</v>
      </c>
      <c r="Y461" s="3">
        <f t="shared" si="93"/>
        <v>458</v>
      </c>
      <c r="Z461" s="3">
        <f t="shared" si="94"/>
        <v>2320408523253</v>
      </c>
      <c r="AA461" s="7"/>
      <c r="AB461" s="7">
        <f t="shared" si="95"/>
        <v>13040</v>
      </c>
    </row>
    <row r="462" spans="6:28" x14ac:dyDescent="0.15">
      <c r="F462">
        <f t="shared" si="85"/>
        <v>66</v>
      </c>
      <c r="G462">
        <v>459</v>
      </c>
      <c r="H462">
        <f t="shared" si="86"/>
        <v>23585226235667.496</v>
      </c>
      <c r="I462">
        <f t="shared" si="87"/>
        <v>23585226235668</v>
      </c>
      <c r="J462" s="1">
        <f t="shared" si="88"/>
        <v>1</v>
      </c>
      <c r="K462" s="1">
        <f t="shared" si="89"/>
        <v>23585226235668</v>
      </c>
      <c r="L462" s="1">
        <f t="shared" si="90"/>
        <v>7814571626084.665</v>
      </c>
      <c r="M462" s="3">
        <f t="shared" si="91"/>
        <v>707563.10423901945</v>
      </c>
      <c r="N462" s="7">
        <f t="shared" si="96"/>
        <v>7814571626085</v>
      </c>
      <c r="O462" s="7">
        <f t="shared" si="92"/>
        <v>707563</v>
      </c>
      <c r="P462" s="3">
        <f>SUM($O$4:O462)</f>
        <v>43319232</v>
      </c>
      <c r="Y462" s="3">
        <f t="shared" si="93"/>
        <v>459</v>
      </c>
      <c r="Z462" s="3">
        <f t="shared" si="94"/>
        <v>2441748663279</v>
      </c>
      <c r="AA462" s="7"/>
      <c r="AB462" s="7">
        <f t="shared" si="95"/>
        <v>13040</v>
      </c>
    </row>
    <row r="463" spans="6:28" x14ac:dyDescent="0.15">
      <c r="F463">
        <f t="shared" si="85"/>
        <v>66</v>
      </c>
      <c r="G463">
        <v>460</v>
      </c>
      <c r="H463">
        <f t="shared" si="86"/>
        <v>23585226235667.496</v>
      </c>
      <c r="I463">
        <f t="shared" si="87"/>
        <v>23585226235668</v>
      </c>
      <c r="J463" s="1">
        <f t="shared" si="88"/>
        <v>1</v>
      </c>
      <c r="K463" s="1">
        <f t="shared" si="89"/>
        <v>23585226235668</v>
      </c>
      <c r="L463" s="1">
        <f t="shared" si="90"/>
        <v>7814571626084.665</v>
      </c>
      <c r="M463" s="3">
        <f t="shared" si="91"/>
        <v>707563.10423901945</v>
      </c>
      <c r="N463" s="7">
        <f t="shared" si="96"/>
        <v>7814571626085</v>
      </c>
      <c r="O463" s="7">
        <f t="shared" si="92"/>
        <v>707563</v>
      </c>
      <c r="P463" s="3">
        <f>SUM($O$4:O463)</f>
        <v>44026795</v>
      </c>
      <c r="Y463" s="3">
        <f t="shared" si="93"/>
        <v>460</v>
      </c>
      <c r="Z463" s="3">
        <f t="shared" si="94"/>
        <v>2569421795999</v>
      </c>
      <c r="AA463" s="7"/>
      <c r="AB463" s="7">
        <f t="shared" si="95"/>
        <v>13040</v>
      </c>
    </row>
    <row r="464" spans="6:28" x14ac:dyDescent="0.15">
      <c r="F464">
        <f t="shared" si="85"/>
        <v>66</v>
      </c>
      <c r="G464">
        <v>461</v>
      </c>
      <c r="H464">
        <f t="shared" si="86"/>
        <v>23585226235667.496</v>
      </c>
      <c r="I464">
        <f t="shared" si="87"/>
        <v>23585226235668</v>
      </c>
      <c r="J464" s="1">
        <f t="shared" si="88"/>
        <v>1</v>
      </c>
      <c r="K464" s="1">
        <f t="shared" si="89"/>
        <v>23585226235668</v>
      </c>
      <c r="L464" s="1">
        <f t="shared" si="90"/>
        <v>7814571626084.665</v>
      </c>
      <c r="M464" s="3">
        <f t="shared" si="91"/>
        <v>707563.10423901945</v>
      </c>
      <c r="N464" s="7">
        <f t="shared" si="96"/>
        <v>7814571626085</v>
      </c>
      <c r="O464" s="7">
        <f t="shared" si="92"/>
        <v>707563</v>
      </c>
      <c r="P464" s="3">
        <f>SUM($O$4:O464)</f>
        <v>44734358</v>
      </c>
      <c r="Y464" s="3">
        <f t="shared" si="93"/>
        <v>461</v>
      </c>
      <c r="Z464" s="3">
        <f t="shared" si="94"/>
        <v>2703757870333</v>
      </c>
      <c r="AA464" s="7"/>
      <c r="AB464" s="7">
        <f t="shared" si="95"/>
        <v>13040</v>
      </c>
    </row>
    <row r="465" spans="6:28" x14ac:dyDescent="0.15">
      <c r="F465">
        <f t="shared" si="85"/>
        <v>66</v>
      </c>
      <c r="G465">
        <v>462</v>
      </c>
      <c r="H465">
        <f t="shared" si="86"/>
        <v>23585226235667.496</v>
      </c>
      <c r="I465">
        <f t="shared" si="87"/>
        <v>23585226235668</v>
      </c>
      <c r="J465" s="1">
        <f t="shared" si="88"/>
        <v>2</v>
      </c>
      <c r="K465" s="1">
        <f t="shared" si="89"/>
        <v>47170452471336</v>
      </c>
      <c r="L465" s="1">
        <f t="shared" si="90"/>
        <v>15629143252169.33</v>
      </c>
      <c r="M465" s="3">
        <f t="shared" si="91"/>
        <v>1415126.2084780389</v>
      </c>
      <c r="N465" s="7">
        <f t="shared" si="96"/>
        <v>15629143252169</v>
      </c>
      <c r="O465" s="7">
        <f t="shared" si="92"/>
        <v>1415126</v>
      </c>
      <c r="P465" s="3">
        <f>SUM($O$4:O465)</f>
        <v>46149484</v>
      </c>
      <c r="Y465" s="3">
        <f t="shared" si="93"/>
        <v>462</v>
      </c>
      <c r="Z465" s="3">
        <f t="shared" si="94"/>
        <v>2845103997611</v>
      </c>
      <c r="AA465" s="7"/>
      <c r="AB465" s="7">
        <f t="shared" si="95"/>
        <v>13040</v>
      </c>
    </row>
    <row r="466" spans="6:28" x14ac:dyDescent="0.15">
      <c r="F466">
        <f t="shared" si="85"/>
        <v>67</v>
      </c>
      <c r="G466">
        <v>463</v>
      </c>
      <c r="H466">
        <f t="shared" si="86"/>
        <v>37028805189997.969</v>
      </c>
      <c r="I466">
        <f t="shared" si="87"/>
        <v>37028805189998</v>
      </c>
      <c r="J466" s="1">
        <f t="shared" si="88"/>
        <v>1</v>
      </c>
      <c r="K466" s="1">
        <f t="shared" si="89"/>
        <v>37028805189998</v>
      </c>
      <c r="L466" s="1">
        <f t="shared" si="90"/>
        <v>12379963868522.664</v>
      </c>
      <c r="M466" s="3">
        <f t="shared" si="91"/>
        <v>862255.60739529727</v>
      </c>
      <c r="N466" s="7">
        <f t="shared" si="96"/>
        <v>12379963868523</v>
      </c>
      <c r="O466" s="7">
        <f t="shared" si="92"/>
        <v>862255</v>
      </c>
      <c r="P466" s="3">
        <f>SUM($O$4:O466)</f>
        <v>47011739</v>
      </c>
      <c r="Y466" s="3">
        <f t="shared" si="93"/>
        <v>463</v>
      </c>
      <c r="Z466" s="3">
        <f t="shared" si="94"/>
        <v>2993825342941</v>
      </c>
      <c r="AA466" s="7"/>
      <c r="AB466" s="7">
        <f t="shared" si="95"/>
        <v>13040</v>
      </c>
    </row>
    <row r="467" spans="6:28" x14ac:dyDescent="0.15">
      <c r="F467">
        <f t="shared" si="85"/>
        <v>67</v>
      </c>
      <c r="G467">
        <v>464</v>
      </c>
      <c r="H467">
        <f t="shared" si="86"/>
        <v>37028805189997.969</v>
      </c>
      <c r="I467">
        <f t="shared" si="87"/>
        <v>37028805189998</v>
      </c>
      <c r="J467" s="1">
        <f t="shared" si="88"/>
        <v>1</v>
      </c>
      <c r="K467" s="1">
        <f t="shared" si="89"/>
        <v>37028805189998</v>
      </c>
      <c r="L467" s="1">
        <f t="shared" si="90"/>
        <v>12379963868522.664</v>
      </c>
      <c r="M467" s="3">
        <f t="shared" si="91"/>
        <v>862255.60739529727</v>
      </c>
      <c r="N467" s="7">
        <f t="shared" si="96"/>
        <v>12379963868523</v>
      </c>
      <c r="O467" s="7">
        <f t="shared" si="92"/>
        <v>862255</v>
      </c>
      <c r="P467" s="3">
        <f>SUM($O$4:O467)</f>
        <v>47873994</v>
      </c>
      <c r="Y467" s="3">
        <f t="shared" si="93"/>
        <v>464</v>
      </c>
      <c r="Z467" s="3">
        <f t="shared" si="94"/>
        <v>3150306062809</v>
      </c>
      <c r="AA467" s="7"/>
      <c r="AB467" s="7">
        <f t="shared" si="95"/>
        <v>13040</v>
      </c>
    </row>
    <row r="468" spans="6:28" x14ac:dyDescent="0.15">
      <c r="F468">
        <f t="shared" si="85"/>
        <v>67</v>
      </c>
      <c r="G468">
        <v>465</v>
      </c>
      <c r="H468">
        <f t="shared" si="86"/>
        <v>37028805189997.969</v>
      </c>
      <c r="I468">
        <f t="shared" si="87"/>
        <v>37028805189998</v>
      </c>
      <c r="J468" s="1">
        <f t="shared" si="88"/>
        <v>1</v>
      </c>
      <c r="K468" s="1">
        <f t="shared" si="89"/>
        <v>37028805189998</v>
      </c>
      <c r="L468" s="1">
        <f t="shared" si="90"/>
        <v>12379963868522.664</v>
      </c>
      <c r="M468" s="3">
        <f t="shared" si="91"/>
        <v>862255.60739529727</v>
      </c>
      <c r="N468" s="7">
        <f t="shared" si="96"/>
        <v>12379963868523</v>
      </c>
      <c r="O468" s="7">
        <f t="shared" si="92"/>
        <v>862255</v>
      </c>
      <c r="P468" s="3">
        <f>SUM($O$4:O468)</f>
        <v>48736249</v>
      </c>
      <c r="Y468" s="3">
        <f t="shared" si="93"/>
        <v>465</v>
      </c>
      <c r="Z468" s="3">
        <f t="shared" si="94"/>
        <v>3314950291307</v>
      </c>
      <c r="AA468" s="7"/>
      <c r="AB468" s="7">
        <f t="shared" si="95"/>
        <v>13040</v>
      </c>
    </row>
    <row r="469" spans="6:28" x14ac:dyDescent="0.15">
      <c r="F469">
        <f t="shared" si="85"/>
        <v>67</v>
      </c>
      <c r="G469">
        <v>466</v>
      </c>
      <c r="H469">
        <f t="shared" si="86"/>
        <v>37028805189997.969</v>
      </c>
      <c r="I469">
        <f t="shared" si="87"/>
        <v>37028805189998</v>
      </c>
      <c r="J469" s="1">
        <f t="shared" si="88"/>
        <v>1</v>
      </c>
      <c r="K469" s="1">
        <f t="shared" si="89"/>
        <v>37028805189998</v>
      </c>
      <c r="L469" s="1">
        <f t="shared" si="90"/>
        <v>12379963868522.664</v>
      </c>
      <c r="M469" s="3">
        <f t="shared" si="91"/>
        <v>862255.60739529727</v>
      </c>
      <c r="N469" s="7">
        <f t="shared" si="96"/>
        <v>12379963868523</v>
      </c>
      <c r="O469" s="7">
        <f t="shared" si="92"/>
        <v>862255</v>
      </c>
      <c r="P469" s="3">
        <f>SUM($O$4:O469)</f>
        <v>49598504</v>
      </c>
      <c r="Y469" s="3">
        <f t="shared" si="93"/>
        <v>466</v>
      </c>
      <c r="Z469" s="3">
        <f t="shared" si="94"/>
        <v>3488183177498</v>
      </c>
      <c r="AA469" s="7"/>
      <c r="AB469" s="7">
        <f t="shared" si="95"/>
        <v>13040</v>
      </c>
    </row>
    <row r="470" spans="6:28" x14ac:dyDescent="0.15">
      <c r="F470">
        <f t="shared" si="85"/>
        <v>67</v>
      </c>
      <c r="G470">
        <v>467</v>
      </c>
      <c r="H470">
        <f t="shared" si="86"/>
        <v>37028805189997.969</v>
      </c>
      <c r="I470">
        <f t="shared" si="87"/>
        <v>37028805189998</v>
      </c>
      <c r="J470" s="1">
        <f t="shared" si="88"/>
        <v>1</v>
      </c>
      <c r="K470" s="1">
        <f t="shared" si="89"/>
        <v>37028805189998</v>
      </c>
      <c r="L470" s="1">
        <f t="shared" si="90"/>
        <v>12379963868522.664</v>
      </c>
      <c r="M470" s="3">
        <f t="shared" si="91"/>
        <v>862255.60739529727</v>
      </c>
      <c r="N470" s="7">
        <f t="shared" si="96"/>
        <v>12379963868523</v>
      </c>
      <c r="O470" s="7">
        <f t="shared" si="92"/>
        <v>862255</v>
      </c>
      <c r="P470" s="3">
        <f>SUM($O$4:O470)</f>
        <v>50460759</v>
      </c>
      <c r="Y470" s="3">
        <f t="shared" si="93"/>
        <v>467</v>
      </c>
      <c r="Z470" s="3">
        <f t="shared" si="94"/>
        <v>3670451976580</v>
      </c>
      <c r="AA470" s="7"/>
      <c r="AB470" s="7">
        <f t="shared" si="95"/>
        <v>13040</v>
      </c>
    </row>
    <row r="471" spans="6:28" x14ac:dyDescent="0.15">
      <c r="F471">
        <f t="shared" si="85"/>
        <v>67</v>
      </c>
      <c r="G471">
        <v>468</v>
      </c>
      <c r="H471">
        <f t="shared" si="86"/>
        <v>37028805189997.969</v>
      </c>
      <c r="I471">
        <f t="shared" si="87"/>
        <v>37028805189998</v>
      </c>
      <c r="J471" s="1">
        <f t="shared" si="88"/>
        <v>1</v>
      </c>
      <c r="K471" s="1">
        <f t="shared" si="89"/>
        <v>37028805189998</v>
      </c>
      <c r="L471" s="1">
        <f t="shared" si="90"/>
        <v>12379963868522.664</v>
      </c>
      <c r="M471" s="3">
        <f t="shared" si="91"/>
        <v>862255.60739529727</v>
      </c>
      <c r="N471" s="7">
        <f t="shared" si="96"/>
        <v>12379963868523</v>
      </c>
      <c r="O471" s="7">
        <f t="shared" si="92"/>
        <v>862255</v>
      </c>
      <c r="P471" s="3">
        <f>SUM($O$4:O471)</f>
        <v>51323014</v>
      </c>
      <c r="Y471" s="3">
        <f t="shared" si="93"/>
        <v>468</v>
      </c>
      <c r="Z471" s="3">
        <f t="shared" si="94"/>
        <v>3862227197626</v>
      </c>
      <c r="AA471" s="7"/>
      <c r="AB471" s="7">
        <f t="shared" si="95"/>
        <v>13040</v>
      </c>
    </row>
    <row r="472" spans="6:28" x14ac:dyDescent="0.15">
      <c r="F472">
        <f t="shared" si="85"/>
        <v>67</v>
      </c>
      <c r="G472">
        <v>469</v>
      </c>
      <c r="H472">
        <f t="shared" si="86"/>
        <v>37028805189997.969</v>
      </c>
      <c r="I472">
        <f t="shared" si="87"/>
        <v>37028805189998</v>
      </c>
      <c r="J472" s="1">
        <f t="shared" si="88"/>
        <v>4</v>
      </c>
      <c r="K472" s="1">
        <f t="shared" si="89"/>
        <v>148115220759992</v>
      </c>
      <c r="L472" s="1">
        <f t="shared" si="90"/>
        <v>49519855474090.656</v>
      </c>
      <c r="M472" s="3">
        <f t="shared" si="91"/>
        <v>3449022.4295811891</v>
      </c>
      <c r="N472" s="7">
        <f t="shared" si="96"/>
        <v>49519855474091</v>
      </c>
      <c r="O472" s="7">
        <f t="shared" si="92"/>
        <v>3449022</v>
      </c>
      <c r="P472" s="3">
        <f>SUM($O$4:O472)</f>
        <v>54772036</v>
      </c>
      <c r="Y472" s="3">
        <f t="shared" si="93"/>
        <v>469</v>
      </c>
      <c r="Z472" s="3">
        <f t="shared" si="94"/>
        <v>4064003810836</v>
      </c>
      <c r="AA472" s="7"/>
      <c r="AB472" s="7">
        <f t="shared" si="95"/>
        <v>13040</v>
      </c>
    </row>
    <row r="473" spans="6:28" x14ac:dyDescent="0.15">
      <c r="F473">
        <f t="shared" si="85"/>
        <v>68</v>
      </c>
      <c r="G473">
        <v>470</v>
      </c>
      <c r="H473">
        <f t="shared" si="86"/>
        <v>58135224148296.82</v>
      </c>
      <c r="I473">
        <f t="shared" si="87"/>
        <v>58135224148297</v>
      </c>
      <c r="J473" s="1">
        <f t="shared" si="88"/>
        <v>1</v>
      </c>
      <c r="K473" s="1">
        <f t="shared" si="89"/>
        <v>58135224148297</v>
      </c>
      <c r="L473" s="1">
        <f t="shared" si="90"/>
        <v>19610948946025.523</v>
      </c>
      <c r="M473" s="3">
        <f t="shared" si="91"/>
        <v>1050683.487425376</v>
      </c>
      <c r="N473" s="7">
        <f t="shared" si="96"/>
        <v>19610948946026</v>
      </c>
      <c r="O473" s="7">
        <f t="shared" si="92"/>
        <v>1050683</v>
      </c>
      <c r="P473" s="3">
        <f>SUM($O$4:O473)</f>
        <v>55822719</v>
      </c>
      <c r="Y473" s="3">
        <f t="shared" si="93"/>
        <v>470</v>
      </c>
      <c r="Z473" s="3">
        <f t="shared" si="94"/>
        <v>4276302517372</v>
      </c>
      <c r="AA473" s="7"/>
      <c r="AB473" s="7">
        <f t="shared" si="95"/>
        <v>13040</v>
      </c>
    </row>
    <row r="474" spans="6:28" x14ac:dyDescent="0.15">
      <c r="F474">
        <f t="shared" si="85"/>
        <v>68</v>
      </c>
      <c r="G474">
        <v>471</v>
      </c>
      <c r="H474">
        <f t="shared" si="86"/>
        <v>58135224148296.82</v>
      </c>
      <c r="I474">
        <f t="shared" si="87"/>
        <v>58135224148297</v>
      </c>
      <c r="J474" s="1">
        <f t="shared" si="88"/>
        <v>1</v>
      </c>
      <c r="K474" s="1">
        <f t="shared" si="89"/>
        <v>58135224148297</v>
      </c>
      <c r="L474" s="1">
        <f t="shared" si="90"/>
        <v>19610948946025.523</v>
      </c>
      <c r="M474" s="3">
        <f t="shared" si="91"/>
        <v>1050683.487425376</v>
      </c>
      <c r="N474" s="7">
        <f t="shared" si="96"/>
        <v>19610948946026</v>
      </c>
      <c r="O474" s="7">
        <f t="shared" si="92"/>
        <v>1050683</v>
      </c>
      <c r="P474" s="3">
        <f>SUM($O$4:O474)</f>
        <v>56873402</v>
      </c>
      <c r="Y474" s="3">
        <f t="shared" si="93"/>
        <v>471</v>
      </c>
      <c r="Z474" s="3">
        <f t="shared" si="94"/>
        <v>4499671085034</v>
      </c>
      <c r="AA474" s="7"/>
      <c r="AB474" s="7">
        <f t="shared" si="95"/>
        <v>13040</v>
      </c>
    </row>
    <row r="475" spans="6:28" x14ac:dyDescent="0.15">
      <c r="F475">
        <f t="shared" si="85"/>
        <v>68</v>
      </c>
      <c r="G475">
        <v>472</v>
      </c>
      <c r="H475">
        <f t="shared" si="86"/>
        <v>58135224148296.82</v>
      </c>
      <c r="I475">
        <f t="shared" si="87"/>
        <v>58135224148297</v>
      </c>
      <c r="J475" s="1">
        <f t="shared" si="88"/>
        <v>1</v>
      </c>
      <c r="K475" s="1">
        <f t="shared" si="89"/>
        <v>58135224148297</v>
      </c>
      <c r="L475" s="1">
        <f t="shared" si="90"/>
        <v>19610948946025.523</v>
      </c>
      <c r="M475" s="3">
        <f t="shared" si="91"/>
        <v>1050683.487425376</v>
      </c>
      <c r="N475" s="7">
        <f t="shared" si="96"/>
        <v>19610948946026</v>
      </c>
      <c r="O475" s="7">
        <f t="shared" si="92"/>
        <v>1050683</v>
      </c>
      <c r="P475" s="3">
        <f>SUM($O$4:O475)</f>
        <v>57924085</v>
      </c>
      <c r="Y475" s="3">
        <f t="shared" si="93"/>
        <v>472</v>
      </c>
      <c r="Z475" s="3">
        <f t="shared" si="94"/>
        <v>4734685753170</v>
      </c>
      <c r="AA475" s="7"/>
      <c r="AB475" s="7">
        <f t="shared" si="95"/>
        <v>13040</v>
      </c>
    </row>
    <row r="476" spans="6:28" x14ac:dyDescent="0.15">
      <c r="F476">
        <f t="shared" si="85"/>
        <v>68</v>
      </c>
      <c r="G476">
        <v>473</v>
      </c>
      <c r="H476">
        <f t="shared" si="86"/>
        <v>58135224148296.82</v>
      </c>
      <c r="I476">
        <f t="shared" si="87"/>
        <v>58135224148297</v>
      </c>
      <c r="J476" s="1">
        <f t="shared" si="88"/>
        <v>1</v>
      </c>
      <c r="K476" s="1">
        <f t="shared" si="89"/>
        <v>58135224148297</v>
      </c>
      <c r="L476" s="1">
        <f t="shared" si="90"/>
        <v>19610948946025.523</v>
      </c>
      <c r="M476" s="3">
        <f t="shared" si="91"/>
        <v>1050683.487425376</v>
      </c>
      <c r="N476" s="7">
        <f t="shared" si="96"/>
        <v>19610948946026</v>
      </c>
      <c r="O476" s="7">
        <f t="shared" si="92"/>
        <v>1050683</v>
      </c>
      <c r="P476" s="3">
        <f>SUM($O$4:O476)</f>
        <v>58974768</v>
      </c>
      <c r="Y476" s="3">
        <f t="shared" si="93"/>
        <v>473</v>
      </c>
      <c r="Z476" s="3">
        <f t="shared" si="94"/>
        <v>4981952710407</v>
      </c>
      <c r="AA476" s="7"/>
      <c r="AB476" s="7">
        <f t="shared" si="95"/>
        <v>13040</v>
      </c>
    </row>
    <row r="477" spans="6:28" x14ac:dyDescent="0.15">
      <c r="F477">
        <f t="shared" si="85"/>
        <v>68</v>
      </c>
      <c r="G477">
        <v>474</v>
      </c>
      <c r="H477">
        <f t="shared" si="86"/>
        <v>58135224148296.82</v>
      </c>
      <c r="I477">
        <f t="shared" si="87"/>
        <v>58135224148297</v>
      </c>
      <c r="J477" s="1">
        <f t="shared" si="88"/>
        <v>1</v>
      </c>
      <c r="K477" s="1">
        <f t="shared" si="89"/>
        <v>58135224148297</v>
      </c>
      <c r="L477" s="1">
        <f t="shared" si="90"/>
        <v>19610948946025.523</v>
      </c>
      <c r="M477" s="3">
        <f t="shared" si="91"/>
        <v>1050683.487425376</v>
      </c>
      <c r="N477" s="7">
        <f t="shared" si="96"/>
        <v>19610948946026</v>
      </c>
      <c r="O477" s="7">
        <f t="shared" si="92"/>
        <v>1050683</v>
      </c>
      <c r="P477" s="3">
        <f>SUM($O$4:O477)</f>
        <v>60025451</v>
      </c>
      <c r="Y477" s="3">
        <f t="shared" si="93"/>
        <v>474</v>
      </c>
      <c r="Z477" s="3">
        <f t="shared" si="94"/>
        <v>5242109648984</v>
      </c>
      <c r="AA477" s="7"/>
      <c r="AB477" s="7">
        <f t="shared" si="95"/>
        <v>13040</v>
      </c>
    </row>
    <row r="478" spans="6:28" x14ac:dyDescent="0.15">
      <c r="F478">
        <f t="shared" si="85"/>
        <v>68</v>
      </c>
      <c r="G478">
        <v>475</v>
      </c>
      <c r="H478">
        <f t="shared" si="86"/>
        <v>58135224148296.82</v>
      </c>
      <c r="I478">
        <f t="shared" si="87"/>
        <v>58135224148297</v>
      </c>
      <c r="J478" s="1">
        <f t="shared" si="88"/>
        <v>1</v>
      </c>
      <c r="K478" s="1">
        <f t="shared" si="89"/>
        <v>58135224148297</v>
      </c>
      <c r="L478" s="1">
        <f t="shared" si="90"/>
        <v>19610948946025.523</v>
      </c>
      <c r="M478" s="3">
        <f t="shared" si="91"/>
        <v>1050683.487425376</v>
      </c>
      <c r="N478" s="7">
        <f t="shared" si="96"/>
        <v>19610948946026</v>
      </c>
      <c r="O478" s="7">
        <f t="shared" si="92"/>
        <v>1050683</v>
      </c>
      <c r="P478" s="3">
        <f>SUM($O$4:O478)</f>
        <v>61076134</v>
      </c>
      <c r="Y478" s="3">
        <f t="shared" si="93"/>
        <v>475</v>
      </c>
      <c r="Z478" s="3">
        <f t="shared" si="94"/>
        <v>5515827399643</v>
      </c>
      <c r="AA478" s="7"/>
      <c r="AB478" s="7">
        <f t="shared" si="95"/>
        <v>13040</v>
      </c>
    </row>
    <row r="479" spans="6:28" x14ac:dyDescent="0.15">
      <c r="F479">
        <f t="shared" si="85"/>
        <v>68</v>
      </c>
      <c r="G479">
        <v>476</v>
      </c>
      <c r="H479">
        <f t="shared" si="86"/>
        <v>58135224148296.82</v>
      </c>
      <c r="I479">
        <f t="shared" si="87"/>
        <v>58135224148297</v>
      </c>
      <c r="J479" s="1">
        <f t="shared" si="88"/>
        <v>6</v>
      </c>
      <c r="K479" s="1">
        <f t="shared" si="89"/>
        <v>348811344889782</v>
      </c>
      <c r="L479" s="1">
        <f t="shared" si="90"/>
        <v>117665693676153.12</v>
      </c>
      <c r="M479" s="3">
        <f t="shared" si="91"/>
        <v>6304100.9245522544</v>
      </c>
      <c r="N479" s="7">
        <f t="shared" si="96"/>
        <v>117665693676153</v>
      </c>
      <c r="O479" s="7">
        <f t="shared" si="92"/>
        <v>6304100</v>
      </c>
      <c r="P479" s="3">
        <f>SUM($O$4:O479)</f>
        <v>67380234</v>
      </c>
      <c r="Y479" s="3">
        <f t="shared" si="93"/>
        <v>476</v>
      </c>
      <c r="Z479" s="3">
        <f t="shared" si="94"/>
        <v>5803811651245</v>
      </c>
      <c r="AA479" s="7"/>
      <c r="AB479" s="7">
        <f t="shared" si="95"/>
        <v>13040</v>
      </c>
    </row>
    <row r="480" spans="6:28" x14ac:dyDescent="0.15">
      <c r="F480">
        <f t="shared" si="85"/>
        <v>69</v>
      </c>
      <c r="G480">
        <v>477</v>
      </c>
      <c r="H480">
        <f t="shared" si="86"/>
        <v>91272301912826</v>
      </c>
      <c r="I480">
        <f t="shared" si="87"/>
        <v>91272301912826</v>
      </c>
      <c r="J480" s="1">
        <f t="shared" si="88"/>
        <v>1</v>
      </c>
      <c r="K480" s="1">
        <f t="shared" si="89"/>
        <v>91272301912826</v>
      </c>
      <c r="L480" s="1">
        <f t="shared" si="90"/>
        <v>31063006750998.453</v>
      </c>
      <c r="M480" s="3">
        <f t="shared" si="91"/>
        <v>1280187.0704152095</v>
      </c>
      <c r="N480" s="7">
        <f t="shared" si="96"/>
        <v>31063006750999</v>
      </c>
      <c r="O480" s="7">
        <f t="shared" si="92"/>
        <v>1280187</v>
      </c>
      <c r="P480" s="3">
        <f>SUM($O$4:O480)</f>
        <v>68660421</v>
      </c>
      <c r="Y480" s="3">
        <f t="shared" si="93"/>
        <v>477</v>
      </c>
      <c r="Z480" s="3">
        <f t="shared" si="94"/>
        <v>6106804759509</v>
      </c>
      <c r="AA480" s="7"/>
      <c r="AB480" s="7">
        <f t="shared" si="95"/>
        <v>13040</v>
      </c>
    </row>
    <row r="481" spans="6:28" x14ac:dyDescent="0.15">
      <c r="F481">
        <f t="shared" si="85"/>
        <v>69</v>
      </c>
      <c r="G481">
        <v>478</v>
      </c>
      <c r="H481">
        <f t="shared" si="86"/>
        <v>91272301912826</v>
      </c>
      <c r="I481">
        <f t="shared" si="87"/>
        <v>91272301912826</v>
      </c>
      <c r="J481" s="1">
        <f t="shared" si="88"/>
        <v>1</v>
      </c>
      <c r="K481" s="1">
        <f t="shared" si="89"/>
        <v>91272301912826</v>
      </c>
      <c r="L481" s="1">
        <f t="shared" si="90"/>
        <v>31063006750998.453</v>
      </c>
      <c r="M481" s="3">
        <f t="shared" si="91"/>
        <v>1280187.0704152095</v>
      </c>
      <c r="N481" s="7">
        <f t="shared" si="96"/>
        <v>31063006750999</v>
      </c>
      <c r="O481" s="7">
        <f t="shared" si="92"/>
        <v>1280187</v>
      </c>
      <c r="P481" s="3">
        <f>SUM($O$4:O481)</f>
        <v>69940608</v>
      </c>
      <c r="Y481" s="3">
        <f t="shared" si="93"/>
        <v>478</v>
      </c>
      <c r="Z481" s="3">
        <f t="shared" si="94"/>
        <v>6425587649471</v>
      </c>
      <c r="AA481" s="7"/>
      <c r="AB481" s="7">
        <f t="shared" si="95"/>
        <v>13040</v>
      </c>
    </row>
    <row r="482" spans="6:28" x14ac:dyDescent="0.15">
      <c r="F482">
        <f t="shared" si="85"/>
        <v>69</v>
      </c>
      <c r="G482">
        <v>479</v>
      </c>
      <c r="H482">
        <f t="shared" si="86"/>
        <v>91272301912826</v>
      </c>
      <c r="I482">
        <f t="shared" si="87"/>
        <v>91272301912826</v>
      </c>
      <c r="J482" s="1">
        <f t="shared" si="88"/>
        <v>1</v>
      </c>
      <c r="K482" s="1">
        <f t="shared" si="89"/>
        <v>91272301912826</v>
      </c>
      <c r="L482" s="1">
        <f t="shared" si="90"/>
        <v>31063006750998.453</v>
      </c>
      <c r="M482" s="3">
        <f t="shared" si="91"/>
        <v>1280187.0704152095</v>
      </c>
      <c r="N482" s="7">
        <f t="shared" si="96"/>
        <v>31063006750999</v>
      </c>
      <c r="O482" s="7">
        <f t="shared" si="92"/>
        <v>1280187</v>
      </c>
      <c r="P482" s="3">
        <f>SUM($O$4:O482)</f>
        <v>71220795</v>
      </c>
      <c r="Y482" s="3">
        <f t="shared" si="93"/>
        <v>479</v>
      </c>
      <c r="Z482" s="3">
        <f t="shared" si="94"/>
        <v>6760981816530</v>
      </c>
      <c r="AA482" s="7"/>
      <c r="AB482" s="7">
        <f t="shared" si="95"/>
        <v>13040</v>
      </c>
    </row>
    <row r="483" spans="6:28" x14ac:dyDescent="0.15">
      <c r="F483">
        <f t="shared" si="85"/>
        <v>69</v>
      </c>
      <c r="G483">
        <v>480</v>
      </c>
      <c r="H483">
        <f t="shared" si="86"/>
        <v>91272301912826</v>
      </c>
      <c r="I483">
        <f t="shared" si="87"/>
        <v>91272301912826</v>
      </c>
      <c r="J483" s="1">
        <f t="shared" si="88"/>
        <v>1</v>
      </c>
      <c r="K483" s="1">
        <f t="shared" si="89"/>
        <v>91272301912826</v>
      </c>
      <c r="L483" s="1">
        <f t="shared" si="90"/>
        <v>31063006750998.453</v>
      </c>
      <c r="M483" s="3">
        <f t="shared" si="91"/>
        <v>1280187.0704152095</v>
      </c>
      <c r="N483" s="7">
        <f t="shared" si="96"/>
        <v>31063006750999</v>
      </c>
      <c r="O483" s="7">
        <f t="shared" si="92"/>
        <v>1280187</v>
      </c>
      <c r="P483" s="3">
        <f>SUM($O$4:O483)</f>
        <v>72500982</v>
      </c>
      <c r="Y483" s="3">
        <f t="shared" si="93"/>
        <v>480</v>
      </c>
      <c r="Z483" s="3">
        <f t="shared" si="94"/>
        <v>7113851431171</v>
      </c>
      <c r="AA483" s="7"/>
      <c r="AB483" s="7">
        <f t="shared" si="95"/>
        <v>13040</v>
      </c>
    </row>
    <row r="484" spans="6:28" x14ac:dyDescent="0.15">
      <c r="F484">
        <f t="shared" si="85"/>
        <v>69</v>
      </c>
      <c r="G484">
        <v>481</v>
      </c>
      <c r="H484">
        <f t="shared" si="86"/>
        <v>91272301912826</v>
      </c>
      <c r="I484">
        <f t="shared" si="87"/>
        <v>91272301912826</v>
      </c>
      <c r="J484" s="1">
        <f t="shared" si="88"/>
        <v>1</v>
      </c>
      <c r="K484" s="1">
        <f t="shared" si="89"/>
        <v>91272301912826</v>
      </c>
      <c r="L484" s="1">
        <f t="shared" si="90"/>
        <v>31063006750998.453</v>
      </c>
      <c r="M484" s="3">
        <f t="shared" si="91"/>
        <v>1280187.0704152095</v>
      </c>
      <c r="N484" s="7">
        <f t="shared" si="96"/>
        <v>31063006750999</v>
      </c>
      <c r="O484" s="7">
        <f t="shared" si="92"/>
        <v>1280187</v>
      </c>
      <c r="P484" s="3">
        <f>SUM($O$4:O484)</f>
        <v>73781169</v>
      </c>
      <c r="Y484" s="3">
        <f t="shared" si="93"/>
        <v>481</v>
      </c>
      <c r="Z484" s="3">
        <f t="shared" si="94"/>
        <v>7485105552735</v>
      </c>
      <c r="AA484" s="7"/>
      <c r="AB484" s="7">
        <f t="shared" si="95"/>
        <v>13040</v>
      </c>
    </row>
    <row r="485" spans="6:28" x14ac:dyDescent="0.15">
      <c r="F485">
        <f t="shared" si="85"/>
        <v>69</v>
      </c>
      <c r="G485">
        <v>482</v>
      </c>
      <c r="H485">
        <f t="shared" si="86"/>
        <v>91272301912826</v>
      </c>
      <c r="I485">
        <f t="shared" si="87"/>
        <v>91272301912826</v>
      </c>
      <c r="J485" s="1">
        <f t="shared" si="88"/>
        <v>1</v>
      </c>
      <c r="K485" s="1">
        <f t="shared" si="89"/>
        <v>91272301912826</v>
      </c>
      <c r="L485" s="1">
        <f t="shared" si="90"/>
        <v>31063006750998.453</v>
      </c>
      <c r="M485" s="3">
        <f t="shared" si="91"/>
        <v>1280187.0704152095</v>
      </c>
      <c r="N485" s="7">
        <f t="shared" si="96"/>
        <v>31063006750999</v>
      </c>
      <c r="O485" s="7">
        <f t="shared" si="92"/>
        <v>1280187</v>
      </c>
      <c r="P485" s="3">
        <f>SUM($O$4:O485)</f>
        <v>75061356</v>
      </c>
      <c r="Y485" s="3">
        <f t="shared" si="93"/>
        <v>482</v>
      </c>
      <c r="Z485" s="3">
        <f t="shared" si="94"/>
        <v>7875700457878</v>
      </c>
      <c r="AA485" s="7"/>
      <c r="AB485" s="7">
        <f t="shared" si="95"/>
        <v>13040</v>
      </c>
    </row>
    <row r="486" spans="6:28" x14ac:dyDescent="0.15">
      <c r="F486">
        <f t="shared" si="85"/>
        <v>69</v>
      </c>
      <c r="G486">
        <v>483</v>
      </c>
      <c r="H486">
        <f t="shared" si="86"/>
        <v>91272301912826</v>
      </c>
      <c r="I486">
        <f t="shared" si="87"/>
        <v>91272301912826</v>
      </c>
      <c r="J486" s="1">
        <f t="shared" si="88"/>
        <v>7</v>
      </c>
      <c r="K486" s="1">
        <f t="shared" si="89"/>
        <v>638906113389782</v>
      </c>
      <c r="L486" s="1">
        <f t="shared" si="90"/>
        <v>217441047256989.16</v>
      </c>
      <c r="M486" s="3">
        <f t="shared" si="91"/>
        <v>8961309.4929064643</v>
      </c>
      <c r="N486" s="7">
        <f t="shared" si="96"/>
        <v>217441047256989</v>
      </c>
      <c r="O486" s="7">
        <f t="shared" si="92"/>
        <v>8961309</v>
      </c>
      <c r="P486" s="3">
        <f>SUM($O$4:O486)</f>
        <v>84022665</v>
      </c>
      <c r="Y486" s="3">
        <f t="shared" si="93"/>
        <v>483</v>
      </c>
      <c r="Z486" s="3">
        <f t="shared" si="94"/>
        <v>8286642089653</v>
      </c>
      <c r="AA486" s="7"/>
      <c r="AB486" s="7">
        <f t="shared" si="95"/>
        <v>13040</v>
      </c>
    </row>
    <row r="487" spans="6:28" x14ac:dyDescent="0.15">
      <c r="F487">
        <f t="shared" si="85"/>
        <v>70</v>
      </c>
      <c r="G487">
        <v>484</v>
      </c>
      <c r="H487">
        <f t="shared" si="86"/>
        <v>143297514003136.84</v>
      </c>
      <c r="I487">
        <f t="shared" si="87"/>
        <v>143297514003137</v>
      </c>
      <c r="J487" s="1">
        <f t="shared" si="88"/>
        <v>1</v>
      </c>
      <c r="K487" s="1">
        <f t="shared" si="89"/>
        <v>143297514003137</v>
      </c>
      <c r="L487" s="1">
        <f t="shared" si="90"/>
        <v>49198813141077.039</v>
      </c>
      <c r="M487" s="3">
        <f t="shared" si="91"/>
        <v>1559700.5285680986</v>
      </c>
      <c r="N487" s="7">
        <f t="shared" si="96"/>
        <v>49198813141077</v>
      </c>
      <c r="O487" s="7">
        <f t="shared" si="92"/>
        <v>1559700</v>
      </c>
      <c r="P487" s="3">
        <f>SUM($O$4:O487)</f>
        <v>85582365</v>
      </c>
      <c r="Y487" s="3">
        <f t="shared" si="93"/>
        <v>484</v>
      </c>
      <c r="Z487" s="3">
        <f t="shared" si="94"/>
        <v>8718988633461</v>
      </c>
      <c r="AA487" s="7"/>
      <c r="AB487" s="7">
        <f t="shared" si="95"/>
        <v>13040</v>
      </c>
    </row>
    <row r="488" spans="6:28" x14ac:dyDescent="0.15">
      <c r="F488">
        <f t="shared" si="85"/>
        <v>70</v>
      </c>
      <c r="G488">
        <v>485</v>
      </c>
      <c r="H488">
        <f t="shared" si="86"/>
        <v>143297514003136.84</v>
      </c>
      <c r="I488">
        <f t="shared" si="87"/>
        <v>143297514003137</v>
      </c>
      <c r="J488" s="1">
        <f t="shared" si="88"/>
        <v>1</v>
      </c>
      <c r="K488" s="1">
        <f t="shared" si="89"/>
        <v>143297514003137</v>
      </c>
      <c r="L488" s="1">
        <f t="shared" si="90"/>
        <v>49198813141077.039</v>
      </c>
      <c r="M488" s="3">
        <f t="shared" si="91"/>
        <v>1559700.5285680986</v>
      </c>
      <c r="N488" s="7">
        <f t="shared" si="96"/>
        <v>49198813141077</v>
      </c>
      <c r="O488" s="7">
        <f t="shared" si="92"/>
        <v>1559700</v>
      </c>
      <c r="P488" s="3">
        <f>SUM($O$4:O488)</f>
        <v>87142065</v>
      </c>
      <c r="Y488" s="3">
        <f t="shared" si="93"/>
        <v>485</v>
      </c>
      <c r="Z488" s="3">
        <f t="shared" si="94"/>
        <v>9173853226426</v>
      </c>
      <c r="AA488" s="7"/>
      <c r="AB488" s="7">
        <f t="shared" si="95"/>
        <v>13040</v>
      </c>
    </row>
    <row r="489" spans="6:28" x14ac:dyDescent="0.15">
      <c r="F489">
        <f t="shared" si="85"/>
        <v>70</v>
      </c>
      <c r="G489">
        <v>486</v>
      </c>
      <c r="H489">
        <f t="shared" si="86"/>
        <v>143297514003136.84</v>
      </c>
      <c r="I489">
        <f t="shared" si="87"/>
        <v>143297514003137</v>
      </c>
      <c r="J489" s="1">
        <f t="shared" si="88"/>
        <v>1</v>
      </c>
      <c r="K489" s="1">
        <f t="shared" si="89"/>
        <v>143297514003137</v>
      </c>
      <c r="L489" s="1">
        <f t="shared" si="90"/>
        <v>49198813141077.039</v>
      </c>
      <c r="M489" s="3">
        <f t="shared" si="91"/>
        <v>1559700.5285680986</v>
      </c>
      <c r="N489" s="7">
        <f t="shared" si="96"/>
        <v>49198813141077</v>
      </c>
      <c r="O489" s="7">
        <f t="shared" si="92"/>
        <v>1559700</v>
      </c>
      <c r="P489" s="3">
        <f>SUM($O$4:O489)</f>
        <v>88701765</v>
      </c>
      <c r="Y489" s="3">
        <f t="shared" si="93"/>
        <v>486</v>
      </c>
      <c r="Z489" s="3">
        <f t="shared" si="94"/>
        <v>9652406807103</v>
      </c>
      <c r="AA489" s="7"/>
      <c r="AB489" s="7">
        <f t="shared" si="95"/>
        <v>13040</v>
      </c>
    </row>
    <row r="490" spans="6:28" x14ac:dyDescent="0.15">
      <c r="F490">
        <f t="shared" si="85"/>
        <v>70</v>
      </c>
      <c r="G490">
        <v>487</v>
      </c>
      <c r="H490">
        <f t="shared" si="86"/>
        <v>143297514003136.84</v>
      </c>
      <c r="I490">
        <f t="shared" si="87"/>
        <v>143297514003137</v>
      </c>
      <c r="J490" s="1">
        <f t="shared" si="88"/>
        <v>1</v>
      </c>
      <c r="K490" s="1">
        <f t="shared" si="89"/>
        <v>143297514003137</v>
      </c>
      <c r="L490" s="1">
        <f t="shared" si="90"/>
        <v>49198813141077.039</v>
      </c>
      <c r="M490" s="3">
        <f t="shared" si="91"/>
        <v>1559700.5285680986</v>
      </c>
      <c r="N490" s="7">
        <f t="shared" si="96"/>
        <v>49198813141077</v>
      </c>
      <c r="O490" s="7">
        <f t="shared" si="92"/>
        <v>1559700</v>
      </c>
      <c r="P490" s="3">
        <f>SUM($O$4:O490)</f>
        <v>90261465</v>
      </c>
      <c r="Y490" s="3">
        <f t="shared" si="93"/>
        <v>487</v>
      </c>
      <c r="Z490" s="3">
        <f t="shared" si="94"/>
        <v>10155881112783</v>
      </c>
      <c r="AA490" s="7"/>
      <c r="AB490" s="7">
        <f t="shared" si="95"/>
        <v>13040</v>
      </c>
    </row>
    <row r="491" spans="6:28" x14ac:dyDescent="0.15">
      <c r="F491">
        <f t="shared" si="85"/>
        <v>70</v>
      </c>
      <c r="G491">
        <v>488</v>
      </c>
      <c r="H491">
        <f t="shared" si="86"/>
        <v>143297514003136.84</v>
      </c>
      <c r="I491">
        <f t="shared" si="87"/>
        <v>143297514003137</v>
      </c>
      <c r="J491" s="1">
        <f t="shared" si="88"/>
        <v>1</v>
      </c>
      <c r="K491" s="1">
        <f t="shared" si="89"/>
        <v>143297514003137</v>
      </c>
      <c r="L491" s="1">
        <f t="shared" si="90"/>
        <v>49198813141077.039</v>
      </c>
      <c r="M491" s="3">
        <f t="shared" si="91"/>
        <v>1559700.5285680986</v>
      </c>
      <c r="N491" s="7">
        <f t="shared" si="96"/>
        <v>49198813141077</v>
      </c>
      <c r="O491" s="7">
        <f t="shared" si="92"/>
        <v>1559700</v>
      </c>
      <c r="P491" s="3">
        <f>SUM($O$4:O491)</f>
        <v>91821165</v>
      </c>
      <c r="Y491" s="3">
        <f t="shared" si="93"/>
        <v>488</v>
      </c>
      <c r="Z491" s="3">
        <f t="shared" si="94"/>
        <v>10685571832012</v>
      </c>
      <c r="AA491" s="7"/>
      <c r="AB491" s="7">
        <f t="shared" si="95"/>
        <v>13040</v>
      </c>
    </row>
    <row r="492" spans="6:28" x14ac:dyDescent="0.15">
      <c r="F492">
        <f t="shared" si="85"/>
        <v>70</v>
      </c>
      <c r="G492">
        <v>489</v>
      </c>
      <c r="H492">
        <f t="shared" si="86"/>
        <v>143297514003136.84</v>
      </c>
      <c r="I492">
        <f t="shared" si="87"/>
        <v>143297514003137</v>
      </c>
      <c r="J492" s="1">
        <f t="shared" si="88"/>
        <v>1</v>
      </c>
      <c r="K492" s="1">
        <f t="shared" si="89"/>
        <v>143297514003137</v>
      </c>
      <c r="L492" s="1">
        <f t="shared" si="90"/>
        <v>49198813141077.039</v>
      </c>
      <c r="M492" s="3">
        <f t="shared" si="91"/>
        <v>1559700.5285680986</v>
      </c>
      <c r="N492" s="7">
        <f t="shared" si="96"/>
        <v>49198813141077</v>
      </c>
      <c r="O492" s="7">
        <f t="shared" si="92"/>
        <v>1559700</v>
      </c>
      <c r="P492" s="3">
        <f>SUM($O$4:O492)</f>
        <v>93380865</v>
      </c>
      <c r="Y492" s="3">
        <f t="shared" si="93"/>
        <v>489</v>
      </c>
      <c r="Z492" s="3">
        <f t="shared" si="94"/>
        <v>11242841920382</v>
      </c>
      <c r="AA492" s="7"/>
      <c r="AB492" s="7">
        <f t="shared" si="95"/>
        <v>13040</v>
      </c>
    </row>
    <row r="493" spans="6:28" x14ac:dyDescent="0.15">
      <c r="F493">
        <f t="shared" si="85"/>
        <v>70</v>
      </c>
      <c r="G493">
        <v>490</v>
      </c>
      <c r="H493">
        <f t="shared" si="86"/>
        <v>143297514003136.84</v>
      </c>
      <c r="I493">
        <f t="shared" si="87"/>
        <v>143297514003137</v>
      </c>
      <c r="J493" s="1">
        <f t="shared" si="88"/>
        <v>10</v>
      </c>
      <c r="K493" s="1">
        <f t="shared" si="89"/>
        <v>1432975140031370</v>
      </c>
      <c r="L493" s="1">
        <f t="shared" si="90"/>
        <v>491988131410770.44</v>
      </c>
      <c r="M493" s="3">
        <f t="shared" si="91"/>
        <v>15597005.285680987</v>
      </c>
      <c r="N493" s="7">
        <f t="shared" si="96"/>
        <v>491988131410770</v>
      </c>
      <c r="O493" s="7">
        <f t="shared" si="92"/>
        <v>15597005</v>
      </c>
      <c r="P493" s="3">
        <f>SUM($O$4:O493)</f>
        <v>108977870</v>
      </c>
      <c r="Y493" s="3">
        <f t="shared" si="93"/>
        <v>490</v>
      </c>
      <c r="Z493" s="3">
        <f t="shared" si="94"/>
        <v>11829125088010</v>
      </c>
      <c r="AA493" s="7"/>
      <c r="AB493" s="7">
        <f t="shared" si="95"/>
        <v>13040</v>
      </c>
    </row>
    <row r="494" spans="6:28" x14ac:dyDescent="0.15">
      <c r="F494">
        <f t="shared" si="85"/>
        <v>71</v>
      </c>
      <c r="G494">
        <v>491</v>
      </c>
      <c r="H494">
        <f t="shared" si="86"/>
        <v>224977096984924.87</v>
      </c>
      <c r="I494">
        <f t="shared" si="87"/>
        <v>224977096984925</v>
      </c>
      <c r="J494" s="1">
        <f t="shared" si="88"/>
        <v>1</v>
      </c>
      <c r="K494" s="1">
        <f t="shared" si="89"/>
        <v>224977096984925</v>
      </c>
      <c r="L494" s="1">
        <f t="shared" si="90"/>
        <v>77917067922445.687</v>
      </c>
      <c r="M494" s="3">
        <f t="shared" si="91"/>
        <v>1900097.3063600729</v>
      </c>
      <c r="N494" s="7">
        <f t="shared" si="96"/>
        <v>77917067922446</v>
      </c>
      <c r="O494" s="7">
        <f t="shared" si="92"/>
        <v>1900097</v>
      </c>
      <c r="P494" s="3">
        <f>SUM($O$4:O494)</f>
        <v>110877967</v>
      </c>
      <c r="Y494" s="3">
        <f t="shared" si="93"/>
        <v>491</v>
      </c>
      <c r="Z494" s="3">
        <f t="shared" si="94"/>
        <v>12445929467599</v>
      </c>
      <c r="AA494" s="7"/>
      <c r="AB494" s="7">
        <f t="shared" si="95"/>
        <v>13040</v>
      </c>
    </row>
    <row r="495" spans="6:28" x14ac:dyDescent="0.15">
      <c r="F495">
        <f t="shared" si="85"/>
        <v>71</v>
      </c>
      <c r="G495">
        <v>492</v>
      </c>
      <c r="H495">
        <f t="shared" si="86"/>
        <v>224977096984924.87</v>
      </c>
      <c r="I495">
        <f t="shared" si="87"/>
        <v>224977096984925</v>
      </c>
      <c r="J495" s="1">
        <f t="shared" si="88"/>
        <v>1</v>
      </c>
      <c r="K495" s="1">
        <f t="shared" si="89"/>
        <v>224977096984925</v>
      </c>
      <c r="L495" s="1">
        <f t="shared" si="90"/>
        <v>77917067922445.687</v>
      </c>
      <c r="M495" s="3">
        <f t="shared" si="91"/>
        <v>1900097.3063600729</v>
      </c>
      <c r="N495" s="7">
        <f t="shared" si="96"/>
        <v>77917067922446</v>
      </c>
      <c r="O495" s="7">
        <f t="shared" si="92"/>
        <v>1900097</v>
      </c>
      <c r="P495" s="3">
        <f>SUM($O$4:O495)</f>
        <v>112778064</v>
      </c>
      <c r="Y495" s="3">
        <f t="shared" si="93"/>
        <v>492</v>
      </c>
      <c r="Z495" s="3">
        <f t="shared" si="94"/>
        <v>13094841472427</v>
      </c>
      <c r="AA495" s="7"/>
      <c r="AB495" s="7">
        <f t="shared" si="95"/>
        <v>13040</v>
      </c>
    </row>
    <row r="496" spans="6:28" x14ac:dyDescent="0.15">
      <c r="F496">
        <f t="shared" si="85"/>
        <v>71</v>
      </c>
      <c r="G496">
        <v>493</v>
      </c>
      <c r="H496">
        <f t="shared" si="86"/>
        <v>224977096984924.87</v>
      </c>
      <c r="I496">
        <f t="shared" si="87"/>
        <v>224977096984925</v>
      </c>
      <c r="J496" s="1">
        <f t="shared" si="88"/>
        <v>1</v>
      </c>
      <c r="K496" s="1">
        <f t="shared" si="89"/>
        <v>224977096984925</v>
      </c>
      <c r="L496" s="1">
        <f t="shared" si="90"/>
        <v>77917067922445.687</v>
      </c>
      <c r="M496" s="3">
        <f t="shared" si="91"/>
        <v>1900097.3063600729</v>
      </c>
      <c r="N496" s="7">
        <f t="shared" si="96"/>
        <v>77917067922446</v>
      </c>
      <c r="O496" s="7">
        <f t="shared" si="92"/>
        <v>1900097</v>
      </c>
      <c r="P496" s="3">
        <f>SUM($O$4:O496)</f>
        <v>114678161</v>
      </c>
      <c r="Y496" s="3">
        <f t="shared" si="93"/>
        <v>493</v>
      </c>
      <c r="Z496" s="3">
        <f t="shared" si="94"/>
        <v>13777529854068</v>
      </c>
      <c r="AA496" s="7"/>
      <c r="AB496" s="7">
        <f t="shared" si="95"/>
        <v>13040</v>
      </c>
    </row>
    <row r="497" spans="6:28" x14ac:dyDescent="0.15">
      <c r="F497">
        <f t="shared" si="85"/>
        <v>71</v>
      </c>
      <c r="G497">
        <v>494</v>
      </c>
      <c r="H497">
        <f t="shared" si="86"/>
        <v>224977096984924.87</v>
      </c>
      <c r="I497">
        <f t="shared" si="87"/>
        <v>224977096984925</v>
      </c>
      <c r="J497" s="1">
        <f t="shared" si="88"/>
        <v>1</v>
      </c>
      <c r="K497" s="1">
        <f t="shared" si="89"/>
        <v>224977096984925</v>
      </c>
      <c r="L497" s="1">
        <f t="shared" si="90"/>
        <v>77917067922445.687</v>
      </c>
      <c r="M497" s="3">
        <f t="shared" si="91"/>
        <v>1900097.3063600729</v>
      </c>
      <c r="N497" s="7">
        <f t="shared" si="96"/>
        <v>77917067922446</v>
      </c>
      <c r="O497" s="7">
        <f t="shared" si="92"/>
        <v>1900097</v>
      </c>
      <c r="P497" s="3">
        <f>SUM($O$4:O497)</f>
        <v>116578258</v>
      </c>
      <c r="Y497" s="3">
        <f t="shared" si="93"/>
        <v>494</v>
      </c>
      <c r="Z497" s="3">
        <f t="shared" si="94"/>
        <v>14495749970193</v>
      </c>
      <c r="AA497" s="7"/>
      <c r="AB497" s="7">
        <f t="shared" si="95"/>
        <v>13040</v>
      </c>
    </row>
    <row r="498" spans="6:28" x14ac:dyDescent="0.15">
      <c r="F498">
        <f t="shared" si="85"/>
        <v>71</v>
      </c>
      <c r="G498">
        <v>495</v>
      </c>
      <c r="H498">
        <f t="shared" si="86"/>
        <v>224977096984924.87</v>
      </c>
      <c r="I498">
        <f t="shared" si="87"/>
        <v>224977096984925</v>
      </c>
      <c r="J498" s="1">
        <f t="shared" si="88"/>
        <v>1</v>
      </c>
      <c r="K498" s="1">
        <f t="shared" si="89"/>
        <v>224977096984925</v>
      </c>
      <c r="L498" s="1">
        <f t="shared" si="90"/>
        <v>77917067922445.687</v>
      </c>
      <c r="M498" s="3">
        <f t="shared" si="91"/>
        <v>1900097.3063600729</v>
      </c>
      <c r="N498" s="7">
        <f t="shared" si="96"/>
        <v>77917067922446</v>
      </c>
      <c r="O498" s="7">
        <f t="shared" si="92"/>
        <v>1900097</v>
      </c>
      <c r="P498" s="3">
        <f>SUM($O$4:O498)</f>
        <v>118478355</v>
      </c>
      <c r="Y498" s="3">
        <f t="shared" si="93"/>
        <v>495</v>
      </c>
      <c r="Z498" s="3">
        <f t="shared" si="94"/>
        <v>15251348273295</v>
      </c>
      <c r="AA498" s="7"/>
      <c r="AB498" s="7">
        <f t="shared" si="95"/>
        <v>13040</v>
      </c>
    </row>
    <row r="499" spans="6:28" x14ac:dyDescent="0.15">
      <c r="F499">
        <f t="shared" si="85"/>
        <v>71</v>
      </c>
      <c r="G499">
        <v>496</v>
      </c>
      <c r="H499">
        <f t="shared" si="86"/>
        <v>224977096984924.87</v>
      </c>
      <c r="I499">
        <f t="shared" si="87"/>
        <v>224977096984925</v>
      </c>
      <c r="J499" s="1">
        <f t="shared" si="88"/>
        <v>1</v>
      </c>
      <c r="K499" s="1">
        <f t="shared" si="89"/>
        <v>224977096984925</v>
      </c>
      <c r="L499" s="1">
        <f t="shared" si="90"/>
        <v>77917067922445.687</v>
      </c>
      <c r="M499" s="3">
        <f t="shared" si="91"/>
        <v>1900097.3063600729</v>
      </c>
      <c r="N499" s="7">
        <f t="shared" si="96"/>
        <v>77917067922446</v>
      </c>
      <c r="O499" s="7">
        <f t="shared" si="92"/>
        <v>1900097</v>
      </c>
      <c r="P499" s="3">
        <f>SUM($O$4:O499)</f>
        <v>120378452</v>
      </c>
      <c r="Y499" s="3">
        <f t="shared" si="93"/>
        <v>496</v>
      </c>
      <c r="Z499" s="3">
        <f t="shared" si="94"/>
        <v>16046267031782</v>
      </c>
      <c r="AA499" s="7"/>
      <c r="AB499" s="7">
        <f t="shared" si="95"/>
        <v>13040</v>
      </c>
    </row>
    <row r="500" spans="6:28" x14ac:dyDescent="0.15">
      <c r="F500">
        <f t="shared" si="85"/>
        <v>71</v>
      </c>
      <c r="G500">
        <v>497</v>
      </c>
      <c r="H500">
        <f t="shared" si="86"/>
        <v>224977096984924.87</v>
      </c>
      <c r="I500">
        <f t="shared" si="87"/>
        <v>224977096984925</v>
      </c>
      <c r="J500" s="1">
        <f t="shared" si="88"/>
        <v>2</v>
      </c>
      <c r="K500" s="1">
        <f t="shared" si="89"/>
        <v>449954193969850</v>
      </c>
      <c r="L500" s="1">
        <f t="shared" si="90"/>
        <v>155834135844891.37</v>
      </c>
      <c r="M500" s="3">
        <f t="shared" si="91"/>
        <v>3800194.6127201458</v>
      </c>
      <c r="N500" s="7">
        <f t="shared" si="96"/>
        <v>155834135844891</v>
      </c>
      <c r="O500" s="7">
        <f t="shared" si="92"/>
        <v>3800194</v>
      </c>
      <c r="P500" s="3">
        <f>SUM($O$4:O500)</f>
        <v>124178646</v>
      </c>
      <c r="Y500" s="3">
        <f t="shared" si="93"/>
        <v>497</v>
      </c>
      <c r="Z500" s="3">
        <f t="shared" si="94"/>
        <v>16882549295435</v>
      </c>
      <c r="AA500" s="7"/>
      <c r="AB500" s="7">
        <f t="shared" si="95"/>
        <v>13040</v>
      </c>
    </row>
    <row r="501" spans="6:28" x14ac:dyDescent="0.15">
      <c r="F501">
        <f t="shared" si="85"/>
        <v>72</v>
      </c>
      <c r="G501">
        <v>498</v>
      </c>
      <c r="H501">
        <f t="shared" si="86"/>
        <v>353214042266331.94</v>
      </c>
      <c r="I501">
        <f t="shared" si="87"/>
        <v>353214042266332</v>
      </c>
      <c r="J501" s="1">
        <f t="shared" si="88"/>
        <v>1</v>
      </c>
      <c r="K501" s="1">
        <f t="shared" si="89"/>
        <v>353214042266332</v>
      </c>
      <c r="L501" s="1">
        <f t="shared" si="90"/>
        <v>123389438765038.66</v>
      </c>
      <c r="M501" s="3">
        <f t="shared" si="91"/>
        <v>2314610.2791090608</v>
      </c>
      <c r="N501" s="7">
        <f t="shared" si="96"/>
        <v>123389438765039</v>
      </c>
      <c r="O501" s="7">
        <f t="shared" si="92"/>
        <v>2314610</v>
      </c>
      <c r="P501" s="3">
        <f>SUM($O$4:O501)</f>
        <v>126493256</v>
      </c>
      <c r="Y501" s="3">
        <f t="shared" si="93"/>
        <v>498</v>
      </c>
      <c r="Z501" s="3">
        <f t="shared" si="94"/>
        <v>17762344117873</v>
      </c>
      <c r="AA501" s="7"/>
      <c r="AB501" s="7">
        <f t="shared" si="95"/>
        <v>13040</v>
      </c>
    </row>
    <row r="502" spans="6:28" x14ac:dyDescent="0.15">
      <c r="F502">
        <f t="shared" si="85"/>
        <v>72</v>
      </c>
      <c r="G502">
        <v>499</v>
      </c>
      <c r="H502">
        <f t="shared" si="86"/>
        <v>353214042266331.94</v>
      </c>
      <c r="I502">
        <f t="shared" si="87"/>
        <v>353214042266332</v>
      </c>
      <c r="J502" s="1">
        <f t="shared" si="88"/>
        <v>1</v>
      </c>
      <c r="K502" s="1">
        <f t="shared" si="89"/>
        <v>353214042266332</v>
      </c>
      <c r="L502" s="1">
        <f t="shared" si="90"/>
        <v>123389438765038.66</v>
      </c>
      <c r="M502" s="3">
        <f t="shared" si="91"/>
        <v>2314610.2791090608</v>
      </c>
      <c r="N502" s="7">
        <f t="shared" si="96"/>
        <v>123389438765039</v>
      </c>
      <c r="O502" s="7">
        <f t="shared" si="92"/>
        <v>2314610</v>
      </c>
      <c r="P502" s="3">
        <f>SUM($O$4:O502)</f>
        <v>128807866</v>
      </c>
      <c r="Y502" s="3">
        <f t="shared" si="93"/>
        <v>499</v>
      </c>
      <c r="Z502" s="3">
        <f t="shared" si="94"/>
        <v>18687912049316</v>
      </c>
      <c r="AA502" s="7"/>
      <c r="AB502" s="7">
        <f t="shared" si="95"/>
        <v>13040</v>
      </c>
    </row>
    <row r="503" spans="6:28" x14ac:dyDescent="0.15">
      <c r="F503">
        <f t="shared" si="85"/>
        <v>72</v>
      </c>
      <c r="G503">
        <v>500</v>
      </c>
      <c r="H503">
        <f t="shared" si="86"/>
        <v>353214042266331.94</v>
      </c>
      <c r="I503">
        <f t="shared" si="87"/>
        <v>353214042266332</v>
      </c>
      <c r="J503" s="1">
        <f t="shared" si="88"/>
        <v>1</v>
      </c>
      <c r="K503" s="1">
        <f t="shared" si="89"/>
        <v>353214042266332</v>
      </c>
      <c r="L503" s="1">
        <f t="shared" si="90"/>
        <v>123389438765038.66</v>
      </c>
      <c r="M503" s="3">
        <f t="shared" si="91"/>
        <v>2314610.2791090608</v>
      </c>
      <c r="N503" s="7">
        <f t="shared" si="96"/>
        <v>123389438765039</v>
      </c>
      <c r="O503" s="7">
        <f t="shared" si="92"/>
        <v>2314610</v>
      </c>
      <c r="P503" s="3">
        <f>SUM($O$4:O503)</f>
        <v>131122476</v>
      </c>
      <c r="Y503" s="3">
        <f t="shared" si="93"/>
        <v>500</v>
      </c>
      <c r="Z503" s="3">
        <f t="shared" si="94"/>
        <v>19661630913609</v>
      </c>
      <c r="AA503" s="7"/>
      <c r="AB503" s="7">
        <f t="shared" si="95"/>
        <v>13040</v>
      </c>
    </row>
    <row r="504" spans="6:28" x14ac:dyDescent="0.15">
      <c r="F504">
        <f t="shared" si="85"/>
        <v>72</v>
      </c>
      <c r="G504">
        <v>501</v>
      </c>
      <c r="H504">
        <f t="shared" si="86"/>
        <v>353214042266331.94</v>
      </c>
      <c r="I504">
        <f t="shared" si="87"/>
        <v>353214042266332</v>
      </c>
      <c r="J504" s="1">
        <f t="shared" si="88"/>
        <v>1</v>
      </c>
      <c r="K504" s="1">
        <f t="shared" si="89"/>
        <v>353214042266332</v>
      </c>
      <c r="L504" s="1">
        <f t="shared" si="90"/>
        <v>123389438765038.66</v>
      </c>
      <c r="M504" s="3">
        <f t="shared" si="91"/>
        <v>2314610.2791090608</v>
      </c>
      <c r="N504" s="7">
        <f t="shared" si="96"/>
        <v>123389438765039</v>
      </c>
      <c r="O504" s="7">
        <f t="shared" si="92"/>
        <v>2314610</v>
      </c>
      <c r="P504" s="3">
        <f>SUM($O$4:O504)</f>
        <v>133437086</v>
      </c>
      <c r="Y504" s="3">
        <f t="shared" si="93"/>
        <v>501</v>
      </c>
      <c r="Z504" s="3">
        <f t="shared" si="94"/>
        <v>20686001884208</v>
      </c>
      <c r="AA504" s="7"/>
      <c r="AB504" s="7">
        <f t="shared" si="95"/>
        <v>13040</v>
      </c>
    </row>
    <row r="505" spans="6:28" x14ac:dyDescent="0.15">
      <c r="F505">
        <f t="shared" si="85"/>
        <v>72</v>
      </c>
      <c r="G505">
        <v>502</v>
      </c>
      <c r="H505">
        <f t="shared" si="86"/>
        <v>353214042266331.94</v>
      </c>
      <c r="I505">
        <f t="shared" si="87"/>
        <v>353214042266332</v>
      </c>
      <c r="J505" s="1">
        <f t="shared" si="88"/>
        <v>1</v>
      </c>
      <c r="K505" s="1">
        <f t="shared" si="89"/>
        <v>353214042266332</v>
      </c>
      <c r="L505" s="1">
        <f t="shared" si="90"/>
        <v>123389438765038.66</v>
      </c>
      <c r="M505" s="3">
        <f t="shared" si="91"/>
        <v>2314610.2791090608</v>
      </c>
      <c r="N505" s="7">
        <f t="shared" si="96"/>
        <v>123389438765039</v>
      </c>
      <c r="O505" s="7">
        <f t="shared" si="92"/>
        <v>2314610</v>
      </c>
      <c r="P505" s="3">
        <f>SUM($O$4:O505)</f>
        <v>135751696</v>
      </c>
      <c r="Y505" s="3">
        <f t="shared" si="93"/>
        <v>502</v>
      </c>
      <c r="Z505" s="3">
        <f t="shared" si="94"/>
        <v>21763655874583</v>
      </c>
      <c r="AA505" s="7"/>
      <c r="AB505" s="7">
        <f t="shared" si="95"/>
        <v>13040</v>
      </c>
    </row>
    <row r="506" spans="6:28" x14ac:dyDescent="0.15">
      <c r="F506">
        <f t="shared" si="85"/>
        <v>72</v>
      </c>
      <c r="G506">
        <v>503</v>
      </c>
      <c r="H506">
        <f t="shared" si="86"/>
        <v>353214042266331.94</v>
      </c>
      <c r="I506">
        <f t="shared" si="87"/>
        <v>353214042266332</v>
      </c>
      <c r="J506" s="1">
        <f t="shared" si="88"/>
        <v>1</v>
      </c>
      <c r="K506" s="1">
        <f t="shared" si="89"/>
        <v>353214042266332</v>
      </c>
      <c r="L506" s="1">
        <f t="shared" si="90"/>
        <v>123389438765038.66</v>
      </c>
      <c r="M506" s="3">
        <f t="shared" si="91"/>
        <v>2314610.2791090608</v>
      </c>
      <c r="N506" s="7">
        <f t="shared" si="96"/>
        <v>123389438765039</v>
      </c>
      <c r="O506" s="7">
        <f t="shared" si="92"/>
        <v>2314610</v>
      </c>
      <c r="P506" s="3">
        <f>SUM($O$4:O506)</f>
        <v>138066306</v>
      </c>
      <c r="Y506" s="3">
        <f t="shared" si="93"/>
        <v>503</v>
      </c>
      <c r="Z506" s="3">
        <f t="shared" si="94"/>
        <v>22897360259285</v>
      </c>
      <c r="AA506" s="7"/>
      <c r="AB506" s="7">
        <f t="shared" si="95"/>
        <v>13040</v>
      </c>
    </row>
    <row r="507" spans="6:28" x14ac:dyDescent="0.15">
      <c r="F507">
        <f t="shared" si="85"/>
        <v>72</v>
      </c>
      <c r="G507">
        <v>504</v>
      </c>
      <c r="H507">
        <f t="shared" si="86"/>
        <v>353214042266331.94</v>
      </c>
      <c r="I507">
        <f t="shared" si="87"/>
        <v>353214042266332</v>
      </c>
      <c r="J507" s="1">
        <f t="shared" si="88"/>
        <v>4</v>
      </c>
      <c r="K507" s="1">
        <f t="shared" si="89"/>
        <v>1412856169065328</v>
      </c>
      <c r="L507" s="1">
        <f t="shared" si="90"/>
        <v>493557755060154.62</v>
      </c>
      <c r="M507" s="3">
        <f t="shared" si="91"/>
        <v>9258441.1164362431</v>
      </c>
      <c r="N507" s="7">
        <f t="shared" si="96"/>
        <v>493557755060155</v>
      </c>
      <c r="O507" s="7">
        <f t="shared" si="92"/>
        <v>9258441</v>
      </c>
      <c r="P507" s="3">
        <f>SUM($O$4:O507)</f>
        <v>147324747</v>
      </c>
      <c r="Y507" s="3">
        <f t="shared" si="93"/>
        <v>504</v>
      </c>
      <c r="Z507" s="3">
        <f t="shared" si="94"/>
        <v>24090025942771</v>
      </c>
      <c r="AA507" s="7"/>
      <c r="AB507" s="7">
        <f t="shared" si="95"/>
        <v>13040</v>
      </c>
    </row>
    <row r="508" spans="6:28" x14ac:dyDescent="0.15">
      <c r="F508">
        <f t="shared" si="85"/>
        <v>73</v>
      </c>
      <c r="G508">
        <v>505</v>
      </c>
      <c r="H508">
        <f t="shared" si="86"/>
        <v>554546046358141.19</v>
      </c>
      <c r="I508">
        <f t="shared" si="87"/>
        <v>554546046358141</v>
      </c>
      <c r="J508" s="1">
        <f t="shared" si="88"/>
        <v>1</v>
      </c>
      <c r="K508" s="1">
        <f t="shared" si="89"/>
        <v>554546046358141</v>
      </c>
      <c r="L508" s="1">
        <f t="shared" si="90"/>
        <v>195385057000185</v>
      </c>
      <c r="M508" s="3">
        <f t="shared" si="91"/>
        <v>2819342.7863173028</v>
      </c>
      <c r="N508" s="7">
        <f t="shared" si="96"/>
        <v>195385057000185</v>
      </c>
      <c r="O508" s="7">
        <f t="shared" si="92"/>
        <v>2819342</v>
      </c>
      <c r="P508" s="3">
        <f>SUM($O$4:O508)</f>
        <v>150144089</v>
      </c>
      <c r="Y508" s="3">
        <f t="shared" si="93"/>
        <v>505</v>
      </c>
      <c r="Z508" s="3">
        <f t="shared" si="94"/>
        <v>25344714793957</v>
      </c>
      <c r="AA508" s="7"/>
      <c r="AB508" s="7">
        <f t="shared" si="95"/>
        <v>13040</v>
      </c>
    </row>
    <row r="509" spans="6:28" x14ac:dyDescent="0.15">
      <c r="F509">
        <f t="shared" si="85"/>
        <v>73</v>
      </c>
      <c r="G509">
        <v>506</v>
      </c>
      <c r="H509">
        <f t="shared" si="86"/>
        <v>554546046358141.19</v>
      </c>
      <c r="I509">
        <f t="shared" si="87"/>
        <v>554546046358141</v>
      </c>
      <c r="J509" s="1">
        <f t="shared" si="88"/>
        <v>1</v>
      </c>
      <c r="K509" s="1">
        <f t="shared" si="89"/>
        <v>554546046358141</v>
      </c>
      <c r="L509" s="1">
        <f t="shared" si="90"/>
        <v>195385057000185</v>
      </c>
      <c r="M509" s="3">
        <f t="shared" si="91"/>
        <v>2819342.7863173028</v>
      </c>
      <c r="N509" s="7">
        <f t="shared" si="96"/>
        <v>195385057000185</v>
      </c>
      <c r="O509" s="7">
        <f t="shared" si="92"/>
        <v>2819342</v>
      </c>
      <c r="P509" s="3">
        <f>SUM($O$4:O509)</f>
        <v>152963431</v>
      </c>
      <c r="Y509" s="3">
        <f t="shared" si="93"/>
        <v>506</v>
      </c>
      <c r="Z509" s="3">
        <f t="shared" si="94"/>
        <v>26664647465404</v>
      </c>
      <c r="AA509" s="7"/>
      <c r="AB509" s="7">
        <f t="shared" si="95"/>
        <v>13040</v>
      </c>
    </row>
    <row r="510" spans="6:28" x14ac:dyDescent="0.15">
      <c r="F510">
        <f t="shared" si="85"/>
        <v>73</v>
      </c>
      <c r="G510">
        <v>507</v>
      </c>
      <c r="H510">
        <f t="shared" si="86"/>
        <v>554546046358141.19</v>
      </c>
      <c r="I510">
        <f t="shared" si="87"/>
        <v>554546046358141</v>
      </c>
      <c r="J510" s="1">
        <f t="shared" si="88"/>
        <v>1</v>
      </c>
      <c r="K510" s="1">
        <f t="shared" si="89"/>
        <v>554546046358141</v>
      </c>
      <c r="L510" s="1">
        <f t="shared" si="90"/>
        <v>195385057000185</v>
      </c>
      <c r="M510" s="3">
        <f t="shared" si="91"/>
        <v>2819342.7863173028</v>
      </c>
      <c r="N510" s="7">
        <f t="shared" si="96"/>
        <v>195385057000185</v>
      </c>
      <c r="O510" s="7">
        <f t="shared" si="92"/>
        <v>2819342</v>
      </c>
      <c r="P510" s="3">
        <f>SUM($O$4:O510)</f>
        <v>155782773</v>
      </c>
      <c r="Y510" s="3">
        <f t="shared" si="93"/>
        <v>507</v>
      </c>
      <c r="Z510" s="3">
        <f t="shared" si="94"/>
        <v>28053211617012</v>
      </c>
      <c r="AA510" s="7"/>
      <c r="AB510" s="7">
        <f t="shared" si="95"/>
        <v>13040</v>
      </c>
    </row>
    <row r="511" spans="6:28" x14ac:dyDescent="0.15">
      <c r="F511">
        <f t="shared" si="85"/>
        <v>73</v>
      </c>
      <c r="G511">
        <v>508</v>
      </c>
      <c r="H511">
        <f t="shared" si="86"/>
        <v>554546046358141.19</v>
      </c>
      <c r="I511">
        <f t="shared" si="87"/>
        <v>554546046358141</v>
      </c>
      <c r="J511" s="1">
        <f t="shared" si="88"/>
        <v>1</v>
      </c>
      <c r="K511" s="1">
        <f t="shared" si="89"/>
        <v>554546046358141</v>
      </c>
      <c r="L511" s="1">
        <f t="shared" si="90"/>
        <v>195385057000185</v>
      </c>
      <c r="M511" s="3">
        <f t="shared" si="91"/>
        <v>2819342.7863173028</v>
      </c>
      <c r="N511" s="7">
        <f t="shared" si="96"/>
        <v>195385057000185</v>
      </c>
      <c r="O511" s="7">
        <f t="shared" si="92"/>
        <v>2819342</v>
      </c>
      <c r="P511" s="3">
        <f>SUM($O$4:O511)</f>
        <v>158602115</v>
      </c>
      <c r="Y511" s="3">
        <f t="shared" si="93"/>
        <v>508</v>
      </c>
      <c r="Z511" s="3">
        <f t="shared" si="94"/>
        <v>29513970565116</v>
      </c>
      <c r="AA511" s="7"/>
      <c r="AB511" s="7">
        <f t="shared" si="95"/>
        <v>13040</v>
      </c>
    </row>
    <row r="512" spans="6:28" x14ac:dyDescent="0.15">
      <c r="F512">
        <f t="shared" si="85"/>
        <v>73</v>
      </c>
      <c r="G512">
        <v>509</v>
      </c>
      <c r="H512">
        <f t="shared" si="86"/>
        <v>554546046358141.19</v>
      </c>
      <c r="I512">
        <f t="shared" si="87"/>
        <v>554546046358141</v>
      </c>
      <c r="J512" s="1">
        <f t="shared" si="88"/>
        <v>1</v>
      </c>
      <c r="K512" s="1">
        <f t="shared" si="89"/>
        <v>554546046358141</v>
      </c>
      <c r="L512" s="1">
        <f t="shared" si="90"/>
        <v>195385057000185</v>
      </c>
      <c r="M512" s="3">
        <f t="shared" si="91"/>
        <v>2819342.7863173028</v>
      </c>
      <c r="N512" s="7">
        <f t="shared" si="96"/>
        <v>195385057000185</v>
      </c>
      <c r="O512" s="7">
        <f t="shared" si="92"/>
        <v>2819342</v>
      </c>
      <c r="P512" s="3">
        <f>SUM($O$4:O512)</f>
        <v>161421457</v>
      </c>
      <c r="Y512" s="3">
        <f t="shared" si="93"/>
        <v>509</v>
      </c>
      <c r="Z512" s="3">
        <f t="shared" si="94"/>
        <v>31050672378989</v>
      </c>
      <c r="AA512" s="7"/>
      <c r="AB512" s="7">
        <f t="shared" si="95"/>
        <v>13040</v>
      </c>
    </row>
    <row r="513" spans="6:28" x14ac:dyDescent="0.15">
      <c r="F513">
        <f t="shared" si="85"/>
        <v>73</v>
      </c>
      <c r="G513">
        <v>510</v>
      </c>
      <c r="H513">
        <f t="shared" si="86"/>
        <v>554546046358141.19</v>
      </c>
      <c r="I513">
        <f t="shared" si="87"/>
        <v>554546046358141</v>
      </c>
      <c r="J513" s="1">
        <f t="shared" si="88"/>
        <v>1</v>
      </c>
      <c r="K513" s="1">
        <f t="shared" si="89"/>
        <v>554546046358141</v>
      </c>
      <c r="L513" s="1">
        <f t="shared" si="90"/>
        <v>195385057000185</v>
      </c>
      <c r="M513" s="3">
        <f t="shared" si="91"/>
        <v>2819342.7863173028</v>
      </c>
      <c r="N513" s="7">
        <f t="shared" si="96"/>
        <v>195385057000185</v>
      </c>
      <c r="O513" s="7">
        <f t="shared" si="92"/>
        <v>2819342</v>
      </c>
      <c r="P513" s="3">
        <f>SUM($O$4:O513)</f>
        <v>164240799</v>
      </c>
      <c r="Y513" s="3">
        <f t="shared" si="93"/>
        <v>510</v>
      </c>
      <c r="Z513" s="3">
        <f t="shared" si="94"/>
        <v>32667259447836</v>
      </c>
      <c r="AA513" s="7"/>
      <c r="AB513" s="7">
        <f t="shared" si="95"/>
        <v>13040</v>
      </c>
    </row>
    <row r="514" spans="6:28" x14ac:dyDescent="0.15">
      <c r="F514">
        <f t="shared" si="85"/>
        <v>73</v>
      </c>
      <c r="G514">
        <v>511</v>
      </c>
      <c r="H514">
        <f t="shared" si="86"/>
        <v>554546046358141.19</v>
      </c>
      <c r="I514">
        <f t="shared" si="87"/>
        <v>554546046358141</v>
      </c>
      <c r="J514" s="1">
        <f t="shared" si="88"/>
        <v>6</v>
      </c>
      <c r="K514" s="1">
        <f t="shared" si="89"/>
        <v>3327276278148846</v>
      </c>
      <c r="L514" s="1">
        <f t="shared" si="90"/>
        <v>1172310342001110</v>
      </c>
      <c r="M514" s="3">
        <f t="shared" si="91"/>
        <v>16916056.717903819</v>
      </c>
      <c r="N514" s="7">
        <f t="shared" si="96"/>
        <v>1172310342001110</v>
      </c>
      <c r="O514" s="7">
        <f t="shared" si="92"/>
        <v>16916056</v>
      </c>
      <c r="P514" s="3">
        <f>SUM($O$4:O514)</f>
        <v>181156855</v>
      </c>
      <c r="Y514" s="3">
        <f t="shared" si="93"/>
        <v>511</v>
      </c>
      <c r="Z514" s="3">
        <f t="shared" si="94"/>
        <v>34367878542621</v>
      </c>
      <c r="AA514" s="7"/>
      <c r="AB514" s="7">
        <f t="shared" si="95"/>
        <v>13040</v>
      </c>
    </row>
    <row r="515" spans="6:28" x14ac:dyDescent="0.15">
      <c r="F515">
        <f t="shared" si="85"/>
        <v>74</v>
      </c>
      <c r="G515">
        <v>512</v>
      </c>
      <c r="H515">
        <f t="shared" si="86"/>
        <v>870637292782281.75</v>
      </c>
      <c r="I515">
        <f t="shared" si="87"/>
        <v>870637292782282</v>
      </c>
      <c r="J515" s="1">
        <f t="shared" si="88"/>
        <v>1</v>
      </c>
      <c r="K515" s="1">
        <f t="shared" si="89"/>
        <v>870637292782282</v>
      </c>
      <c r="L515" s="1">
        <f t="shared" si="90"/>
        <v>309366451368637.56</v>
      </c>
      <c r="M515" s="3">
        <f t="shared" si="91"/>
        <v>3433890.1637700079</v>
      </c>
      <c r="N515" s="7">
        <f t="shared" si="96"/>
        <v>309366451368638</v>
      </c>
      <c r="O515" s="7">
        <f t="shared" si="92"/>
        <v>3433890</v>
      </c>
      <c r="P515" s="3">
        <f>SUM($O$4:O515)</f>
        <v>184590745</v>
      </c>
      <c r="Y515" s="3">
        <f t="shared" si="93"/>
        <v>512</v>
      </c>
      <c r="Z515" s="3">
        <f t="shared" si="94"/>
        <v>36156891398264</v>
      </c>
      <c r="AA515" s="7"/>
      <c r="AB515" s="7">
        <f t="shared" si="95"/>
        <v>13040</v>
      </c>
    </row>
    <row r="516" spans="6:28" x14ac:dyDescent="0.15">
      <c r="F516">
        <f t="shared" si="85"/>
        <v>74</v>
      </c>
      <c r="G516">
        <v>513</v>
      </c>
      <c r="H516">
        <f t="shared" si="86"/>
        <v>870637292782281.75</v>
      </c>
      <c r="I516">
        <f t="shared" si="87"/>
        <v>870637292782282</v>
      </c>
      <c r="J516" s="1">
        <f t="shared" si="88"/>
        <v>1</v>
      </c>
      <c r="K516" s="1">
        <f t="shared" si="89"/>
        <v>870637292782282</v>
      </c>
      <c r="L516" s="1">
        <f t="shared" si="90"/>
        <v>309366451368637.56</v>
      </c>
      <c r="M516" s="3">
        <f t="shared" si="91"/>
        <v>3433890.1637700079</v>
      </c>
      <c r="N516" s="7">
        <f t="shared" si="96"/>
        <v>309366451368638</v>
      </c>
      <c r="O516" s="7">
        <f t="shared" si="92"/>
        <v>3433890</v>
      </c>
      <c r="P516" s="3">
        <f>SUM($O$4:O516)</f>
        <v>188024635</v>
      </c>
      <c r="Y516" s="3">
        <f t="shared" si="93"/>
        <v>513</v>
      </c>
      <c r="Z516" s="3">
        <f t="shared" si="94"/>
        <v>38038885843115</v>
      </c>
      <c r="AA516" s="7"/>
      <c r="AB516" s="7">
        <f t="shared" si="95"/>
        <v>13040</v>
      </c>
    </row>
    <row r="517" spans="6:28" x14ac:dyDescent="0.15">
      <c r="F517">
        <f t="shared" ref="F517:F580" si="97">ROUNDUP(G517/$C$4,0)</f>
        <v>74</v>
      </c>
      <c r="G517">
        <v>514</v>
      </c>
      <c r="H517">
        <f t="shared" ref="H517:H580" si="98">18.5*1.57^MIN(F517,156)*1.17^MAX(F517-156,0)*$C$5</f>
        <v>870637292782281.75</v>
      </c>
      <c r="I517">
        <f t="shared" ref="I517:I580" si="99">ROUND(H517,0)</f>
        <v>870637292782282</v>
      </c>
      <c r="J517" s="1">
        <f t="shared" ref="J517:J580" si="100">IF(F517=F518,1,LOOKUP(MOD(F517,5),$D$6:$D$10,$C$6:$C$10))</f>
        <v>1</v>
      </c>
      <c r="K517" s="1">
        <f t="shared" ref="K517:K580" si="101">J517*I517</f>
        <v>870637292782282</v>
      </c>
      <c r="L517" s="1">
        <f t="shared" ref="L517:L580" si="102">K517*(0.02+0.00045*F517)/$C$5</f>
        <v>309366451368637.56</v>
      </c>
      <c r="M517" s="3">
        <f t="shared" ref="M517:M580" si="103">L517/(1.3^F517)*3</f>
        <v>3433890.1637700079</v>
      </c>
      <c r="N517" s="7">
        <f t="shared" si="96"/>
        <v>309366451368638</v>
      </c>
      <c r="O517" s="7">
        <f t="shared" ref="O517:O580" si="104">ROUNDDOWN(M517,0)</f>
        <v>3433890</v>
      </c>
      <c r="P517" s="3">
        <f>SUM($O$4:O517)</f>
        <v>191458525</v>
      </c>
      <c r="Y517" s="3">
        <f t="shared" ref="Y517:Y580" si="105">G517</f>
        <v>514</v>
      </c>
      <c r="Z517" s="3">
        <f t="shared" ref="Z517:Z580" si="106">ROUND(1.05^Y517*Y517,0)</f>
        <v>40018687503955</v>
      </c>
      <c r="AA517" s="7"/>
      <c r="AB517" s="7">
        <f t="shared" ref="AB517:AB580" si="107">LOOKUP(Y517,T:T,P:P)</f>
        <v>13040</v>
      </c>
    </row>
    <row r="518" spans="6:28" x14ac:dyDescent="0.15">
      <c r="F518">
        <f t="shared" si="97"/>
        <v>74</v>
      </c>
      <c r="G518">
        <v>515</v>
      </c>
      <c r="H518">
        <f t="shared" si="98"/>
        <v>870637292782281.75</v>
      </c>
      <c r="I518">
        <f t="shared" si="99"/>
        <v>870637292782282</v>
      </c>
      <c r="J518" s="1">
        <f t="shared" si="100"/>
        <v>1</v>
      </c>
      <c r="K518" s="1">
        <f t="shared" si="101"/>
        <v>870637292782282</v>
      </c>
      <c r="L518" s="1">
        <f t="shared" si="102"/>
        <v>309366451368637.56</v>
      </c>
      <c r="M518" s="3">
        <f t="shared" si="103"/>
        <v>3433890.1637700079</v>
      </c>
      <c r="N518" s="7">
        <f t="shared" si="96"/>
        <v>309366451368638</v>
      </c>
      <c r="O518" s="7">
        <f t="shared" si="104"/>
        <v>3433890</v>
      </c>
      <c r="P518" s="3">
        <f>SUM($O$4:O518)</f>
        <v>194892415</v>
      </c>
      <c r="Y518" s="3">
        <f t="shared" si="105"/>
        <v>515</v>
      </c>
      <c r="Z518" s="3">
        <f t="shared" si="106"/>
        <v>42101372116272</v>
      </c>
      <c r="AA518" s="7"/>
      <c r="AB518" s="7">
        <f t="shared" si="107"/>
        <v>13040</v>
      </c>
    </row>
    <row r="519" spans="6:28" x14ac:dyDescent="0.15">
      <c r="F519">
        <f t="shared" si="97"/>
        <v>74</v>
      </c>
      <c r="G519">
        <v>516</v>
      </c>
      <c r="H519">
        <f t="shared" si="98"/>
        <v>870637292782281.75</v>
      </c>
      <c r="I519">
        <f t="shared" si="99"/>
        <v>870637292782282</v>
      </c>
      <c r="J519" s="1">
        <f t="shared" si="100"/>
        <v>1</v>
      </c>
      <c r="K519" s="1">
        <f t="shared" si="101"/>
        <v>870637292782282</v>
      </c>
      <c r="L519" s="1">
        <f t="shared" si="102"/>
        <v>309366451368637.56</v>
      </c>
      <c r="M519" s="3">
        <f t="shared" si="103"/>
        <v>3433890.1637700079</v>
      </c>
      <c r="N519" s="7">
        <f t="shared" si="96"/>
        <v>309366451368638</v>
      </c>
      <c r="O519" s="7">
        <f t="shared" si="104"/>
        <v>3433890</v>
      </c>
      <c r="P519" s="3">
        <f>SUM($O$4:O519)</f>
        <v>198326305</v>
      </c>
      <c r="Y519" s="3">
        <f t="shared" si="105"/>
        <v>516</v>
      </c>
      <c r="Z519" s="3">
        <f t="shared" si="106"/>
        <v>44292278471061</v>
      </c>
      <c r="AA519" s="7"/>
      <c r="AB519" s="7">
        <f t="shared" si="107"/>
        <v>13040</v>
      </c>
    </row>
    <row r="520" spans="6:28" x14ac:dyDescent="0.15">
      <c r="F520">
        <f t="shared" si="97"/>
        <v>74</v>
      </c>
      <c r="G520">
        <v>517</v>
      </c>
      <c r="H520">
        <f t="shared" si="98"/>
        <v>870637292782281.75</v>
      </c>
      <c r="I520">
        <f t="shared" si="99"/>
        <v>870637292782282</v>
      </c>
      <c r="J520" s="1">
        <f t="shared" si="100"/>
        <v>1</v>
      </c>
      <c r="K520" s="1">
        <f t="shared" si="101"/>
        <v>870637292782282</v>
      </c>
      <c r="L520" s="1">
        <f t="shared" si="102"/>
        <v>309366451368637.56</v>
      </c>
      <c r="M520" s="3">
        <f t="shared" si="103"/>
        <v>3433890.1637700079</v>
      </c>
      <c r="N520" s="7">
        <f t="shared" ref="N520:N583" si="108">ROUND(L520,0)</f>
        <v>309366451368638</v>
      </c>
      <c r="O520" s="7">
        <f t="shared" si="104"/>
        <v>3433890</v>
      </c>
      <c r="P520" s="3">
        <f>SUM($O$4:O520)</f>
        <v>201760195</v>
      </c>
      <c r="Y520" s="3">
        <f t="shared" si="105"/>
        <v>517</v>
      </c>
      <c r="Z520" s="3">
        <f t="shared" si="106"/>
        <v>46597022031037</v>
      </c>
      <c r="AA520" s="7"/>
      <c r="AB520" s="7">
        <f t="shared" si="107"/>
        <v>13040</v>
      </c>
    </row>
    <row r="521" spans="6:28" x14ac:dyDescent="0.15">
      <c r="F521">
        <f t="shared" si="97"/>
        <v>74</v>
      </c>
      <c r="G521">
        <v>518</v>
      </c>
      <c r="H521">
        <f t="shared" si="98"/>
        <v>870637292782281.75</v>
      </c>
      <c r="I521">
        <f t="shared" si="99"/>
        <v>870637292782282</v>
      </c>
      <c r="J521" s="1">
        <f t="shared" si="100"/>
        <v>7</v>
      </c>
      <c r="K521" s="1">
        <f t="shared" si="101"/>
        <v>6094461049475974</v>
      </c>
      <c r="L521" s="1">
        <f t="shared" si="102"/>
        <v>2165565159580463</v>
      </c>
      <c r="M521" s="3">
        <f t="shared" si="103"/>
        <v>24037231.146390058</v>
      </c>
      <c r="N521" s="7">
        <f t="shared" si="108"/>
        <v>2165565159580460</v>
      </c>
      <c r="O521" s="7">
        <f t="shared" si="104"/>
        <v>24037231</v>
      </c>
      <c r="P521" s="3">
        <f>SUM($O$4:O521)</f>
        <v>225797426</v>
      </c>
      <c r="Y521" s="3">
        <f t="shared" si="105"/>
        <v>518</v>
      </c>
      <c r="Z521" s="3">
        <f t="shared" si="106"/>
        <v>49021509250834</v>
      </c>
      <c r="AA521" s="7"/>
      <c r="AB521" s="7">
        <f t="shared" si="107"/>
        <v>13040</v>
      </c>
    </row>
    <row r="522" spans="6:28" x14ac:dyDescent="0.15">
      <c r="F522">
        <f t="shared" si="97"/>
        <v>75</v>
      </c>
      <c r="G522">
        <v>519</v>
      </c>
      <c r="H522">
        <f t="shared" si="98"/>
        <v>1366900549668182.2</v>
      </c>
      <c r="I522">
        <f t="shared" si="99"/>
        <v>1366900549668180</v>
      </c>
      <c r="J522" s="1">
        <f t="shared" si="100"/>
        <v>1</v>
      </c>
      <c r="K522" s="1">
        <f t="shared" si="101"/>
        <v>1366900549668180</v>
      </c>
      <c r="L522" s="1">
        <f t="shared" si="102"/>
        <v>489806030297764.62</v>
      </c>
      <c r="M522" s="3">
        <f t="shared" si="103"/>
        <v>4182095.6298909076</v>
      </c>
      <c r="N522" s="7">
        <f t="shared" si="108"/>
        <v>489806030297765</v>
      </c>
      <c r="O522" s="7">
        <f t="shared" si="104"/>
        <v>4182095</v>
      </c>
      <c r="P522" s="3">
        <f>SUM($O$4:O522)</f>
        <v>229979521</v>
      </c>
      <c r="Y522" s="3">
        <f t="shared" si="105"/>
        <v>519</v>
      </c>
      <c r="Z522" s="3">
        <f t="shared" si="106"/>
        <v>51571952637533</v>
      </c>
      <c r="AA522" s="7"/>
      <c r="AB522" s="7">
        <f t="shared" si="107"/>
        <v>13040</v>
      </c>
    </row>
    <row r="523" spans="6:28" x14ac:dyDescent="0.15">
      <c r="F523">
        <f t="shared" si="97"/>
        <v>75</v>
      </c>
      <c r="G523">
        <v>520</v>
      </c>
      <c r="H523">
        <f t="shared" si="98"/>
        <v>1366900549668182.2</v>
      </c>
      <c r="I523">
        <f t="shared" si="99"/>
        <v>1366900549668180</v>
      </c>
      <c r="J523" s="1">
        <f t="shared" si="100"/>
        <v>1</v>
      </c>
      <c r="K523" s="1">
        <f t="shared" si="101"/>
        <v>1366900549668180</v>
      </c>
      <c r="L523" s="1">
        <f t="shared" si="102"/>
        <v>489806030297764.62</v>
      </c>
      <c r="M523" s="3">
        <f t="shared" si="103"/>
        <v>4182095.6298909076</v>
      </c>
      <c r="N523" s="7">
        <f t="shared" si="108"/>
        <v>489806030297765</v>
      </c>
      <c r="O523" s="7">
        <f t="shared" si="104"/>
        <v>4182095</v>
      </c>
      <c r="P523" s="3">
        <f>SUM($O$4:O523)</f>
        <v>234161616</v>
      </c>
      <c r="Y523" s="3">
        <f t="shared" si="105"/>
        <v>520</v>
      </c>
      <c r="Z523" s="3">
        <f t="shared" si="106"/>
        <v>54254886589775</v>
      </c>
      <c r="AA523" s="7"/>
      <c r="AB523" s="7">
        <f t="shared" si="107"/>
        <v>13040</v>
      </c>
    </row>
    <row r="524" spans="6:28" x14ac:dyDescent="0.15">
      <c r="F524">
        <f t="shared" si="97"/>
        <v>75</v>
      </c>
      <c r="G524">
        <v>521</v>
      </c>
      <c r="H524">
        <f t="shared" si="98"/>
        <v>1366900549668182.2</v>
      </c>
      <c r="I524">
        <f t="shared" si="99"/>
        <v>1366900549668180</v>
      </c>
      <c r="J524" s="1">
        <f t="shared" si="100"/>
        <v>1</v>
      </c>
      <c r="K524" s="1">
        <f t="shared" si="101"/>
        <v>1366900549668180</v>
      </c>
      <c r="L524" s="1">
        <f t="shared" si="102"/>
        <v>489806030297764.62</v>
      </c>
      <c r="M524" s="3">
        <f t="shared" si="103"/>
        <v>4182095.6298909076</v>
      </c>
      <c r="N524" s="7">
        <f t="shared" si="108"/>
        <v>489806030297765</v>
      </c>
      <c r="O524" s="7">
        <f t="shared" si="104"/>
        <v>4182095</v>
      </c>
      <c r="P524" s="3">
        <f>SUM($O$4:O524)</f>
        <v>238343711</v>
      </c>
      <c r="Y524" s="3">
        <f t="shared" si="105"/>
        <v>521</v>
      </c>
      <c r="Z524" s="3">
        <f t="shared" si="106"/>
        <v>57077184055647</v>
      </c>
      <c r="AA524" s="7"/>
      <c r="AB524" s="7">
        <f t="shared" si="107"/>
        <v>13040</v>
      </c>
    </row>
    <row r="525" spans="6:28" x14ac:dyDescent="0.15">
      <c r="F525">
        <f t="shared" si="97"/>
        <v>75</v>
      </c>
      <c r="G525">
        <v>522</v>
      </c>
      <c r="H525">
        <f t="shared" si="98"/>
        <v>1366900549668182.2</v>
      </c>
      <c r="I525">
        <f t="shared" si="99"/>
        <v>1366900549668180</v>
      </c>
      <c r="J525" s="1">
        <f t="shared" si="100"/>
        <v>1</v>
      </c>
      <c r="K525" s="1">
        <f t="shared" si="101"/>
        <v>1366900549668180</v>
      </c>
      <c r="L525" s="1">
        <f t="shared" si="102"/>
        <v>489806030297764.62</v>
      </c>
      <c r="M525" s="3">
        <f t="shared" si="103"/>
        <v>4182095.6298909076</v>
      </c>
      <c r="N525" s="7">
        <f t="shared" si="108"/>
        <v>489806030297765</v>
      </c>
      <c r="O525" s="7">
        <f t="shared" si="104"/>
        <v>4182095</v>
      </c>
      <c r="P525" s="3">
        <f>SUM($O$4:O525)</f>
        <v>242525806</v>
      </c>
      <c r="Y525" s="3">
        <f t="shared" si="105"/>
        <v>522</v>
      </c>
      <c r="Z525" s="3">
        <f t="shared" si="106"/>
        <v>60046074051631</v>
      </c>
      <c r="AA525" s="7"/>
      <c r="AB525" s="7">
        <f t="shared" si="107"/>
        <v>13040</v>
      </c>
    </row>
    <row r="526" spans="6:28" x14ac:dyDescent="0.15">
      <c r="F526">
        <f t="shared" si="97"/>
        <v>75</v>
      </c>
      <c r="G526">
        <v>523</v>
      </c>
      <c r="H526">
        <f t="shared" si="98"/>
        <v>1366900549668182.2</v>
      </c>
      <c r="I526">
        <f t="shared" si="99"/>
        <v>1366900549668180</v>
      </c>
      <c r="J526" s="1">
        <f t="shared" si="100"/>
        <v>1</v>
      </c>
      <c r="K526" s="1">
        <f t="shared" si="101"/>
        <v>1366900549668180</v>
      </c>
      <c r="L526" s="1">
        <f t="shared" si="102"/>
        <v>489806030297764.62</v>
      </c>
      <c r="M526" s="3">
        <f t="shared" si="103"/>
        <v>4182095.6298909076</v>
      </c>
      <c r="N526" s="7">
        <f t="shared" si="108"/>
        <v>489806030297765</v>
      </c>
      <c r="O526" s="7">
        <f t="shared" si="104"/>
        <v>4182095</v>
      </c>
      <c r="P526" s="3">
        <f>SUM($O$4:O526)</f>
        <v>246707901</v>
      </c>
      <c r="Y526" s="3">
        <f t="shared" si="105"/>
        <v>523</v>
      </c>
      <c r="Z526" s="3">
        <f t="shared" si="106"/>
        <v>63169160087075</v>
      </c>
      <c r="AA526" s="7"/>
      <c r="AB526" s="7">
        <f t="shared" si="107"/>
        <v>13040</v>
      </c>
    </row>
    <row r="527" spans="6:28" x14ac:dyDescent="0.15">
      <c r="F527">
        <f t="shared" si="97"/>
        <v>75</v>
      </c>
      <c r="G527">
        <v>524</v>
      </c>
      <c r="H527">
        <f t="shared" si="98"/>
        <v>1366900549668182.2</v>
      </c>
      <c r="I527">
        <f t="shared" si="99"/>
        <v>1366900549668180</v>
      </c>
      <c r="J527" s="1">
        <f t="shared" si="100"/>
        <v>1</v>
      </c>
      <c r="K527" s="1">
        <f t="shared" si="101"/>
        <v>1366900549668180</v>
      </c>
      <c r="L527" s="1">
        <f t="shared" si="102"/>
        <v>489806030297764.62</v>
      </c>
      <c r="M527" s="3">
        <f t="shared" si="103"/>
        <v>4182095.6298909076</v>
      </c>
      <c r="N527" s="7">
        <f t="shared" si="108"/>
        <v>489806030297765</v>
      </c>
      <c r="O527" s="7">
        <f t="shared" si="104"/>
        <v>4182095</v>
      </c>
      <c r="P527" s="3">
        <f>SUM($O$4:O527)</f>
        <v>250889996</v>
      </c>
      <c r="Y527" s="3">
        <f t="shared" si="105"/>
        <v>524</v>
      </c>
      <c r="Z527" s="3">
        <f t="shared" si="106"/>
        <v>66454439540935</v>
      </c>
      <c r="AA527" s="7"/>
      <c r="AB527" s="7">
        <f t="shared" si="107"/>
        <v>13040</v>
      </c>
    </row>
    <row r="528" spans="6:28" x14ac:dyDescent="0.15">
      <c r="F528">
        <f t="shared" si="97"/>
        <v>75</v>
      </c>
      <c r="G528">
        <v>525</v>
      </c>
      <c r="H528">
        <f t="shared" si="98"/>
        <v>1366900549668182.2</v>
      </c>
      <c r="I528">
        <f t="shared" si="99"/>
        <v>1366900549668180</v>
      </c>
      <c r="J528" s="1">
        <f t="shared" si="100"/>
        <v>10</v>
      </c>
      <c r="K528" s="1">
        <f t="shared" si="101"/>
        <v>1.36690054966818E+16</v>
      </c>
      <c r="L528" s="1">
        <f t="shared" si="102"/>
        <v>4898060302977646</v>
      </c>
      <c r="M528" s="3">
        <f t="shared" si="103"/>
        <v>41820956.298909076</v>
      </c>
      <c r="N528" s="7">
        <f t="shared" si="108"/>
        <v>4898060302977650</v>
      </c>
      <c r="O528" s="7">
        <f t="shared" si="104"/>
        <v>41820956</v>
      </c>
      <c r="P528" s="3">
        <f>SUM($O$4:O528)</f>
        <v>292710952</v>
      </c>
      <c r="Y528" s="3">
        <f t="shared" si="105"/>
        <v>525</v>
      </c>
      <c r="Z528" s="3">
        <f t="shared" si="106"/>
        <v>69910324039962</v>
      </c>
      <c r="AA528" s="7"/>
      <c r="AB528" s="7">
        <f t="shared" si="107"/>
        <v>13040</v>
      </c>
    </row>
    <row r="529" spans="6:28" x14ac:dyDescent="0.15">
      <c r="F529">
        <f t="shared" si="97"/>
        <v>76</v>
      </c>
      <c r="G529">
        <v>526</v>
      </c>
      <c r="H529">
        <f t="shared" si="98"/>
        <v>2146033862979046.5</v>
      </c>
      <c r="I529">
        <f t="shared" si="99"/>
        <v>2146033862979050</v>
      </c>
      <c r="J529" s="1">
        <f t="shared" si="100"/>
        <v>1</v>
      </c>
      <c r="K529" s="1">
        <f t="shared" si="101"/>
        <v>2146033862979050</v>
      </c>
      <c r="L529" s="1">
        <f t="shared" si="102"/>
        <v>775433569156430</v>
      </c>
      <c r="M529" s="3">
        <f t="shared" si="103"/>
        <v>5092969.5245787194</v>
      </c>
      <c r="N529" s="7">
        <f t="shared" si="108"/>
        <v>775433569156430</v>
      </c>
      <c r="O529" s="7">
        <f t="shared" si="104"/>
        <v>5092969</v>
      </c>
      <c r="P529" s="3">
        <f>SUM($O$4:O529)</f>
        <v>297803921</v>
      </c>
      <c r="Y529" s="3">
        <f t="shared" si="105"/>
        <v>526</v>
      </c>
      <c r="Z529" s="3">
        <f t="shared" si="106"/>
        <v>73545660890040</v>
      </c>
      <c r="AA529" s="7"/>
      <c r="AB529" s="7">
        <f t="shared" si="107"/>
        <v>13040</v>
      </c>
    </row>
    <row r="530" spans="6:28" x14ac:dyDescent="0.15">
      <c r="F530">
        <f t="shared" si="97"/>
        <v>76</v>
      </c>
      <c r="G530">
        <v>527</v>
      </c>
      <c r="H530">
        <f t="shared" si="98"/>
        <v>2146033862979046.5</v>
      </c>
      <c r="I530">
        <f t="shared" si="99"/>
        <v>2146033862979050</v>
      </c>
      <c r="J530" s="1">
        <f t="shared" si="100"/>
        <v>1</v>
      </c>
      <c r="K530" s="1">
        <f t="shared" si="101"/>
        <v>2146033862979050</v>
      </c>
      <c r="L530" s="1">
        <f t="shared" si="102"/>
        <v>775433569156430</v>
      </c>
      <c r="M530" s="3">
        <f t="shared" si="103"/>
        <v>5092969.5245787194</v>
      </c>
      <c r="N530" s="7">
        <f t="shared" si="108"/>
        <v>775433569156430</v>
      </c>
      <c r="O530" s="7">
        <f t="shared" si="104"/>
        <v>5092969</v>
      </c>
      <c r="P530" s="3">
        <f>SUM($O$4:O530)</f>
        <v>302896890</v>
      </c>
      <c r="Y530" s="3">
        <f t="shared" si="105"/>
        <v>527</v>
      </c>
      <c r="Z530" s="3">
        <f t="shared" si="106"/>
        <v>77369755615026</v>
      </c>
      <c r="AA530" s="7"/>
      <c r="AB530" s="7">
        <f t="shared" si="107"/>
        <v>13040</v>
      </c>
    </row>
    <row r="531" spans="6:28" x14ac:dyDescent="0.15">
      <c r="F531">
        <f t="shared" si="97"/>
        <v>76</v>
      </c>
      <c r="G531">
        <v>528</v>
      </c>
      <c r="H531">
        <f t="shared" si="98"/>
        <v>2146033862979046.5</v>
      </c>
      <c r="I531">
        <f t="shared" si="99"/>
        <v>2146033862979050</v>
      </c>
      <c r="J531" s="1">
        <f t="shared" si="100"/>
        <v>1</v>
      </c>
      <c r="K531" s="1">
        <f t="shared" si="101"/>
        <v>2146033862979050</v>
      </c>
      <c r="L531" s="1">
        <f t="shared" si="102"/>
        <v>775433569156430</v>
      </c>
      <c r="M531" s="3">
        <f t="shared" si="103"/>
        <v>5092969.5245787194</v>
      </c>
      <c r="N531" s="7">
        <f t="shared" si="108"/>
        <v>775433569156430</v>
      </c>
      <c r="O531" s="7">
        <f t="shared" si="104"/>
        <v>5092969</v>
      </c>
      <c r="P531" s="3">
        <f>SUM($O$4:O531)</f>
        <v>307989859</v>
      </c>
      <c r="Y531" s="3">
        <f t="shared" si="105"/>
        <v>528</v>
      </c>
      <c r="Z531" s="3">
        <f t="shared" si="106"/>
        <v>81392395660286</v>
      </c>
      <c r="AA531" s="7"/>
      <c r="AB531" s="7">
        <f t="shared" si="107"/>
        <v>13040</v>
      </c>
    </row>
    <row r="532" spans="6:28" x14ac:dyDescent="0.15">
      <c r="F532">
        <f t="shared" si="97"/>
        <v>76</v>
      </c>
      <c r="G532">
        <v>529</v>
      </c>
      <c r="H532">
        <f t="shared" si="98"/>
        <v>2146033862979046.5</v>
      </c>
      <c r="I532">
        <f t="shared" si="99"/>
        <v>2146033862979050</v>
      </c>
      <c r="J532" s="1">
        <f t="shared" si="100"/>
        <v>1</v>
      </c>
      <c r="K532" s="1">
        <f t="shared" si="101"/>
        <v>2146033862979050</v>
      </c>
      <c r="L532" s="1">
        <f t="shared" si="102"/>
        <v>775433569156430</v>
      </c>
      <c r="M532" s="3">
        <f t="shared" si="103"/>
        <v>5092969.5245787194</v>
      </c>
      <c r="N532" s="7">
        <f t="shared" si="108"/>
        <v>775433569156430</v>
      </c>
      <c r="O532" s="7">
        <f t="shared" si="104"/>
        <v>5092969</v>
      </c>
      <c r="P532" s="3">
        <f>SUM($O$4:O532)</f>
        <v>313082828</v>
      </c>
      <c r="Y532" s="3">
        <f t="shared" si="105"/>
        <v>529</v>
      </c>
      <c r="Z532" s="3">
        <f t="shared" si="106"/>
        <v>85623875321033</v>
      </c>
      <c r="AA532" s="7"/>
      <c r="AB532" s="7">
        <f t="shared" si="107"/>
        <v>13040</v>
      </c>
    </row>
    <row r="533" spans="6:28" x14ac:dyDescent="0.15">
      <c r="F533">
        <f t="shared" si="97"/>
        <v>76</v>
      </c>
      <c r="G533">
        <v>530</v>
      </c>
      <c r="H533">
        <f t="shared" si="98"/>
        <v>2146033862979046.5</v>
      </c>
      <c r="I533">
        <f t="shared" si="99"/>
        <v>2146033862979050</v>
      </c>
      <c r="J533" s="1">
        <f t="shared" si="100"/>
        <v>1</v>
      </c>
      <c r="K533" s="1">
        <f t="shared" si="101"/>
        <v>2146033862979050</v>
      </c>
      <c r="L533" s="1">
        <f t="shared" si="102"/>
        <v>775433569156430</v>
      </c>
      <c r="M533" s="3">
        <f t="shared" si="103"/>
        <v>5092969.5245787194</v>
      </c>
      <c r="N533" s="7">
        <f t="shared" si="108"/>
        <v>775433569156430</v>
      </c>
      <c r="O533" s="7">
        <f t="shared" si="104"/>
        <v>5092969</v>
      </c>
      <c r="P533" s="3">
        <f>SUM($O$4:O533)</f>
        <v>318175797</v>
      </c>
      <c r="Y533" s="3">
        <f t="shared" si="105"/>
        <v>530</v>
      </c>
      <c r="Z533" s="3">
        <f t="shared" si="106"/>
        <v>90075021958705</v>
      </c>
      <c r="AA533" s="7"/>
      <c r="AB533" s="7">
        <f t="shared" si="107"/>
        <v>13040</v>
      </c>
    </row>
    <row r="534" spans="6:28" x14ac:dyDescent="0.15">
      <c r="F534">
        <f t="shared" si="97"/>
        <v>76</v>
      </c>
      <c r="G534">
        <v>531</v>
      </c>
      <c r="H534">
        <f t="shared" si="98"/>
        <v>2146033862979046.5</v>
      </c>
      <c r="I534">
        <f t="shared" si="99"/>
        <v>2146033862979050</v>
      </c>
      <c r="J534" s="1">
        <f t="shared" si="100"/>
        <v>1</v>
      </c>
      <c r="K534" s="1">
        <f t="shared" si="101"/>
        <v>2146033862979050</v>
      </c>
      <c r="L534" s="1">
        <f t="shared" si="102"/>
        <v>775433569156430</v>
      </c>
      <c r="M534" s="3">
        <f t="shared" si="103"/>
        <v>5092969.5245787194</v>
      </c>
      <c r="N534" s="7">
        <f t="shared" si="108"/>
        <v>775433569156430</v>
      </c>
      <c r="O534" s="7">
        <f t="shared" si="104"/>
        <v>5092969</v>
      </c>
      <c r="P534" s="3">
        <f>SUM($O$4:O534)</f>
        <v>323268766</v>
      </c>
      <c r="Y534" s="3">
        <f t="shared" si="105"/>
        <v>531</v>
      </c>
      <c r="Z534" s="3">
        <f t="shared" si="106"/>
        <v>94757223571842</v>
      </c>
      <c r="AA534" s="7"/>
      <c r="AB534" s="7">
        <f t="shared" si="107"/>
        <v>13040</v>
      </c>
    </row>
    <row r="535" spans="6:28" x14ac:dyDescent="0.15">
      <c r="F535">
        <f t="shared" si="97"/>
        <v>76</v>
      </c>
      <c r="G535">
        <v>532</v>
      </c>
      <c r="H535">
        <f t="shared" si="98"/>
        <v>2146033862979046.5</v>
      </c>
      <c r="I535">
        <f t="shared" si="99"/>
        <v>2146033862979050</v>
      </c>
      <c r="J535" s="1">
        <f t="shared" si="100"/>
        <v>2</v>
      </c>
      <c r="K535" s="1">
        <f t="shared" si="101"/>
        <v>4292067725958100</v>
      </c>
      <c r="L535" s="1">
        <f t="shared" si="102"/>
        <v>1550867138312860</v>
      </c>
      <c r="M535" s="3">
        <f t="shared" si="103"/>
        <v>10185939.049157439</v>
      </c>
      <c r="N535" s="7">
        <f t="shared" si="108"/>
        <v>1550867138312860</v>
      </c>
      <c r="O535" s="7">
        <f t="shared" si="104"/>
        <v>10185939</v>
      </c>
      <c r="P535" s="3">
        <f>SUM($O$4:O535)</f>
        <v>333454705</v>
      </c>
      <c r="Y535" s="3">
        <f t="shared" si="105"/>
        <v>532</v>
      </c>
      <c r="Z535" s="3">
        <f t="shared" si="106"/>
        <v>99682457791395</v>
      </c>
      <c r="AA535" s="7"/>
      <c r="AB535" s="7">
        <f t="shared" si="107"/>
        <v>13040</v>
      </c>
    </row>
    <row r="536" spans="6:28" x14ac:dyDescent="0.15">
      <c r="F536">
        <f t="shared" si="97"/>
        <v>77</v>
      </c>
      <c r="G536">
        <v>533</v>
      </c>
      <c r="H536">
        <f t="shared" si="98"/>
        <v>3369273164877102.5</v>
      </c>
      <c r="I536">
        <f t="shared" si="99"/>
        <v>3369273164877100</v>
      </c>
      <c r="J536" s="1">
        <f t="shared" si="100"/>
        <v>1</v>
      </c>
      <c r="K536" s="1">
        <f t="shared" si="101"/>
        <v>3369273164877100</v>
      </c>
      <c r="L536" s="1">
        <f t="shared" si="102"/>
        <v>1227538523070223.5</v>
      </c>
      <c r="M536" s="3">
        <f t="shared" si="103"/>
        <v>6201807.1486462578</v>
      </c>
      <c r="N536" s="7">
        <f t="shared" si="108"/>
        <v>1227538523070220</v>
      </c>
      <c r="O536" s="7">
        <f t="shared" si="104"/>
        <v>6201807</v>
      </c>
      <c r="P536" s="3">
        <f>SUM($O$4:O536)</f>
        <v>339656512</v>
      </c>
      <c r="Y536" s="3">
        <f t="shared" si="105"/>
        <v>533</v>
      </c>
      <c r="Z536" s="3">
        <f t="shared" si="106"/>
        <v>104863322373974</v>
      </c>
      <c r="AA536" s="7"/>
      <c r="AB536" s="7">
        <f t="shared" si="107"/>
        <v>13040</v>
      </c>
    </row>
    <row r="537" spans="6:28" x14ac:dyDescent="0.15">
      <c r="F537">
        <f t="shared" si="97"/>
        <v>77</v>
      </c>
      <c r="G537">
        <v>534</v>
      </c>
      <c r="H537">
        <f t="shared" si="98"/>
        <v>3369273164877102.5</v>
      </c>
      <c r="I537">
        <f t="shared" si="99"/>
        <v>3369273164877100</v>
      </c>
      <c r="J537" s="1">
        <f t="shared" si="100"/>
        <v>1</v>
      </c>
      <c r="K537" s="1">
        <f t="shared" si="101"/>
        <v>3369273164877100</v>
      </c>
      <c r="L537" s="1">
        <f t="shared" si="102"/>
        <v>1227538523070223.5</v>
      </c>
      <c r="M537" s="3">
        <f t="shared" si="103"/>
        <v>6201807.1486462578</v>
      </c>
      <c r="N537" s="7">
        <f t="shared" si="108"/>
        <v>1227538523070220</v>
      </c>
      <c r="O537" s="7">
        <f t="shared" si="104"/>
        <v>6201807</v>
      </c>
      <c r="P537" s="3">
        <f>SUM($O$4:O537)</f>
        <v>345858319</v>
      </c>
      <c r="Y537" s="3">
        <f t="shared" si="105"/>
        <v>534</v>
      </c>
      <c r="Z537" s="3">
        <f t="shared" si="106"/>
        <v>110313067270333</v>
      </c>
      <c r="AA537" s="7"/>
      <c r="AB537" s="7">
        <f t="shared" si="107"/>
        <v>13040</v>
      </c>
    </row>
    <row r="538" spans="6:28" x14ac:dyDescent="0.15">
      <c r="F538">
        <f t="shared" si="97"/>
        <v>77</v>
      </c>
      <c r="G538">
        <v>535</v>
      </c>
      <c r="H538">
        <f t="shared" si="98"/>
        <v>3369273164877102.5</v>
      </c>
      <c r="I538">
        <f t="shared" si="99"/>
        <v>3369273164877100</v>
      </c>
      <c r="J538" s="1">
        <f t="shared" si="100"/>
        <v>1</v>
      </c>
      <c r="K538" s="1">
        <f t="shared" si="101"/>
        <v>3369273164877100</v>
      </c>
      <c r="L538" s="1">
        <f t="shared" si="102"/>
        <v>1227538523070223.5</v>
      </c>
      <c r="M538" s="3">
        <f t="shared" si="103"/>
        <v>6201807.1486462578</v>
      </c>
      <c r="N538" s="7">
        <f t="shared" si="108"/>
        <v>1227538523070220</v>
      </c>
      <c r="O538" s="7">
        <f t="shared" si="104"/>
        <v>6201807</v>
      </c>
      <c r="P538" s="3">
        <f>SUM($O$4:O538)</f>
        <v>352060126</v>
      </c>
      <c r="Y538" s="3">
        <f t="shared" si="105"/>
        <v>535</v>
      </c>
      <c r="Z538" s="3">
        <f t="shared" si="106"/>
        <v>116045628350392</v>
      </c>
      <c r="AA538" s="7"/>
      <c r="AB538" s="7">
        <f t="shared" si="107"/>
        <v>13040</v>
      </c>
    </row>
    <row r="539" spans="6:28" x14ac:dyDescent="0.15">
      <c r="F539">
        <f t="shared" si="97"/>
        <v>77</v>
      </c>
      <c r="G539">
        <v>536</v>
      </c>
      <c r="H539">
        <f t="shared" si="98"/>
        <v>3369273164877102.5</v>
      </c>
      <c r="I539">
        <f t="shared" si="99"/>
        <v>3369273164877100</v>
      </c>
      <c r="J539" s="1">
        <f t="shared" si="100"/>
        <v>1</v>
      </c>
      <c r="K539" s="1">
        <f t="shared" si="101"/>
        <v>3369273164877100</v>
      </c>
      <c r="L539" s="1">
        <f t="shared" si="102"/>
        <v>1227538523070223.5</v>
      </c>
      <c r="M539" s="3">
        <f t="shared" si="103"/>
        <v>6201807.1486462578</v>
      </c>
      <c r="N539" s="7">
        <f t="shared" si="108"/>
        <v>1227538523070220</v>
      </c>
      <c r="O539" s="7">
        <f t="shared" si="104"/>
        <v>6201807</v>
      </c>
      <c r="P539" s="3">
        <f>SUM($O$4:O539)</f>
        <v>358261933</v>
      </c>
      <c r="Y539" s="3">
        <f t="shared" si="105"/>
        <v>536</v>
      </c>
      <c r="Z539" s="3">
        <f t="shared" si="106"/>
        <v>122075662870282</v>
      </c>
      <c r="AA539" s="7"/>
      <c r="AB539" s="7">
        <f t="shared" si="107"/>
        <v>13040</v>
      </c>
    </row>
    <row r="540" spans="6:28" x14ac:dyDescent="0.15">
      <c r="F540">
        <f t="shared" si="97"/>
        <v>77</v>
      </c>
      <c r="G540">
        <v>537</v>
      </c>
      <c r="H540">
        <f t="shared" si="98"/>
        <v>3369273164877102.5</v>
      </c>
      <c r="I540">
        <f t="shared" si="99"/>
        <v>3369273164877100</v>
      </c>
      <c r="J540" s="1">
        <f t="shared" si="100"/>
        <v>1</v>
      </c>
      <c r="K540" s="1">
        <f t="shared" si="101"/>
        <v>3369273164877100</v>
      </c>
      <c r="L540" s="1">
        <f t="shared" si="102"/>
        <v>1227538523070223.5</v>
      </c>
      <c r="M540" s="3">
        <f t="shared" si="103"/>
        <v>6201807.1486462578</v>
      </c>
      <c r="N540" s="7">
        <f t="shared" si="108"/>
        <v>1227538523070220</v>
      </c>
      <c r="O540" s="7">
        <f t="shared" si="104"/>
        <v>6201807</v>
      </c>
      <c r="P540" s="3">
        <f>SUM($O$4:O540)</f>
        <v>364463740</v>
      </c>
      <c r="Y540" s="3">
        <f t="shared" si="105"/>
        <v>537</v>
      </c>
      <c r="Z540" s="3">
        <f t="shared" si="106"/>
        <v>128418586771284</v>
      </c>
      <c r="AA540" s="7"/>
      <c r="AB540" s="7">
        <f t="shared" si="107"/>
        <v>13040</v>
      </c>
    </row>
    <row r="541" spans="6:28" x14ac:dyDescent="0.15">
      <c r="F541">
        <f t="shared" si="97"/>
        <v>77</v>
      </c>
      <c r="G541">
        <v>538</v>
      </c>
      <c r="H541">
        <f t="shared" si="98"/>
        <v>3369273164877102.5</v>
      </c>
      <c r="I541">
        <f t="shared" si="99"/>
        <v>3369273164877100</v>
      </c>
      <c r="J541" s="1">
        <f t="shared" si="100"/>
        <v>1</v>
      </c>
      <c r="K541" s="1">
        <f t="shared" si="101"/>
        <v>3369273164877100</v>
      </c>
      <c r="L541" s="1">
        <f t="shared" si="102"/>
        <v>1227538523070223.5</v>
      </c>
      <c r="M541" s="3">
        <f t="shared" si="103"/>
        <v>6201807.1486462578</v>
      </c>
      <c r="N541" s="7">
        <f t="shared" si="108"/>
        <v>1227538523070220</v>
      </c>
      <c r="O541" s="7">
        <f t="shared" si="104"/>
        <v>6201807</v>
      </c>
      <c r="P541" s="3">
        <f>SUM($O$4:O541)</f>
        <v>370665547</v>
      </c>
      <c r="Y541" s="3">
        <f t="shared" si="105"/>
        <v>538</v>
      </c>
      <c r="Z541" s="3">
        <f t="shared" si="106"/>
        <v>135090613905211</v>
      </c>
      <c r="AA541" s="7"/>
      <c r="AB541" s="7">
        <f t="shared" si="107"/>
        <v>13040</v>
      </c>
    </row>
    <row r="542" spans="6:28" x14ac:dyDescent="0.15">
      <c r="F542">
        <f t="shared" si="97"/>
        <v>77</v>
      </c>
      <c r="G542">
        <v>539</v>
      </c>
      <c r="H542">
        <f t="shared" si="98"/>
        <v>3369273164877102.5</v>
      </c>
      <c r="I542">
        <f t="shared" si="99"/>
        <v>3369273164877100</v>
      </c>
      <c r="J542" s="1">
        <f t="shared" si="100"/>
        <v>4</v>
      </c>
      <c r="K542" s="1">
        <f t="shared" si="101"/>
        <v>1.34770926595084E+16</v>
      </c>
      <c r="L542" s="1">
        <f t="shared" si="102"/>
        <v>4910154092280894</v>
      </c>
      <c r="M542" s="3">
        <f t="shared" si="103"/>
        <v>24807228.594585031</v>
      </c>
      <c r="N542" s="7">
        <f t="shared" si="108"/>
        <v>4910154092280890</v>
      </c>
      <c r="O542" s="7">
        <f t="shared" si="104"/>
        <v>24807228</v>
      </c>
      <c r="P542" s="3">
        <f>SUM($O$4:O542)</f>
        <v>395472775</v>
      </c>
      <c r="Y542" s="3">
        <f t="shared" si="105"/>
        <v>539</v>
      </c>
      <c r="Z542" s="3">
        <f t="shared" si="106"/>
        <v>142108797285603</v>
      </c>
      <c r="AA542" s="7"/>
      <c r="AB542" s="7">
        <f t="shared" si="107"/>
        <v>13040</v>
      </c>
    </row>
    <row r="543" spans="6:28" x14ac:dyDescent="0.15">
      <c r="F543">
        <f t="shared" si="97"/>
        <v>78</v>
      </c>
      <c r="G543">
        <v>540</v>
      </c>
      <c r="H543">
        <f t="shared" si="98"/>
        <v>5289758868857052</v>
      </c>
      <c r="I543">
        <f t="shared" si="99"/>
        <v>5289758868857050</v>
      </c>
      <c r="J543" s="1">
        <f t="shared" si="100"/>
        <v>1</v>
      </c>
      <c r="K543" s="1">
        <f t="shared" si="101"/>
        <v>5289758868857050</v>
      </c>
      <c r="L543" s="1">
        <f t="shared" si="102"/>
        <v>1943104757826823</v>
      </c>
      <c r="M543" s="3">
        <f t="shared" si="103"/>
        <v>7551548.0471242461</v>
      </c>
      <c r="N543" s="7">
        <f t="shared" si="108"/>
        <v>1943104757826820</v>
      </c>
      <c r="O543" s="7">
        <f t="shared" si="104"/>
        <v>7551548</v>
      </c>
      <c r="P543" s="3">
        <f>SUM($O$4:O543)</f>
        <v>403024323</v>
      </c>
      <c r="Y543" s="3">
        <f t="shared" si="105"/>
        <v>540</v>
      </c>
      <c r="Z543" s="3">
        <f t="shared" si="106"/>
        <v>149491072469270</v>
      </c>
      <c r="AA543" s="7"/>
      <c r="AB543" s="7">
        <f t="shared" si="107"/>
        <v>13040</v>
      </c>
    </row>
    <row r="544" spans="6:28" x14ac:dyDescent="0.15">
      <c r="F544">
        <f t="shared" si="97"/>
        <v>78</v>
      </c>
      <c r="G544">
        <v>541</v>
      </c>
      <c r="H544">
        <f t="shared" si="98"/>
        <v>5289758868857052</v>
      </c>
      <c r="I544">
        <f t="shared" si="99"/>
        <v>5289758868857050</v>
      </c>
      <c r="J544" s="1">
        <f t="shared" si="100"/>
        <v>1</v>
      </c>
      <c r="K544" s="1">
        <f t="shared" si="101"/>
        <v>5289758868857050</v>
      </c>
      <c r="L544" s="1">
        <f t="shared" si="102"/>
        <v>1943104757826823</v>
      </c>
      <c r="M544" s="3">
        <f t="shared" si="103"/>
        <v>7551548.0471242461</v>
      </c>
      <c r="N544" s="7">
        <f t="shared" si="108"/>
        <v>1943104757826820</v>
      </c>
      <c r="O544" s="7">
        <f t="shared" si="104"/>
        <v>7551548</v>
      </c>
      <c r="P544" s="3">
        <f>SUM($O$4:O544)</f>
        <v>410575871</v>
      </c>
      <c r="Y544" s="3">
        <f t="shared" si="105"/>
        <v>541</v>
      </c>
      <c r="Z544" s="3">
        <f t="shared" si="106"/>
        <v>157256303178091</v>
      </c>
      <c r="AA544" s="7"/>
      <c r="AB544" s="7">
        <f t="shared" si="107"/>
        <v>13040</v>
      </c>
    </row>
    <row r="545" spans="6:28" x14ac:dyDescent="0.15">
      <c r="F545">
        <f t="shared" si="97"/>
        <v>78</v>
      </c>
      <c r="G545">
        <v>542</v>
      </c>
      <c r="H545">
        <f t="shared" si="98"/>
        <v>5289758868857052</v>
      </c>
      <c r="I545">
        <f t="shared" si="99"/>
        <v>5289758868857050</v>
      </c>
      <c r="J545" s="1">
        <f t="shared" si="100"/>
        <v>1</v>
      </c>
      <c r="K545" s="1">
        <f t="shared" si="101"/>
        <v>5289758868857050</v>
      </c>
      <c r="L545" s="1">
        <f t="shared" si="102"/>
        <v>1943104757826823</v>
      </c>
      <c r="M545" s="3">
        <f t="shared" si="103"/>
        <v>7551548.0471242461</v>
      </c>
      <c r="N545" s="7">
        <f t="shared" si="108"/>
        <v>1943104757826820</v>
      </c>
      <c r="O545" s="7">
        <f t="shared" si="104"/>
        <v>7551548</v>
      </c>
      <c r="P545" s="3">
        <f>SUM($O$4:O545)</f>
        <v>418127419</v>
      </c>
      <c r="Y545" s="3">
        <f t="shared" si="105"/>
        <v>542</v>
      </c>
      <c r="Z545" s="3">
        <f t="shared" si="106"/>
        <v>165424329276620</v>
      </c>
      <c r="AA545" s="7"/>
      <c r="AB545" s="7">
        <f t="shared" si="107"/>
        <v>13040</v>
      </c>
    </row>
    <row r="546" spans="6:28" x14ac:dyDescent="0.15">
      <c r="F546">
        <f t="shared" si="97"/>
        <v>78</v>
      </c>
      <c r="G546">
        <v>543</v>
      </c>
      <c r="H546">
        <f t="shared" si="98"/>
        <v>5289758868857052</v>
      </c>
      <c r="I546">
        <f t="shared" si="99"/>
        <v>5289758868857050</v>
      </c>
      <c r="J546" s="1">
        <f t="shared" si="100"/>
        <v>1</v>
      </c>
      <c r="K546" s="1">
        <f t="shared" si="101"/>
        <v>5289758868857050</v>
      </c>
      <c r="L546" s="1">
        <f t="shared" si="102"/>
        <v>1943104757826823</v>
      </c>
      <c r="M546" s="3">
        <f t="shared" si="103"/>
        <v>7551548.0471242461</v>
      </c>
      <c r="N546" s="7">
        <f t="shared" si="108"/>
        <v>1943104757826820</v>
      </c>
      <c r="O546" s="7">
        <f t="shared" si="104"/>
        <v>7551548</v>
      </c>
      <c r="P546" s="3">
        <f>SUM($O$4:O546)</f>
        <v>425678967</v>
      </c>
      <c r="Y546" s="3">
        <f t="shared" si="105"/>
        <v>543</v>
      </c>
      <c r="Z546" s="3">
        <f t="shared" si="106"/>
        <v>174016017227057</v>
      </c>
      <c r="AA546" s="7"/>
      <c r="AB546" s="7">
        <f t="shared" si="107"/>
        <v>13040</v>
      </c>
    </row>
    <row r="547" spans="6:28" x14ac:dyDescent="0.15">
      <c r="F547">
        <f t="shared" si="97"/>
        <v>78</v>
      </c>
      <c r="G547">
        <v>544</v>
      </c>
      <c r="H547">
        <f t="shared" si="98"/>
        <v>5289758868857052</v>
      </c>
      <c r="I547">
        <f t="shared" si="99"/>
        <v>5289758868857050</v>
      </c>
      <c r="J547" s="1">
        <f t="shared" si="100"/>
        <v>1</v>
      </c>
      <c r="K547" s="1">
        <f t="shared" si="101"/>
        <v>5289758868857050</v>
      </c>
      <c r="L547" s="1">
        <f t="shared" si="102"/>
        <v>1943104757826823</v>
      </c>
      <c r="M547" s="3">
        <f t="shared" si="103"/>
        <v>7551548.0471242461</v>
      </c>
      <c r="N547" s="7">
        <f t="shared" si="108"/>
        <v>1943104757826820</v>
      </c>
      <c r="O547" s="7">
        <f t="shared" si="104"/>
        <v>7551548</v>
      </c>
      <c r="P547" s="3">
        <f>SUM($O$4:O547)</f>
        <v>433230515</v>
      </c>
      <c r="Y547" s="3">
        <f t="shared" si="105"/>
        <v>544</v>
      </c>
      <c r="Z547" s="3">
        <f t="shared" si="106"/>
        <v>183053313149346</v>
      </c>
      <c r="AA547" s="7"/>
      <c r="AB547" s="7">
        <f t="shared" si="107"/>
        <v>13040</v>
      </c>
    </row>
    <row r="548" spans="6:28" x14ac:dyDescent="0.15">
      <c r="F548">
        <f t="shared" si="97"/>
        <v>78</v>
      </c>
      <c r="G548">
        <v>545</v>
      </c>
      <c r="H548">
        <f t="shared" si="98"/>
        <v>5289758868857052</v>
      </c>
      <c r="I548">
        <f t="shared" si="99"/>
        <v>5289758868857050</v>
      </c>
      <c r="J548" s="1">
        <f t="shared" si="100"/>
        <v>1</v>
      </c>
      <c r="K548" s="1">
        <f t="shared" si="101"/>
        <v>5289758868857050</v>
      </c>
      <c r="L548" s="1">
        <f t="shared" si="102"/>
        <v>1943104757826823</v>
      </c>
      <c r="M548" s="3">
        <f t="shared" si="103"/>
        <v>7551548.0471242461</v>
      </c>
      <c r="N548" s="7">
        <f t="shared" si="108"/>
        <v>1943104757826820</v>
      </c>
      <c r="O548" s="7">
        <f t="shared" si="104"/>
        <v>7551548</v>
      </c>
      <c r="P548" s="3">
        <f>SUM($O$4:O548)</f>
        <v>440782063</v>
      </c>
      <c r="Y548" s="3">
        <f t="shared" si="105"/>
        <v>545</v>
      </c>
      <c r="Z548" s="3">
        <f t="shared" si="106"/>
        <v>192559298620797</v>
      </c>
      <c r="AA548" s="7"/>
      <c r="AB548" s="7">
        <f t="shared" si="107"/>
        <v>13040</v>
      </c>
    </row>
    <row r="549" spans="6:28" x14ac:dyDescent="0.15">
      <c r="F549">
        <f t="shared" si="97"/>
        <v>78</v>
      </c>
      <c r="G549">
        <v>546</v>
      </c>
      <c r="H549">
        <f t="shared" si="98"/>
        <v>5289758868857052</v>
      </c>
      <c r="I549">
        <f t="shared" si="99"/>
        <v>5289758868857050</v>
      </c>
      <c r="J549" s="1">
        <f t="shared" si="100"/>
        <v>6</v>
      </c>
      <c r="K549" s="1">
        <f t="shared" si="101"/>
        <v>3.17385532131423E+16</v>
      </c>
      <c r="L549" s="1">
        <f t="shared" si="102"/>
        <v>1.1658628546960938E+16</v>
      </c>
      <c r="M549" s="3">
        <f t="shared" si="103"/>
        <v>45309288.282745481</v>
      </c>
      <c r="N549" s="7">
        <f t="shared" si="108"/>
        <v>1.16586285469609E+16</v>
      </c>
      <c r="O549" s="7">
        <f t="shared" si="104"/>
        <v>45309288</v>
      </c>
      <c r="P549" s="3">
        <f>SUM($O$4:O549)</f>
        <v>486091351</v>
      </c>
      <c r="Y549" s="3">
        <f t="shared" si="105"/>
        <v>546</v>
      </c>
      <c r="Z549" s="3">
        <f t="shared" si="106"/>
        <v>202558249356519</v>
      </c>
      <c r="AA549" s="7"/>
      <c r="AB549" s="7">
        <f t="shared" si="107"/>
        <v>13040</v>
      </c>
    </row>
    <row r="550" spans="6:28" x14ac:dyDescent="0.15">
      <c r="F550">
        <f t="shared" si="97"/>
        <v>79</v>
      </c>
      <c r="G550">
        <v>547</v>
      </c>
      <c r="H550">
        <f t="shared" si="98"/>
        <v>8304921424105572</v>
      </c>
      <c r="I550">
        <f t="shared" si="99"/>
        <v>8304921424105570</v>
      </c>
      <c r="J550" s="1">
        <f t="shared" si="100"/>
        <v>1</v>
      </c>
      <c r="K550" s="1">
        <f t="shared" si="101"/>
        <v>8304921424105570</v>
      </c>
      <c r="L550" s="1">
        <f t="shared" si="102"/>
        <v>3075589234060429.5</v>
      </c>
      <c r="M550" s="3">
        <f t="shared" si="103"/>
        <v>9194428.8092680499</v>
      </c>
      <c r="N550" s="7">
        <f t="shared" si="108"/>
        <v>3075589234060430</v>
      </c>
      <c r="O550" s="7">
        <f t="shared" si="104"/>
        <v>9194428</v>
      </c>
      <c r="P550" s="3">
        <f>SUM($O$4:O550)</f>
        <v>495285779</v>
      </c>
      <c r="Y550" s="3">
        <f t="shared" si="105"/>
        <v>547</v>
      </c>
      <c r="Z550" s="3">
        <f t="shared" si="106"/>
        <v>213075696919261</v>
      </c>
      <c r="AA550" s="7"/>
      <c r="AB550" s="7">
        <f t="shared" si="107"/>
        <v>13040</v>
      </c>
    </row>
    <row r="551" spans="6:28" x14ac:dyDescent="0.15">
      <c r="F551">
        <f t="shared" si="97"/>
        <v>79</v>
      </c>
      <c r="G551">
        <v>548</v>
      </c>
      <c r="H551">
        <f t="shared" si="98"/>
        <v>8304921424105572</v>
      </c>
      <c r="I551">
        <f t="shared" si="99"/>
        <v>8304921424105570</v>
      </c>
      <c r="J551" s="1">
        <f t="shared" si="100"/>
        <v>1</v>
      </c>
      <c r="K551" s="1">
        <f t="shared" si="101"/>
        <v>8304921424105570</v>
      </c>
      <c r="L551" s="1">
        <f t="shared" si="102"/>
        <v>3075589234060429.5</v>
      </c>
      <c r="M551" s="3">
        <f t="shared" si="103"/>
        <v>9194428.8092680499</v>
      </c>
      <c r="N551" s="7">
        <f t="shared" si="108"/>
        <v>3075589234060430</v>
      </c>
      <c r="O551" s="7">
        <f t="shared" si="104"/>
        <v>9194428</v>
      </c>
      <c r="P551" s="3">
        <f>SUM($O$4:O551)</f>
        <v>504480207</v>
      </c>
      <c r="Y551" s="3">
        <f t="shared" si="105"/>
        <v>548</v>
      </c>
      <c r="Z551" s="3">
        <f t="shared" si="106"/>
        <v>224138493614886</v>
      </c>
      <c r="AA551" s="7"/>
      <c r="AB551" s="7">
        <f t="shared" si="107"/>
        <v>13040</v>
      </c>
    </row>
    <row r="552" spans="6:28" x14ac:dyDescent="0.15">
      <c r="F552">
        <f t="shared" si="97"/>
        <v>79</v>
      </c>
      <c r="G552">
        <v>549</v>
      </c>
      <c r="H552">
        <f t="shared" si="98"/>
        <v>8304921424105572</v>
      </c>
      <c r="I552">
        <f t="shared" si="99"/>
        <v>8304921424105570</v>
      </c>
      <c r="J552" s="1">
        <f t="shared" si="100"/>
        <v>1</v>
      </c>
      <c r="K552" s="1">
        <f t="shared" si="101"/>
        <v>8304921424105570</v>
      </c>
      <c r="L552" s="1">
        <f t="shared" si="102"/>
        <v>3075589234060429.5</v>
      </c>
      <c r="M552" s="3">
        <f t="shared" si="103"/>
        <v>9194428.8092680499</v>
      </c>
      <c r="N552" s="7">
        <f t="shared" si="108"/>
        <v>3075589234060430</v>
      </c>
      <c r="O552" s="7">
        <f t="shared" si="104"/>
        <v>9194428</v>
      </c>
      <c r="P552" s="3">
        <f>SUM($O$4:O552)</f>
        <v>513674635</v>
      </c>
      <c r="Y552" s="3">
        <f t="shared" si="105"/>
        <v>549</v>
      </c>
      <c r="Z552" s="3">
        <f t="shared" si="106"/>
        <v>235774880737776</v>
      </c>
      <c r="AA552" s="7"/>
      <c r="AB552" s="7">
        <f t="shared" si="107"/>
        <v>13040</v>
      </c>
    </row>
    <row r="553" spans="6:28" x14ac:dyDescent="0.15">
      <c r="F553">
        <f t="shared" si="97"/>
        <v>79</v>
      </c>
      <c r="G553">
        <v>550</v>
      </c>
      <c r="H553">
        <f t="shared" si="98"/>
        <v>8304921424105572</v>
      </c>
      <c r="I553">
        <f t="shared" si="99"/>
        <v>8304921424105570</v>
      </c>
      <c r="J553" s="1">
        <f t="shared" si="100"/>
        <v>1</v>
      </c>
      <c r="K553" s="1">
        <f t="shared" si="101"/>
        <v>8304921424105570</v>
      </c>
      <c r="L553" s="1">
        <f t="shared" si="102"/>
        <v>3075589234060429.5</v>
      </c>
      <c r="M553" s="3">
        <f t="shared" si="103"/>
        <v>9194428.8092680499</v>
      </c>
      <c r="N553" s="7">
        <f t="shared" si="108"/>
        <v>3075589234060430</v>
      </c>
      <c r="O553" s="7">
        <f t="shared" si="104"/>
        <v>9194428</v>
      </c>
      <c r="P553" s="3">
        <f>SUM($O$4:O553)</f>
        <v>522869063</v>
      </c>
      <c r="Y553" s="3">
        <f t="shared" si="105"/>
        <v>550</v>
      </c>
      <c r="Z553" s="3">
        <f t="shared" si="106"/>
        <v>248014560338917</v>
      </c>
      <c r="AA553" s="7"/>
      <c r="AB553" s="7">
        <f t="shared" si="107"/>
        <v>13040</v>
      </c>
    </row>
    <row r="554" spans="6:28" x14ac:dyDescent="0.15">
      <c r="F554">
        <f t="shared" si="97"/>
        <v>79</v>
      </c>
      <c r="G554">
        <v>551</v>
      </c>
      <c r="H554">
        <f t="shared" si="98"/>
        <v>8304921424105572</v>
      </c>
      <c r="I554">
        <f t="shared" si="99"/>
        <v>8304921424105570</v>
      </c>
      <c r="J554" s="1">
        <f t="shared" si="100"/>
        <v>1</v>
      </c>
      <c r="K554" s="1">
        <f t="shared" si="101"/>
        <v>8304921424105570</v>
      </c>
      <c r="L554" s="1">
        <f t="shared" si="102"/>
        <v>3075589234060429.5</v>
      </c>
      <c r="M554" s="3">
        <f t="shared" si="103"/>
        <v>9194428.8092680499</v>
      </c>
      <c r="N554" s="7">
        <f t="shared" si="108"/>
        <v>3075589234060430</v>
      </c>
      <c r="O554" s="7">
        <f t="shared" si="104"/>
        <v>9194428</v>
      </c>
      <c r="P554" s="3">
        <f>SUM($O$4:O554)</f>
        <v>532063491</v>
      </c>
      <c r="Y554" s="3">
        <f t="shared" si="105"/>
        <v>551</v>
      </c>
      <c r="Z554" s="3">
        <f t="shared" si="106"/>
        <v>260888770698328</v>
      </c>
      <c r="AA554" s="7"/>
      <c r="AB554" s="7">
        <f t="shared" si="107"/>
        <v>13040</v>
      </c>
    </row>
    <row r="555" spans="6:28" x14ac:dyDescent="0.15">
      <c r="F555">
        <f t="shared" si="97"/>
        <v>79</v>
      </c>
      <c r="G555">
        <v>552</v>
      </c>
      <c r="H555">
        <f t="shared" si="98"/>
        <v>8304921424105572</v>
      </c>
      <c r="I555">
        <f t="shared" si="99"/>
        <v>8304921424105570</v>
      </c>
      <c r="J555" s="1">
        <f t="shared" si="100"/>
        <v>1</v>
      </c>
      <c r="K555" s="1">
        <f t="shared" si="101"/>
        <v>8304921424105570</v>
      </c>
      <c r="L555" s="1">
        <f t="shared" si="102"/>
        <v>3075589234060429.5</v>
      </c>
      <c r="M555" s="3">
        <f t="shared" si="103"/>
        <v>9194428.8092680499</v>
      </c>
      <c r="N555" s="7">
        <f t="shared" si="108"/>
        <v>3075589234060430</v>
      </c>
      <c r="O555" s="7">
        <f t="shared" si="104"/>
        <v>9194428</v>
      </c>
      <c r="P555" s="3">
        <f>SUM($O$4:O555)</f>
        <v>541257919</v>
      </c>
      <c r="Y555" s="3">
        <f t="shared" si="105"/>
        <v>552</v>
      </c>
      <c r="Z555" s="3">
        <f t="shared" si="106"/>
        <v>274430365692833</v>
      </c>
      <c r="AA555" s="7"/>
      <c r="AB555" s="7">
        <f t="shared" si="107"/>
        <v>13040</v>
      </c>
    </row>
    <row r="556" spans="6:28" x14ac:dyDescent="0.15">
      <c r="F556">
        <f t="shared" si="97"/>
        <v>79</v>
      </c>
      <c r="G556">
        <v>553</v>
      </c>
      <c r="H556">
        <f t="shared" si="98"/>
        <v>8304921424105572</v>
      </c>
      <c r="I556">
        <f t="shared" si="99"/>
        <v>8304921424105570</v>
      </c>
      <c r="J556" s="1">
        <f t="shared" si="100"/>
        <v>7</v>
      </c>
      <c r="K556" s="1">
        <f t="shared" si="101"/>
        <v>5.8134449968738992E+16</v>
      </c>
      <c r="L556" s="1">
        <f t="shared" si="102"/>
        <v>2.1529124638423008E+16</v>
      </c>
      <c r="M556" s="3">
        <f t="shared" si="103"/>
        <v>64361001.664876364</v>
      </c>
      <c r="N556" s="7">
        <f t="shared" si="108"/>
        <v>2.1529124638423E+16</v>
      </c>
      <c r="O556" s="7">
        <f t="shared" si="104"/>
        <v>64361001</v>
      </c>
      <c r="P556" s="3">
        <f>SUM($O$4:O556)</f>
        <v>605618920</v>
      </c>
      <c r="Y556" s="3">
        <f t="shared" si="105"/>
        <v>553</v>
      </c>
      <c r="Z556" s="3">
        <f t="shared" si="106"/>
        <v>288673898260043</v>
      </c>
      <c r="AA556" s="7"/>
      <c r="AB556" s="7">
        <f t="shared" si="107"/>
        <v>13040</v>
      </c>
    </row>
    <row r="557" spans="6:28" x14ac:dyDescent="0.15">
      <c r="F557">
        <f t="shared" si="97"/>
        <v>80</v>
      </c>
      <c r="G557">
        <v>554</v>
      </c>
      <c r="H557">
        <f t="shared" si="98"/>
        <v>1.3038726635845744E+16</v>
      </c>
      <c r="I557">
        <f t="shared" si="99"/>
        <v>1.30387266358457E+16</v>
      </c>
      <c r="J557" s="1">
        <f t="shared" si="100"/>
        <v>1</v>
      </c>
      <c r="K557" s="1">
        <f t="shared" si="101"/>
        <v>1.30387266358457E+16</v>
      </c>
      <c r="L557" s="1">
        <f t="shared" si="102"/>
        <v>4867791277382394</v>
      </c>
      <c r="M557" s="3">
        <f t="shared" si="103"/>
        <v>11193992.673417492</v>
      </c>
      <c r="N557" s="7">
        <f t="shared" si="108"/>
        <v>4867791277382390</v>
      </c>
      <c r="O557" s="7">
        <f t="shared" si="104"/>
        <v>11193992</v>
      </c>
      <c r="P557" s="3">
        <f>SUM($O$4:O557)</f>
        <v>616812912</v>
      </c>
      <c r="Y557" s="3">
        <f t="shared" si="105"/>
        <v>554</v>
      </c>
      <c r="Z557" s="3">
        <f t="shared" si="106"/>
        <v>303655708169741</v>
      </c>
      <c r="AA557" s="7"/>
      <c r="AB557" s="7">
        <f t="shared" si="107"/>
        <v>13040</v>
      </c>
    </row>
    <row r="558" spans="6:28" x14ac:dyDescent="0.15">
      <c r="F558">
        <f t="shared" si="97"/>
        <v>80</v>
      </c>
      <c r="G558">
        <v>555</v>
      </c>
      <c r="H558">
        <f t="shared" si="98"/>
        <v>1.3038726635845744E+16</v>
      </c>
      <c r="I558">
        <f t="shared" si="99"/>
        <v>1.30387266358457E+16</v>
      </c>
      <c r="J558" s="1">
        <f t="shared" si="100"/>
        <v>1</v>
      </c>
      <c r="K558" s="1">
        <f t="shared" si="101"/>
        <v>1.30387266358457E+16</v>
      </c>
      <c r="L558" s="1">
        <f t="shared" si="102"/>
        <v>4867791277382394</v>
      </c>
      <c r="M558" s="3">
        <f t="shared" si="103"/>
        <v>11193992.673417492</v>
      </c>
      <c r="N558" s="7">
        <f t="shared" si="108"/>
        <v>4867791277382390</v>
      </c>
      <c r="O558" s="7">
        <f t="shared" si="104"/>
        <v>11193992</v>
      </c>
      <c r="P558" s="3">
        <f>SUM($O$4:O558)</f>
        <v>628006904</v>
      </c>
      <c r="Y558" s="3">
        <f t="shared" si="105"/>
        <v>555</v>
      </c>
      <c r="Z558" s="3">
        <f t="shared" si="106"/>
        <v>319414014324759</v>
      </c>
      <c r="AA558" s="7"/>
      <c r="AB558" s="7">
        <f t="shared" si="107"/>
        <v>13040</v>
      </c>
    </row>
    <row r="559" spans="6:28" x14ac:dyDescent="0.15">
      <c r="F559">
        <f t="shared" si="97"/>
        <v>80</v>
      </c>
      <c r="G559">
        <v>556</v>
      </c>
      <c r="H559">
        <f t="shared" si="98"/>
        <v>1.3038726635845744E+16</v>
      </c>
      <c r="I559">
        <f t="shared" si="99"/>
        <v>1.30387266358457E+16</v>
      </c>
      <c r="J559" s="1">
        <f t="shared" si="100"/>
        <v>1</v>
      </c>
      <c r="K559" s="1">
        <f t="shared" si="101"/>
        <v>1.30387266358457E+16</v>
      </c>
      <c r="L559" s="1">
        <f t="shared" si="102"/>
        <v>4867791277382394</v>
      </c>
      <c r="M559" s="3">
        <f t="shared" si="103"/>
        <v>11193992.673417492</v>
      </c>
      <c r="N559" s="7">
        <f t="shared" si="108"/>
        <v>4867791277382390</v>
      </c>
      <c r="O559" s="7">
        <f t="shared" si="104"/>
        <v>11193992</v>
      </c>
      <c r="P559" s="3">
        <f>SUM($O$4:O559)</f>
        <v>639200896</v>
      </c>
      <c r="Y559" s="3">
        <f t="shared" si="105"/>
        <v>556</v>
      </c>
      <c r="Z559" s="3">
        <f t="shared" si="106"/>
        <v>335989011824855</v>
      </c>
      <c r="AA559" s="7"/>
      <c r="AB559" s="7">
        <f t="shared" si="107"/>
        <v>13040</v>
      </c>
    </row>
    <row r="560" spans="6:28" x14ac:dyDescent="0.15">
      <c r="F560">
        <f t="shared" si="97"/>
        <v>80</v>
      </c>
      <c r="G560">
        <v>557</v>
      </c>
      <c r="H560">
        <f t="shared" si="98"/>
        <v>1.3038726635845744E+16</v>
      </c>
      <c r="I560">
        <f t="shared" si="99"/>
        <v>1.30387266358457E+16</v>
      </c>
      <c r="J560" s="1">
        <f t="shared" si="100"/>
        <v>1</v>
      </c>
      <c r="K560" s="1">
        <f t="shared" si="101"/>
        <v>1.30387266358457E+16</v>
      </c>
      <c r="L560" s="1">
        <f t="shared" si="102"/>
        <v>4867791277382394</v>
      </c>
      <c r="M560" s="3">
        <f t="shared" si="103"/>
        <v>11193992.673417492</v>
      </c>
      <c r="N560" s="7">
        <f t="shared" si="108"/>
        <v>4867791277382390</v>
      </c>
      <c r="O560" s="7">
        <f t="shared" si="104"/>
        <v>11193992</v>
      </c>
      <c r="P560" s="3">
        <f>SUM($O$4:O560)</f>
        <v>650394888</v>
      </c>
      <c r="Y560" s="3">
        <f t="shared" si="105"/>
        <v>557</v>
      </c>
      <c r="Z560" s="3">
        <f t="shared" si="106"/>
        <v>353422974039148</v>
      </c>
      <c r="AA560" s="7"/>
      <c r="AB560" s="7">
        <f t="shared" si="107"/>
        <v>13040</v>
      </c>
    </row>
    <row r="561" spans="6:28" x14ac:dyDescent="0.15">
      <c r="F561">
        <f t="shared" si="97"/>
        <v>80</v>
      </c>
      <c r="G561">
        <v>558</v>
      </c>
      <c r="H561">
        <f t="shared" si="98"/>
        <v>1.3038726635845744E+16</v>
      </c>
      <c r="I561">
        <f t="shared" si="99"/>
        <v>1.30387266358457E+16</v>
      </c>
      <c r="J561" s="1">
        <f t="shared" si="100"/>
        <v>1</v>
      </c>
      <c r="K561" s="1">
        <f t="shared" si="101"/>
        <v>1.30387266358457E+16</v>
      </c>
      <c r="L561" s="1">
        <f t="shared" si="102"/>
        <v>4867791277382394</v>
      </c>
      <c r="M561" s="3">
        <f t="shared" si="103"/>
        <v>11193992.673417492</v>
      </c>
      <c r="N561" s="7">
        <f t="shared" si="108"/>
        <v>4867791277382390</v>
      </c>
      <c r="O561" s="7">
        <f t="shared" si="104"/>
        <v>11193992</v>
      </c>
      <c r="P561" s="3">
        <f>SUM($O$4:O561)</f>
        <v>661588880</v>
      </c>
      <c r="Y561" s="3">
        <f t="shared" si="105"/>
        <v>558</v>
      </c>
      <c r="Z561" s="3">
        <f t="shared" si="106"/>
        <v>371760359945309</v>
      </c>
      <c r="AA561" s="7"/>
      <c r="AB561" s="7">
        <f t="shared" si="107"/>
        <v>13040</v>
      </c>
    </row>
    <row r="562" spans="6:28" x14ac:dyDescent="0.15">
      <c r="F562">
        <f t="shared" si="97"/>
        <v>80</v>
      </c>
      <c r="G562">
        <v>559</v>
      </c>
      <c r="H562">
        <f t="shared" si="98"/>
        <v>1.3038726635845744E+16</v>
      </c>
      <c r="I562">
        <f t="shared" si="99"/>
        <v>1.30387266358457E+16</v>
      </c>
      <c r="J562" s="1">
        <f t="shared" si="100"/>
        <v>1</v>
      </c>
      <c r="K562" s="1">
        <f t="shared" si="101"/>
        <v>1.30387266358457E+16</v>
      </c>
      <c r="L562" s="1">
        <f t="shared" si="102"/>
        <v>4867791277382394</v>
      </c>
      <c r="M562" s="3">
        <f t="shared" si="103"/>
        <v>11193992.673417492</v>
      </c>
      <c r="N562" s="7">
        <f t="shared" si="108"/>
        <v>4867791277382390</v>
      </c>
      <c r="O562" s="7">
        <f t="shared" si="104"/>
        <v>11193992</v>
      </c>
      <c r="P562" s="3">
        <f>SUM($O$4:O562)</f>
        <v>672782872</v>
      </c>
      <c r="Y562" s="3">
        <f t="shared" si="105"/>
        <v>559</v>
      </c>
      <c r="Z562" s="3">
        <f t="shared" si="106"/>
        <v>391047927006988</v>
      </c>
      <c r="AA562" s="7"/>
      <c r="AB562" s="7">
        <f t="shared" si="107"/>
        <v>13040</v>
      </c>
    </row>
    <row r="563" spans="6:28" x14ac:dyDescent="0.15">
      <c r="F563">
        <f t="shared" si="97"/>
        <v>80</v>
      </c>
      <c r="G563">
        <v>560</v>
      </c>
      <c r="H563">
        <f t="shared" si="98"/>
        <v>1.3038726635845744E+16</v>
      </c>
      <c r="I563">
        <f t="shared" si="99"/>
        <v>1.30387266358457E+16</v>
      </c>
      <c r="J563" s="1">
        <f t="shared" si="100"/>
        <v>10</v>
      </c>
      <c r="K563" s="1">
        <f t="shared" si="101"/>
        <v>1.3038726635845699E+17</v>
      </c>
      <c r="L563" s="1">
        <f t="shared" si="102"/>
        <v>4.8677912773823944E+16</v>
      </c>
      <c r="M563" s="3">
        <f t="shared" si="103"/>
        <v>111939926.73417494</v>
      </c>
      <c r="N563" s="7">
        <f t="shared" si="108"/>
        <v>4.8677912773823904E+16</v>
      </c>
      <c r="O563" s="7">
        <f t="shared" si="104"/>
        <v>111939926</v>
      </c>
      <c r="P563" s="3">
        <f>SUM($O$4:O563)</f>
        <v>784722798</v>
      </c>
      <c r="Y563" s="3">
        <f t="shared" si="105"/>
        <v>560</v>
      </c>
      <c r="Z563" s="3">
        <f t="shared" si="106"/>
        <v>411334849874971</v>
      </c>
      <c r="AA563" s="7"/>
      <c r="AB563" s="7">
        <f t="shared" si="107"/>
        <v>13040</v>
      </c>
    </row>
    <row r="564" spans="6:28" x14ac:dyDescent="0.15">
      <c r="F564">
        <f t="shared" si="97"/>
        <v>81</v>
      </c>
      <c r="G564">
        <v>561</v>
      </c>
      <c r="H564">
        <f t="shared" si="98"/>
        <v>2.047080081827782E+16</v>
      </c>
      <c r="I564">
        <f t="shared" si="99"/>
        <v>2.04708008182778E+16</v>
      </c>
      <c r="J564" s="1">
        <f t="shared" si="100"/>
        <v>1</v>
      </c>
      <c r="K564" s="1">
        <f t="shared" si="101"/>
        <v>2.04708008182778E+16</v>
      </c>
      <c r="L564" s="1">
        <f t="shared" si="102"/>
        <v>7703844707945212</v>
      </c>
      <c r="M564" s="3">
        <f t="shared" si="103"/>
        <v>13627532.852618653</v>
      </c>
      <c r="N564" s="7">
        <f t="shared" si="108"/>
        <v>7703844707945210</v>
      </c>
      <c r="O564" s="7">
        <f t="shared" si="104"/>
        <v>13627532</v>
      </c>
      <c r="P564" s="3">
        <f>SUM($O$4:O564)</f>
        <v>798350330</v>
      </c>
      <c r="Y564" s="3">
        <f t="shared" si="105"/>
        <v>561</v>
      </c>
      <c r="Z564" s="3">
        <f t="shared" si="106"/>
        <v>432672845212235</v>
      </c>
      <c r="AA564" s="7"/>
      <c r="AB564" s="7">
        <f t="shared" si="107"/>
        <v>13040</v>
      </c>
    </row>
    <row r="565" spans="6:28" x14ac:dyDescent="0.15">
      <c r="F565">
        <f t="shared" si="97"/>
        <v>81</v>
      </c>
      <c r="G565">
        <v>562</v>
      </c>
      <c r="H565">
        <f t="shared" si="98"/>
        <v>2.047080081827782E+16</v>
      </c>
      <c r="I565">
        <f t="shared" si="99"/>
        <v>2.04708008182778E+16</v>
      </c>
      <c r="J565" s="1">
        <f t="shared" si="100"/>
        <v>1</v>
      </c>
      <c r="K565" s="1">
        <f t="shared" si="101"/>
        <v>2.04708008182778E+16</v>
      </c>
      <c r="L565" s="1">
        <f t="shared" si="102"/>
        <v>7703844707945212</v>
      </c>
      <c r="M565" s="3">
        <f t="shared" si="103"/>
        <v>13627532.852618653</v>
      </c>
      <c r="N565" s="7">
        <f t="shared" si="108"/>
        <v>7703844707945210</v>
      </c>
      <c r="O565" s="7">
        <f t="shared" si="104"/>
        <v>13627532</v>
      </c>
      <c r="P565" s="3">
        <f>SUM($O$4:O565)</f>
        <v>811977862</v>
      </c>
      <c r="Y565" s="3">
        <f t="shared" si="105"/>
        <v>562</v>
      </c>
      <c r="Z565" s="3">
        <f t="shared" si="106"/>
        <v>455116302958538</v>
      </c>
      <c r="AA565" s="7"/>
      <c r="AB565" s="7">
        <f t="shared" si="107"/>
        <v>13040</v>
      </c>
    </row>
    <row r="566" spans="6:28" x14ac:dyDescent="0.15">
      <c r="F566">
        <f t="shared" si="97"/>
        <v>81</v>
      </c>
      <c r="G566">
        <v>563</v>
      </c>
      <c r="H566">
        <f t="shared" si="98"/>
        <v>2.047080081827782E+16</v>
      </c>
      <c r="I566">
        <f t="shared" si="99"/>
        <v>2.04708008182778E+16</v>
      </c>
      <c r="J566" s="1">
        <f t="shared" si="100"/>
        <v>1</v>
      </c>
      <c r="K566" s="1">
        <f t="shared" si="101"/>
        <v>2.04708008182778E+16</v>
      </c>
      <c r="L566" s="1">
        <f t="shared" si="102"/>
        <v>7703844707945212</v>
      </c>
      <c r="M566" s="3">
        <f t="shared" si="103"/>
        <v>13627532.852618653</v>
      </c>
      <c r="N566" s="7">
        <f t="shared" si="108"/>
        <v>7703844707945210</v>
      </c>
      <c r="O566" s="7">
        <f t="shared" si="104"/>
        <v>13627532</v>
      </c>
      <c r="P566" s="3">
        <f>SUM($O$4:O566)</f>
        <v>825605394</v>
      </c>
      <c r="Y566" s="3">
        <f t="shared" si="105"/>
        <v>563</v>
      </c>
      <c r="Z566" s="3">
        <f t="shared" si="106"/>
        <v>478722424366441</v>
      </c>
      <c r="AA566" s="7"/>
      <c r="AB566" s="7">
        <f t="shared" si="107"/>
        <v>13040</v>
      </c>
    </row>
    <row r="567" spans="6:28" x14ac:dyDescent="0.15">
      <c r="F567">
        <f t="shared" si="97"/>
        <v>81</v>
      </c>
      <c r="G567">
        <v>564</v>
      </c>
      <c r="H567">
        <f t="shared" si="98"/>
        <v>2.047080081827782E+16</v>
      </c>
      <c r="I567">
        <f t="shared" si="99"/>
        <v>2.04708008182778E+16</v>
      </c>
      <c r="J567" s="1">
        <f t="shared" si="100"/>
        <v>1</v>
      </c>
      <c r="K567" s="1">
        <f t="shared" si="101"/>
        <v>2.04708008182778E+16</v>
      </c>
      <c r="L567" s="1">
        <f t="shared" si="102"/>
        <v>7703844707945212</v>
      </c>
      <c r="M567" s="3">
        <f t="shared" si="103"/>
        <v>13627532.852618653</v>
      </c>
      <c r="N567" s="7">
        <f t="shared" si="108"/>
        <v>7703844707945210</v>
      </c>
      <c r="O567" s="7">
        <f t="shared" si="104"/>
        <v>13627532</v>
      </c>
      <c r="P567" s="3">
        <f>SUM($O$4:O567)</f>
        <v>839232926</v>
      </c>
      <c r="Y567" s="3">
        <f t="shared" si="105"/>
        <v>564</v>
      </c>
      <c r="Z567" s="3">
        <f t="shared" si="106"/>
        <v>503551367157738</v>
      </c>
      <c r="AA567" s="7"/>
      <c r="AB567" s="7">
        <f t="shared" si="107"/>
        <v>13040</v>
      </c>
    </row>
    <row r="568" spans="6:28" x14ac:dyDescent="0.15">
      <c r="F568">
        <f t="shared" si="97"/>
        <v>81</v>
      </c>
      <c r="G568">
        <v>565</v>
      </c>
      <c r="H568">
        <f t="shared" si="98"/>
        <v>2.047080081827782E+16</v>
      </c>
      <c r="I568">
        <f t="shared" si="99"/>
        <v>2.04708008182778E+16</v>
      </c>
      <c r="J568" s="1">
        <f t="shared" si="100"/>
        <v>1</v>
      </c>
      <c r="K568" s="1">
        <f t="shared" si="101"/>
        <v>2.04708008182778E+16</v>
      </c>
      <c r="L568" s="1">
        <f t="shared" si="102"/>
        <v>7703844707945212</v>
      </c>
      <c r="M568" s="3">
        <f t="shared" si="103"/>
        <v>13627532.852618653</v>
      </c>
      <c r="N568" s="7">
        <f t="shared" si="108"/>
        <v>7703844707945210</v>
      </c>
      <c r="O568" s="7">
        <f t="shared" si="104"/>
        <v>13627532</v>
      </c>
      <c r="P568" s="3">
        <f>SUM($O$4:O568)</f>
        <v>852860458</v>
      </c>
      <c r="Y568" s="3">
        <f t="shared" si="105"/>
        <v>565</v>
      </c>
      <c r="Z568" s="3">
        <f t="shared" si="106"/>
        <v>529666398167248</v>
      </c>
      <c r="AA568" s="7"/>
      <c r="AB568" s="7">
        <f t="shared" si="107"/>
        <v>13040</v>
      </c>
    </row>
    <row r="569" spans="6:28" x14ac:dyDescent="0.15">
      <c r="F569">
        <f t="shared" si="97"/>
        <v>81</v>
      </c>
      <c r="G569">
        <v>566</v>
      </c>
      <c r="H569">
        <f t="shared" si="98"/>
        <v>2.047080081827782E+16</v>
      </c>
      <c r="I569">
        <f t="shared" si="99"/>
        <v>2.04708008182778E+16</v>
      </c>
      <c r="J569" s="1">
        <f t="shared" si="100"/>
        <v>1</v>
      </c>
      <c r="K569" s="1">
        <f t="shared" si="101"/>
        <v>2.04708008182778E+16</v>
      </c>
      <c r="L569" s="1">
        <f t="shared" si="102"/>
        <v>7703844707945212</v>
      </c>
      <c r="M569" s="3">
        <f t="shared" si="103"/>
        <v>13627532.852618653</v>
      </c>
      <c r="N569" s="7">
        <f t="shared" si="108"/>
        <v>7703844707945210</v>
      </c>
      <c r="O569" s="7">
        <f t="shared" si="104"/>
        <v>13627532</v>
      </c>
      <c r="P569" s="3">
        <f>SUM($O$4:O569)</f>
        <v>866487990</v>
      </c>
      <c r="Y569" s="3">
        <f t="shared" si="105"/>
        <v>566</v>
      </c>
      <c r="Z569" s="3">
        <f t="shared" si="106"/>
        <v>557134053859815</v>
      </c>
      <c r="AA569" s="7"/>
      <c r="AB569" s="7">
        <f t="shared" si="107"/>
        <v>13040</v>
      </c>
    </row>
    <row r="570" spans="6:28" x14ac:dyDescent="0.15">
      <c r="F570">
        <f t="shared" si="97"/>
        <v>81</v>
      </c>
      <c r="G570">
        <v>567</v>
      </c>
      <c r="H570">
        <f t="shared" si="98"/>
        <v>2.047080081827782E+16</v>
      </c>
      <c r="I570">
        <f t="shared" si="99"/>
        <v>2.04708008182778E+16</v>
      </c>
      <c r="J570" s="1">
        <f t="shared" si="100"/>
        <v>2</v>
      </c>
      <c r="K570" s="1">
        <f t="shared" si="101"/>
        <v>4.09416016365556E+16</v>
      </c>
      <c r="L570" s="1">
        <f t="shared" si="102"/>
        <v>1.5407689415890424E+16</v>
      </c>
      <c r="M570" s="3">
        <f t="shared" si="103"/>
        <v>27255065.705237307</v>
      </c>
      <c r="N570" s="7">
        <f t="shared" si="108"/>
        <v>1.54076894158904E+16</v>
      </c>
      <c r="O570" s="7">
        <f t="shared" si="104"/>
        <v>27255065</v>
      </c>
      <c r="P570" s="3">
        <f>SUM($O$4:O570)</f>
        <v>893743055</v>
      </c>
      <c r="Y570" s="3">
        <f t="shared" si="105"/>
        <v>567</v>
      </c>
      <c r="Z570" s="3">
        <f t="shared" si="106"/>
        <v>586024309126220</v>
      </c>
      <c r="AA570" s="7"/>
      <c r="AB570" s="7">
        <f t="shared" si="107"/>
        <v>13040</v>
      </c>
    </row>
    <row r="571" spans="6:28" x14ac:dyDescent="0.15">
      <c r="F571">
        <f t="shared" si="97"/>
        <v>82</v>
      </c>
      <c r="G571">
        <v>568</v>
      </c>
      <c r="H571">
        <f t="shared" si="98"/>
        <v>3.2139157284696176E+16</v>
      </c>
      <c r="I571">
        <f t="shared" si="99"/>
        <v>3.21391572846962E+16</v>
      </c>
      <c r="J571" s="1">
        <f t="shared" si="100"/>
        <v>1</v>
      </c>
      <c r="K571" s="1">
        <f t="shared" si="101"/>
        <v>3.21391572846962E+16</v>
      </c>
      <c r="L571" s="1">
        <f t="shared" si="102"/>
        <v>1.2191453663328094E+16</v>
      </c>
      <c r="M571" s="3">
        <f t="shared" si="103"/>
        <v>16589063.05543346</v>
      </c>
      <c r="N571" s="7">
        <f t="shared" si="108"/>
        <v>1.21914536633281E+16</v>
      </c>
      <c r="O571" s="7">
        <f t="shared" si="104"/>
        <v>16589063</v>
      </c>
      <c r="P571" s="3">
        <f>SUM($O$4:O571)</f>
        <v>910332118</v>
      </c>
      <c r="Y571" s="3">
        <f t="shared" si="105"/>
        <v>568</v>
      </c>
      <c r="Z571" s="3">
        <f t="shared" si="106"/>
        <v>616410754784617</v>
      </c>
      <c r="AA571" s="7"/>
      <c r="AB571" s="7">
        <f t="shared" si="107"/>
        <v>13040</v>
      </c>
    </row>
    <row r="572" spans="6:28" x14ac:dyDescent="0.15">
      <c r="F572">
        <f t="shared" si="97"/>
        <v>82</v>
      </c>
      <c r="G572">
        <v>569</v>
      </c>
      <c r="H572">
        <f t="shared" si="98"/>
        <v>3.2139157284696176E+16</v>
      </c>
      <c r="I572">
        <f t="shared" si="99"/>
        <v>3.21391572846962E+16</v>
      </c>
      <c r="J572" s="1">
        <f t="shared" si="100"/>
        <v>1</v>
      </c>
      <c r="K572" s="1">
        <f t="shared" si="101"/>
        <v>3.21391572846962E+16</v>
      </c>
      <c r="L572" s="1">
        <f t="shared" si="102"/>
        <v>1.2191453663328094E+16</v>
      </c>
      <c r="M572" s="3">
        <f t="shared" si="103"/>
        <v>16589063.05543346</v>
      </c>
      <c r="N572" s="7">
        <f t="shared" si="108"/>
        <v>1.21914536633281E+16</v>
      </c>
      <c r="O572" s="7">
        <f t="shared" si="104"/>
        <v>16589063</v>
      </c>
      <c r="P572" s="3">
        <f>SUM($O$4:O572)</f>
        <v>926921181</v>
      </c>
      <c r="Y572" s="3">
        <f t="shared" si="105"/>
        <v>569</v>
      </c>
      <c r="Z572" s="3">
        <f t="shared" si="106"/>
        <v>648370784236038</v>
      </c>
      <c r="AA572" s="7"/>
      <c r="AB572" s="7">
        <f t="shared" si="107"/>
        <v>13040</v>
      </c>
    </row>
    <row r="573" spans="6:28" x14ac:dyDescent="0.15">
      <c r="F573">
        <f t="shared" si="97"/>
        <v>82</v>
      </c>
      <c r="G573">
        <v>570</v>
      </c>
      <c r="H573">
        <f t="shared" si="98"/>
        <v>3.2139157284696176E+16</v>
      </c>
      <c r="I573">
        <f t="shared" si="99"/>
        <v>3.21391572846962E+16</v>
      </c>
      <c r="J573" s="1">
        <f t="shared" si="100"/>
        <v>1</v>
      </c>
      <c r="K573" s="1">
        <f t="shared" si="101"/>
        <v>3.21391572846962E+16</v>
      </c>
      <c r="L573" s="1">
        <f t="shared" si="102"/>
        <v>1.2191453663328094E+16</v>
      </c>
      <c r="M573" s="3">
        <f t="shared" si="103"/>
        <v>16589063.05543346</v>
      </c>
      <c r="N573" s="7">
        <f t="shared" si="108"/>
        <v>1.21914536633281E+16</v>
      </c>
      <c r="O573" s="7">
        <f t="shared" si="104"/>
        <v>16589063</v>
      </c>
      <c r="P573" s="3">
        <f>SUM($O$4:O573)</f>
        <v>943510244</v>
      </c>
      <c r="Y573" s="3">
        <f t="shared" si="105"/>
        <v>570</v>
      </c>
      <c r="Z573" s="3">
        <f t="shared" si="106"/>
        <v>681985789745639</v>
      </c>
      <c r="AA573" s="7"/>
      <c r="AB573" s="7">
        <f t="shared" si="107"/>
        <v>13040</v>
      </c>
    </row>
    <row r="574" spans="6:28" x14ac:dyDescent="0.15">
      <c r="F574">
        <f t="shared" si="97"/>
        <v>82</v>
      </c>
      <c r="G574">
        <v>571</v>
      </c>
      <c r="H574">
        <f t="shared" si="98"/>
        <v>3.2139157284696176E+16</v>
      </c>
      <c r="I574">
        <f t="shared" si="99"/>
        <v>3.21391572846962E+16</v>
      </c>
      <c r="J574" s="1">
        <f t="shared" si="100"/>
        <v>1</v>
      </c>
      <c r="K574" s="1">
        <f t="shared" si="101"/>
        <v>3.21391572846962E+16</v>
      </c>
      <c r="L574" s="1">
        <f t="shared" si="102"/>
        <v>1.2191453663328094E+16</v>
      </c>
      <c r="M574" s="3">
        <f t="shared" si="103"/>
        <v>16589063.05543346</v>
      </c>
      <c r="N574" s="7">
        <f t="shared" si="108"/>
        <v>1.21914536633281E+16</v>
      </c>
      <c r="O574" s="7">
        <f t="shared" si="104"/>
        <v>16589063</v>
      </c>
      <c r="P574" s="3">
        <f>SUM($O$4:O574)</f>
        <v>960099307</v>
      </c>
      <c r="Y574" s="3">
        <f t="shared" si="105"/>
        <v>571</v>
      </c>
      <c r="Z574" s="3">
        <f t="shared" si="106"/>
        <v>717341368845610</v>
      </c>
      <c r="AA574" s="7"/>
      <c r="AB574" s="7">
        <f t="shared" si="107"/>
        <v>13040</v>
      </c>
    </row>
    <row r="575" spans="6:28" x14ac:dyDescent="0.15">
      <c r="F575">
        <f t="shared" si="97"/>
        <v>82</v>
      </c>
      <c r="G575">
        <v>572</v>
      </c>
      <c r="H575">
        <f t="shared" si="98"/>
        <v>3.2139157284696176E+16</v>
      </c>
      <c r="I575">
        <f t="shared" si="99"/>
        <v>3.21391572846962E+16</v>
      </c>
      <c r="J575" s="1">
        <f t="shared" si="100"/>
        <v>1</v>
      </c>
      <c r="K575" s="1">
        <f t="shared" si="101"/>
        <v>3.21391572846962E+16</v>
      </c>
      <c r="L575" s="1">
        <f t="shared" si="102"/>
        <v>1.2191453663328094E+16</v>
      </c>
      <c r="M575" s="3">
        <f t="shared" si="103"/>
        <v>16589063.05543346</v>
      </c>
      <c r="N575" s="7">
        <f t="shared" si="108"/>
        <v>1.21914536633281E+16</v>
      </c>
      <c r="O575" s="7">
        <f t="shared" si="104"/>
        <v>16589063</v>
      </c>
      <c r="P575" s="3">
        <f>SUM($O$4:O575)</f>
        <v>976688370</v>
      </c>
      <c r="Y575" s="3">
        <f t="shared" si="105"/>
        <v>572</v>
      </c>
      <c r="Z575" s="3">
        <f t="shared" si="106"/>
        <v>754527541381215</v>
      </c>
      <c r="AA575" s="7"/>
      <c r="AB575" s="7">
        <f t="shared" si="107"/>
        <v>13040</v>
      </c>
    </row>
    <row r="576" spans="6:28" x14ac:dyDescent="0.15">
      <c r="F576">
        <f t="shared" si="97"/>
        <v>82</v>
      </c>
      <c r="G576">
        <v>573</v>
      </c>
      <c r="H576">
        <f t="shared" si="98"/>
        <v>3.2139157284696176E+16</v>
      </c>
      <c r="I576">
        <f t="shared" si="99"/>
        <v>3.21391572846962E+16</v>
      </c>
      <c r="J576" s="1">
        <f t="shared" si="100"/>
        <v>1</v>
      </c>
      <c r="K576" s="1">
        <f t="shared" si="101"/>
        <v>3.21391572846962E+16</v>
      </c>
      <c r="L576" s="1">
        <f t="shared" si="102"/>
        <v>1.2191453663328094E+16</v>
      </c>
      <c r="M576" s="3">
        <f t="shared" si="103"/>
        <v>16589063.05543346</v>
      </c>
      <c r="N576" s="7">
        <f t="shared" si="108"/>
        <v>1.21914536633281E+16</v>
      </c>
      <c r="O576" s="7">
        <f t="shared" si="104"/>
        <v>16589063</v>
      </c>
      <c r="P576" s="3">
        <f>SUM($O$4:O576)</f>
        <v>993277433</v>
      </c>
      <c r="Y576" s="3">
        <f t="shared" si="105"/>
        <v>573</v>
      </c>
      <c r="Z576" s="3">
        <f t="shared" si="106"/>
        <v>793638977748266</v>
      </c>
      <c r="AA576" s="7"/>
      <c r="AB576" s="7">
        <f t="shared" si="107"/>
        <v>13040</v>
      </c>
    </row>
    <row r="577" spans="6:28" x14ac:dyDescent="0.15">
      <c r="F577">
        <f t="shared" si="97"/>
        <v>82</v>
      </c>
      <c r="G577">
        <v>574</v>
      </c>
      <c r="H577">
        <f t="shared" si="98"/>
        <v>3.2139157284696176E+16</v>
      </c>
      <c r="I577">
        <f t="shared" si="99"/>
        <v>3.21391572846962E+16</v>
      </c>
      <c r="J577" s="1">
        <f t="shared" si="100"/>
        <v>4</v>
      </c>
      <c r="K577" s="1">
        <f t="shared" si="101"/>
        <v>1.285566291387848E+17</v>
      </c>
      <c r="L577" s="1">
        <f t="shared" si="102"/>
        <v>4.8765814653312376E+16</v>
      </c>
      <c r="M577" s="3">
        <f t="shared" si="103"/>
        <v>66356252.221733838</v>
      </c>
      <c r="N577" s="7">
        <f t="shared" si="108"/>
        <v>4.87658146533124E+16</v>
      </c>
      <c r="O577" s="7">
        <f t="shared" si="104"/>
        <v>66356252</v>
      </c>
      <c r="P577" s="3">
        <f>SUM($O$4:O577)</f>
        <v>1059633685</v>
      </c>
      <c r="Y577" s="3">
        <f t="shared" si="105"/>
        <v>574</v>
      </c>
      <c r="Z577" s="3">
        <f t="shared" si="106"/>
        <v>834775238898568</v>
      </c>
      <c r="AA577" s="7"/>
      <c r="AB577" s="7">
        <f t="shared" si="107"/>
        <v>13040</v>
      </c>
    </row>
    <row r="578" spans="6:28" x14ac:dyDescent="0.15">
      <c r="F578">
        <f t="shared" si="97"/>
        <v>83</v>
      </c>
      <c r="G578">
        <v>575</v>
      </c>
      <c r="H578">
        <f t="shared" si="98"/>
        <v>5.0458476936973008E+16</v>
      </c>
      <c r="I578">
        <f t="shared" si="99"/>
        <v>5.0458476936973E+16</v>
      </c>
      <c r="J578" s="1">
        <f t="shared" si="100"/>
        <v>1</v>
      </c>
      <c r="K578" s="1">
        <f t="shared" si="101"/>
        <v>5.0458476936973E+16</v>
      </c>
      <c r="L578" s="1">
        <f t="shared" si="102"/>
        <v>1.9291957682236012E+16</v>
      </c>
      <c r="M578" s="3">
        <f t="shared" si="103"/>
        <v>20192928.795183174</v>
      </c>
      <c r="N578" s="7">
        <f t="shared" si="108"/>
        <v>1.9291957682236E+16</v>
      </c>
      <c r="O578" s="7">
        <f t="shared" si="104"/>
        <v>20192928</v>
      </c>
      <c r="P578" s="3">
        <f>SUM($O$4:O578)</f>
        <v>1079826613</v>
      </c>
      <c r="Y578" s="3">
        <f t="shared" si="105"/>
        <v>575</v>
      </c>
      <c r="Z578" s="3">
        <f t="shared" si="106"/>
        <v>878041028719531</v>
      </c>
      <c r="AA578" s="7"/>
      <c r="AB578" s="7">
        <f t="shared" si="107"/>
        <v>13040</v>
      </c>
    </row>
    <row r="579" spans="6:28" x14ac:dyDescent="0.15">
      <c r="F579">
        <f t="shared" si="97"/>
        <v>83</v>
      </c>
      <c r="G579">
        <v>576</v>
      </c>
      <c r="H579">
        <f t="shared" si="98"/>
        <v>5.0458476936973008E+16</v>
      </c>
      <c r="I579">
        <f t="shared" si="99"/>
        <v>5.0458476936973E+16</v>
      </c>
      <c r="J579" s="1">
        <f t="shared" si="100"/>
        <v>1</v>
      </c>
      <c r="K579" s="1">
        <f t="shared" si="101"/>
        <v>5.0458476936973E+16</v>
      </c>
      <c r="L579" s="1">
        <f t="shared" si="102"/>
        <v>1.9291957682236012E+16</v>
      </c>
      <c r="M579" s="3">
        <f t="shared" si="103"/>
        <v>20192928.795183174</v>
      </c>
      <c r="N579" s="7">
        <f t="shared" si="108"/>
        <v>1.9291957682236E+16</v>
      </c>
      <c r="O579" s="7">
        <f t="shared" si="104"/>
        <v>20192928</v>
      </c>
      <c r="P579" s="3">
        <f>SUM($O$4:O579)</f>
        <v>1100019541</v>
      </c>
      <c r="Y579" s="3">
        <f t="shared" si="105"/>
        <v>576</v>
      </c>
      <c r="Z579" s="3">
        <f t="shared" si="106"/>
        <v>923546459425343</v>
      </c>
      <c r="AA579" s="7"/>
      <c r="AB579" s="7">
        <f t="shared" si="107"/>
        <v>13040</v>
      </c>
    </row>
    <row r="580" spans="6:28" x14ac:dyDescent="0.15">
      <c r="F580">
        <f t="shared" si="97"/>
        <v>83</v>
      </c>
      <c r="G580">
        <v>577</v>
      </c>
      <c r="H580">
        <f t="shared" si="98"/>
        <v>5.0458476936973008E+16</v>
      </c>
      <c r="I580">
        <f t="shared" si="99"/>
        <v>5.0458476936973E+16</v>
      </c>
      <c r="J580" s="1">
        <f t="shared" si="100"/>
        <v>1</v>
      </c>
      <c r="K580" s="1">
        <f t="shared" si="101"/>
        <v>5.0458476936973E+16</v>
      </c>
      <c r="L580" s="1">
        <f t="shared" si="102"/>
        <v>1.9291957682236012E+16</v>
      </c>
      <c r="M580" s="3">
        <f t="shared" si="103"/>
        <v>20192928.795183174</v>
      </c>
      <c r="N580" s="7">
        <f t="shared" si="108"/>
        <v>1.9291957682236E+16</v>
      </c>
      <c r="O580" s="7">
        <f t="shared" si="104"/>
        <v>20192928</v>
      </c>
      <c r="P580" s="3">
        <f>SUM($O$4:O580)</f>
        <v>1120212469</v>
      </c>
      <c r="Y580" s="3">
        <f t="shared" si="105"/>
        <v>577</v>
      </c>
      <c r="Z580" s="3">
        <f t="shared" si="106"/>
        <v>971407330629938</v>
      </c>
      <c r="AA580" s="7"/>
      <c r="AB580" s="7">
        <f t="shared" si="107"/>
        <v>13040</v>
      </c>
    </row>
    <row r="581" spans="6:28" x14ac:dyDescent="0.15">
      <c r="F581">
        <f t="shared" ref="F581:F644" si="109">ROUNDUP(G581/$C$4,0)</f>
        <v>83</v>
      </c>
      <c r="G581">
        <v>578</v>
      </c>
      <c r="H581">
        <f t="shared" ref="H581:H644" si="110">18.5*1.57^MIN(F581,156)*1.17^MAX(F581-156,0)*$C$5</f>
        <v>5.0458476936973008E+16</v>
      </c>
      <c r="I581">
        <f t="shared" ref="I581:I644" si="111">ROUND(H581,0)</f>
        <v>5.0458476936973E+16</v>
      </c>
      <c r="J581" s="1">
        <f t="shared" ref="J581:J644" si="112">IF(F581=F582,1,LOOKUP(MOD(F581,5),$D$6:$D$10,$C$6:$C$10))</f>
        <v>1</v>
      </c>
      <c r="K581" s="1">
        <f t="shared" ref="K581:K644" si="113">J581*I581</f>
        <v>5.0458476936973E+16</v>
      </c>
      <c r="L581" s="1">
        <f t="shared" ref="L581:L644" si="114">K581*(0.02+0.00045*F581)/$C$5</f>
        <v>1.9291957682236012E+16</v>
      </c>
      <c r="M581" s="3">
        <f t="shared" ref="M581:M644" si="115">L581/(1.3^F581)*3</f>
        <v>20192928.795183174</v>
      </c>
      <c r="N581" s="7">
        <f t="shared" si="108"/>
        <v>1.9291957682236E+16</v>
      </c>
      <c r="O581" s="7">
        <f t="shared" ref="O581:O644" si="116">ROUNDDOWN(M581,0)</f>
        <v>20192928</v>
      </c>
      <c r="P581" s="3">
        <f>SUM($O$4:O581)</f>
        <v>1140405397</v>
      </c>
      <c r="Y581" s="3">
        <f t="shared" ref="Y581:Y644" si="117">G581</f>
        <v>578</v>
      </c>
      <c r="Z581" s="3">
        <f t="shared" ref="Z581:Z644" si="118">ROUND(1.05^Y581*Y581,0)</f>
        <v>1021745422806430</v>
      </c>
      <c r="AA581" s="7"/>
      <c r="AB581" s="7">
        <f t="shared" ref="AB581:AB644" si="119">LOOKUP(Y581,T:T,P:P)</f>
        <v>13040</v>
      </c>
    </row>
    <row r="582" spans="6:28" x14ac:dyDescent="0.15">
      <c r="F582">
        <f t="shared" si="109"/>
        <v>83</v>
      </c>
      <c r="G582">
        <v>579</v>
      </c>
      <c r="H582">
        <f t="shared" si="110"/>
        <v>5.0458476936973008E+16</v>
      </c>
      <c r="I582">
        <f t="shared" si="111"/>
        <v>5.0458476936973E+16</v>
      </c>
      <c r="J582" s="1">
        <f t="shared" si="112"/>
        <v>1</v>
      </c>
      <c r="K582" s="1">
        <f t="shared" si="113"/>
        <v>5.0458476936973E+16</v>
      </c>
      <c r="L582" s="1">
        <f t="shared" si="114"/>
        <v>1.9291957682236012E+16</v>
      </c>
      <c r="M582" s="3">
        <f t="shared" si="115"/>
        <v>20192928.795183174</v>
      </c>
      <c r="N582" s="7">
        <f t="shared" si="108"/>
        <v>1.9291957682236E+16</v>
      </c>
      <c r="O582" s="7">
        <f t="shared" si="116"/>
        <v>20192928</v>
      </c>
      <c r="P582" s="3">
        <f>SUM($O$4:O582)</f>
        <v>1160598325</v>
      </c>
      <c r="Y582" s="3">
        <f t="shared" si="117"/>
        <v>579</v>
      </c>
      <c r="Z582" s="3">
        <f t="shared" si="118"/>
        <v>1074688805873990</v>
      </c>
      <c r="AA582" s="7"/>
      <c r="AB582" s="7">
        <f t="shared" si="119"/>
        <v>13040</v>
      </c>
    </row>
    <row r="583" spans="6:28" x14ac:dyDescent="0.15">
      <c r="F583">
        <f t="shared" si="109"/>
        <v>83</v>
      </c>
      <c r="G583">
        <v>580</v>
      </c>
      <c r="H583">
        <f t="shared" si="110"/>
        <v>5.0458476936973008E+16</v>
      </c>
      <c r="I583">
        <f t="shared" si="111"/>
        <v>5.0458476936973E+16</v>
      </c>
      <c r="J583" s="1">
        <f t="shared" si="112"/>
        <v>1</v>
      </c>
      <c r="K583" s="1">
        <f t="shared" si="113"/>
        <v>5.0458476936973E+16</v>
      </c>
      <c r="L583" s="1">
        <f t="shared" si="114"/>
        <v>1.9291957682236012E+16</v>
      </c>
      <c r="M583" s="3">
        <f t="shared" si="115"/>
        <v>20192928.795183174</v>
      </c>
      <c r="N583" s="7">
        <f t="shared" si="108"/>
        <v>1.9291957682236E+16</v>
      </c>
      <c r="O583" s="7">
        <f t="shared" si="116"/>
        <v>20192928</v>
      </c>
      <c r="P583" s="3">
        <f>SUM($O$4:O583)</f>
        <v>1180791253</v>
      </c>
      <c r="Y583" s="3">
        <f t="shared" si="117"/>
        <v>580</v>
      </c>
      <c r="Z583" s="3">
        <f t="shared" si="118"/>
        <v>1130372163691300</v>
      </c>
      <c r="AA583" s="7"/>
      <c r="AB583" s="7">
        <f t="shared" si="119"/>
        <v>13040</v>
      </c>
    </row>
    <row r="584" spans="6:28" x14ac:dyDescent="0.15">
      <c r="F584">
        <f t="shared" si="109"/>
        <v>83</v>
      </c>
      <c r="G584">
        <v>581</v>
      </c>
      <c r="H584">
        <f t="shared" si="110"/>
        <v>5.0458476936973008E+16</v>
      </c>
      <c r="I584">
        <f t="shared" si="111"/>
        <v>5.0458476936973E+16</v>
      </c>
      <c r="J584" s="1">
        <f t="shared" si="112"/>
        <v>6</v>
      </c>
      <c r="K584" s="1">
        <f t="shared" si="113"/>
        <v>3.0275086162183802E+17</v>
      </c>
      <c r="L584" s="1">
        <f t="shared" si="114"/>
        <v>1.1575174609341606E+17</v>
      </c>
      <c r="M584" s="3">
        <f t="shared" si="115"/>
        <v>121157572.77109905</v>
      </c>
      <c r="N584" s="7">
        <f t="shared" ref="N584:N647" si="120">ROUND(L584,0)</f>
        <v>1.15751746093416E+17</v>
      </c>
      <c r="O584" s="7">
        <f t="shared" si="116"/>
        <v>121157572</v>
      </c>
      <c r="P584" s="3">
        <f>SUM($O$4:O584)</f>
        <v>1301948825</v>
      </c>
      <c r="Y584" s="3">
        <f t="shared" si="117"/>
        <v>581</v>
      </c>
      <c r="Z584" s="3">
        <f t="shared" si="118"/>
        <v>1188937135275650</v>
      </c>
      <c r="AA584" s="7"/>
      <c r="AB584" s="7">
        <f t="shared" si="119"/>
        <v>13040</v>
      </c>
    </row>
    <row r="585" spans="6:28" x14ac:dyDescent="0.15">
      <c r="F585">
        <f t="shared" si="109"/>
        <v>84</v>
      </c>
      <c r="G585">
        <v>582</v>
      </c>
      <c r="H585">
        <f t="shared" si="110"/>
        <v>7.92198087910476E+16</v>
      </c>
      <c r="I585">
        <f t="shared" si="111"/>
        <v>7.92198087910476E+16</v>
      </c>
      <c r="J585" s="1">
        <f t="shared" si="112"/>
        <v>1</v>
      </c>
      <c r="K585" s="1">
        <f t="shared" si="113"/>
        <v>7.92198087910476E+16</v>
      </c>
      <c r="L585" s="1">
        <f t="shared" si="114"/>
        <v>3.052603298748368E+16</v>
      </c>
      <c r="M585" s="3">
        <f t="shared" si="115"/>
        <v>24578197.524615288</v>
      </c>
      <c r="N585" s="7">
        <f t="shared" si="120"/>
        <v>3.05260329874837E+16</v>
      </c>
      <c r="O585" s="7">
        <f t="shared" si="116"/>
        <v>24578197</v>
      </c>
      <c r="P585" s="3">
        <f>SUM($O$4:O585)</f>
        <v>1326527022</v>
      </c>
      <c r="Y585" s="3">
        <f t="shared" si="117"/>
        <v>582</v>
      </c>
      <c r="Z585" s="3">
        <f t="shared" si="118"/>
        <v>1250532673609210</v>
      </c>
      <c r="AA585" s="7"/>
      <c r="AB585" s="7">
        <f t="shared" si="119"/>
        <v>13040</v>
      </c>
    </row>
    <row r="586" spans="6:28" x14ac:dyDescent="0.15">
      <c r="F586">
        <f t="shared" si="109"/>
        <v>84</v>
      </c>
      <c r="G586">
        <v>583</v>
      </c>
      <c r="H586">
        <f t="shared" si="110"/>
        <v>7.92198087910476E+16</v>
      </c>
      <c r="I586">
        <f t="shared" si="111"/>
        <v>7.92198087910476E+16</v>
      </c>
      <c r="J586" s="1">
        <f t="shared" si="112"/>
        <v>1</v>
      </c>
      <c r="K586" s="1">
        <f t="shared" si="113"/>
        <v>7.92198087910476E+16</v>
      </c>
      <c r="L586" s="1">
        <f t="shared" si="114"/>
        <v>3.052603298748368E+16</v>
      </c>
      <c r="M586" s="3">
        <f t="shared" si="115"/>
        <v>24578197.524615288</v>
      </c>
      <c r="N586" s="7">
        <f t="shared" si="120"/>
        <v>3.05260329874837E+16</v>
      </c>
      <c r="O586" s="7">
        <f t="shared" si="116"/>
        <v>24578197</v>
      </c>
      <c r="P586" s="3">
        <f>SUM($O$4:O586)</f>
        <v>1351105219</v>
      </c>
      <c r="Y586" s="3">
        <f t="shared" si="117"/>
        <v>583</v>
      </c>
      <c r="Z586" s="3">
        <f t="shared" si="118"/>
        <v>1315315422937930</v>
      </c>
      <c r="AA586" s="7"/>
      <c r="AB586" s="7">
        <f t="shared" si="119"/>
        <v>13040</v>
      </c>
    </row>
    <row r="587" spans="6:28" x14ac:dyDescent="0.15">
      <c r="F587">
        <f t="shared" si="109"/>
        <v>84</v>
      </c>
      <c r="G587">
        <v>584</v>
      </c>
      <c r="H587">
        <f t="shared" si="110"/>
        <v>7.92198087910476E+16</v>
      </c>
      <c r="I587">
        <f t="shared" si="111"/>
        <v>7.92198087910476E+16</v>
      </c>
      <c r="J587" s="1">
        <f t="shared" si="112"/>
        <v>1</v>
      </c>
      <c r="K587" s="1">
        <f t="shared" si="113"/>
        <v>7.92198087910476E+16</v>
      </c>
      <c r="L587" s="1">
        <f t="shared" si="114"/>
        <v>3.052603298748368E+16</v>
      </c>
      <c r="M587" s="3">
        <f t="shared" si="115"/>
        <v>24578197.524615288</v>
      </c>
      <c r="N587" s="7">
        <f t="shared" si="120"/>
        <v>3.05260329874837E+16</v>
      </c>
      <c r="O587" s="7">
        <f t="shared" si="116"/>
        <v>24578197</v>
      </c>
      <c r="P587" s="3">
        <f>SUM($O$4:O587)</f>
        <v>1375683416</v>
      </c>
      <c r="Y587" s="3">
        <f t="shared" si="117"/>
        <v>584</v>
      </c>
      <c r="Z587" s="3">
        <f t="shared" si="118"/>
        <v>1383450115515510</v>
      </c>
      <c r="AA587" s="7"/>
      <c r="AB587" s="7">
        <f t="shared" si="119"/>
        <v>13040</v>
      </c>
    </row>
    <row r="588" spans="6:28" x14ac:dyDescent="0.15">
      <c r="F588">
        <f t="shared" si="109"/>
        <v>84</v>
      </c>
      <c r="G588">
        <v>585</v>
      </c>
      <c r="H588">
        <f t="shared" si="110"/>
        <v>7.92198087910476E+16</v>
      </c>
      <c r="I588">
        <f t="shared" si="111"/>
        <v>7.92198087910476E+16</v>
      </c>
      <c r="J588" s="1">
        <f t="shared" si="112"/>
        <v>1</v>
      </c>
      <c r="K588" s="1">
        <f t="shared" si="113"/>
        <v>7.92198087910476E+16</v>
      </c>
      <c r="L588" s="1">
        <f t="shared" si="114"/>
        <v>3.052603298748368E+16</v>
      </c>
      <c r="M588" s="3">
        <f t="shared" si="115"/>
        <v>24578197.524615288</v>
      </c>
      <c r="N588" s="7">
        <f t="shared" si="120"/>
        <v>3.05260329874837E+16</v>
      </c>
      <c r="O588" s="7">
        <f t="shared" si="116"/>
        <v>24578197</v>
      </c>
      <c r="P588" s="3">
        <f>SUM($O$4:O588)</f>
        <v>1400261613</v>
      </c>
      <c r="Y588" s="3">
        <f t="shared" si="117"/>
        <v>585</v>
      </c>
      <c r="Z588" s="3">
        <f t="shared" si="118"/>
        <v>1455109988793490</v>
      </c>
      <c r="AA588" s="7"/>
      <c r="AB588" s="7">
        <f t="shared" si="119"/>
        <v>13040</v>
      </c>
    </row>
    <row r="589" spans="6:28" x14ac:dyDescent="0.15">
      <c r="F589">
        <f t="shared" si="109"/>
        <v>84</v>
      </c>
      <c r="G589">
        <v>586</v>
      </c>
      <c r="H589">
        <f t="shared" si="110"/>
        <v>7.92198087910476E+16</v>
      </c>
      <c r="I589">
        <f t="shared" si="111"/>
        <v>7.92198087910476E+16</v>
      </c>
      <c r="J589" s="1">
        <f t="shared" si="112"/>
        <v>1</v>
      </c>
      <c r="K589" s="1">
        <f t="shared" si="113"/>
        <v>7.92198087910476E+16</v>
      </c>
      <c r="L589" s="1">
        <f t="shared" si="114"/>
        <v>3.052603298748368E+16</v>
      </c>
      <c r="M589" s="3">
        <f t="shared" si="115"/>
        <v>24578197.524615288</v>
      </c>
      <c r="N589" s="7">
        <f t="shared" si="120"/>
        <v>3.05260329874837E+16</v>
      </c>
      <c r="O589" s="7">
        <f t="shared" si="116"/>
        <v>24578197</v>
      </c>
      <c r="P589" s="3">
        <f>SUM($O$4:O589)</f>
        <v>1424839810</v>
      </c>
      <c r="Y589" s="3">
        <f t="shared" si="117"/>
        <v>586</v>
      </c>
      <c r="Z589" s="3">
        <f t="shared" si="118"/>
        <v>1530477224110490</v>
      </c>
      <c r="AA589" s="7"/>
      <c r="AB589" s="7">
        <f t="shared" si="119"/>
        <v>13040</v>
      </c>
    </row>
    <row r="590" spans="6:28" x14ac:dyDescent="0.15">
      <c r="F590">
        <f t="shared" si="109"/>
        <v>84</v>
      </c>
      <c r="G590">
        <v>587</v>
      </c>
      <c r="H590">
        <f t="shared" si="110"/>
        <v>7.92198087910476E+16</v>
      </c>
      <c r="I590">
        <f t="shared" si="111"/>
        <v>7.92198087910476E+16</v>
      </c>
      <c r="J590" s="1">
        <f t="shared" si="112"/>
        <v>1</v>
      </c>
      <c r="K590" s="1">
        <f t="shared" si="113"/>
        <v>7.92198087910476E+16</v>
      </c>
      <c r="L590" s="1">
        <f t="shared" si="114"/>
        <v>3.052603298748368E+16</v>
      </c>
      <c r="M590" s="3">
        <f t="shared" si="115"/>
        <v>24578197.524615288</v>
      </c>
      <c r="N590" s="7">
        <f t="shared" si="120"/>
        <v>3.05260329874837E+16</v>
      </c>
      <c r="O590" s="7">
        <f t="shared" si="116"/>
        <v>24578197</v>
      </c>
      <c r="P590" s="3">
        <f>SUM($O$4:O590)</f>
        <v>1449418007</v>
      </c>
      <c r="Y590" s="3">
        <f t="shared" si="117"/>
        <v>587</v>
      </c>
      <c r="Z590" s="3">
        <f t="shared" si="118"/>
        <v>1609743407987200</v>
      </c>
      <c r="AA590" s="7"/>
      <c r="AB590" s="7">
        <f t="shared" si="119"/>
        <v>13040</v>
      </c>
    </row>
    <row r="591" spans="6:28" x14ac:dyDescent="0.15">
      <c r="F591">
        <f t="shared" si="109"/>
        <v>84</v>
      </c>
      <c r="G591">
        <v>588</v>
      </c>
      <c r="H591">
        <f t="shared" si="110"/>
        <v>7.92198087910476E+16</v>
      </c>
      <c r="I591">
        <f t="shared" si="111"/>
        <v>7.92198087910476E+16</v>
      </c>
      <c r="J591" s="1">
        <f t="shared" si="112"/>
        <v>7</v>
      </c>
      <c r="K591" s="1">
        <f t="shared" si="113"/>
        <v>5.5453866153733318E+17</v>
      </c>
      <c r="L591" s="1">
        <f t="shared" si="114"/>
        <v>2.1368223091238573E+17</v>
      </c>
      <c r="M591" s="3">
        <f t="shared" si="115"/>
        <v>172047382.67230695</v>
      </c>
      <c r="N591" s="7">
        <f t="shared" si="120"/>
        <v>2.1368223091238598E+17</v>
      </c>
      <c r="O591" s="7">
        <f t="shared" si="116"/>
        <v>172047382</v>
      </c>
      <c r="P591" s="3">
        <f>SUM($O$4:O591)</f>
        <v>1621465389</v>
      </c>
      <c r="Y591" s="3">
        <f t="shared" si="117"/>
        <v>588</v>
      </c>
      <c r="Z591" s="3">
        <f t="shared" si="118"/>
        <v>1693110017191310</v>
      </c>
      <c r="AA591" s="7"/>
      <c r="AB591" s="7">
        <f t="shared" si="119"/>
        <v>13040</v>
      </c>
    </row>
    <row r="592" spans="6:28" x14ac:dyDescent="0.15">
      <c r="F592">
        <f t="shared" si="109"/>
        <v>85</v>
      </c>
      <c r="G592">
        <v>589</v>
      </c>
      <c r="H592">
        <f t="shared" si="110"/>
        <v>1.2437509980194475E+17</v>
      </c>
      <c r="I592">
        <f t="shared" si="111"/>
        <v>1.2437509980194499E+17</v>
      </c>
      <c r="J592" s="1">
        <f t="shared" si="112"/>
        <v>1</v>
      </c>
      <c r="K592" s="1">
        <f t="shared" si="113"/>
        <v>1.2437509980194499E+17</v>
      </c>
      <c r="L592" s="1">
        <f t="shared" si="114"/>
        <v>4.8298997089755304E+16</v>
      </c>
      <c r="M592" s="3">
        <f t="shared" si="115"/>
        <v>29913995.330315188</v>
      </c>
      <c r="N592" s="7">
        <f t="shared" si="120"/>
        <v>4.8298997089755296E+16</v>
      </c>
      <c r="O592" s="7">
        <f t="shared" si="116"/>
        <v>29913995</v>
      </c>
      <c r="P592" s="3">
        <f>SUM($O$4:O592)</f>
        <v>1651379384</v>
      </c>
      <c r="Y592" s="3">
        <f t="shared" si="117"/>
        <v>589</v>
      </c>
      <c r="Z592" s="3">
        <f t="shared" si="118"/>
        <v>1780788928795860</v>
      </c>
      <c r="AA592" s="7"/>
      <c r="AB592" s="7">
        <f t="shared" si="119"/>
        <v>13040</v>
      </c>
    </row>
    <row r="593" spans="6:28" x14ac:dyDescent="0.15">
      <c r="F593">
        <f t="shared" si="109"/>
        <v>85</v>
      </c>
      <c r="G593">
        <v>590</v>
      </c>
      <c r="H593">
        <f t="shared" si="110"/>
        <v>1.2437509980194475E+17</v>
      </c>
      <c r="I593">
        <f t="shared" si="111"/>
        <v>1.2437509980194499E+17</v>
      </c>
      <c r="J593" s="1">
        <f t="shared" si="112"/>
        <v>1</v>
      </c>
      <c r="K593" s="1">
        <f t="shared" si="113"/>
        <v>1.2437509980194499E+17</v>
      </c>
      <c r="L593" s="1">
        <f t="shared" si="114"/>
        <v>4.8298997089755304E+16</v>
      </c>
      <c r="M593" s="3">
        <f t="shared" si="115"/>
        <v>29913995.330315188</v>
      </c>
      <c r="N593" s="7">
        <f t="shared" si="120"/>
        <v>4.8298997089755296E+16</v>
      </c>
      <c r="O593" s="7">
        <f t="shared" si="116"/>
        <v>29913995</v>
      </c>
      <c r="P593" s="3">
        <f>SUM($O$4:O593)</f>
        <v>1681293379</v>
      </c>
      <c r="Y593" s="3">
        <f t="shared" si="117"/>
        <v>590</v>
      </c>
      <c r="Z593" s="3">
        <f t="shared" si="118"/>
        <v>1873002956517880</v>
      </c>
      <c r="AA593" s="7"/>
      <c r="AB593" s="7">
        <f t="shared" si="119"/>
        <v>13040</v>
      </c>
    </row>
    <row r="594" spans="6:28" x14ac:dyDescent="0.15">
      <c r="F594">
        <f t="shared" si="109"/>
        <v>85</v>
      </c>
      <c r="G594">
        <v>591</v>
      </c>
      <c r="H594">
        <f t="shared" si="110"/>
        <v>1.2437509980194475E+17</v>
      </c>
      <c r="I594">
        <f t="shared" si="111"/>
        <v>1.2437509980194499E+17</v>
      </c>
      <c r="J594" s="1">
        <f t="shared" si="112"/>
        <v>1</v>
      </c>
      <c r="K594" s="1">
        <f t="shared" si="113"/>
        <v>1.2437509980194499E+17</v>
      </c>
      <c r="L594" s="1">
        <f t="shared" si="114"/>
        <v>4.8298997089755304E+16</v>
      </c>
      <c r="M594" s="3">
        <f t="shared" si="115"/>
        <v>29913995.330315188</v>
      </c>
      <c r="N594" s="7">
        <f t="shared" si="120"/>
        <v>4.8298997089755296E+16</v>
      </c>
      <c r="O594" s="7">
        <f t="shared" si="116"/>
        <v>29913995</v>
      </c>
      <c r="P594" s="3">
        <f>SUM($O$4:O594)</f>
        <v>1711207374</v>
      </c>
      <c r="Y594" s="3">
        <f t="shared" si="117"/>
        <v>591</v>
      </c>
      <c r="Z594" s="3">
        <f t="shared" si="118"/>
        <v>1969986414690120</v>
      </c>
      <c r="AA594" s="7"/>
      <c r="AB594" s="7">
        <f t="shared" si="119"/>
        <v>13040</v>
      </c>
    </row>
    <row r="595" spans="6:28" x14ac:dyDescent="0.15">
      <c r="F595">
        <f t="shared" si="109"/>
        <v>85</v>
      </c>
      <c r="G595">
        <v>592</v>
      </c>
      <c r="H595">
        <f t="shared" si="110"/>
        <v>1.2437509980194475E+17</v>
      </c>
      <c r="I595">
        <f t="shared" si="111"/>
        <v>1.2437509980194499E+17</v>
      </c>
      <c r="J595" s="1">
        <f t="shared" si="112"/>
        <v>1</v>
      </c>
      <c r="K595" s="1">
        <f t="shared" si="113"/>
        <v>1.2437509980194499E+17</v>
      </c>
      <c r="L595" s="1">
        <f t="shared" si="114"/>
        <v>4.8298997089755304E+16</v>
      </c>
      <c r="M595" s="3">
        <f t="shared" si="115"/>
        <v>29913995.330315188</v>
      </c>
      <c r="N595" s="7">
        <f t="shared" si="120"/>
        <v>4.8298997089755296E+16</v>
      </c>
      <c r="O595" s="7">
        <f t="shared" si="116"/>
        <v>29913995</v>
      </c>
      <c r="P595" s="3">
        <f>SUM($O$4:O595)</f>
        <v>1741121369</v>
      </c>
      <c r="Y595" s="3">
        <f t="shared" si="117"/>
        <v>592</v>
      </c>
      <c r="Z595" s="3">
        <f t="shared" si="118"/>
        <v>2071985711288290</v>
      </c>
      <c r="AA595" s="7"/>
      <c r="AB595" s="7">
        <f t="shared" si="119"/>
        <v>13040</v>
      </c>
    </row>
    <row r="596" spans="6:28" x14ac:dyDescent="0.15">
      <c r="F596">
        <f t="shared" si="109"/>
        <v>85</v>
      </c>
      <c r="G596">
        <v>593</v>
      </c>
      <c r="H596">
        <f t="shared" si="110"/>
        <v>1.2437509980194475E+17</v>
      </c>
      <c r="I596">
        <f t="shared" si="111"/>
        <v>1.2437509980194499E+17</v>
      </c>
      <c r="J596" s="1">
        <f t="shared" si="112"/>
        <v>1</v>
      </c>
      <c r="K596" s="1">
        <f t="shared" si="113"/>
        <v>1.2437509980194499E+17</v>
      </c>
      <c r="L596" s="1">
        <f t="shared" si="114"/>
        <v>4.8298997089755304E+16</v>
      </c>
      <c r="M596" s="3">
        <f t="shared" si="115"/>
        <v>29913995.330315188</v>
      </c>
      <c r="N596" s="7">
        <f t="shared" si="120"/>
        <v>4.8298997089755296E+16</v>
      </c>
      <c r="O596" s="7">
        <f t="shared" si="116"/>
        <v>29913995</v>
      </c>
      <c r="P596" s="3">
        <f>SUM($O$4:O596)</f>
        <v>1771035364</v>
      </c>
      <c r="Y596" s="3">
        <f t="shared" si="117"/>
        <v>593</v>
      </c>
      <c r="Z596" s="3">
        <f t="shared" si="118"/>
        <v>2179259971509550</v>
      </c>
      <c r="AA596" s="7"/>
      <c r="AB596" s="7">
        <f t="shared" si="119"/>
        <v>13040</v>
      </c>
    </row>
    <row r="597" spans="6:28" x14ac:dyDescent="0.15">
      <c r="F597">
        <f t="shared" si="109"/>
        <v>85</v>
      </c>
      <c r="G597">
        <v>594</v>
      </c>
      <c r="H597">
        <f t="shared" si="110"/>
        <v>1.2437509980194475E+17</v>
      </c>
      <c r="I597">
        <f t="shared" si="111"/>
        <v>1.2437509980194499E+17</v>
      </c>
      <c r="J597" s="1">
        <f t="shared" si="112"/>
        <v>1</v>
      </c>
      <c r="K597" s="1">
        <f t="shared" si="113"/>
        <v>1.2437509980194499E+17</v>
      </c>
      <c r="L597" s="1">
        <f t="shared" si="114"/>
        <v>4.8298997089755304E+16</v>
      </c>
      <c r="M597" s="3">
        <f t="shared" si="115"/>
        <v>29913995.330315188</v>
      </c>
      <c r="N597" s="7">
        <f t="shared" si="120"/>
        <v>4.8298997089755296E+16</v>
      </c>
      <c r="O597" s="7">
        <f t="shared" si="116"/>
        <v>29913995</v>
      </c>
      <c r="P597" s="3">
        <f>SUM($O$4:O597)</f>
        <v>1800949359</v>
      </c>
      <c r="Y597" s="3">
        <f t="shared" si="117"/>
        <v>594</v>
      </c>
      <c r="Z597" s="3">
        <f t="shared" si="118"/>
        <v>2292081693474720</v>
      </c>
      <c r="AA597" s="7"/>
      <c r="AB597" s="7">
        <f t="shared" si="119"/>
        <v>13040</v>
      </c>
    </row>
    <row r="598" spans="6:28" x14ac:dyDescent="0.15">
      <c r="F598">
        <f t="shared" si="109"/>
        <v>85</v>
      </c>
      <c r="G598">
        <v>595</v>
      </c>
      <c r="H598">
        <f t="shared" si="110"/>
        <v>1.2437509980194475E+17</v>
      </c>
      <c r="I598">
        <f t="shared" si="111"/>
        <v>1.2437509980194499E+17</v>
      </c>
      <c r="J598" s="1">
        <f t="shared" si="112"/>
        <v>10</v>
      </c>
      <c r="K598" s="1">
        <f t="shared" si="113"/>
        <v>1.2437509980194499E+18</v>
      </c>
      <c r="L598" s="1">
        <f t="shared" si="114"/>
        <v>4.8298997089755296E+17</v>
      </c>
      <c r="M598" s="3">
        <f t="shared" si="115"/>
        <v>299139953.30315185</v>
      </c>
      <c r="N598" s="7">
        <f t="shared" si="120"/>
        <v>4.8298997089755302E+17</v>
      </c>
      <c r="O598" s="7">
        <f t="shared" si="116"/>
        <v>299139953</v>
      </c>
      <c r="P598" s="3">
        <f>SUM($O$4:O598)</f>
        <v>2100089312</v>
      </c>
      <c r="Y598" s="3">
        <f t="shared" si="117"/>
        <v>595</v>
      </c>
      <c r="Z598" s="3">
        <f t="shared" si="118"/>
        <v>2410737437707630</v>
      </c>
      <c r="AA598" s="7"/>
      <c r="AB598" s="7">
        <f t="shared" si="119"/>
        <v>13040</v>
      </c>
    </row>
    <row r="599" spans="6:28" x14ac:dyDescent="0.15">
      <c r="F599">
        <f t="shared" si="109"/>
        <v>86</v>
      </c>
      <c r="G599">
        <v>596</v>
      </c>
      <c r="H599">
        <f t="shared" si="110"/>
        <v>1.9526890668905325E+17</v>
      </c>
      <c r="I599">
        <f t="shared" si="111"/>
        <v>1.9526890668905299E+17</v>
      </c>
      <c r="J599" s="1">
        <f t="shared" si="112"/>
        <v>1</v>
      </c>
      <c r="K599" s="1">
        <f t="shared" si="113"/>
        <v>1.9526890668905299E+17</v>
      </c>
      <c r="L599" s="1">
        <f t="shared" si="114"/>
        <v>7.6415232150982752E+16</v>
      </c>
      <c r="M599" s="3">
        <f t="shared" si="115"/>
        <v>36405993.999953903</v>
      </c>
      <c r="N599" s="7">
        <f t="shared" si="120"/>
        <v>7.64152321509828E+16</v>
      </c>
      <c r="O599" s="7">
        <f t="shared" si="116"/>
        <v>36405993</v>
      </c>
      <c r="P599" s="3">
        <f>SUM($O$4:O599)</f>
        <v>2136495305</v>
      </c>
      <c r="Y599" s="3">
        <f t="shared" si="117"/>
        <v>596</v>
      </c>
      <c r="Z599" s="3">
        <f t="shared" si="118"/>
        <v>2535528552130140</v>
      </c>
      <c r="AA599" s="7"/>
      <c r="AB599" s="7">
        <f t="shared" si="119"/>
        <v>13040</v>
      </c>
    </row>
    <row r="600" spans="6:28" x14ac:dyDescent="0.15">
      <c r="F600">
        <f t="shared" si="109"/>
        <v>86</v>
      </c>
      <c r="G600">
        <v>597</v>
      </c>
      <c r="H600">
        <f t="shared" si="110"/>
        <v>1.9526890668905325E+17</v>
      </c>
      <c r="I600">
        <f t="shared" si="111"/>
        <v>1.9526890668905299E+17</v>
      </c>
      <c r="J600" s="1">
        <f t="shared" si="112"/>
        <v>1</v>
      </c>
      <c r="K600" s="1">
        <f t="shared" si="113"/>
        <v>1.9526890668905299E+17</v>
      </c>
      <c r="L600" s="1">
        <f t="shared" si="114"/>
        <v>7.6415232150982752E+16</v>
      </c>
      <c r="M600" s="3">
        <f t="shared" si="115"/>
        <v>36405993.999953903</v>
      </c>
      <c r="N600" s="7">
        <f t="shared" si="120"/>
        <v>7.64152321509828E+16</v>
      </c>
      <c r="O600" s="7">
        <f t="shared" si="116"/>
        <v>36405993</v>
      </c>
      <c r="P600" s="3">
        <f>SUM($O$4:O600)</f>
        <v>2172901298</v>
      </c>
      <c r="Y600" s="3">
        <f t="shared" si="117"/>
        <v>597</v>
      </c>
      <c r="Z600" s="3">
        <f t="shared" si="118"/>
        <v>2666771934400630</v>
      </c>
      <c r="AA600" s="7"/>
      <c r="AB600" s="7">
        <f t="shared" si="119"/>
        <v>13040</v>
      </c>
    </row>
    <row r="601" spans="6:28" x14ac:dyDescent="0.15">
      <c r="F601">
        <f t="shared" si="109"/>
        <v>86</v>
      </c>
      <c r="G601">
        <v>598</v>
      </c>
      <c r="H601">
        <f t="shared" si="110"/>
        <v>1.9526890668905325E+17</v>
      </c>
      <c r="I601">
        <f t="shared" si="111"/>
        <v>1.9526890668905299E+17</v>
      </c>
      <c r="J601" s="1">
        <f t="shared" si="112"/>
        <v>1</v>
      </c>
      <c r="K601" s="1">
        <f t="shared" si="113"/>
        <v>1.9526890668905299E+17</v>
      </c>
      <c r="L601" s="1">
        <f t="shared" si="114"/>
        <v>7.6415232150982752E+16</v>
      </c>
      <c r="M601" s="3">
        <f t="shared" si="115"/>
        <v>36405993.999953903</v>
      </c>
      <c r="N601" s="7">
        <f t="shared" si="120"/>
        <v>7.64152321509828E+16</v>
      </c>
      <c r="O601" s="7">
        <f t="shared" si="116"/>
        <v>36405993</v>
      </c>
      <c r="P601" s="3">
        <f>SUM($O$4:O601)</f>
        <v>2209307291</v>
      </c>
      <c r="Y601" s="3">
        <f t="shared" si="117"/>
        <v>598</v>
      </c>
      <c r="Z601" s="3">
        <f t="shared" si="118"/>
        <v>2804800833517850</v>
      </c>
      <c r="AA601" s="7"/>
      <c r="AB601" s="7">
        <f t="shared" si="119"/>
        <v>13040</v>
      </c>
    </row>
    <row r="602" spans="6:28" x14ac:dyDescent="0.15">
      <c r="F602">
        <f t="shared" si="109"/>
        <v>86</v>
      </c>
      <c r="G602">
        <v>599</v>
      </c>
      <c r="H602">
        <f t="shared" si="110"/>
        <v>1.9526890668905325E+17</v>
      </c>
      <c r="I602">
        <f t="shared" si="111"/>
        <v>1.9526890668905299E+17</v>
      </c>
      <c r="J602" s="1">
        <f t="shared" si="112"/>
        <v>1</v>
      </c>
      <c r="K602" s="1">
        <f t="shared" si="113"/>
        <v>1.9526890668905299E+17</v>
      </c>
      <c r="L602" s="1">
        <f t="shared" si="114"/>
        <v>7.6415232150982752E+16</v>
      </c>
      <c r="M602" s="3">
        <f t="shared" si="115"/>
        <v>36405993.999953903</v>
      </c>
      <c r="N602" s="7">
        <f t="shared" si="120"/>
        <v>7.64152321509828E+16</v>
      </c>
      <c r="O602" s="7">
        <f t="shared" si="116"/>
        <v>36405993</v>
      </c>
      <c r="P602" s="3">
        <f>SUM($O$4:O602)</f>
        <v>2245713284</v>
      </c>
      <c r="Y602" s="3">
        <f t="shared" si="117"/>
        <v>599</v>
      </c>
      <c r="Z602" s="3">
        <f t="shared" si="118"/>
        <v>2949965692710790</v>
      </c>
      <c r="AA602" s="7"/>
      <c r="AB602" s="7">
        <f t="shared" si="119"/>
        <v>13040</v>
      </c>
    </row>
    <row r="603" spans="6:28" x14ac:dyDescent="0.15">
      <c r="F603">
        <f t="shared" si="109"/>
        <v>86</v>
      </c>
      <c r="G603">
        <v>600</v>
      </c>
      <c r="H603">
        <f t="shared" si="110"/>
        <v>1.9526890668905325E+17</v>
      </c>
      <c r="I603">
        <f t="shared" si="111"/>
        <v>1.9526890668905299E+17</v>
      </c>
      <c r="J603" s="1">
        <f t="shared" si="112"/>
        <v>1</v>
      </c>
      <c r="K603" s="1">
        <f t="shared" si="113"/>
        <v>1.9526890668905299E+17</v>
      </c>
      <c r="L603" s="1">
        <f t="shared" si="114"/>
        <v>7.6415232150982752E+16</v>
      </c>
      <c r="M603" s="3">
        <f t="shared" si="115"/>
        <v>36405993.999953903</v>
      </c>
      <c r="N603" s="7">
        <f t="shared" si="120"/>
        <v>7.64152321509828E+16</v>
      </c>
      <c r="O603" s="7">
        <f t="shared" si="116"/>
        <v>36405993</v>
      </c>
      <c r="P603" s="3">
        <f>SUM($O$4:O603)</f>
        <v>2282119277</v>
      </c>
      <c r="Y603" s="3">
        <f t="shared" si="117"/>
        <v>600</v>
      </c>
      <c r="Z603" s="3">
        <f t="shared" si="118"/>
        <v>3102635035739230</v>
      </c>
      <c r="AA603" s="7"/>
      <c r="AB603" s="7">
        <f t="shared" si="119"/>
        <v>13040</v>
      </c>
    </row>
    <row r="604" spans="6:28" x14ac:dyDescent="0.15">
      <c r="F604">
        <f t="shared" si="109"/>
        <v>86</v>
      </c>
      <c r="G604">
        <v>601</v>
      </c>
      <c r="H604">
        <f t="shared" si="110"/>
        <v>1.9526890668905325E+17</v>
      </c>
      <c r="I604">
        <f t="shared" si="111"/>
        <v>1.9526890668905299E+17</v>
      </c>
      <c r="J604" s="1">
        <f t="shared" si="112"/>
        <v>1</v>
      </c>
      <c r="K604" s="1">
        <f t="shared" si="113"/>
        <v>1.9526890668905299E+17</v>
      </c>
      <c r="L604" s="1">
        <f t="shared" si="114"/>
        <v>7.6415232150982752E+16</v>
      </c>
      <c r="M604" s="3">
        <f t="shared" si="115"/>
        <v>36405993.999953903</v>
      </c>
      <c r="N604" s="7">
        <f t="shared" si="120"/>
        <v>7.64152321509828E+16</v>
      </c>
      <c r="O604" s="7">
        <f t="shared" si="116"/>
        <v>36405993</v>
      </c>
      <c r="P604" s="3">
        <f>SUM($O$4:O604)</f>
        <v>2318525270</v>
      </c>
      <c r="Y604" s="3">
        <f t="shared" si="117"/>
        <v>601</v>
      </c>
      <c r="Z604" s="3">
        <f t="shared" si="118"/>
        <v>3263196398838740</v>
      </c>
      <c r="AA604" s="7"/>
      <c r="AB604" s="7">
        <f t="shared" si="119"/>
        <v>13040</v>
      </c>
    </row>
    <row r="605" spans="6:28" x14ac:dyDescent="0.15">
      <c r="F605">
        <f t="shared" si="109"/>
        <v>86</v>
      </c>
      <c r="G605">
        <v>602</v>
      </c>
      <c r="H605">
        <f t="shared" si="110"/>
        <v>1.9526890668905325E+17</v>
      </c>
      <c r="I605">
        <f t="shared" si="111"/>
        <v>1.9526890668905299E+17</v>
      </c>
      <c r="J605" s="1">
        <f t="shared" si="112"/>
        <v>2</v>
      </c>
      <c r="K605" s="1">
        <f t="shared" si="113"/>
        <v>3.9053781337810598E+17</v>
      </c>
      <c r="L605" s="1">
        <f t="shared" si="114"/>
        <v>1.528304643019655E+17</v>
      </c>
      <c r="M605" s="3">
        <f t="shared" si="115"/>
        <v>72811987.999907807</v>
      </c>
      <c r="N605" s="7">
        <f t="shared" si="120"/>
        <v>1.5283046430196602E+17</v>
      </c>
      <c r="O605" s="7">
        <f t="shared" si="116"/>
        <v>72811987</v>
      </c>
      <c r="P605" s="3">
        <f>SUM($O$4:O605)</f>
        <v>2391337257</v>
      </c>
      <c r="Y605" s="3">
        <f t="shared" si="117"/>
        <v>602</v>
      </c>
      <c r="Z605" s="3">
        <f t="shared" si="118"/>
        <v>3432057310658840</v>
      </c>
      <c r="AA605" s="7"/>
      <c r="AB605" s="7">
        <f t="shared" si="119"/>
        <v>13040</v>
      </c>
    </row>
    <row r="606" spans="6:28" x14ac:dyDescent="0.15">
      <c r="F606">
        <f t="shared" si="109"/>
        <v>87</v>
      </c>
      <c r="G606">
        <v>603</v>
      </c>
      <c r="H606">
        <f t="shared" si="110"/>
        <v>3.0657218350181357E+17</v>
      </c>
      <c r="I606">
        <f t="shared" si="111"/>
        <v>3.0657218350181402E+17</v>
      </c>
      <c r="J606" s="1">
        <f t="shared" si="112"/>
        <v>1</v>
      </c>
      <c r="K606" s="1">
        <f t="shared" si="113"/>
        <v>3.0657218350181402E+17</v>
      </c>
      <c r="L606" s="1">
        <f t="shared" si="114"/>
        <v>1.2089163102754864E+17</v>
      </c>
      <c r="M606" s="3">
        <f t="shared" si="115"/>
        <v>44304296.105395444</v>
      </c>
      <c r="N606" s="7">
        <f t="shared" si="120"/>
        <v>1.2089163102754899E+17</v>
      </c>
      <c r="O606" s="7">
        <f t="shared" si="116"/>
        <v>44304296</v>
      </c>
      <c r="P606" s="3">
        <f>SUM($O$4:O606)</f>
        <v>2435641553</v>
      </c>
      <c r="Y606" s="3">
        <f t="shared" si="117"/>
        <v>603</v>
      </c>
      <c r="Z606" s="3">
        <f t="shared" si="118"/>
        <v>3609646322663870</v>
      </c>
      <c r="AA606" s="7"/>
      <c r="AB606" s="7">
        <f t="shared" si="119"/>
        <v>13040</v>
      </c>
    </row>
    <row r="607" spans="6:28" x14ac:dyDescent="0.15">
      <c r="F607">
        <f t="shared" si="109"/>
        <v>87</v>
      </c>
      <c r="G607">
        <v>604</v>
      </c>
      <c r="H607">
        <f t="shared" si="110"/>
        <v>3.0657218350181357E+17</v>
      </c>
      <c r="I607">
        <f t="shared" si="111"/>
        <v>3.0657218350181402E+17</v>
      </c>
      <c r="J607" s="1">
        <f t="shared" si="112"/>
        <v>1</v>
      </c>
      <c r="K607" s="1">
        <f t="shared" si="113"/>
        <v>3.0657218350181402E+17</v>
      </c>
      <c r="L607" s="1">
        <f t="shared" si="114"/>
        <v>1.2089163102754864E+17</v>
      </c>
      <c r="M607" s="3">
        <f t="shared" si="115"/>
        <v>44304296.105395444</v>
      </c>
      <c r="N607" s="7">
        <f t="shared" si="120"/>
        <v>1.2089163102754899E+17</v>
      </c>
      <c r="O607" s="7">
        <f t="shared" si="116"/>
        <v>44304296</v>
      </c>
      <c r="P607" s="3">
        <f>SUM($O$4:O607)</f>
        <v>2479945849</v>
      </c>
      <c r="Y607" s="3">
        <f t="shared" si="117"/>
        <v>604</v>
      </c>
      <c r="Z607" s="3">
        <f t="shared" si="118"/>
        <v>3796414092592740</v>
      </c>
      <c r="AA607" s="7"/>
      <c r="AB607" s="7">
        <f t="shared" si="119"/>
        <v>13040</v>
      </c>
    </row>
    <row r="608" spans="6:28" x14ac:dyDescent="0.15">
      <c r="F608">
        <f t="shared" si="109"/>
        <v>87</v>
      </c>
      <c r="G608">
        <v>605</v>
      </c>
      <c r="H608">
        <f t="shared" si="110"/>
        <v>3.0657218350181357E+17</v>
      </c>
      <c r="I608">
        <f t="shared" si="111"/>
        <v>3.0657218350181402E+17</v>
      </c>
      <c r="J608" s="1">
        <f t="shared" si="112"/>
        <v>1</v>
      </c>
      <c r="K608" s="1">
        <f t="shared" si="113"/>
        <v>3.0657218350181402E+17</v>
      </c>
      <c r="L608" s="1">
        <f t="shared" si="114"/>
        <v>1.2089163102754864E+17</v>
      </c>
      <c r="M608" s="3">
        <f t="shared" si="115"/>
        <v>44304296.105395444</v>
      </c>
      <c r="N608" s="7">
        <f t="shared" si="120"/>
        <v>1.2089163102754899E+17</v>
      </c>
      <c r="O608" s="7">
        <f t="shared" si="116"/>
        <v>44304296</v>
      </c>
      <c r="P608" s="3">
        <f>SUM($O$4:O608)</f>
        <v>2524250145</v>
      </c>
      <c r="Y608" s="3">
        <f t="shared" si="117"/>
        <v>605</v>
      </c>
      <c r="Z608" s="3">
        <f t="shared" si="118"/>
        <v>3992834523707850</v>
      </c>
      <c r="AA608" s="7"/>
      <c r="AB608" s="7">
        <f t="shared" si="119"/>
        <v>13040</v>
      </c>
    </row>
    <row r="609" spans="6:28" x14ac:dyDescent="0.15">
      <c r="F609">
        <f t="shared" si="109"/>
        <v>87</v>
      </c>
      <c r="G609">
        <v>606</v>
      </c>
      <c r="H609">
        <f t="shared" si="110"/>
        <v>3.0657218350181357E+17</v>
      </c>
      <c r="I609">
        <f t="shared" si="111"/>
        <v>3.0657218350181402E+17</v>
      </c>
      <c r="J609" s="1">
        <f t="shared" si="112"/>
        <v>1</v>
      </c>
      <c r="K609" s="1">
        <f t="shared" si="113"/>
        <v>3.0657218350181402E+17</v>
      </c>
      <c r="L609" s="1">
        <f t="shared" si="114"/>
        <v>1.2089163102754864E+17</v>
      </c>
      <c r="M609" s="3">
        <f t="shared" si="115"/>
        <v>44304296.105395444</v>
      </c>
      <c r="N609" s="7">
        <f t="shared" si="120"/>
        <v>1.2089163102754899E+17</v>
      </c>
      <c r="O609" s="7">
        <f t="shared" si="116"/>
        <v>44304296</v>
      </c>
      <c r="P609" s="3">
        <f>SUM($O$4:O609)</f>
        <v>2568554441</v>
      </c>
      <c r="Y609" s="3">
        <f t="shared" si="117"/>
        <v>606</v>
      </c>
      <c r="Z609" s="3">
        <f t="shared" si="118"/>
        <v>4199405962702980</v>
      </c>
      <c r="AA609" s="7"/>
      <c r="AB609" s="7">
        <f t="shared" si="119"/>
        <v>13040</v>
      </c>
    </row>
    <row r="610" spans="6:28" x14ac:dyDescent="0.15">
      <c r="F610">
        <f t="shared" si="109"/>
        <v>87</v>
      </c>
      <c r="G610">
        <v>607</v>
      </c>
      <c r="H610">
        <f t="shared" si="110"/>
        <v>3.0657218350181357E+17</v>
      </c>
      <c r="I610">
        <f t="shared" si="111"/>
        <v>3.0657218350181402E+17</v>
      </c>
      <c r="J610" s="1">
        <f t="shared" si="112"/>
        <v>1</v>
      </c>
      <c r="K610" s="1">
        <f t="shared" si="113"/>
        <v>3.0657218350181402E+17</v>
      </c>
      <c r="L610" s="1">
        <f t="shared" si="114"/>
        <v>1.2089163102754864E+17</v>
      </c>
      <c r="M610" s="3">
        <f t="shared" si="115"/>
        <v>44304296.105395444</v>
      </c>
      <c r="N610" s="7">
        <f t="shared" si="120"/>
        <v>1.2089163102754899E+17</v>
      </c>
      <c r="O610" s="7">
        <f t="shared" si="116"/>
        <v>44304296</v>
      </c>
      <c r="P610" s="3">
        <f>SUM($O$4:O610)</f>
        <v>2612858737</v>
      </c>
      <c r="Y610" s="3">
        <f t="shared" si="117"/>
        <v>607</v>
      </c>
      <c r="Z610" s="3">
        <f t="shared" si="118"/>
        <v>4416652459288360</v>
      </c>
      <c r="AA610" s="7"/>
      <c r="AB610" s="7">
        <f t="shared" si="119"/>
        <v>13040</v>
      </c>
    </row>
    <row r="611" spans="6:28" x14ac:dyDescent="0.15">
      <c r="F611">
        <f t="shared" si="109"/>
        <v>87</v>
      </c>
      <c r="G611">
        <v>608</v>
      </c>
      <c r="H611">
        <f t="shared" si="110"/>
        <v>3.0657218350181357E+17</v>
      </c>
      <c r="I611">
        <f t="shared" si="111"/>
        <v>3.0657218350181402E+17</v>
      </c>
      <c r="J611" s="1">
        <f t="shared" si="112"/>
        <v>1</v>
      </c>
      <c r="K611" s="1">
        <f t="shared" si="113"/>
        <v>3.0657218350181402E+17</v>
      </c>
      <c r="L611" s="1">
        <f t="shared" si="114"/>
        <v>1.2089163102754864E+17</v>
      </c>
      <c r="M611" s="3">
        <f t="shared" si="115"/>
        <v>44304296.105395444</v>
      </c>
      <c r="N611" s="7">
        <f t="shared" si="120"/>
        <v>1.2089163102754899E+17</v>
      </c>
      <c r="O611" s="7">
        <f t="shared" si="116"/>
        <v>44304296</v>
      </c>
      <c r="P611" s="3">
        <f>SUM($O$4:O611)</f>
        <v>2657163033</v>
      </c>
      <c r="Y611" s="3">
        <f t="shared" si="117"/>
        <v>608</v>
      </c>
      <c r="Z611" s="3">
        <f t="shared" si="118"/>
        <v>4645125090625510</v>
      </c>
      <c r="AA611" s="7"/>
      <c r="AB611" s="7">
        <f t="shared" si="119"/>
        <v>13040</v>
      </c>
    </row>
    <row r="612" spans="6:28" x14ac:dyDescent="0.15">
      <c r="F612">
        <f t="shared" si="109"/>
        <v>87</v>
      </c>
      <c r="G612">
        <v>609</v>
      </c>
      <c r="H612">
        <f t="shared" si="110"/>
        <v>3.0657218350181357E+17</v>
      </c>
      <c r="I612">
        <f t="shared" si="111"/>
        <v>3.0657218350181402E+17</v>
      </c>
      <c r="J612" s="1">
        <f t="shared" si="112"/>
        <v>4</v>
      </c>
      <c r="K612" s="1">
        <f t="shared" si="113"/>
        <v>1.2262887340072561E+18</v>
      </c>
      <c r="L612" s="1">
        <f t="shared" si="114"/>
        <v>4.8356652411019456E+17</v>
      </c>
      <c r="M612" s="3">
        <f t="shared" si="115"/>
        <v>177217184.42158177</v>
      </c>
      <c r="N612" s="7">
        <f t="shared" si="120"/>
        <v>4.8356652411019501E+17</v>
      </c>
      <c r="O612" s="7">
        <f t="shared" si="116"/>
        <v>177217184</v>
      </c>
      <c r="P612" s="3">
        <f>SUM($O$4:O612)</f>
        <v>2834380217</v>
      </c>
      <c r="Y612" s="3">
        <f t="shared" si="117"/>
        <v>609</v>
      </c>
      <c r="Z612" s="3">
        <f t="shared" si="118"/>
        <v>4885403353948170</v>
      </c>
      <c r="AA612" s="7"/>
      <c r="AB612" s="7">
        <f t="shared" si="119"/>
        <v>13040</v>
      </c>
    </row>
    <row r="613" spans="6:28" x14ac:dyDescent="0.15">
      <c r="F613">
        <f t="shared" si="109"/>
        <v>88</v>
      </c>
      <c r="G613">
        <v>610</v>
      </c>
      <c r="H613">
        <f t="shared" si="110"/>
        <v>4.8131832809784736E+17</v>
      </c>
      <c r="I613">
        <f t="shared" si="111"/>
        <v>4.8131832809784698E+17</v>
      </c>
      <c r="J613" s="1">
        <f t="shared" si="112"/>
        <v>1</v>
      </c>
      <c r="K613" s="1">
        <f t="shared" si="113"/>
        <v>4.8131832809784698E+17</v>
      </c>
      <c r="L613" s="1">
        <f t="shared" si="114"/>
        <v>1.9124381569754454E+17</v>
      </c>
      <c r="M613" s="3">
        <f t="shared" si="115"/>
        <v>53913018.989193767</v>
      </c>
      <c r="N613" s="7">
        <f t="shared" si="120"/>
        <v>1.9124381569754499E+17</v>
      </c>
      <c r="O613" s="7">
        <f t="shared" si="116"/>
        <v>53913018</v>
      </c>
      <c r="P613" s="3">
        <f>SUM($O$4:O613)</f>
        <v>2888293235</v>
      </c>
      <c r="Y613" s="3">
        <f t="shared" si="117"/>
        <v>610</v>
      </c>
      <c r="Z613" s="3">
        <f t="shared" si="118"/>
        <v>5138096630876520</v>
      </c>
      <c r="AA613" s="7"/>
      <c r="AB613" s="7">
        <f t="shared" si="119"/>
        <v>13040</v>
      </c>
    </row>
    <row r="614" spans="6:28" x14ac:dyDescent="0.15">
      <c r="F614">
        <f t="shared" si="109"/>
        <v>88</v>
      </c>
      <c r="G614">
        <v>611</v>
      </c>
      <c r="H614">
        <f t="shared" si="110"/>
        <v>4.8131832809784736E+17</v>
      </c>
      <c r="I614">
        <f t="shared" si="111"/>
        <v>4.8131832809784698E+17</v>
      </c>
      <c r="J614" s="1">
        <f t="shared" si="112"/>
        <v>1</v>
      </c>
      <c r="K614" s="1">
        <f t="shared" si="113"/>
        <v>4.8131832809784698E+17</v>
      </c>
      <c r="L614" s="1">
        <f t="shared" si="114"/>
        <v>1.9124381569754454E+17</v>
      </c>
      <c r="M614" s="3">
        <f t="shared" si="115"/>
        <v>53913018.989193767</v>
      </c>
      <c r="N614" s="7">
        <f t="shared" si="120"/>
        <v>1.9124381569754499E+17</v>
      </c>
      <c r="O614" s="7">
        <f t="shared" si="116"/>
        <v>53913018</v>
      </c>
      <c r="P614" s="3">
        <f>SUM($O$4:O614)</f>
        <v>2942206253</v>
      </c>
      <c r="Y614" s="3">
        <f t="shared" si="117"/>
        <v>611</v>
      </c>
      <c r="Z614" s="3">
        <f t="shared" si="118"/>
        <v>5403845727112840</v>
      </c>
      <c r="AA614" s="7"/>
      <c r="AB614" s="7">
        <f t="shared" si="119"/>
        <v>13040</v>
      </c>
    </row>
    <row r="615" spans="6:28" x14ac:dyDescent="0.15">
      <c r="F615">
        <f t="shared" si="109"/>
        <v>88</v>
      </c>
      <c r="G615">
        <v>612</v>
      </c>
      <c r="H615">
        <f t="shared" si="110"/>
        <v>4.8131832809784736E+17</v>
      </c>
      <c r="I615">
        <f t="shared" si="111"/>
        <v>4.8131832809784698E+17</v>
      </c>
      <c r="J615" s="1">
        <f t="shared" si="112"/>
        <v>1</v>
      </c>
      <c r="K615" s="1">
        <f t="shared" si="113"/>
        <v>4.8131832809784698E+17</v>
      </c>
      <c r="L615" s="1">
        <f t="shared" si="114"/>
        <v>1.9124381569754454E+17</v>
      </c>
      <c r="M615" s="3">
        <f t="shared" si="115"/>
        <v>53913018.989193767</v>
      </c>
      <c r="N615" s="7">
        <f t="shared" si="120"/>
        <v>1.9124381569754499E+17</v>
      </c>
      <c r="O615" s="7">
        <f t="shared" si="116"/>
        <v>53913018</v>
      </c>
      <c r="P615" s="3">
        <f>SUM($O$4:O615)</f>
        <v>2996119271</v>
      </c>
      <c r="Y615" s="3">
        <f t="shared" si="117"/>
        <v>612</v>
      </c>
      <c r="Z615" s="3">
        <f t="shared" si="118"/>
        <v>5683324491395600</v>
      </c>
      <c r="AA615" s="7"/>
      <c r="AB615" s="7">
        <f t="shared" si="119"/>
        <v>13040</v>
      </c>
    </row>
    <row r="616" spans="6:28" x14ac:dyDescent="0.15">
      <c r="F616">
        <f t="shared" si="109"/>
        <v>88</v>
      </c>
      <c r="G616">
        <v>613</v>
      </c>
      <c r="H616">
        <f t="shared" si="110"/>
        <v>4.8131832809784736E+17</v>
      </c>
      <c r="I616">
        <f t="shared" si="111"/>
        <v>4.8131832809784698E+17</v>
      </c>
      <c r="J616" s="1">
        <f t="shared" si="112"/>
        <v>1</v>
      </c>
      <c r="K616" s="1">
        <f t="shared" si="113"/>
        <v>4.8131832809784698E+17</v>
      </c>
      <c r="L616" s="1">
        <f t="shared" si="114"/>
        <v>1.9124381569754454E+17</v>
      </c>
      <c r="M616" s="3">
        <f t="shared" si="115"/>
        <v>53913018.989193767</v>
      </c>
      <c r="N616" s="7">
        <f t="shared" si="120"/>
        <v>1.9124381569754499E+17</v>
      </c>
      <c r="O616" s="7">
        <f t="shared" si="116"/>
        <v>53913018</v>
      </c>
      <c r="P616" s="3">
        <f>SUM($O$4:O616)</f>
        <v>3050032289</v>
      </c>
      <c r="Y616" s="3">
        <f t="shared" si="117"/>
        <v>613</v>
      </c>
      <c r="Z616" s="3">
        <f t="shared" si="118"/>
        <v>5977241517788850</v>
      </c>
      <c r="AA616" s="7"/>
      <c r="AB616" s="7">
        <f t="shared" si="119"/>
        <v>13040</v>
      </c>
    </row>
    <row r="617" spans="6:28" x14ac:dyDescent="0.15">
      <c r="F617">
        <f t="shared" si="109"/>
        <v>88</v>
      </c>
      <c r="G617">
        <v>614</v>
      </c>
      <c r="H617">
        <f t="shared" si="110"/>
        <v>4.8131832809784736E+17</v>
      </c>
      <c r="I617">
        <f t="shared" si="111"/>
        <v>4.8131832809784698E+17</v>
      </c>
      <c r="J617" s="1">
        <f t="shared" si="112"/>
        <v>1</v>
      </c>
      <c r="K617" s="1">
        <f t="shared" si="113"/>
        <v>4.8131832809784698E+17</v>
      </c>
      <c r="L617" s="1">
        <f t="shared" si="114"/>
        <v>1.9124381569754454E+17</v>
      </c>
      <c r="M617" s="3">
        <f t="shared" si="115"/>
        <v>53913018.989193767</v>
      </c>
      <c r="N617" s="7">
        <f t="shared" si="120"/>
        <v>1.9124381569754499E+17</v>
      </c>
      <c r="O617" s="7">
        <f t="shared" si="116"/>
        <v>53913018</v>
      </c>
      <c r="P617" s="3">
        <f>SUM($O$4:O617)</f>
        <v>3103945307</v>
      </c>
      <c r="Y617" s="3">
        <f t="shared" si="117"/>
        <v>614</v>
      </c>
      <c r="Z617" s="3">
        <f t="shared" si="118"/>
        <v>6286341935592940</v>
      </c>
      <c r="AA617" s="7"/>
      <c r="AB617" s="7">
        <f t="shared" si="119"/>
        <v>13040</v>
      </c>
    </row>
    <row r="618" spans="6:28" x14ac:dyDescent="0.15">
      <c r="F618">
        <f t="shared" si="109"/>
        <v>88</v>
      </c>
      <c r="G618">
        <v>615</v>
      </c>
      <c r="H618">
        <f t="shared" si="110"/>
        <v>4.8131832809784736E+17</v>
      </c>
      <c r="I618">
        <f t="shared" si="111"/>
        <v>4.8131832809784698E+17</v>
      </c>
      <c r="J618" s="1">
        <f t="shared" si="112"/>
        <v>1</v>
      </c>
      <c r="K618" s="1">
        <f t="shared" si="113"/>
        <v>4.8131832809784698E+17</v>
      </c>
      <c r="L618" s="1">
        <f t="shared" si="114"/>
        <v>1.9124381569754454E+17</v>
      </c>
      <c r="M618" s="3">
        <f t="shared" si="115"/>
        <v>53913018.989193767</v>
      </c>
      <c r="N618" s="7">
        <f t="shared" si="120"/>
        <v>1.9124381569754499E+17</v>
      </c>
      <c r="O618" s="7">
        <f t="shared" si="116"/>
        <v>53913018</v>
      </c>
      <c r="P618" s="3">
        <f>SUM($O$4:O618)</f>
        <v>3157858325</v>
      </c>
      <c r="Y618" s="3">
        <f t="shared" si="117"/>
        <v>615</v>
      </c>
      <c r="Z618" s="3">
        <f t="shared" si="118"/>
        <v>6611409291382960</v>
      </c>
      <c r="AA618" s="7"/>
      <c r="AB618" s="7">
        <f t="shared" si="119"/>
        <v>13040</v>
      </c>
    </row>
    <row r="619" spans="6:28" x14ac:dyDescent="0.15">
      <c r="F619">
        <f t="shared" si="109"/>
        <v>88</v>
      </c>
      <c r="G619">
        <v>616</v>
      </c>
      <c r="H619">
        <f t="shared" si="110"/>
        <v>4.8131832809784736E+17</v>
      </c>
      <c r="I619">
        <f t="shared" si="111"/>
        <v>4.8131832809784698E+17</v>
      </c>
      <c r="J619" s="1">
        <f t="shared" si="112"/>
        <v>6</v>
      </c>
      <c r="K619" s="1">
        <f t="shared" si="113"/>
        <v>2.8879099685870817E+18</v>
      </c>
      <c r="L619" s="1">
        <f t="shared" si="114"/>
        <v>1.1474628941852672E+18</v>
      </c>
      <c r="M619" s="3">
        <f t="shared" si="115"/>
        <v>323478113.9351626</v>
      </c>
      <c r="N619" s="7">
        <f t="shared" si="120"/>
        <v>1.14746289418527E+18</v>
      </c>
      <c r="O619" s="7">
        <f t="shared" si="116"/>
        <v>323478113</v>
      </c>
      <c r="P619" s="3">
        <f>SUM($O$4:O619)</f>
        <v>3481336438</v>
      </c>
      <c r="Y619" s="3">
        <f t="shared" si="117"/>
        <v>616</v>
      </c>
      <c r="Z619" s="3">
        <f t="shared" si="118"/>
        <v>6953267527913010</v>
      </c>
      <c r="AA619" s="7"/>
      <c r="AB619" s="7">
        <f t="shared" si="119"/>
        <v>13040</v>
      </c>
    </row>
    <row r="620" spans="6:28" x14ac:dyDescent="0.15">
      <c r="F620">
        <f t="shared" si="109"/>
        <v>89</v>
      </c>
      <c r="G620">
        <v>617</v>
      </c>
      <c r="H620">
        <f t="shared" si="110"/>
        <v>7.5566977511362035E+17</v>
      </c>
      <c r="I620">
        <f t="shared" si="111"/>
        <v>7.5566977511361997E+17</v>
      </c>
      <c r="J620" s="1">
        <f t="shared" si="112"/>
        <v>1</v>
      </c>
      <c r="K620" s="1">
        <f t="shared" si="113"/>
        <v>7.5566977511361997E+17</v>
      </c>
      <c r="L620" s="1">
        <f t="shared" si="114"/>
        <v>3.0251979997048589E+17</v>
      </c>
      <c r="M620" s="3">
        <f t="shared" si="115"/>
        <v>65601943.221124232</v>
      </c>
      <c r="N620" s="7">
        <f t="shared" si="120"/>
        <v>3.0251979997048602E+17</v>
      </c>
      <c r="O620" s="7">
        <f t="shared" si="116"/>
        <v>65601943</v>
      </c>
      <c r="P620" s="3">
        <f>SUM($O$4:O620)</f>
        <v>3546938381</v>
      </c>
      <c r="Y620" s="3">
        <f t="shared" si="117"/>
        <v>617</v>
      </c>
      <c r="Z620" s="3">
        <f t="shared" si="118"/>
        <v>7312783064867600</v>
      </c>
      <c r="AA620" s="7"/>
      <c r="AB620" s="7">
        <f t="shared" si="119"/>
        <v>13040</v>
      </c>
    </row>
    <row r="621" spans="6:28" x14ac:dyDescent="0.15">
      <c r="F621">
        <f t="shared" si="109"/>
        <v>89</v>
      </c>
      <c r="G621">
        <v>618</v>
      </c>
      <c r="H621">
        <f t="shared" si="110"/>
        <v>7.5566977511362035E+17</v>
      </c>
      <c r="I621">
        <f t="shared" si="111"/>
        <v>7.5566977511361997E+17</v>
      </c>
      <c r="J621" s="1">
        <f t="shared" si="112"/>
        <v>1</v>
      </c>
      <c r="K621" s="1">
        <f t="shared" si="113"/>
        <v>7.5566977511361997E+17</v>
      </c>
      <c r="L621" s="1">
        <f t="shared" si="114"/>
        <v>3.0251979997048589E+17</v>
      </c>
      <c r="M621" s="3">
        <f t="shared" si="115"/>
        <v>65601943.221124232</v>
      </c>
      <c r="N621" s="7">
        <f t="shared" si="120"/>
        <v>3.0251979997048602E+17</v>
      </c>
      <c r="O621" s="7">
        <f t="shared" si="116"/>
        <v>65601943</v>
      </c>
      <c r="P621" s="3">
        <f>SUM($O$4:O621)</f>
        <v>3612540324</v>
      </c>
      <c r="Y621" s="3">
        <f t="shared" si="117"/>
        <v>618</v>
      </c>
      <c r="Z621" s="3">
        <f t="shared" si="118"/>
        <v>7690866986697870</v>
      </c>
      <c r="AA621" s="7"/>
      <c r="AB621" s="7">
        <f t="shared" si="119"/>
        <v>13040</v>
      </c>
    </row>
    <row r="622" spans="6:28" x14ac:dyDescent="0.15">
      <c r="F622">
        <f t="shared" si="109"/>
        <v>89</v>
      </c>
      <c r="G622">
        <v>619</v>
      </c>
      <c r="H622">
        <f t="shared" si="110"/>
        <v>7.5566977511362035E+17</v>
      </c>
      <c r="I622">
        <f t="shared" si="111"/>
        <v>7.5566977511361997E+17</v>
      </c>
      <c r="J622" s="1">
        <f t="shared" si="112"/>
        <v>1</v>
      </c>
      <c r="K622" s="1">
        <f t="shared" si="113"/>
        <v>7.5566977511361997E+17</v>
      </c>
      <c r="L622" s="1">
        <f t="shared" si="114"/>
        <v>3.0251979997048589E+17</v>
      </c>
      <c r="M622" s="3">
        <f t="shared" si="115"/>
        <v>65601943.221124232</v>
      </c>
      <c r="N622" s="7">
        <f t="shared" si="120"/>
        <v>3.0251979997048602E+17</v>
      </c>
      <c r="O622" s="7">
        <f t="shared" si="116"/>
        <v>65601943</v>
      </c>
      <c r="P622" s="3">
        <f>SUM($O$4:O622)</f>
        <v>3678142267</v>
      </c>
      <c r="Y622" s="3">
        <f t="shared" si="117"/>
        <v>619</v>
      </c>
      <c r="Z622" s="3">
        <f t="shared" si="118"/>
        <v>8088477343049000</v>
      </c>
      <c r="AA622" s="7"/>
      <c r="AB622" s="7">
        <f t="shared" si="119"/>
        <v>13040</v>
      </c>
    </row>
    <row r="623" spans="6:28" x14ac:dyDescent="0.15">
      <c r="F623">
        <f t="shared" si="109"/>
        <v>89</v>
      </c>
      <c r="G623">
        <v>620</v>
      </c>
      <c r="H623">
        <f t="shared" si="110"/>
        <v>7.5566977511362035E+17</v>
      </c>
      <c r="I623">
        <f t="shared" si="111"/>
        <v>7.5566977511361997E+17</v>
      </c>
      <c r="J623" s="1">
        <f t="shared" si="112"/>
        <v>1</v>
      </c>
      <c r="K623" s="1">
        <f t="shared" si="113"/>
        <v>7.5566977511361997E+17</v>
      </c>
      <c r="L623" s="1">
        <f t="shared" si="114"/>
        <v>3.0251979997048589E+17</v>
      </c>
      <c r="M623" s="3">
        <f t="shared" si="115"/>
        <v>65601943.221124232</v>
      </c>
      <c r="N623" s="7">
        <f t="shared" si="120"/>
        <v>3.0251979997048602E+17</v>
      </c>
      <c r="O623" s="7">
        <f t="shared" si="116"/>
        <v>65601943</v>
      </c>
      <c r="P623" s="3">
        <f>SUM($O$4:O623)</f>
        <v>3743744210</v>
      </c>
      <c r="Y623" s="3">
        <f t="shared" si="117"/>
        <v>620</v>
      </c>
      <c r="Z623" s="3">
        <f t="shared" si="118"/>
        <v>8506621567568500</v>
      </c>
      <c r="AA623" s="7"/>
      <c r="AB623" s="7">
        <f t="shared" si="119"/>
        <v>13040</v>
      </c>
    </row>
    <row r="624" spans="6:28" x14ac:dyDescent="0.15">
      <c r="F624">
        <f t="shared" si="109"/>
        <v>89</v>
      </c>
      <c r="G624">
        <v>621</v>
      </c>
      <c r="H624">
        <f t="shared" si="110"/>
        <v>7.5566977511362035E+17</v>
      </c>
      <c r="I624">
        <f t="shared" si="111"/>
        <v>7.5566977511361997E+17</v>
      </c>
      <c r="J624" s="1">
        <f t="shared" si="112"/>
        <v>1</v>
      </c>
      <c r="K624" s="1">
        <f t="shared" si="113"/>
        <v>7.5566977511361997E+17</v>
      </c>
      <c r="L624" s="1">
        <f t="shared" si="114"/>
        <v>3.0251979997048589E+17</v>
      </c>
      <c r="M624" s="3">
        <f t="shared" si="115"/>
        <v>65601943.221124232</v>
      </c>
      <c r="N624" s="7">
        <f t="shared" si="120"/>
        <v>3.0251979997048602E+17</v>
      </c>
      <c r="O624" s="7">
        <f t="shared" si="116"/>
        <v>65601943</v>
      </c>
      <c r="P624" s="3">
        <f>SUM($O$4:O624)</f>
        <v>3809346153</v>
      </c>
      <c r="Y624" s="3">
        <f t="shared" si="117"/>
        <v>621</v>
      </c>
      <c r="Z624" s="3">
        <f t="shared" si="118"/>
        <v>8946359021182320</v>
      </c>
      <c r="AA624" s="7"/>
      <c r="AB624" s="7">
        <f t="shared" si="119"/>
        <v>13040</v>
      </c>
    </row>
    <row r="625" spans="6:28" x14ac:dyDescent="0.15">
      <c r="F625">
        <f t="shared" si="109"/>
        <v>89</v>
      </c>
      <c r="G625">
        <v>622</v>
      </c>
      <c r="H625">
        <f t="shared" si="110"/>
        <v>7.5566977511362035E+17</v>
      </c>
      <c r="I625">
        <f t="shared" si="111"/>
        <v>7.5566977511361997E+17</v>
      </c>
      <c r="J625" s="1">
        <f t="shared" si="112"/>
        <v>1</v>
      </c>
      <c r="K625" s="1">
        <f t="shared" si="113"/>
        <v>7.5566977511361997E+17</v>
      </c>
      <c r="L625" s="1">
        <f t="shared" si="114"/>
        <v>3.0251979997048589E+17</v>
      </c>
      <c r="M625" s="3">
        <f t="shared" si="115"/>
        <v>65601943.221124232</v>
      </c>
      <c r="N625" s="7">
        <f t="shared" si="120"/>
        <v>3.0251979997048602E+17</v>
      </c>
      <c r="O625" s="7">
        <f t="shared" si="116"/>
        <v>65601943</v>
      </c>
      <c r="P625" s="3">
        <f>SUM($O$4:O625)</f>
        <v>3874948096</v>
      </c>
      <c r="Y625" s="3">
        <f t="shared" si="117"/>
        <v>622</v>
      </c>
      <c r="Z625" s="3">
        <f t="shared" si="118"/>
        <v>9408803666238600</v>
      </c>
      <c r="AA625" s="7"/>
      <c r="AB625" s="7">
        <f t="shared" si="119"/>
        <v>13040</v>
      </c>
    </row>
    <row r="626" spans="6:28" x14ac:dyDescent="0.15">
      <c r="F626">
        <f t="shared" si="109"/>
        <v>89</v>
      </c>
      <c r="G626">
        <v>623</v>
      </c>
      <c r="H626">
        <f t="shared" si="110"/>
        <v>7.5566977511362035E+17</v>
      </c>
      <c r="I626">
        <f t="shared" si="111"/>
        <v>7.5566977511361997E+17</v>
      </c>
      <c r="J626" s="1">
        <f t="shared" si="112"/>
        <v>7</v>
      </c>
      <c r="K626" s="1">
        <f t="shared" si="113"/>
        <v>5.2896884257953403E+18</v>
      </c>
      <c r="L626" s="1">
        <f t="shared" si="114"/>
        <v>2.1176385997934016E+18</v>
      </c>
      <c r="M626" s="3">
        <f t="shared" si="115"/>
        <v>459213602.5478698</v>
      </c>
      <c r="N626" s="7">
        <f t="shared" si="120"/>
        <v>2.1176385997934001E+18</v>
      </c>
      <c r="O626" s="7">
        <f t="shared" si="116"/>
        <v>459213602</v>
      </c>
      <c r="P626" s="3">
        <f>SUM($O$4:O626)</f>
        <v>4334161698</v>
      </c>
      <c r="Y626" s="3">
        <f t="shared" si="117"/>
        <v>623</v>
      </c>
      <c r="Z626" s="3">
        <f t="shared" si="118"/>
        <v>9895126878247560</v>
      </c>
      <c r="AA626" s="7"/>
      <c r="AB626" s="7">
        <f t="shared" si="119"/>
        <v>13040</v>
      </c>
    </row>
    <row r="627" spans="6:28" x14ac:dyDescent="0.15">
      <c r="F627">
        <f t="shared" si="109"/>
        <v>90</v>
      </c>
      <c r="G627">
        <v>624</v>
      </c>
      <c r="H627">
        <f t="shared" si="110"/>
        <v>1.186401546928384E+18</v>
      </c>
      <c r="I627">
        <f t="shared" si="111"/>
        <v>1.1864015469283799E+18</v>
      </c>
      <c r="J627" s="1">
        <f t="shared" si="112"/>
        <v>1</v>
      </c>
      <c r="K627" s="1">
        <f t="shared" si="113"/>
        <v>1.1864015469283799E+18</v>
      </c>
      <c r="L627" s="1">
        <f t="shared" si="114"/>
        <v>4.7851529059444659E+17</v>
      </c>
      <c r="M627" s="3">
        <f t="shared" si="115"/>
        <v>79820669.658085793</v>
      </c>
      <c r="N627" s="7">
        <f t="shared" si="120"/>
        <v>4.7851529059444698E+17</v>
      </c>
      <c r="O627" s="7">
        <f t="shared" si="116"/>
        <v>79820669</v>
      </c>
      <c r="P627" s="3">
        <f>SUM($O$4:O627)</f>
        <v>4413982367</v>
      </c>
      <c r="Y627" s="3">
        <f t="shared" si="117"/>
        <v>624</v>
      </c>
      <c r="Z627" s="3">
        <f t="shared" si="118"/>
        <v>1.04065604022918E+16</v>
      </c>
      <c r="AA627" s="7"/>
      <c r="AB627" s="7">
        <f t="shared" si="119"/>
        <v>13040</v>
      </c>
    </row>
    <row r="628" spans="6:28" x14ac:dyDescent="0.15">
      <c r="F628">
        <f t="shared" si="109"/>
        <v>90</v>
      </c>
      <c r="G628">
        <v>625</v>
      </c>
      <c r="H628">
        <f t="shared" si="110"/>
        <v>1.186401546928384E+18</v>
      </c>
      <c r="I628">
        <f t="shared" si="111"/>
        <v>1.1864015469283799E+18</v>
      </c>
      <c r="J628" s="1">
        <f t="shared" si="112"/>
        <v>1</v>
      </c>
      <c r="K628" s="1">
        <f t="shared" si="113"/>
        <v>1.1864015469283799E+18</v>
      </c>
      <c r="L628" s="1">
        <f t="shared" si="114"/>
        <v>4.7851529059444659E+17</v>
      </c>
      <c r="M628" s="3">
        <f t="shared" si="115"/>
        <v>79820669.658085793</v>
      </c>
      <c r="N628" s="7">
        <f t="shared" si="120"/>
        <v>4.7851529059444698E+17</v>
      </c>
      <c r="O628" s="7">
        <f t="shared" si="116"/>
        <v>79820669</v>
      </c>
      <c r="P628" s="3">
        <f>SUM($O$4:O628)</f>
        <v>4493803036</v>
      </c>
      <c r="Y628" s="3">
        <f t="shared" si="117"/>
        <v>625</v>
      </c>
      <c r="Z628" s="3">
        <f t="shared" si="118"/>
        <v>1.09443994615449E+16</v>
      </c>
      <c r="AA628" s="7"/>
      <c r="AB628" s="7">
        <f t="shared" si="119"/>
        <v>13040</v>
      </c>
    </row>
    <row r="629" spans="6:28" x14ac:dyDescent="0.15">
      <c r="F629">
        <f t="shared" si="109"/>
        <v>90</v>
      </c>
      <c r="G629">
        <v>626</v>
      </c>
      <c r="H629">
        <f t="shared" si="110"/>
        <v>1.186401546928384E+18</v>
      </c>
      <c r="I629">
        <f t="shared" si="111"/>
        <v>1.1864015469283799E+18</v>
      </c>
      <c r="J629" s="1">
        <f t="shared" si="112"/>
        <v>1</v>
      </c>
      <c r="K629" s="1">
        <f t="shared" si="113"/>
        <v>1.1864015469283799E+18</v>
      </c>
      <c r="L629" s="1">
        <f t="shared" si="114"/>
        <v>4.7851529059444659E+17</v>
      </c>
      <c r="M629" s="3">
        <f t="shared" si="115"/>
        <v>79820669.658085793</v>
      </c>
      <c r="N629" s="7">
        <f t="shared" si="120"/>
        <v>4.7851529059444698E+17</v>
      </c>
      <c r="O629" s="7">
        <f t="shared" si="116"/>
        <v>79820669</v>
      </c>
      <c r="P629" s="3">
        <f>SUM($O$4:O629)</f>
        <v>4573623705</v>
      </c>
      <c r="Y629" s="3">
        <f t="shared" si="117"/>
        <v>626</v>
      </c>
      <c r="Z629" s="3">
        <f t="shared" si="118"/>
        <v>1.15100060257175E+16</v>
      </c>
      <c r="AA629" s="7"/>
      <c r="AB629" s="7">
        <f t="shared" si="119"/>
        <v>13040</v>
      </c>
    </row>
    <row r="630" spans="6:28" x14ac:dyDescent="0.15">
      <c r="F630">
        <f t="shared" si="109"/>
        <v>90</v>
      </c>
      <c r="G630">
        <v>627</v>
      </c>
      <c r="H630">
        <f t="shared" si="110"/>
        <v>1.186401546928384E+18</v>
      </c>
      <c r="I630">
        <f t="shared" si="111"/>
        <v>1.1864015469283799E+18</v>
      </c>
      <c r="J630" s="1">
        <f t="shared" si="112"/>
        <v>1</v>
      </c>
      <c r="K630" s="1">
        <f t="shared" si="113"/>
        <v>1.1864015469283799E+18</v>
      </c>
      <c r="L630" s="1">
        <f t="shared" si="114"/>
        <v>4.7851529059444659E+17</v>
      </c>
      <c r="M630" s="3">
        <f t="shared" si="115"/>
        <v>79820669.658085793</v>
      </c>
      <c r="N630" s="7">
        <f t="shared" si="120"/>
        <v>4.7851529059444698E+17</v>
      </c>
      <c r="O630" s="7">
        <f t="shared" si="116"/>
        <v>79820669</v>
      </c>
      <c r="P630" s="3">
        <f>SUM($O$4:O630)</f>
        <v>4653444374</v>
      </c>
      <c r="Y630" s="3">
        <f t="shared" si="117"/>
        <v>627</v>
      </c>
      <c r="Z630" s="3">
        <f t="shared" si="118"/>
        <v>1.21048122476536E+16</v>
      </c>
      <c r="AA630" s="7"/>
      <c r="AB630" s="7">
        <f t="shared" si="119"/>
        <v>13040</v>
      </c>
    </row>
    <row r="631" spans="6:28" x14ac:dyDescent="0.15">
      <c r="F631">
        <f t="shared" si="109"/>
        <v>90</v>
      </c>
      <c r="G631">
        <v>628</v>
      </c>
      <c r="H631">
        <f t="shared" si="110"/>
        <v>1.186401546928384E+18</v>
      </c>
      <c r="I631">
        <f t="shared" si="111"/>
        <v>1.1864015469283799E+18</v>
      </c>
      <c r="J631" s="1">
        <f t="shared" si="112"/>
        <v>1</v>
      </c>
      <c r="K631" s="1">
        <f t="shared" si="113"/>
        <v>1.1864015469283799E+18</v>
      </c>
      <c r="L631" s="1">
        <f t="shared" si="114"/>
        <v>4.7851529059444659E+17</v>
      </c>
      <c r="M631" s="3">
        <f t="shared" si="115"/>
        <v>79820669.658085793</v>
      </c>
      <c r="N631" s="7">
        <f t="shared" si="120"/>
        <v>4.7851529059444698E+17</v>
      </c>
      <c r="O631" s="7">
        <f t="shared" si="116"/>
        <v>79820669</v>
      </c>
      <c r="P631" s="3">
        <f>SUM($O$4:O631)</f>
        <v>4733265043</v>
      </c>
      <c r="Y631" s="3">
        <f t="shared" si="117"/>
        <v>628</v>
      </c>
      <c r="Z631" s="3">
        <f t="shared" si="118"/>
        <v>1.27303240767189E+16</v>
      </c>
      <c r="AA631" s="7"/>
      <c r="AB631" s="7">
        <f t="shared" si="119"/>
        <v>13040</v>
      </c>
    </row>
    <row r="632" spans="6:28" x14ac:dyDescent="0.15">
      <c r="F632">
        <f t="shared" si="109"/>
        <v>90</v>
      </c>
      <c r="G632">
        <v>629</v>
      </c>
      <c r="H632">
        <f t="shared" si="110"/>
        <v>1.186401546928384E+18</v>
      </c>
      <c r="I632">
        <f t="shared" si="111"/>
        <v>1.1864015469283799E+18</v>
      </c>
      <c r="J632" s="1">
        <f t="shared" si="112"/>
        <v>1</v>
      </c>
      <c r="K632" s="1">
        <f t="shared" si="113"/>
        <v>1.1864015469283799E+18</v>
      </c>
      <c r="L632" s="1">
        <f t="shared" si="114"/>
        <v>4.7851529059444659E+17</v>
      </c>
      <c r="M632" s="3">
        <f t="shared" si="115"/>
        <v>79820669.658085793</v>
      </c>
      <c r="N632" s="7">
        <f t="shared" si="120"/>
        <v>4.7851529059444698E+17</v>
      </c>
      <c r="O632" s="7">
        <f t="shared" si="116"/>
        <v>79820669</v>
      </c>
      <c r="P632" s="3">
        <f>SUM($O$4:O632)</f>
        <v>4813085712</v>
      </c>
      <c r="Y632" s="3">
        <f t="shared" si="117"/>
        <v>629</v>
      </c>
      <c r="Z632" s="3">
        <f t="shared" si="118"/>
        <v>1.33881250580717E+16</v>
      </c>
      <c r="AA632" s="7"/>
      <c r="AB632" s="7">
        <f t="shared" si="119"/>
        <v>13040</v>
      </c>
    </row>
    <row r="633" spans="6:28" x14ac:dyDescent="0.15">
      <c r="F633">
        <f t="shared" si="109"/>
        <v>90</v>
      </c>
      <c r="G633">
        <v>630</v>
      </c>
      <c r="H633">
        <f t="shared" si="110"/>
        <v>1.186401546928384E+18</v>
      </c>
      <c r="I633">
        <f t="shared" si="111"/>
        <v>1.1864015469283799E+18</v>
      </c>
      <c r="J633" s="1">
        <f t="shared" si="112"/>
        <v>10</v>
      </c>
      <c r="K633" s="1">
        <f t="shared" si="113"/>
        <v>1.1864015469283799E+19</v>
      </c>
      <c r="L633" s="1">
        <f t="shared" si="114"/>
        <v>4.7851529059444654E+18</v>
      </c>
      <c r="M633" s="3">
        <f t="shared" si="115"/>
        <v>798206696.58085787</v>
      </c>
      <c r="N633" s="7">
        <f t="shared" si="120"/>
        <v>4.7851529059444695E+18</v>
      </c>
      <c r="O633" s="7">
        <f t="shared" si="116"/>
        <v>798206696</v>
      </c>
      <c r="P633" s="3">
        <f>SUM($O$4:O633)</f>
        <v>5611292408</v>
      </c>
      <c r="Y633" s="3">
        <f t="shared" si="117"/>
        <v>630</v>
      </c>
      <c r="Z633" s="3">
        <f t="shared" si="118"/>
        <v>1.40798803273679E+16</v>
      </c>
      <c r="AA633" s="7"/>
      <c r="AB633" s="7">
        <f t="shared" si="119"/>
        <v>13040</v>
      </c>
    </row>
    <row r="634" spans="6:28" x14ac:dyDescent="0.15">
      <c r="F634">
        <f t="shared" si="109"/>
        <v>91</v>
      </c>
      <c r="G634">
        <v>631</v>
      </c>
      <c r="H634">
        <f t="shared" si="110"/>
        <v>1.8626504286775631E+18</v>
      </c>
      <c r="I634">
        <f t="shared" si="111"/>
        <v>1.8626504286775601E+18</v>
      </c>
      <c r="J634" s="1">
        <f t="shared" si="112"/>
        <v>1</v>
      </c>
      <c r="K634" s="1">
        <f t="shared" si="113"/>
        <v>1.8626504286775601E+18</v>
      </c>
      <c r="L634" s="1">
        <f t="shared" si="114"/>
        <v>7.5685695751931533E+17</v>
      </c>
      <c r="M634" s="3">
        <f t="shared" si="115"/>
        <v>97115824.673702866</v>
      </c>
      <c r="N634" s="7">
        <f t="shared" si="120"/>
        <v>7.5685695751931494E+17</v>
      </c>
      <c r="O634" s="7">
        <f t="shared" si="116"/>
        <v>97115824</v>
      </c>
      <c r="P634" s="3">
        <f>SUM($O$4:O634)</f>
        <v>5708408232</v>
      </c>
      <c r="Y634" s="3">
        <f t="shared" si="117"/>
        <v>631</v>
      </c>
      <c r="Z634" s="3">
        <f t="shared" si="118"/>
        <v>1.48073408109486E+16</v>
      </c>
      <c r="AA634" s="7"/>
      <c r="AB634" s="7">
        <f t="shared" si="119"/>
        <v>13040</v>
      </c>
    </row>
    <row r="635" spans="6:28" x14ac:dyDescent="0.15">
      <c r="F635">
        <f t="shared" si="109"/>
        <v>91</v>
      </c>
      <c r="G635">
        <v>632</v>
      </c>
      <c r="H635">
        <f t="shared" si="110"/>
        <v>1.8626504286775631E+18</v>
      </c>
      <c r="I635">
        <f t="shared" si="111"/>
        <v>1.8626504286775601E+18</v>
      </c>
      <c r="J635" s="1">
        <f t="shared" si="112"/>
        <v>1</v>
      </c>
      <c r="K635" s="1">
        <f t="shared" si="113"/>
        <v>1.8626504286775601E+18</v>
      </c>
      <c r="L635" s="1">
        <f t="shared" si="114"/>
        <v>7.5685695751931533E+17</v>
      </c>
      <c r="M635" s="3">
        <f t="shared" si="115"/>
        <v>97115824.673702866</v>
      </c>
      <c r="N635" s="7">
        <f t="shared" si="120"/>
        <v>7.5685695751931494E+17</v>
      </c>
      <c r="O635" s="7">
        <f t="shared" si="116"/>
        <v>97115824</v>
      </c>
      <c r="P635" s="3">
        <f>SUM($O$4:O635)</f>
        <v>5805524056</v>
      </c>
      <c r="Y635" s="3">
        <f t="shared" si="117"/>
        <v>632</v>
      </c>
      <c r="Z635" s="3">
        <f t="shared" si="118"/>
        <v>1.55723476420689E+16</v>
      </c>
      <c r="AA635" s="7"/>
      <c r="AB635" s="7">
        <f t="shared" si="119"/>
        <v>13040</v>
      </c>
    </row>
    <row r="636" spans="6:28" x14ac:dyDescent="0.15">
      <c r="F636">
        <f t="shared" si="109"/>
        <v>91</v>
      </c>
      <c r="G636">
        <v>633</v>
      </c>
      <c r="H636">
        <f t="shared" si="110"/>
        <v>1.8626504286775631E+18</v>
      </c>
      <c r="I636">
        <f t="shared" si="111"/>
        <v>1.8626504286775601E+18</v>
      </c>
      <c r="J636" s="1">
        <f t="shared" si="112"/>
        <v>1</v>
      </c>
      <c r="K636" s="1">
        <f t="shared" si="113"/>
        <v>1.8626504286775601E+18</v>
      </c>
      <c r="L636" s="1">
        <f t="shared" si="114"/>
        <v>7.5685695751931533E+17</v>
      </c>
      <c r="M636" s="3">
        <f t="shared" si="115"/>
        <v>97115824.673702866</v>
      </c>
      <c r="N636" s="7">
        <f t="shared" si="120"/>
        <v>7.5685695751931494E+17</v>
      </c>
      <c r="O636" s="7">
        <f t="shared" si="116"/>
        <v>97115824</v>
      </c>
      <c r="P636" s="3">
        <f>SUM($O$4:O636)</f>
        <v>5902639880</v>
      </c>
      <c r="Y636" s="3">
        <f t="shared" si="117"/>
        <v>633</v>
      </c>
      <c r="Z636" s="3">
        <f t="shared" si="118"/>
        <v>1.63768368042739E+16</v>
      </c>
      <c r="AA636" s="7"/>
      <c r="AB636" s="7">
        <f t="shared" si="119"/>
        <v>13040</v>
      </c>
    </row>
    <row r="637" spans="6:28" x14ac:dyDescent="0.15">
      <c r="F637">
        <f t="shared" si="109"/>
        <v>91</v>
      </c>
      <c r="G637">
        <v>634</v>
      </c>
      <c r="H637">
        <f t="shared" si="110"/>
        <v>1.8626504286775631E+18</v>
      </c>
      <c r="I637">
        <f t="shared" si="111"/>
        <v>1.8626504286775601E+18</v>
      </c>
      <c r="J637" s="1">
        <f t="shared" si="112"/>
        <v>1</v>
      </c>
      <c r="K637" s="1">
        <f t="shared" si="113"/>
        <v>1.8626504286775601E+18</v>
      </c>
      <c r="L637" s="1">
        <f t="shared" si="114"/>
        <v>7.5685695751931533E+17</v>
      </c>
      <c r="M637" s="3">
        <f t="shared" si="115"/>
        <v>97115824.673702866</v>
      </c>
      <c r="N637" s="7">
        <f t="shared" si="120"/>
        <v>7.5685695751931494E+17</v>
      </c>
      <c r="O637" s="7">
        <f t="shared" si="116"/>
        <v>97115824</v>
      </c>
      <c r="P637" s="3">
        <f>SUM($O$4:O637)</f>
        <v>5999755704</v>
      </c>
      <c r="Y637" s="3">
        <f t="shared" si="117"/>
        <v>634</v>
      </c>
      <c r="Z637" s="3">
        <f t="shared" si="118"/>
        <v>1.72228440135942E+16</v>
      </c>
      <c r="AA637" s="7"/>
      <c r="AB637" s="7">
        <f t="shared" si="119"/>
        <v>13040</v>
      </c>
    </row>
    <row r="638" spans="6:28" x14ac:dyDescent="0.15">
      <c r="F638">
        <f t="shared" si="109"/>
        <v>91</v>
      </c>
      <c r="G638">
        <v>635</v>
      </c>
      <c r="H638">
        <f t="shared" si="110"/>
        <v>1.8626504286775631E+18</v>
      </c>
      <c r="I638">
        <f t="shared" si="111"/>
        <v>1.8626504286775601E+18</v>
      </c>
      <c r="J638" s="1">
        <f t="shared" si="112"/>
        <v>1</v>
      </c>
      <c r="K638" s="1">
        <f t="shared" si="113"/>
        <v>1.8626504286775601E+18</v>
      </c>
      <c r="L638" s="1">
        <f t="shared" si="114"/>
        <v>7.5685695751931533E+17</v>
      </c>
      <c r="M638" s="3">
        <f t="shared" si="115"/>
        <v>97115824.673702866</v>
      </c>
      <c r="N638" s="7">
        <f t="shared" si="120"/>
        <v>7.5685695751931494E+17</v>
      </c>
      <c r="O638" s="7">
        <f t="shared" si="116"/>
        <v>97115824</v>
      </c>
      <c r="P638" s="3">
        <f>SUM($O$4:O638)</f>
        <v>6096871528</v>
      </c>
      <c r="Y638" s="3">
        <f t="shared" si="117"/>
        <v>635</v>
      </c>
      <c r="Z638" s="3">
        <f t="shared" si="118"/>
        <v>1.81125098518358E+16</v>
      </c>
      <c r="AA638" s="7"/>
      <c r="AB638" s="7">
        <f t="shared" si="119"/>
        <v>13040</v>
      </c>
    </row>
    <row r="639" spans="6:28" x14ac:dyDescent="0.15">
      <c r="F639">
        <f t="shared" si="109"/>
        <v>91</v>
      </c>
      <c r="G639">
        <v>636</v>
      </c>
      <c r="H639">
        <f t="shared" si="110"/>
        <v>1.8626504286775631E+18</v>
      </c>
      <c r="I639">
        <f t="shared" si="111"/>
        <v>1.8626504286775601E+18</v>
      </c>
      <c r="J639" s="1">
        <f t="shared" si="112"/>
        <v>1</v>
      </c>
      <c r="K639" s="1">
        <f t="shared" si="113"/>
        <v>1.8626504286775601E+18</v>
      </c>
      <c r="L639" s="1">
        <f t="shared" si="114"/>
        <v>7.5685695751931533E+17</v>
      </c>
      <c r="M639" s="3">
        <f t="shared" si="115"/>
        <v>97115824.673702866</v>
      </c>
      <c r="N639" s="7">
        <f t="shared" si="120"/>
        <v>7.5685695751931494E+17</v>
      </c>
      <c r="O639" s="7">
        <f t="shared" si="116"/>
        <v>97115824</v>
      </c>
      <c r="P639" s="3">
        <f>SUM($O$4:O639)</f>
        <v>6193987352</v>
      </c>
      <c r="Y639" s="3">
        <f t="shared" si="117"/>
        <v>636</v>
      </c>
      <c r="Z639" s="3">
        <f t="shared" si="118"/>
        <v>1.90480851638677E+16</v>
      </c>
      <c r="AA639" s="7"/>
      <c r="AB639" s="7">
        <f t="shared" si="119"/>
        <v>13040</v>
      </c>
    </row>
    <row r="640" spans="6:28" x14ac:dyDescent="0.15">
      <c r="F640">
        <f t="shared" si="109"/>
        <v>91</v>
      </c>
      <c r="G640">
        <v>637</v>
      </c>
      <c r="H640">
        <f t="shared" si="110"/>
        <v>1.8626504286775631E+18</v>
      </c>
      <c r="I640">
        <f t="shared" si="111"/>
        <v>1.8626504286775601E+18</v>
      </c>
      <c r="J640" s="1">
        <f t="shared" si="112"/>
        <v>2</v>
      </c>
      <c r="K640" s="1">
        <f t="shared" si="113"/>
        <v>3.7253008573551201E+18</v>
      </c>
      <c r="L640" s="1">
        <f t="shared" si="114"/>
        <v>1.5137139150386307E+18</v>
      </c>
      <c r="M640" s="3">
        <f t="shared" si="115"/>
        <v>194231649.34740573</v>
      </c>
      <c r="N640" s="7">
        <f t="shared" si="120"/>
        <v>1.5137139150386299E+18</v>
      </c>
      <c r="O640" s="7">
        <f t="shared" si="116"/>
        <v>194231649</v>
      </c>
      <c r="P640" s="3">
        <f>SUM($O$4:O640)</f>
        <v>6388219001</v>
      </c>
      <c r="Y640" s="3">
        <f t="shared" si="117"/>
        <v>637</v>
      </c>
      <c r="Z640" s="3">
        <f t="shared" si="118"/>
        <v>2.00319367324731E+16</v>
      </c>
      <c r="AA640" s="7"/>
      <c r="AB640" s="7">
        <f t="shared" si="119"/>
        <v>13040</v>
      </c>
    </row>
    <row r="641" spans="6:28" x14ac:dyDescent="0.15">
      <c r="F641">
        <f t="shared" si="109"/>
        <v>92</v>
      </c>
      <c r="G641">
        <v>638</v>
      </c>
      <c r="H641">
        <f t="shared" si="110"/>
        <v>2.9243611730237737E+18</v>
      </c>
      <c r="I641">
        <f t="shared" si="111"/>
        <v>2.9243611730237701E+18</v>
      </c>
      <c r="J641" s="1">
        <f t="shared" si="112"/>
        <v>1</v>
      </c>
      <c r="K641" s="1">
        <f t="shared" si="113"/>
        <v>2.9243611730237701E+18</v>
      </c>
      <c r="L641" s="1">
        <f t="shared" si="114"/>
        <v>1.1970385068243965E+18</v>
      </c>
      <c r="M641" s="3">
        <f t="shared" si="115"/>
        <v>118151969.04014149</v>
      </c>
      <c r="N641" s="7">
        <f t="shared" si="120"/>
        <v>1.1970385068243999E+18</v>
      </c>
      <c r="O641" s="7">
        <f t="shared" si="116"/>
        <v>118151969</v>
      </c>
      <c r="P641" s="3">
        <f>SUM($O$4:O641)</f>
        <v>6506370970</v>
      </c>
      <c r="Y641" s="3">
        <f t="shared" si="117"/>
        <v>638</v>
      </c>
      <c r="Z641" s="3">
        <f t="shared" si="118"/>
        <v>2.10665532450294E+16</v>
      </c>
      <c r="AA641" s="7"/>
      <c r="AB641" s="7">
        <f t="shared" si="119"/>
        <v>13040</v>
      </c>
    </row>
    <row r="642" spans="6:28" x14ac:dyDescent="0.15">
      <c r="F642">
        <f t="shared" si="109"/>
        <v>92</v>
      </c>
      <c r="G642">
        <v>639</v>
      </c>
      <c r="H642">
        <f t="shared" si="110"/>
        <v>2.9243611730237737E+18</v>
      </c>
      <c r="I642">
        <f t="shared" si="111"/>
        <v>2.9243611730237701E+18</v>
      </c>
      <c r="J642" s="1">
        <f t="shared" si="112"/>
        <v>1</v>
      </c>
      <c r="K642" s="1">
        <f t="shared" si="113"/>
        <v>2.9243611730237701E+18</v>
      </c>
      <c r="L642" s="1">
        <f t="shared" si="114"/>
        <v>1.1970385068243965E+18</v>
      </c>
      <c r="M642" s="3">
        <f t="shared" si="115"/>
        <v>118151969.04014149</v>
      </c>
      <c r="N642" s="7">
        <f t="shared" si="120"/>
        <v>1.1970385068243999E+18</v>
      </c>
      <c r="O642" s="7">
        <f t="shared" si="116"/>
        <v>118151969</v>
      </c>
      <c r="P642" s="3">
        <f>SUM($O$4:O642)</f>
        <v>6624522939</v>
      </c>
      <c r="Y642" s="3">
        <f t="shared" si="117"/>
        <v>639</v>
      </c>
      <c r="Z642" s="3">
        <f t="shared" si="118"/>
        <v>2.21545515670102E+16</v>
      </c>
      <c r="AA642" s="7"/>
      <c r="AB642" s="7">
        <f t="shared" si="119"/>
        <v>13040</v>
      </c>
    </row>
    <row r="643" spans="6:28" x14ac:dyDescent="0.15">
      <c r="F643">
        <f t="shared" si="109"/>
        <v>92</v>
      </c>
      <c r="G643">
        <v>640</v>
      </c>
      <c r="H643">
        <f t="shared" si="110"/>
        <v>2.9243611730237737E+18</v>
      </c>
      <c r="I643">
        <f t="shared" si="111"/>
        <v>2.9243611730237701E+18</v>
      </c>
      <c r="J643" s="1">
        <f t="shared" si="112"/>
        <v>1</v>
      </c>
      <c r="K643" s="1">
        <f t="shared" si="113"/>
        <v>2.9243611730237701E+18</v>
      </c>
      <c r="L643" s="1">
        <f t="shared" si="114"/>
        <v>1.1970385068243965E+18</v>
      </c>
      <c r="M643" s="3">
        <f t="shared" si="115"/>
        <v>118151969.04014149</v>
      </c>
      <c r="N643" s="7">
        <f t="shared" si="120"/>
        <v>1.1970385068243999E+18</v>
      </c>
      <c r="O643" s="7">
        <f t="shared" si="116"/>
        <v>118151969</v>
      </c>
      <c r="P643" s="3">
        <f>SUM($O$4:O643)</f>
        <v>6742674908</v>
      </c>
      <c r="Y643" s="3">
        <f t="shared" si="117"/>
        <v>640</v>
      </c>
      <c r="Z643" s="3">
        <f t="shared" si="118"/>
        <v>2.32986833380764E+16</v>
      </c>
      <c r="AA643" s="7"/>
      <c r="AB643" s="7">
        <f t="shared" si="119"/>
        <v>13040</v>
      </c>
    </row>
    <row r="644" spans="6:28" x14ac:dyDescent="0.15">
      <c r="F644">
        <f t="shared" si="109"/>
        <v>92</v>
      </c>
      <c r="G644">
        <v>641</v>
      </c>
      <c r="H644">
        <f t="shared" si="110"/>
        <v>2.9243611730237737E+18</v>
      </c>
      <c r="I644">
        <f t="shared" si="111"/>
        <v>2.9243611730237701E+18</v>
      </c>
      <c r="J644" s="1">
        <f t="shared" si="112"/>
        <v>1</v>
      </c>
      <c r="K644" s="1">
        <f t="shared" si="113"/>
        <v>2.9243611730237701E+18</v>
      </c>
      <c r="L644" s="1">
        <f t="shared" si="114"/>
        <v>1.1970385068243965E+18</v>
      </c>
      <c r="M644" s="3">
        <f t="shared" si="115"/>
        <v>118151969.04014149</v>
      </c>
      <c r="N644" s="7">
        <f t="shared" si="120"/>
        <v>1.1970385068243999E+18</v>
      </c>
      <c r="O644" s="7">
        <f t="shared" si="116"/>
        <v>118151969</v>
      </c>
      <c r="P644" s="3">
        <f>SUM($O$4:O644)</f>
        <v>6860826877</v>
      </c>
      <c r="Y644" s="3">
        <f t="shared" si="117"/>
        <v>641</v>
      </c>
      <c r="Z644" s="3">
        <f t="shared" si="118"/>
        <v>2.45018419073318E+16</v>
      </c>
      <c r="AA644" s="7"/>
      <c r="AB644" s="7">
        <f t="shared" si="119"/>
        <v>13040</v>
      </c>
    </row>
    <row r="645" spans="6:28" x14ac:dyDescent="0.15">
      <c r="F645">
        <f t="shared" ref="F645:F708" si="121">ROUNDUP(G645/$C$4,0)</f>
        <v>92</v>
      </c>
      <c r="G645">
        <v>642</v>
      </c>
      <c r="H645">
        <f t="shared" ref="H645:H708" si="122">18.5*1.57^MIN(F645,156)*1.17^MAX(F645-156,0)*$C$5</f>
        <v>2.9243611730237737E+18</v>
      </c>
      <c r="I645">
        <f t="shared" ref="I645:I708" si="123">ROUND(H645,0)</f>
        <v>2.9243611730237701E+18</v>
      </c>
      <c r="J645" s="1">
        <f t="shared" ref="J645:J708" si="124">IF(F645=F646,1,LOOKUP(MOD(F645,5),$D$6:$D$10,$C$6:$C$10))</f>
        <v>1</v>
      </c>
      <c r="K645" s="1">
        <f t="shared" ref="K645:K708" si="125">J645*I645</f>
        <v>2.9243611730237701E+18</v>
      </c>
      <c r="L645" s="1">
        <f t="shared" ref="L645:L708" si="126">K645*(0.02+0.00045*F645)/$C$5</f>
        <v>1.1970385068243965E+18</v>
      </c>
      <c r="M645" s="3">
        <f t="shared" ref="M645:M708" si="127">L645/(1.3^F645)*3</f>
        <v>118151969.04014149</v>
      </c>
      <c r="N645" s="7">
        <f t="shared" si="120"/>
        <v>1.1970385068243999E+18</v>
      </c>
      <c r="O645" s="7">
        <f t="shared" ref="O645:O708" si="128">ROUNDDOWN(M645,0)</f>
        <v>118151969</v>
      </c>
      <c r="P645" s="3">
        <f>SUM($O$4:O645)</f>
        <v>6978978846</v>
      </c>
      <c r="Y645" s="3">
        <f t="shared" ref="Y645:Y708" si="129">G645</f>
        <v>642</v>
      </c>
      <c r="Z645" s="3">
        <f t="shared" ref="Z645:Z708" si="130">ROUND(1.05^Y645*Y645,0)</f>
        <v>2.57670696251675E+16</v>
      </c>
      <c r="AA645" s="7"/>
      <c r="AB645" s="7">
        <f t="shared" ref="AB645:AB708" si="131">LOOKUP(Y645,T:T,P:P)</f>
        <v>13040</v>
      </c>
    </row>
    <row r="646" spans="6:28" x14ac:dyDescent="0.15">
      <c r="F646">
        <f t="shared" si="121"/>
        <v>92</v>
      </c>
      <c r="G646">
        <v>643</v>
      </c>
      <c r="H646">
        <f t="shared" si="122"/>
        <v>2.9243611730237737E+18</v>
      </c>
      <c r="I646">
        <f t="shared" si="123"/>
        <v>2.9243611730237701E+18</v>
      </c>
      <c r="J646" s="1">
        <f t="shared" si="124"/>
        <v>1</v>
      </c>
      <c r="K646" s="1">
        <f t="shared" si="125"/>
        <v>2.9243611730237701E+18</v>
      </c>
      <c r="L646" s="1">
        <f t="shared" si="126"/>
        <v>1.1970385068243965E+18</v>
      </c>
      <c r="M646" s="3">
        <f t="shared" si="127"/>
        <v>118151969.04014149</v>
      </c>
      <c r="N646" s="7">
        <f t="shared" si="120"/>
        <v>1.1970385068243999E+18</v>
      </c>
      <c r="O646" s="7">
        <f t="shared" si="128"/>
        <v>118151969</v>
      </c>
      <c r="P646" s="3">
        <f>SUM($O$4:O646)</f>
        <v>7097130815</v>
      </c>
      <c r="Y646" s="3">
        <f t="shared" si="129"/>
        <v>643</v>
      </c>
      <c r="Z646" s="3">
        <f t="shared" si="130"/>
        <v>2.70975655100184E+16</v>
      </c>
      <c r="AA646" s="7"/>
      <c r="AB646" s="7">
        <f t="shared" si="131"/>
        <v>13040</v>
      </c>
    </row>
    <row r="647" spans="6:28" x14ac:dyDescent="0.15">
      <c r="F647">
        <f t="shared" si="121"/>
        <v>92</v>
      </c>
      <c r="G647">
        <v>644</v>
      </c>
      <c r="H647">
        <f t="shared" si="122"/>
        <v>2.9243611730237737E+18</v>
      </c>
      <c r="I647">
        <f t="shared" si="123"/>
        <v>2.9243611730237701E+18</v>
      </c>
      <c r="J647" s="1">
        <f t="shared" si="124"/>
        <v>4</v>
      </c>
      <c r="K647" s="1">
        <f t="shared" si="125"/>
        <v>1.169744469209508E+19</v>
      </c>
      <c r="L647" s="1">
        <f t="shared" si="126"/>
        <v>4.7881540272975862E+18</v>
      </c>
      <c r="M647" s="3">
        <f t="shared" si="127"/>
        <v>472607876.16056597</v>
      </c>
      <c r="N647" s="7">
        <f t="shared" si="120"/>
        <v>4.7881540272975903E+18</v>
      </c>
      <c r="O647" s="7">
        <f t="shared" si="128"/>
        <v>472607876</v>
      </c>
      <c r="P647" s="3">
        <f>SUM($O$4:O647)</f>
        <v>7569738691</v>
      </c>
      <c r="Y647" s="3">
        <f t="shared" si="129"/>
        <v>644</v>
      </c>
      <c r="Z647" s="3">
        <f t="shared" si="130"/>
        <v>2.84966933092915E+16</v>
      </c>
      <c r="AA647" s="7"/>
      <c r="AB647" s="7">
        <f t="shared" si="131"/>
        <v>13040</v>
      </c>
    </row>
    <row r="648" spans="6:28" x14ac:dyDescent="0.15">
      <c r="F648">
        <f t="shared" si="121"/>
        <v>93</v>
      </c>
      <c r="G648">
        <v>645</v>
      </c>
      <c r="H648">
        <f t="shared" si="122"/>
        <v>4.5912470416473242E+18</v>
      </c>
      <c r="I648">
        <f t="shared" si="123"/>
        <v>4.5912470416473201E+18</v>
      </c>
      <c r="J648" s="1">
        <f t="shared" si="124"/>
        <v>1</v>
      </c>
      <c r="K648" s="1">
        <f t="shared" si="125"/>
        <v>4.5912470416473201E+18</v>
      </c>
      <c r="L648" s="1">
        <f t="shared" si="126"/>
        <v>1.8931241968392451E+18</v>
      </c>
      <c r="M648" s="3">
        <f t="shared" si="127"/>
        <v>143737006.73588601</v>
      </c>
      <c r="N648" s="7">
        <f t="shared" ref="N648:N711" si="132">ROUND(L648,0)</f>
        <v>1.8931241968392499E+18</v>
      </c>
      <c r="O648" s="7">
        <f t="shared" si="128"/>
        <v>143737006</v>
      </c>
      <c r="P648" s="3">
        <f>SUM($O$4:O648)</f>
        <v>7713475697</v>
      </c>
      <c r="Y648" s="3">
        <f t="shared" si="129"/>
        <v>645</v>
      </c>
      <c r="Z648" s="3">
        <f t="shared" si="130"/>
        <v>2.99679899747169E+16</v>
      </c>
      <c r="AA648" s="7"/>
      <c r="AB648" s="7">
        <f t="shared" si="131"/>
        <v>13040</v>
      </c>
    </row>
    <row r="649" spans="6:28" x14ac:dyDescent="0.15">
      <c r="F649">
        <f t="shared" si="121"/>
        <v>93</v>
      </c>
      <c r="G649">
        <v>646</v>
      </c>
      <c r="H649">
        <f t="shared" si="122"/>
        <v>4.5912470416473242E+18</v>
      </c>
      <c r="I649">
        <f t="shared" si="123"/>
        <v>4.5912470416473201E+18</v>
      </c>
      <c r="J649" s="1">
        <f t="shared" si="124"/>
        <v>1</v>
      </c>
      <c r="K649" s="1">
        <f t="shared" si="125"/>
        <v>4.5912470416473201E+18</v>
      </c>
      <c r="L649" s="1">
        <f t="shared" si="126"/>
        <v>1.8931241968392451E+18</v>
      </c>
      <c r="M649" s="3">
        <f t="shared" si="127"/>
        <v>143737006.73588601</v>
      </c>
      <c r="N649" s="7">
        <f t="shared" si="132"/>
        <v>1.8931241968392499E+18</v>
      </c>
      <c r="O649" s="7">
        <f t="shared" si="128"/>
        <v>143737006</v>
      </c>
      <c r="P649" s="3">
        <f>SUM($O$4:O649)</f>
        <v>7857212703</v>
      </c>
      <c r="Y649" s="3">
        <f t="shared" si="129"/>
        <v>646</v>
      </c>
      <c r="Z649" s="3">
        <f t="shared" si="130"/>
        <v>3.15151745734116E+16</v>
      </c>
      <c r="AA649" s="7"/>
      <c r="AB649" s="7">
        <f t="shared" si="131"/>
        <v>13040</v>
      </c>
    </row>
    <row r="650" spans="6:28" x14ac:dyDescent="0.15">
      <c r="F650">
        <f t="shared" si="121"/>
        <v>93</v>
      </c>
      <c r="G650">
        <v>647</v>
      </c>
      <c r="H650">
        <f t="shared" si="122"/>
        <v>4.5912470416473242E+18</v>
      </c>
      <c r="I650">
        <f t="shared" si="123"/>
        <v>4.5912470416473201E+18</v>
      </c>
      <c r="J650" s="1">
        <f t="shared" si="124"/>
        <v>1</v>
      </c>
      <c r="K650" s="1">
        <f t="shared" si="125"/>
        <v>4.5912470416473201E+18</v>
      </c>
      <c r="L650" s="1">
        <f t="shared" si="126"/>
        <v>1.8931241968392451E+18</v>
      </c>
      <c r="M650" s="3">
        <f t="shared" si="127"/>
        <v>143737006.73588601</v>
      </c>
      <c r="N650" s="7">
        <f t="shared" si="132"/>
        <v>1.8931241968392499E+18</v>
      </c>
      <c r="O650" s="7">
        <f t="shared" si="128"/>
        <v>143737006</v>
      </c>
      <c r="P650" s="3">
        <f>SUM($O$4:O650)</f>
        <v>8000949709</v>
      </c>
      <c r="Y650" s="3">
        <f t="shared" si="129"/>
        <v>647</v>
      </c>
      <c r="Z650" s="3">
        <f t="shared" si="130"/>
        <v>3.31421576570389E+16</v>
      </c>
      <c r="AA650" s="7"/>
      <c r="AB650" s="7">
        <f t="shared" si="131"/>
        <v>13040</v>
      </c>
    </row>
    <row r="651" spans="6:28" x14ac:dyDescent="0.15">
      <c r="F651">
        <f t="shared" si="121"/>
        <v>93</v>
      </c>
      <c r="G651">
        <v>648</v>
      </c>
      <c r="H651">
        <f t="shared" si="122"/>
        <v>4.5912470416473242E+18</v>
      </c>
      <c r="I651">
        <f t="shared" si="123"/>
        <v>4.5912470416473201E+18</v>
      </c>
      <c r="J651" s="1">
        <f t="shared" si="124"/>
        <v>1</v>
      </c>
      <c r="K651" s="1">
        <f t="shared" si="125"/>
        <v>4.5912470416473201E+18</v>
      </c>
      <c r="L651" s="1">
        <f t="shared" si="126"/>
        <v>1.8931241968392451E+18</v>
      </c>
      <c r="M651" s="3">
        <f t="shared" si="127"/>
        <v>143737006.73588601</v>
      </c>
      <c r="N651" s="7">
        <f t="shared" si="132"/>
        <v>1.8931241968392499E+18</v>
      </c>
      <c r="O651" s="7">
        <f t="shared" si="128"/>
        <v>143737006</v>
      </c>
      <c r="P651" s="3">
        <f>SUM($O$4:O651)</f>
        <v>8144686715</v>
      </c>
      <c r="Y651" s="3">
        <f t="shared" si="129"/>
        <v>648</v>
      </c>
      <c r="Z651" s="3">
        <f t="shared" si="130"/>
        <v>3.48530511125955E+16</v>
      </c>
      <c r="AA651" s="7"/>
      <c r="AB651" s="7">
        <f t="shared" si="131"/>
        <v>13040</v>
      </c>
    </row>
    <row r="652" spans="6:28" x14ac:dyDescent="0.15">
      <c r="F652">
        <f t="shared" si="121"/>
        <v>93</v>
      </c>
      <c r="G652">
        <v>649</v>
      </c>
      <c r="H652">
        <f t="shared" si="122"/>
        <v>4.5912470416473242E+18</v>
      </c>
      <c r="I652">
        <f t="shared" si="123"/>
        <v>4.5912470416473201E+18</v>
      </c>
      <c r="J652" s="1">
        <f t="shared" si="124"/>
        <v>1</v>
      </c>
      <c r="K652" s="1">
        <f t="shared" si="125"/>
        <v>4.5912470416473201E+18</v>
      </c>
      <c r="L652" s="1">
        <f t="shared" si="126"/>
        <v>1.8931241968392451E+18</v>
      </c>
      <c r="M652" s="3">
        <f t="shared" si="127"/>
        <v>143737006.73588601</v>
      </c>
      <c r="N652" s="7">
        <f t="shared" si="132"/>
        <v>1.8931241968392499E+18</v>
      </c>
      <c r="O652" s="7">
        <f t="shared" si="128"/>
        <v>143737006</v>
      </c>
      <c r="P652" s="3">
        <f>SUM($O$4:O652)</f>
        <v>8288423721</v>
      </c>
      <c r="Y652" s="3">
        <f t="shared" si="129"/>
        <v>649</v>
      </c>
      <c r="Z652" s="3">
        <f t="shared" si="130"/>
        <v>3.66521785195652E+16</v>
      </c>
      <c r="AA652" s="7"/>
      <c r="AB652" s="7">
        <f t="shared" si="131"/>
        <v>13040</v>
      </c>
    </row>
    <row r="653" spans="6:28" x14ac:dyDescent="0.15">
      <c r="F653">
        <f t="shared" si="121"/>
        <v>93</v>
      </c>
      <c r="G653">
        <v>650</v>
      </c>
      <c r="H653">
        <f t="shared" si="122"/>
        <v>4.5912470416473242E+18</v>
      </c>
      <c r="I653">
        <f t="shared" si="123"/>
        <v>4.5912470416473201E+18</v>
      </c>
      <c r="J653" s="1">
        <f t="shared" si="124"/>
        <v>1</v>
      </c>
      <c r="K653" s="1">
        <f t="shared" si="125"/>
        <v>4.5912470416473201E+18</v>
      </c>
      <c r="L653" s="1">
        <f t="shared" si="126"/>
        <v>1.8931241968392451E+18</v>
      </c>
      <c r="M653" s="3">
        <f t="shared" si="127"/>
        <v>143737006.73588601</v>
      </c>
      <c r="N653" s="7">
        <f t="shared" si="132"/>
        <v>1.8931241968392499E+18</v>
      </c>
      <c r="O653" s="7">
        <f t="shared" si="128"/>
        <v>143737006</v>
      </c>
      <c r="P653" s="3">
        <f>SUM($O$4:O653)</f>
        <v>8432160727</v>
      </c>
      <c r="Y653" s="3">
        <f t="shared" si="129"/>
        <v>650</v>
      </c>
      <c r="Z653" s="3">
        <f t="shared" si="130"/>
        <v>3.8544086039450304E+16</v>
      </c>
      <c r="AA653" s="7"/>
      <c r="AB653" s="7">
        <f t="shared" si="131"/>
        <v>13040</v>
      </c>
    </row>
    <row r="654" spans="6:28" x14ac:dyDescent="0.15">
      <c r="F654">
        <f t="shared" si="121"/>
        <v>93</v>
      </c>
      <c r="G654">
        <v>651</v>
      </c>
      <c r="H654">
        <f t="shared" si="122"/>
        <v>4.5912470416473242E+18</v>
      </c>
      <c r="I654">
        <f t="shared" si="123"/>
        <v>4.5912470416473201E+18</v>
      </c>
      <c r="J654" s="1">
        <f t="shared" si="124"/>
        <v>6</v>
      </c>
      <c r="K654" s="1">
        <f t="shared" si="125"/>
        <v>2.7547482249883918E+19</v>
      </c>
      <c r="L654" s="1">
        <f t="shared" si="126"/>
        <v>1.1358745181035469E+19</v>
      </c>
      <c r="M654" s="3">
        <f t="shared" si="127"/>
        <v>862422040.41531587</v>
      </c>
      <c r="N654" s="7">
        <f t="shared" si="132"/>
        <v>1.13587451810355E+19</v>
      </c>
      <c r="O654" s="7">
        <f t="shared" si="128"/>
        <v>862422040</v>
      </c>
      <c r="P654" s="3">
        <f>SUM($O$4:O654)</f>
        <v>9294582767</v>
      </c>
      <c r="Y654" s="3">
        <f t="shared" si="129"/>
        <v>651</v>
      </c>
      <c r="Z654" s="3">
        <f t="shared" si="130"/>
        <v>4.0533553865025E+16</v>
      </c>
      <c r="AA654" s="7"/>
      <c r="AB654" s="7">
        <f t="shared" si="131"/>
        <v>13040</v>
      </c>
    </row>
    <row r="655" spans="6:28" x14ac:dyDescent="0.15">
      <c r="F655">
        <f t="shared" si="121"/>
        <v>94</v>
      </c>
      <c r="G655">
        <v>652</v>
      </c>
      <c r="H655">
        <f t="shared" si="122"/>
        <v>7.2082578553863014E+18</v>
      </c>
      <c r="I655">
        <f t="shared" si="123"/>
        <v>7.2082578553863004E+18</v>
      </c>
      <c r="J655" s="1">
        <f t="shared" si="124"/>
        <v>1</v>
      </c>
      <c r="K655" s="1">
        <f t="shared" si="125"/>
        <v>7.2082578553863004E+18</v>
      </c>
      <c r="L655" s="1">
        <f t="shared" si="126"/>
        <v>2.9938297626037765E+18</v>
      </c>
      <c r="M655" s="3">
        <f t="shared" si="127"/>
        <v>174853060.95197764</v>
      </c>
      <c r="N655" s="7">
        <f t="shared" si="132"/>
        <v>2.9938297626037801E+18</v>
      </c>
      <c r="O655" s="7">
        <f t="shared" si="128"/>
        <v>174853060</v>
      </c>
      <c r="P655" s="3">
        <f>SUM($O$4:O655)</f>
        <v>9469435827</v>
      </c>
      <c r="Y655" s="3">
        <f t="shared" si="129"/>
        <v>652</v>
      </c>
      <c r="Z655" s="3">
        <f t="shared" si="130"/>
        <v>4.2625608258058496E+16</v>
      </c>
      <c r="AA655" s="7"/>
      <c r="AB655" s="7">
        <f t="shared" si="131"/>
        <v>13040</v>
      </c>
    </row>
    <row r="656" spans="6:28" x14ac:dyDescent="0.15">
      <c r="F656">
        <f t="shared" si="121"/>
        <v>94</v>
      </c>
      <c r="G656">
        <v>653</v>
      </c>
      <c r="H656">
        <f t="shared" si="122"/>
        <v>7.2082578553863014E+18</v>
      </c>
      <c r="I656">
        <f t="shared" si="123"/>
        <v>7.2082578553863004E+18</v>
      </c>
      <c r="J656" s="1">
        <f t="shared" si="124"/>
        <v>1</v>
      </c>
      <c r="K656" s="1">
        <f t="shared" si="125"/>
        <v>7.2082578553863004E+18</v>
      </c>
      <c r="L656" s="1">
        <f t="shared" si="126"/>
        <v>2.9938297626037765E+18</v>
      </c>
      <c r="M656" s="3">
        <f t="shared" si="127"/>
        <v>174853060.95197764</v>
      </c>
      <c r="N656" s="7">
        <f t="shared" si="132"/>
        <v>2.9938297626037801E+18</v>
      </c>
      <c r="O656" s="7">
        <f t="shared" si="128"/>
        <v>174853060</v>
      </c>
      <c r="P656" s="3">
        <f>SUM($O$4:O656)</f>
        <v>9644288887</v>
      </c>
      <c r="Y656" s="3">
        <f t="shared" si="129"/>
        <v>653</v>
      </c>
      <c r="Z656" s="3">
        <f t="shared" si="130"/>
        <v>4.48255342057328E+16</v>
      </c>
      <c r="AA656" s="7"/>
      <c r="AB656" s="7">
        <f t="shared" si="131"/>
        <v>13040</v>
      </c>
    </row>
    <row r="657" spans="6:28" x14ac:dyDescent="0.15">
      <c r="F657">
        <f t="shared" si="121"/>
        <v>94</v>
      </c>
      <c r="G657">
        <v>654</v>
      </c>
      <c r="H657">
        <f t="shared" si="122"/>
        <v>7.2082578553863014E+18</v>
      </c>
      <c r="I657">
        <f t="shared" si="123"/>
        <v>7.2082578553863004E+18</v>
      </c>
      <c r="J657" s="1">
        <f t="shared" si="124"/>
        <v>1</v>
      </c>
      <c r="K657" s="1">
        <f t="shared" si="125"/>
        <v>7.2082578553863004E+18</v>
      </c>
      <c r="L657" s="1">
        <f t="shared" si="126"/>
        <v>2.9938297626037765E+18</v>
      </c>
      <c r="M657" s="3">
        <f t="shared" si="127"/>
        <v>174853060.95197764</v>
      </c>
      <c r="N657" s="7">
        <f t="shared" si="132"/>
        <v>2.9938297626037801E+18</v>
      </c>
      <c r="O657" s="7">
        <f t="shared" si="128"/>
        <v>174853060</v>
      </c>
      <c r="P657" s="3">
        <f>SUM($O$4:O657)</f>
        <v>9819141947</v>
      </c>
      <c r="Y657" s="3">
        <f t="shared" si="129"/>
        <v>654</v>
      </c>
      <c r="Z657" s="3">
        <f t="shared" si="130"/>
        <v>4.7138888727529504E+16</v>
      </c>
      <c r="AA657" s="7"/>
      <c r="AB657" s="7">
        <f t="shared" si="131"/>
        <v>13040</v>
      </c>
    </row>
    <row r="658" spans="6:28" x14ac:dyDescent="0.15">
      <c r="F658">
        <f t="shared" si="121"/>
        <v>94</v>
      </c>
      <c r="G658">
        <v>655</v>
      </c>
      <c r="H658">
        <f t="shared" si="122"/>
        <v>7.2082578553863014E+18</v>
      </c>
      <c r="I658">
        <f t="shared" si="123"/>
        <v>7.2082578553863004E+18</v>
      </c>
      <c r="J658" s="1">
        <f t="shared" si="124"/>
        <v>1</v>
      </c>
      <c r="K658" s="1">
        <f t="shared" si="125"/>
        <v>7.2082578553863004E+18</v>
      </c>
      <c r="L658" s="1">
        <f t="shared" si="126"/>
        <v>2.9938297626037765E+18</v>
      </c>
      <c r="M658" s="3">
        <f t="shared" si="127"/>
        <v>174853060.95197764</v>
      </c>
      <c r="N658" s="7">
        <f t="shared" si="132"/>
        <v>2.9938297626037801E+18</v>
      </c>
      <c r="O658" s="7">
        <f t="shared" si="128"/>
        <v>174853060</v>
      </c>
      <c r="P658" s="3">
        <f>SUM($O$4:O658)</f>
        <v>9993995007</v>
      </c>
      <c r="Y658" s="3">
        <f t="shared" si="129"/>
        <v>655</v>
      </c>
      <c r="Z658" s="3">
        <f t="shared" si="130"/>
        <v>4.95715148659914E+16</v>
      </c>
      <c r="AA658" s="7"/>
      <c r="AB658" s="7">
        <f t="shared" si="131"/>
        <v>13040</v>
      </c>
    </row>
    <row r="659" spans="6:28" x14ac:dyDescent="0.15">
      <c r="F659">
        <f t="shared" si="121"/>
        <v>94</v>
      </c>
      <c r="G659">
        <v>656</v>
      </c>
      <c r="H659">
        <f t="shared" si="122"/>
        <v>7.2082578553863014E+18</v>
      </c>
      <c r="I659">
        <f t="shared" si="123"/>
        <v>7.2082578553863004E+18</v>
      </c>
      <c r="J659" s="1">
        <f t="shared" si="124"/>
        <v>1</v>
      </c>
      <c r="K659" s="1">
        <f t="shared" si="125"/>
        <v>7.2082578553863004E+18</v>
      </c>
      <c r="L659" s="1">
        <f t="shared" si="126"/>
        <v>2.9938297626037765E+18</v>
      </c>
      <c r="M659" s="3">
        <f t="shared" si="127"/>
        <v>174853060.95197764</v>
      </c>
      <c r="N659" s="7">
        <f t="shared" si="132"/>
        <v>2.9938297626037801E+18</v>
      </c>
      <c r="O659" s="7">
        <f t="shared" si="128"/>
        <v>174853060</v>
      </c>
      <c r="P659" s="3">
        <f>SUM($O$4:O659)</f>
        <v>10168848067</v>
      </c>
      <c r="Y659" s="3">
        <f t="shared" si="129"/>
        <v>656</v>
      </c>
      <c r="Z659" s="3">
        <f t="shared" si="130"/>
        <v>5.21295563964808E+16</v>
      </c>
      <c r="AA659" s="7"/>
      <c r="AB659" s="7">
        <f t="shared" si="131"/>
        <v>13040</v>
      </c>
    </row>
    <row r="660" spans="6:28" x14ac:dyDescent="0.15">
      <c r="F660">
        <f t="shared" si="121"/>
        <v>94</v>
      </c>
      <c r="G660">
        <v>657</v>
      </c>
      <c r="H660">
        <f t="shared" si="122"/>
        <v>7.2082578553863014E+18</v>
      </c>
      <c r="I660">
        <f t="shared" si="123"/>
        <v>7.2082578553863004E+18</v>
      </c>
      <c r="J660" s="1">
        <f t="shared" si="124"/>
        <v>1</v>
      </c>
      <c r="K660" s="1">
        <f t="shared" si="125"/>
        <v>7.2082578553863004E+18</v>
      </c>
      <c r="L660" s="1">
        <f t="shared" si="126"/>
        <v>2.9938297626037765E+18</v>
      </c>
      <c r="M660" s="3">
        <f t="shared" si="127"/>
        <v>174853060.95197764</v>
      </c>
      <c r="N660" s="7">
        <f t="shared" si="132"/>
        <v>2.9938297626037801E+18</v>
      </c>
      <c r="O660" s="7">
        <f t="shared" si="128"/>
        <v>174853060</v>
      </c>
      <c r="P660" s="3">
        <f>SUM($O$4:O660)</f>
        <v>10343701127</v>
      </c>
      <c r="Y660" s="3">
        <f t="shared" si="129"/>
        <v>657</v>
      </c>
      <c r="Z660" s="3">
        <f t="shared" si="130"/>
        <v>5.4819473292854E+16</v>
      </c>
      <c r="AA660" s="7"/>
      <c r="AB660" s="7">
        <f t="shared" si="131"/>
        <v>13040</v>
      </c>
    </row>
    <row r="661" spans="6:28" x14ac:dyDescent="0.15">
      <c r="F661">
        <f t="shared" si="121"/>
        <v>94</v>
      </c>
      <c r="G661">
        <v>658</v>
      </c>
      <c r="H661">
        <f t="shared" si="122"/>
        <v>7.2082578553863014E+18</v>
      </c>
      <c r="I661">
        <f t="shared" si="123"/>
        <v>7.2082578553863004E+18</v>
      </c>
      <c r="J661" s="1">
        <f t="shared" si="124"/>
        <v>7</v>
      </c>
      <c r="K661" s="1">
        <f t="shared" si="125"/>
        <v>5.0457804987704099E+19</v>
      </c>
      <c r="L661" s="1">
        <f t="shared" si="126"/>
        <v>2.0956808338226438E+19</v>
      </c>
      <c r="M661" s="3">
        <f t="shared" si="127"/>
        <v>1223971426.6638434</v>
      </c>
      <c r="N661" s="7">
        <f t="shared" si="132"/>
        <v>2.0956808338226401E+19</v>
      </c>
      <c r="O661" s="7">
        <f t="shared" si="128"/>
        <v>1223971426</v>
      </c>
      <c r="P661" s="3">
        <f>SUM($O$4:O661)</f>
        <v>11567672553</v>
      </c>
      <c r="Y661" s="3">
        <f t="shared" si="129"/>
        <v>658</v>
      </c>
      <c r="Z661" s="3">
        <f t="shared" si="130"/>
        <v>5.7648057987873504E+16</v>
      </c>
      <c r="AA661" s="7"/>
      <c r="AB661" s="7">
        <f t="shared" si="131"/>
        <v>13040</v>
      </c>
    </row>
    <row r="662" spans="6:28" x14ac:dyDescent="0.15">
      <c r="F662">
        <f t="shared" si="121"/>
        <v>95</v>
      </c>
      <c r="G662">
        <v>659</v>
      </c>
      <c r="H662">
        <f t="shared" si="122"/>
        <v>1.1316964832956492E+19</v>
      </c>
      <c r="I662">
        <f t="shared" si="123"/>
        <v>1.13169648329565E+19</v>
      </c>
      <c r="J662" s="1">
        <f t="shared" si="124"/>
        <v>1</v>
      </c>
      <c r="K662" s="1">
        <f t="shared" si="125"/>
        <v>1.13169648329565E+19</v>
      </c>
      <c r="L662" s="1">
        <f t="shared" si="126"/>
        <v>4.7342636217868022E+18</v>
      </c>
      <c r="M662" s="3">
        <f t="shared" si="127"/>
        <v>212693992.25011069</v>
      </c>
      <c r="N662" s="7">
        <f t="shared" si="132"/>
        <v>4.7342636217868001E+18</v>
      </c>
      <c r="O662" s="7">
        <f t="shared" si="128"/>
        <v>212693992</v>
      </c>
      <c r="P662" s="3">
        <f>SUM($O$4:O662)</f>
        <v>11780366545</v>
      </c>
      <c r="Y662" s="3">
        <f t="shared" si="129"/>
        <v>659</v>
      </c>
      <c r="Z662" s="3">
        <f t="shared" si="130"/>
        <v>6.0622452469162704E+16</v>
      </c>
      <c r="AA662" s="7"/>
      <c r="AB662" s="7">
        <f t="shared" si="131"/>
        <v>13040</v>
      </c>
    </row>
    <row r="663" spans="6:28" x14ac:dyDescent="0.15">
      <c r="F663">
        <f t="shared" si="121"/>
        <v>95</v>
      </c>
      <c r="G663">
        <v>660</v>
      </c>
      <c r="H663">
        <f t="shared" si="122"/>
        <v>1.1316964832956492E+19</v>
      </c>
      <c r="I663">
        <f t="shared" si="123"/>
        <v>1.13169648329565E+19</v>
      </c>
      <c r="J663" s="1">
        <f t="shared" si="124"/>
        <v>1</v>
      </c>
      <c r="K663" s="1">
        <f t="shared" si="125"/>
        <v>1.13169648329565E+19</v>
      </c>
      <c r="L663" s="1">
        <f t="shared" si="126"/>
        <v>4.7342636217868022E+18</v>
      </c>
      <c r="M663" s="3">
        <f t="shared" si="127"/>
        <v>212693992.25011069</v>
      </c>
      <c r="N663" s="7">
        <f t="shared" si="132"/>
        <v>4.7342636217868001E+18</v>
      </c>
      <c r="O663" s="7">
        <f t="shared" si="128"/>
        <v>212693992</v>
      </c>
      <c r="P663" s="3">
        <f>SUM($O$4:O663)</f>
        <v>11993060537</v>
      </c>
      <c r="Y663" s="3">
        <f t="shared" si="129"/>
        <v>660</v>
      </c>
      <c r="Z663" s="3">
        <f t="shared" si="130"/>
        <v>6.3750166253611104E+16</v>
      </c>
      <c r="AA663" s="7"/>
      <c r="AB663" s="7">
        <f t="shared" si="131"/>
        <v>13040</v>
      </c>
    </row>
    <row r="664" spans="6:28" x14ac:dyDescent="0.15">
      <c r="F664">
        <f t="shared" si="121"/>
        <v>95</v>
      </c>
      <c r="G664">
        <v>661</v>
      </c>
      <c r="H664">
        <f t="shared" si="122"/>
        <v>1.1316964832956492E+19</v>
      </c>
      <c r="I664">
        <f t="shared" si="123"/>
        <v>1.13169648329565E+19</v>
      </c>
      <c r="J664" s="1">
        <f t="shared" si="124"/>
        <v>1</v>
      </c>
      <c r="K664" s="1">
        <f t="shared" si="125"/>
        <v>1.13169648329565E+19</v>
      </c>
      <c r="L664" s="1">
        <f t="shared" si="126"/>
        <v>4.7342636217868022E+18</v>
      </c>
      <c r="M664" s="3">
        <f t="shared" si="127"/>
        <v>212693992.25011069</v>
      </c>
      <c r="N664" s="7">
        <f t="shared" si="132"/>
        <v>4.7342636217868001E+18</v>
      </c>
      <c r="O664" s="7">
        <f t="shared" si="128"/>
        <v>212693992</v>
      </c>
      <c r="P664" s="3">
        <f>SUM($O$4:O664)</f>
        <v>12205754529</v>
      </c>
      <c r="Y664" s="3">
        <f t="shared" si="129"/>
        <v>661</v>
      </c>
      <c r="Z664" s="3">
        <f t="shared" si="130"/>
        <v>6.7039095285331504E+16</v>
      </c>
      <c r="AA664" s="7"/>
      <c r="AB664" s="7">
        <f t="shared" si="131"/>
        <v>13040</v>
      </c>
    </row>
    <row r="665" spans="6:28" x14ac:dyDescent="0.15">
      <c r="F665">
        <f t="shared" si="121"/>
        <v>95</v>
      </c>
      <c r="G665">
        <v>662</v>
      </c>
      <c r="H665">
        <f t="shared" si="122"/>
        <v>1.1316964832956492E+19</v>
      </c>
      <c r="I665">
        <f t="shared" si="123"/>
        <v>1.13169648329565E+19</v>
      </c>
      <c r="J665" s="1">
        <f t="shared" si="124"/>
        <v>1</v>
      </c>
      <c r="K665" s="1">
        <f t="shared" si="125"/>
        <v>1.13169648329565E+19</v>
      </c>
      <c r="L665" s="1">
        <f t="shared" si="126"/>
        <v>4.7342636217868022E+18</v>
      </c>
      <c r="M665" s="3">
        <f t="shared" si="127"/>
        <v>212693992.25011069</v>
      </c>
      <c r="N665" s="7">
        <f t="shared" si="132"/>
        <v>4.7342636217868001E+18</v>
      </c>
      <c r="O665" s="7">
        <f t="shared" si="128"/>
        <v>212693992</v>
      </c>
      <c r="P665" s="3">
        <f>SUM($O$4:O665)</f>
        <v>12418448521</v>
      </c>
      <c r="Y665" s="3">
        <f t="shared" si="129"/>
        <v>662</v>
      </c>
      <c r="Z665" s="3">
        <f t="shared" si="130"/>
        <v>7.0497541804589904E+16</v>
      </c>
      <c r="AA665" s="7"/>
      <c r="AB665" s="7">
        <f t="shared" si="131"/>
        <v>13040</v>
      </c>
    </row>
    <row r="666" spans="6:28" x14ac:dyDescent="0.15">
      <c r="F666">
        <f t="shared" si="121"/>
        <v>95</v>
      </c>
      <c r="G666">
        <v>663</v>
      </c>
      <c r="H666">
        <f t="shared" si="122"/>
        <v>1.1316964832956492E+19</v>
      </c>
      <c r="I666">
        <f t="shared" si="123"/>
        <v>1.13169648329565E+19</v>
      </c>
      <c r="J666" s="1">
        <f t="shared" si="124"/>
        <v>1</v>
      </c>
      <c r="K666" s="1">
        <f t="shared" si="125"/>
        <v>1.13169648329565E+19</v>
      </c>
      <c r="L666" s="1">
        <f t="shared" si="126"/>
        <v>4.7342636217868022E+18</v>
      </c>
      <c r="M666" s="3">
        <f t="shared" si="127"/>
        <v>212693992.25011069</v>
      </c>
      <c r="N666" s="7">
        <f t="shared" si="132"/>
        <v>4.7342636217868001E+18</v>
      </c>
      <c r="O666" s="7">
        <f t="shared" si="128"/>
        <v>212693992</v>
      </c>
      <c r="P666" s="3">
        <f>SUM($O$4:O666)</f>
        <v>12631142513</v>
      </c>
      <c r="Y666" s="3">
        <f t="shared" si="129"/>
        <v>663</v>
      </c>
      <c r="Z666" s="3">
        <f t="shared" si="130"/>
        <v>7.41342352375608E+16</v>
      </c>
      <c r="AA666" s="7"/>
      <c r="AB666" s="7">
        <f t="shared" si="131"/>
        <v>13040</v>
      </c>
    </row>
    <row r="667" spans="6:28" x14ac:dyDescent="0.15">
      <c r="F667">
        <f t="shared" si="121"/>
        <v>95</v>
      </c>
      <c r="G667">
        <v>664</v>
      </c>
      <c r="H667">
        <f t="shared" si="122"/>
        <v>1.1316964832956492E+19</v>
      </c>
      <c r="I667">
        <f t="shared" si="123"/>
        <v>1.13169648329565E+19</v>
      </c>
      <c r="J667" s="1">
        <f t="shared" si="124"/>
        <v>1</v>
      </c>
      <c r="K667" s="1">
        <f t="shared" si="125"/>
        <v>1.13169648329565E+19</v>
      </c>
      <c r="L667" s="1">
        <f t="shared" si="126"/>
        <v>4.7342636217868022E+18</v>
      </c>
      <c r="M667" s="3">
        <f t="shared" si="127"/>
        <v>212693992.25011069</v>
      </c>
      <c r="N667" s="7">
        <f t="shared" si="132"/>
        <v>4.7342636217868001E+18</v>
      </c>
      <c r="O667" s="7">
        <f t="shared" si="128"/>
        <v>212693992</v>
      </c>
      <c r="P667" s="3">
        <f>SUM($O$4:O667)</f>
        <v>12843836505</v>
      </c>
      <c r="Y667" s="3">
        <f t="shared" si="129"/>
        <v>664</v>
      </c>
      <c r="Z667" s="3">
        <f t="shared" si="130"/>
        <v>7.7958354159317408E+16</v>
      </c>
      <c r="AA667" s="7"/>
      <c r="AB667" s="7">
        <f t="shared" si="131"/>
        <v>13040</v>
      </c>
    </row>
    <row r="668" spans="6:28" x14ac:dyDescent="0.15">
      <c r="F668">
        <f t="shared" si="121"/>
        <v>95</v>
      </c>
      <c r="G668">
        <v>665</v>
      </c>
      <c r="H668">
        <f t="shared" si="122"/>
        <v>1.1316964832956492E+19</v>
      </c>
      <c r="I668">
        <f t="shared" si="123"/>
        <v>1.13169648329565E+19</v>
      </c>
      <c r="J668" s="1">
        <f t="shared" si="124"/>
        <v>10</v>
      </c>
      <c r="K668" s="1">
        <f t="shared" si="125"/>
        <v>1.13169648329565E+20</v>
      </c>
      <c r="L668" s="1">
        <f t="shared" si="126"/>
        <v>4.7342636217868026E+19</v>
      </c>
      <c r="M668" s="3">
        <f t="shared" si="127"/>
        <v>2126939922.5011072</v>
      </c>
      <c r="N668" s="7">
        <f t="shared" si="132"/>
        <v>4.7342636217868001E+19</v>
      </c>
      <c r="O668" s="7">
        <f t="shared" si="128"/>
        <v>2126939922</v>
      </c>
      <c r="P668" s="3">
        <f>SUM($O$4:O668)</f>
        <v>14970776427</v>
      </c>
      <c r="Y668" s="3">
        <f t="shared" si="129"/>
        <v>665</v>
      </c>
      <c r="Z668" s="3">
        <f t="shared" si="130"/>
        <v>8.19795493851556E+16</v>
      </c>
      <c r="AA668" s="7"/>
      <c r="AB668" s="7">
        <f t="shared" si="131"/>
        <v>13040</v>
      </c>
    </row>
    <row r="669" spans="6:28" x14ac:dyDescent="0.15">
      <c r="F669">
        <f t="shared" si="121"/>
        <v>96</v>
      </c>
      <c r="G669">
        <v>666</v>
      </c>
      <c r="H669">
        <f t="shared" si="122"/>
        <v>1.7767634787741688E+19</v>
      </c>
      <c r="I669">
        <f t="shared" si="123"/>
        <v>1.77676347877417E+19</v>
      </c>
      <c r="J669" s="1">
        <f t="shared" si="124"/>
        <v>1</v>
      </c>
      <c r="K669" s="1">
        <f t="shared" si="125"/>
        <v>1.77676347877417E+19</v>
      </c>
      <c r="L669" s="1">
        <f t="shared" si="126"/>
        <v>7.4860967905685033E+18</v>
      </c>
      <c r="M669" s="3">
        <f t="shared" si="127"/>
        <v>258710986.04995376</v>
      </c>
      <c r="N669" s="7">
        <f t="shared" si="132"/>
        <v>7.4860967905685002E+18</v>
      </c>
      <c r="O669" s="7">
        <f t="shared" si="128"/>
        <v>258710986</v>
      </c>
      <c r="P669" s="3">
        <f>SUM($O$4:O669)</f>
        <v>15229487413</v>
      </c>
      <c r="Y669" s="3">
        <f t="shared" si="129"/>
        <v>666</v>
      </c>
      <c r="Z669" s="3">
        <f t="shared" si="130"/>
        <v>8.6207968248179504E+16</v>
      </c>
      <c r="AA669" s="7"/>
      <c r="AB669" s="7">
        <f t="shared" si="131"/>
        <v>13040</v>
      </c>
    </row>
    <row r="670" spans="6:28" x14ac:dyDescent="0.15">
      <c r="F670">
        <f t="shared" si="121"/>
        <v>96</v>
      </c>
      <c r="G670">
        <v>667</v>
      </c>
      <c r="H670">
        <f t="shared" si="122"/>
        <v>1.7767634787741688E+19</v>
      </c>
      <c r="I670">
        <f t="shared" si="123"/>
        <v>1.77676347877417E+19</v>
      </c>
      <c r="J670" s="1">
        <f t="shared" si="124"/>
        <v>1</v>
      </c>
      <c r="K670" s="1">
        <f t="shared" si="125"/>
        <v>1.77676347877417E+19</v>
      </c>
      <c r="L670" s="1">
        <f t="shared" si="126"/>
        <v>7.4860967905685033E+18</v>
      </c>
      <c r="M670" s="3">
        <f t="shared" si="127"/>
        <v>258710986.04995376</v>
      </c>
      <c r="N670" s="7">
        <f t="shared" si="132"/>
        <v>7.4860967905685002E+18</v>
      </c>
      <c r="O670" s="7">
        <f t="shared" si="128"/>
        <v>258710986</v>
      </c>
      <c r="P670" s="3">
        <f>SUM($O$4:O670)</f>
        <v>15488198399</v>
      </c>
      <c r="Y670" s="3">
        <f t="shared" si="129"/>
        <v>667</v>
      </c>
      <c r="Z670" s="3">
        <f t="shared" si="130"/>
        <v>9.06542801240428E+16</v>
      </c>
      <c r="AA670" s="7"/>
      <c r="AB670" s="7">
        <f t="shared" si="131"/>
        <v>13040</v>
      </c>
    </row>
    <row r="671" spans="6:28" x14ac:dyDescent="0.15">
      <c r="F671">
        <f t="shared" si="121"/>
        <v>96</v>
      </c>
      <c r="G671">
        <v>668</v>
      </c>
      <c r="H671">
        <f t="shared" si="122"/>
        <v>1.7767634787741688E+19</v>
      </c>
      <c r="I671">
        <f t="shared" si="123"/>
        <v>1.77676347877417E+19</v>
      </c>
      <c r="J671" s="1">
        <f t="shared" si="124"/>
        <v>1</v>
      </c>
      <c r="K671" s="1">
        <f t="shared" si="125"/>
        <v>1.77676347877417E+19</v>
      </c>
      <c r="L671" s="1">
        <f t="shared" si="126"/>
        <v>7.4860967905685033E+18</v>
      </c>
      <c r="M671" s="3">
        <f t="shared" si="127"/>
        <v>258710986.04995376</v>
      </c>
      <c r="N671" s="7">
        <f t="shared" si="132"/>
        <v>7.4860967905685002E+18</v>
      </c>
      <c r="O671" s="7">
        <f t="shared" si="128"/>
        <v>258710986</v>
      </c>
      <c r="P671" s="3">
        <f>SUM($O$4:O671)</f>
        <v>15746909385</v>
      </c>
      <c r="Y671" s="3">
        <f t="shared" si="129"/>
        <v>668</v>
      </c>
      <c r="Z671" s="3">
        <f t="shared" si="130"/>
        <v>9.5329703266872E+16</v>
      </c>
      <c r="AA671" s="7"/>
      <c r="AB671" s="7">
        <f t="shared" si="131"/>
        <v>13040</v>
      </c>
    </row>
    <row r="672" spans="6:28" x14ac:dyDescent="0.15">
      <c r="F672">
        <f t="shared" si="121"/>
        <v>96</v>
      </c>
      <c r="G672">
        <v>669</v>
      </c>
      <c r="H672">
        <f t="shared" si="122"/>
        <v>1.7767634787741688E+19</v>
      </c>
      <c r="I672">
        <f t="shared" si="123"/>
        <v>1.77676347877417E+19</v>
      </c>
      <c r="J672" s="1">
        <f t="shared" si="124"/>
        <v>1</v>
      </c>
      <c r="K672" s="1">
        <f t="shared" si="125"/>
        <v>1.77676347877417E+19</v>
      </c>
      <c r="L672" s="1">
        <f t="shared" si="126"/>
        <v>7.4860967905685033E+18</v>
      </c>
      <c r="M672" s="3">
        <f t="shared" si="127"/>
        <v>258710986.04995376</v>
      </c>
      <c r="N672" s="7">
        <f t="shared" si="132"/>
        <v>7.4860967905685002E+18</v>
      </c>
      <c r="O672" s="7">
        <f t="shared" si="128"/>
        <v>258710986</v>
      </c>
      <c r="P672" s="3">
        <f>SUM($O$4:O672)</f>
        <v>16005620371</v>
      </c>
      <c r="Y672" s="3">
        <f t="shared" si="129"/>
        <v>669</v>
      </c>
      <c r="Z672" s="3">
        <f t="shared" si="130"/>
        <v>1.00246033023674E+17</v>
      </c>
      <c r="AA672" s="7"/>
      <c r="AB672" s="7">
        <f t="shared" si="131"/>
        <v>13040</v>
      </c>
    </row>
    <row r="673" spans="6:28" x14ac:dyDescent="0.15">
      <c r="F673">
        <f t="shared" si="121"/>
        <v>96</v>
      </c>
      <c r="G673">
        <v>670</v>
      </c>
      <c r="H673">
        <f t="shared" si="122"/>
        <v>1.7767634787741688E+19</v>
      </c>
      <c r="I673">
        <f t="shared" si="123"/>
        <v>1.77676347877417E+19</v>
      </c>
      <c r="J673" s="1">
        <f t="shared" si="124"/>
        <v>1</v>
      </c>
      <c r="K673" s="1">
        <f t="shared" si="125"/>
        <v>1.77676347877417E+19</v>
      </c>
      <c r="L673" s="1">
        <f t="shared" si="126"/>
        <v>7.4860967905685033E+18</v>
      </c>
      <c r="M673" s="3">
        <f t="shared" si="127"/>
        <v>258710986.04995376</v>
      </c>
      <c r="N673" s="7">
        <f t="shared" si="132"/>
        <v>7.4860967905685002E+18</v>
      </c>
      <c r="O673" s="7">
        <f t="shared" si="128"/>
        <v>258710986</v>
      </c>
      <c r="P673" s="3">
        <f>SUM($O$4:O673)</f>
        <v>16264331357</v>
      </c>
      <c r="Y673" s="3">
        <f t="shared" si="129"/>
        <v>670</v>
      </c>
      <c r="Z673" s="3">
        <f t="shared" si="130"/>
        <v>1.0541567149798899E+17</v>
      </c>
      <c r="AA673" s="7"/>
      <c r="AB673" s="7">
        <f t="shared" si="131"/>
        <v>13040</v>
      </c>
    </row>
    <row r="674" spans="6:28" x14ac:dyDescent="0.15">
      <c r="F674">
        <f t="shared" si="121"/>
        <v>96</v>
      </c>
      <c r="G674">
        <v>671</v>
      </c>
      <c r="H674">
        <f t="shared" si="122"/>
        <v>1.7767634787741688E+19</v>
      </c>
      <c r="I674">
        <f t="shared" si="123"/>
        <v>1.77676347877417E+19</v>
      </c>
      <c r="J674" s="1">
        <f t="shared" si="124"/>
        <v>1</v>
      </c>
      <c r="K674" s="1">
        <f t="shared" si="125"/>
        <v>1.77676347877417E+19</v>
      </c>
      <c r="L674" s="1">
        <f t="shared" si="126"/>
        <v>7.4860967905685033E+18</v>
      </c>
      <c r="M674" s="3">
        <f t="shared" si="127"/>
        <v>258710986.04995376</v>
      </c>
      <c r="N674" s="7">
        <f t="shared" si="132"/>
        <v>7.4860967905685002E+18</v>
      </c>
      <c r="O674" s="7">
        <f t="shared" si="128"/>
        <v>258710986</v>
      </c>
      <c r="P674" s="3">
        <f>SUM($O$4:O674)</f>
        <v>16523042343</v>
      </c>
      <c r="Y674" s="3">
        <f t="shared" si="129"/>
        <v>671</v>
      </c>
      <c r="Z674" s="3">
        <f t="shared" si="130"/>
        <v>1.10851658737176E+17</v>
      </c>
      <c r="AA674" s="7"/>
      <c r="AB674" s="7">
        <f t="shared" si="131"/>
        <v>13040</v>
      </c>
    </row>
    <row r="675" spans="6:28" x14ac:dyDescent="0.15">
      <c r="F675">
        <f t="shared" si="121"/>
        <v>96</v>
      </c>
      <c r="G675">
        <v>672</v>
      </c>
      <c r="H675">
        <f t="shared" si="122"/>
        <v>1.7767634787741688E+19</v>
      </c>
      <c r="I675">
        <f t="shared" si="123"/>
        <v>1.77676347877417E+19</v>
      </c>
      <c r="J675" s="1">
        <f t="shared" si="124"/>
        <v>2</v>
      </c>
      <c r="K675" s="1">
        <f t="shared" si="125"/>
        <v>3.55352695754834E+19</v>
      </c>
      <c r="L675" s="1">
        <f t="shared" si="126"/>
        <v>1.4972193581137007E+19</v>
      </c>
      <c r="M675" s="3">
        <f t="shared" si="127"/>
        <v>517421972.09990752</v>
      </c>
      <c r="N675" s="7">
        <f t="shared" si="132"/>
        <v>1.4972193581137E+19</v>
      </c>
      <c r="O675" s="7">
        <f t="shared" si="128"/>
        <v>517421972</v>
      </c>
      <c r="P675" s="3">
        <f>SUM($O$4:O675)</f>
        <v>17040464315</v>
      </c>
      <c r="Y675" s="3">
        <f t="shared" si="129"/>
        <v>672</v>
      </c>
      <c r="Z675" s="3">
        <f t="shared" si="130"/>
        <v>1.1656770552153699E+17</v>
      </c>
      <c r="AA675" s="7"/>
      <c r="AB675" s="7">
        <f t="shared" si="131"/>
        <v>13040</v>
      </c>
    </row>
    <row r="676" spans="6:28" x14ac:dyDescent="0.15">
      <c r="F676">
        <f t="shared" si="121"/>
        <v>97</v>
      </c>
      <c r="G676">
        <v>673</v>
      </c>
      <c r="H676">
        <f t="shared" si="122"/>
        <v>2.789518661675445E+19</v>
      </c>
      <c r="I676">
        <f t="shared" si="123"/>
        <v>2.78951866167545E+19</v>
      </c>
      <c r="J676" s="1">
        <f t="shared" si="124"/>
        <v>1</v>
      </c>
      <c r="K676" s="1">
        <f t="shared" si="125"/>
        <v>2.78951866167545E+19</v>
      </c>
      <c r="L676" s="1">
        <f t="shared" si="126"/>
        <v>1.1836857521042827E+19</v>
      </c>
      <c r="M676" s="3">
        <f t="shared" si="127"/>
        <v>314667942.93409121</v>
      </c>
      <c r="N676" s="7">
        <f t="shared" si="132"/>
        <v>1.1836857521042801E+19</v>
      </c>
      <c r="O676" s="7">
        <f t="shared" si="128"/>
        <v>314667942</v>
      </c>
      <c r="P676" s="3">
        <f>SUM($O$4:O676)</f>
        <v>17355132257</v>
      </c>
      <c r="Y676" s="3">
        <f t="shared" si="129"/>
        <v>673</v>
      </c>
      <c r="Z676" s="3">
        <f t="shared" si="130"/>
        <v>1.22578227837492E+17</v>
      </c>
      <c r="AA676" s="7"/>
      <c r="AB676" s="7">
        <f t="shared" si="131"/>
        <v>13040</v>
      </c>
    </row>
    <row r="677" spans="6:28" x14ac:dyDescent="0.15">
      <c r="F677">
        <f t="shared" si="121"/>
        <v>97</v>
      </c>
      <c r="G677">
        <v>674</v>
      </c>
      <c r="H677">
        <f t="shared" si="122"/>
        <v>2.789518661675445E+19</v>
      </c>
      <c r="I677">
        <f t="shared" si="123"/>
        <v>2.78951866167545E+19</v>
      </c>
      <c r="J677" s="1">
        <f t="shared" si="124"/>
        <v>1</v>
      </c>
      <c r="K677" s="1">
        <f t="shared" si="125"/>
        <v>2.78951866167545E+19</v>
      </c>
      <c r="L677" s="1">
        <f t="shared" si="126"/>
        <v>1.1836857521042827E+19</v>
      </c>
      <c r="M677" s="3">
        <f t="shared" si="127"/>
        <v>314667942.93409121</v>
      </c>
      <c r="N677" s="7">
        <f t="shared" si="132"/>
        <v>1.1836857521042801E+19</v>
      </c>
      <c r="O677" s="7">
        <f t="shared" si="128"/>
        <v>314667942</v>
      </c>
      <c r="P677" s="3">
        <f>SUM($O$4:O677)</f>
        <v>17669800199</v>
      </c>
      <c r="Y677" s="3">
        <f t="shared" si="129"/>
        <v>674</v>
      </c>
      <c r="Z677" s="3">
        <f t="shared" si="130"/>
        <v>1.28898383121238E+17</v>
      </c>
      <c r="AA677" s="7"/>
      <c r="AB677" s="7">
        <f t="shared" si="131"/>
        <v>13040</v>
      </c>
    </row>
    <row r="678" spans="6:28" x14ac:dyDescent="0.15">
      <c r="F678">
        <f t="shared" si="121"/>
        <v>97</v>
      </c>
      <c r="G678">
        <v>675</v>
      </c>
      <c r="H678">
        <f t="shared" si="122"/>
        <v>2.789518661675445E+19</v>
      </c>
      <c r="I678">
        <f t="shared" si="123"/>
        <v>2.78951866167545E+19</v>
      </c>
      <c r="J678" s="1">
        <f t="shared" si="124"/>
        <v>1</v>
      </c>
      <c r="K678" s="1">
        <f t="shared" si="125"/>
        <v>2.78951866167545E+19</v>
      </c>
      <c r="L678" s="1">
        <f t="shared" si="126"/>
        <v>1.1836857521042827E+19</v>
      </c>
      <c r="M678" s="3">
        <f t="shared" si="127"/>
        <v>314667942.93409121</v>
      </c>
      <c r="N678" s="7">
        <f t="shared" si="132"/>
        <v>1.1836857521042801E+19</v>
      </c>
      <c r="O678" s="7">
        <f t="shared" si="128"/>
        <v>314667942</v>
      </c>
      <c r="P678" s="3">
        <f>SUM($O$4:O678)</f>
        <v>17984468141</v>
      </c>
      <c r="Y678" s="3">
        <f t="shared" si="129"/>
        <v>675</v>
      </c>
      <c r="Z678" s="3">
        <f t="shared" si="130"/>
        <v>1.35544108363764E+17</v>
      </c>
      <c r="AA678" s="7"/>
      <c r="AB678" s="7">
        <f t="shared" si="131"/>
        <v>13040</v>
      </c>
    </row>
    <row r="679" spans="6:28" x14ac:dyDescent="0.15">
      <c r="F679">
        <f t="shared" si="121"/>
        <v>97</v>
      </c>
      <c r="G679">
        <v>676</v>
      </c>
      <c r="H679">
        <f t="shared" si="122"/>
        <v>2.789518661675445E+19</v>
      </c>
      <c r="I679">
        <f t="shared" si="123"/>
        <v>2.78951866167545E+19</v>
      </c>
      <c r="J679" s="1">
        <f t="shared" si="124"/>
        <v>1</v>
      </c>
      <c r="K679" s="1">
        <f t="shared" si="125"/>
        <v>2.78951866167545E+19</v>
      </c>
      <c r="L679" s="1">
        <f t="shared" si="126"/>
        <v>1.1836857521042827E+19</v>
      </c>
      <c r="M679" s="3">
        <f t="shared" si="127"/>
        <v>314667942.93409121</v>
      </c>
      <c r="N679" s="7">
        <f t="shared" si="132"/>
        <v>1.1836857521042801E+19</v>
      </c>
      <c r="O679" s="7">
        <f t="shared" si="128"/>
        <v>314667942</v>
      </c>
      <c r="P679" s="3">
        <f>SUM($O$4:O679)</f>
        <v>18299136083</v>
      </c>
      <c r="Y679" s="3">
        <f t="shared" si="129"/>
        <v>676</v>
      </c>
      <c r="Z679" s="3">
        <f t="shared" si="130"/>
        <v>1.4253216017274099E+17</v>
      </c>
      <c r="AA679" s="7"/>
      <c r="AB679" s="7">
        <f t="shared" si="131"/>
        <v>13040</v>
      </c>
    </row>
    <row r="680" spans="6:28" x14ac:dyDescent="0.15">
      <c r="F680">
        <f t="shared" si="121"/>
        <v>97</v>
      </c>
      <c r="G680">
        <v>677</v>
      </c>
      <c r="H680">
        <f t="shared" si="122"/>
        <v>2.789518661675445E+19</v>
      </c>
      <c r="I680">
        <f t="shared" si="123"/>
        <v>2.78951866167545E+19</v>
      </c>
      <c r="J680" s="1">
        <f t="shared" si="124"/>
        <v>1</v>
      </c>
      <c r="K680" s="1">
        <f t="shared" si="125"/>
        <v>2.78951866167545E+19</v>
      </c>
      <c r="L680" s="1">
        <f t="shared" si="126"/>
        <v>1.1836857521042827E+19</v>
      </c>
      <c r="M680" s="3">
        <f t="shared" si="127"/>
        <v>314667942.93409121</v>
      </c>
      <c r="N680" s="7">
        <f t="shared" si="132"/>
        <v>1.1836857521042801E+19</v>
      </c>
      <c r="O680" s="7">
        <f t="shared" si="128"/>
        <v>314667942</v>
      </c>
      <c r="P680" s="3">
        <f>SUM($O$4:O680)</f>
        <v>18613804025</v>
      </c>
      <c r="Y680" s="3">
        <f t="shared" si="129"/>
        <v>677</v>
      </c>
      <c r="Z680" s="3">
        <f t="shared" si="130"/>
        <v>1.4988015689170499E+17</v>
      </c>
      <c r="AA680" s="7"/>
      <c r="AB680" s="7">
        <f t="shared" si="131"/>
        <v>13040</v>
      </c>
    </row>
    <row r="681" spans="6:28" x14ac:dyDescent="0.15">
      <c r="F681">
        <f t="shared" si="121"/>
        <v>97</v>
      </c>
      <c r="G681">
        <v>678</v>
      </c>
      <c r="H681">
        <f t="shared" si="122"/>
        <v>2.789518661675445E+19</v>
      </c>
      <c r="I681">
        <f t="shared" si="123"/>
        <v>2.78951866167545E+19</v>
      </c>
      <c r="J681" s="1">
        <f t="shared" si="124"/>
        <v>1</v>
      </c>
      <c r="K681" s="1">
        <f t="shared" si="125"/>
        <v>2.78951866167545E+19</v>
      </c>
      <c r="L681" s="1">
        <f t="shared" si="126"/>
        <v>1.1836857521042827E+19</v>
      </c>
      <c r="M681" s="3">
        <f t="shared" si="127"/>
        <v>314667942.93409121</v>
      </c>
      <c r="N681" s="7">
        <f t="shared" si="132"/>
        <v>1.1836857521042801E+19</v>
      </c>
      <c r="O681" s="7">
        <f t="shared" si="128"/>
        <v>314667942</v>
      </c>
      <c r="P681" s="3">
        <f>SUM($O$4:O681)</f>
        <v>18928471967</v>
      </c>
      <c r="Y681" s="3">
        <f t="shared" si="129"/>
        <v>678</v>
      </c>
      <c r="Z681" s="3">
        <f t="shared" si="130"/>
        <v>1.5760662288213402E+17</v>
      </c>
      <c r="AA681" s="7"/>
      <c r="AB681" s="7">
        <f t="shared" si="131"/>
        <v>13040</v>
      </c>
    </row>
    <row r="682" spans="6:28" x14ac:dyDescent="0.15">
      <c r="F682">
        <f t="shared" si="121"/>
        <v>97</v>
      </c>
      <c r="G682">
        <v>679</v>
      </c>
      <c r="H682">
        <f t="shared" si="122"/>
        <v>2.789518661675445E+19</v>
      </c>
      <c r="I682">
        <f t="shared" si="123"/>
        <v>2.78951866167545E+19</v>
      </c>
      <c r="J682" s="1">
        <f t="shared" si="124"/>
        <v>4</v>
      </c>
      <c r="K682" s="1">
        <f t="shared" si="125"/>
        <v>1.11580746467018E+20</v>
      </c>
      <c r="L682" s="1">
        <f t="shared" si="126"/>
        <v>4.7347430084171309E+19</v>
      </c>
      <c r="M682" s="3">
        <f t="shared" si="127"/>
        <v>1258671771.7363648</v>
      </c>
      <c r="N682" s="7">
        <f t="shared" si="132"/>
        <v>4.7347430084171301E+19</v>
      </c>
      <c r="O682" s="7">
        <f t="shared" si="128"/>
        <v>1258671771</v>
      </c>
      <c r="P682" s="3">
        <f>SUM($O$4:O682)</f>
        <v>20187143738</v>
      </c>
      <c r="Y682" s="3">
        <f t="shared" si="129"/>
        <v>679</v>
      </c>
      <c r="Z682" s="3">
        <f t="shared" si="130"/>
        <v>1.6573103507937699E+17</v>
      </c>
      <c r="AA682" s="7"/>
      <c r="AB682" s="7">
        <f t="shared" si="131"/>
        <v>13040</v>
      </c>
    </row>
    <row r="683" spans="6:28" x14ac:dyDescent="0.15">
      <c r="F683">
        <f t="shared" si="121"/>
        <v>98</v>
      </c>
      <c r="G683">
        <v>680</v>
      </c>
      <c r="H683">
        <f t="shared" si="122"/>
        <v>4.379544298830449E+19</v>
      </c>
      <c r="I683">
        <f t="shared" si="123"/>
        <v>4.3795442988304499E+19</v>
      </c>
      <c r="J683" s="1">
        <f t="shared" si="124"/>
        <v>1</v>
      </c>
      <c r="K683" s="1">
        <f t="shared" si="125"/>
        <v>4.3795442988304499E+19</v>
      </c>
      <c r="L683" s="1">
        <f t="shared" si="126"/>
        <v>1.8715252637002125E+19</v>
      </c>
      <c r="M683" s="3">
        <f t="shared" si="127"/>
        <v>382708777.24404007</v>
      </c>
      <c r="N683" s="7">
        <f t="shared" si="132"/>
        <v>1.8715252637002101E+19</v>
      </c>
      <c r="O683" s="7">
        <f t="shared" si="128"/>
        <v>382708777</v>
      </c>
      <c r="P683" s="3">
        <f>SUM($O$4:O683)</f>
        <v>20569852515</v>
      </c>
      <c r="Y683" s="3">
        <f t="shared" si="129"/>
        <v>680</v>
      </c>
      <c r="Z683" s="3">
        <f t="shared" si="130"/>
        <v>1.7427387193913901E+17</v>
      </c>
      <c r="AA683" s="7"/>
      <c r="AB683" s="7">
        <f t="shared" si="131"/>
        <v>13040</v>
      </c>
    </row>
    <row r="684" spans="6:28" x14ac:dyDescent="0.15">
      <c r="F684">
        <f t="shared" si="121"/>
        <v>98</v>
      </c>
      <c r="G684">
        <v>681</v>
      </c>
      <c r="H684">
        <f t="shared" si="122"/>
        <v>4.379544298830449E+19</v>
      </c>
      <c r="I684">
        <f t="shared" si="123"/>
        <v>4.3795442988304499E+19</v>
      </c>
      <c r="J684" s="1">
        <f t="shared" si="124"/>
        <v>1</v>
      </c>
      <c r="K684" s="1">
        <f t="shared" si="125"/>
        <v>4.3795442988304499E+19</v>
      </c>
      <c r="L684" s="1">
        <f t="shared" si="126"/>
        <v>1.8715252637002125E+19</v>
      </c>
      <c r="M684" s="3">
        <f t="shared" si="127"/>
        <v>382708777.24404007</v>
      </c>
      <c r="N684" s="7">
        <f t="shared" si="132"/>
        <v>1.8715252637002101E+19</v>
      </c>
      <c r="O684" s="7">
        <f t="shared" si="128"/>
        <v>382708777</v>
      </c>
      <c r="P684" s="3">
        <f>SUM($O$4:O684)</f>
        <v>20952561292</v>
      </c>
      <c r="Y684" s="3">
        <f t="shared" si="129"/>
        <v>681</v>
      </c>
      <c r="Z684" s="3">
        <f t="shared" si="130"/>
        <v>1.8325666489717798E+17</v>
      </c>
      <c r="AA684" s="7"/>
      <c r="AB684" s="7">
        <f t="shared" si="131"/>
        <v>13040</v>
      </c>
    </row>
    <row r="685" spans="6:28" x14ac:dyDescent="0.15">
      <c r="F685">
        <f t="shared" si="121"/>
        <v>98</v>
      </c>
      <c r="G685">
        <v>682</v>
      </c>
      <c r="H685">
        <f t="shared" si="122"/>
        <v>4.379544298830449E+19</v>
      </c>
      <c r="I685">
        <f t="shared" si="123"/>
        <v>4.3795442988304499E+19</v>
      </c>
      <c r="J685" s="1">
        <f t="shared" si="124"/>
        <v>1</v>
      </c>
      <c r="K685" s="1">
        <f t="shared" si="125"/>
        <v>4.3795442988304499E+19</v>
      </c>
      <c r="L685" s="1">
        <f t="shared" si="126"/>
        <v>1.8715252637002125E+19</v>
      </c>
      <c r="M685" s="3">
        <f t="shared" si="127"/>
        <v>382708777.24404007</v>
      </c>
      <c r="N685" s="7">
        <f t="shared" si="132"/>
        <v>1.8715252637002101E+19</v>
      </c>
      <c r="O685" s="7">
        <f t="shared" si="128"/>
        <v>382708777</v>
      </c>
      <c r="P685" s="3">
        <f>SUM($O$4:O685)</f>
        <v>21335270069</v>
      </c>
      <c r="Y685" s="3">
        <f t="shared" si="129"/>
        <v>682</v>
      </c>
      <c r="Z685" s="3">
        <f t="shared" si="130"/>
        <v>1.9270205247117402E+17</v>
      </c>
      <c r="AA685" s="7"/>
      <c r="AB685" s="7">
        <f t="shared" si="131"/>
        <v>13040</v>
      </c>
    </row>
    <row r="686" spans="6:28" x14ac:dyDescent="0.15">
      <c r="F686">
        <f t="shared" si="121"/>
        <v>98</v>
      </c>
      <c r="G686">
        <v>683</v>
      </c>
      <c r="H686">
        <f t="shared" si="122"/>
        <v>4.379544298830449E+19</v>
      </c>
      <c r="I686">
        <f t="shared" si="123"/>
        <v>4.3795442988304499E+19</v>
      </c>
      <c r="J686" s="1">
        <f t="shared" si="124"/>
        <v>1</v>
      </c>
      <c r="K686" s="1">
        <f t="shared" si="125"/>
        <v>4.3795442988304499E+19</v>
      </c>
      <c r="L686" s="1">
        <f t="shared" si="126"/>
        <v>1.8715252637002125E+19</v>
      </c>
      <c r="M686" s="3">
        <f t="shared" si="127"/>
        <v>382708777.24404007</v>
      </c>
      <c r="N686" s="7">
        <f t="shared" si="132"/>
        <v>1.8715252637002101E+19</v>
      </c>
      <c r="O686" s="7">
        <f t="shared" si="128"/>
        <v>382708777</v>
      </c>
      <c r="P686" s="3">
        <f>SUM($O$4:O686)</f>
        <v>21717978846</v>
      </c>
      <c r="Y686" s="3">
        <f t="shared" si="129"/>
        <v>683</v>
      </c>
      <c r="Z686" s="3">
        <f t="shared" si="130"/>
        <v>2.0263383714032602E+17</v>
      </c>
      <c r="AA686" s="7"/>
      <c r="AB686" s="7">
        <f t="shared" si="131"/>
        <v>13040</v>
      </c>
    </row>
    <row r="687" spans="6:28" x14ac:dyDescent="0.15">
      <c r="F687">
        <f t="shared" si="121"/>
        <v>98</v>
      </c>
      <c r="G687">
        <v>684</v>
      </c>
      <c r="H687">
        <f t="shared" si="122"/>
        <v>4.379544298830449E+19</v>
      </c>
      <c r="I687">
        <f t="shared" si="123"/>
        <v>4.3795442988304499E+19</v>
      </c>
      <c r="J687" s="1">
        <f t="shared" si="124"/>
        <v>1</v>
      </c>
      <c r="K687" s="1">
        <f t="shared" si="125"/>
        <v>4.3795442988304499E+19</v>
      </c>
      <c r="L687" s="1">
        <f t="shared" si="126"/>
        <v>1.8715252637002125E+19</v>
      </c>
      <c r="M687" s="3">
        <f t="shared" si="127"/>
        <v>382708777.24404007</v>
      </c>
      <c r="N687" s="7">
        <f t="shared" si="132"/>
        <v>1.8715252637002101E+19</v>
      </c>
      <c r="O687" s="7">
        <f t="shared" si="128"/>
        <v>382708777</v>
      </c>
      <c r="P687" s="3">
        <f>SUM($O$4:O687)</f>
        <v>22100687623</v>
      </c>
      <c r="Y687" s="3">
        <f t="shared" si="129"/>
        <v>684</v>
      </c>
      <c r="Z687" s="3">
        <f t="shared" si="130"/>
        <v>2.1307704514521501E+17</v>
      </c>
      <c r="AA687" s="7"/>
      <c r="AB687" s="7">
        <f t="shared" si="131"/>
        <v>13040</v>
      </c>
    </row>
    <row r="688" spans="6:28" x14ac:dyDescent="0.15">
      <c r="F688">
        <f t="shared" si="121"/>
        <v>98</v>
      </c>
      <c r="G688">
        <v>685</v>
      </c>
      <c r="H688">
        <f t="shared" si="122"/>
        <v>4.379544298830449E+19</v>
      </c>
      <c r="I688">
        <f t="shared" si="123"/>
        <v>4.3795442988304499E+19</v>
      </c>
      <c r="J688" s="1">
        <f t="shared" si="124"/>
        <v>1</v>
      </c>
      <c r="K688" s="1">
        <f t="shared" si="125"/>
        <v>4.3795442988304499E+19</v>
      </c>
      <c r="L688" s="1">
        <f t="shared" si="126"/>
        <v>1.8715252637002125E+19</v>
      </c>
      <c r="M688" s="3">
        <f t="shared" si="127"/>
        <v>382708777.24404007</v>
      </c>
      <c r="N688" s="7">
        <f t="shared" si="132"/>
        <v>1.8715252637002101E+19</v>
      </c>
      <c r="O688" s="7">
        <f t="shared" si="128"/>
        <v>382708777</v>
      </c>
      <c r="P688" s="3">
        <f>SUM($O$4:O688)</f>
        <v>22483396400</v>
      </c>
      <c r="Y688" s="3">
        <f t="shared" si="129"/>
        <v>685</v>
      </c>
      <c r="Z688" s="3">
        <f t="shared" si="130"/>
        <v>2.2405798935774301E+17</v>
      </c>
      <c r="AA688" s="7"/>
      <c r="AB688" s="7">
        <f t="shared" si="131"/>
        <v>13040</v>
      </c>
    </row>
    <row r="689" spans="6:28" x14ac:dyDescent="0.15">
      <c r="F689">
        <f t="shared" si="121"/>
        <v>98</v>
      </c>
      <c r="G689">
        <v>686</v>
      </c>
      <c r="H689">
        <f t="shared" si="122"/>
        <v>4.379544298830449E+19</v>
      </c>
      <c r="I689">
        <f t="shared" si="123"/>
        <v>4.3795442988304499E+19</v>
      </c>
      <c r="J689" s="1">
        <f t="shared" si="124"/>
        <v>6</v>
      </c>
      <c r="K689" s="1">
        <f t="shared" si="125"/>
        <v>2.6277265792982699E+20</v>
      </c>
      <c r="L689" s="1">
        <f t="shared" si="126"/>
        <v>1.1229151582201274E+20</v>
      </c>
      <c r="M689" s="3">
        <f t="shared" si="127"/>
        <v>2296252663.4642401</v>
      </c>
      <c r="N689" s="7">
        <f t="shared" si="132"/>
        <v>1.1229151582201301E+20</v>
      </c>
      <c r="O689" s="7">
        <f t="shared" si="128"/>
        <v>2296252663</v>
      </c>
      <c r="P689" s="3">
        <f>SUM($O$4:O689)</f>
        <v>24779649063</v>
      </c>
      <c r="Y689" s="3">
        <f t="shared" si="129"/>
        <v>686</v>
      </c>
      <c r="Z689" s="3">
        <f t="shared" si="130"/>
        <v>2.3560433537866E+17</v>
      </c>
      <c r="AA689" s="7"/>
      <c r="AB689" s="7">
        <f t="shared" si="131"/>
        <v>13040</v>
      </c>
    </row>
    <row r="690" spans="6:28" x14ac:dyDescent="0.15">
      <c r="F690">
        <f t="shared" si="121"/>
        <v>99</v>
      </c>
      <c r="G690">
        <v>687</v>
      </c>
      <c r="H690">
        <f t="shared" si="122"/>
        <v>6.8758845491638059E+19</v>
      </c>
      <c r="I690">
        <f t="shared" si="123"/>
        <v>6.87588454916381E+19</v>
      </c>
      <c r="J690" s="1">
        <f t="shared" si="124"/>
        <v>1</v>
      </c>
      <c r="K690" s="1">
        <f t="shared" si="125"/>
        <v>6.87588454916381E+19</v>
      </c>
      <c r="L690" s="1">
        <f t="shared" si="126"/>
        <v>2.9589223176568263E+19</v>
      </c>
      <c r="M690" s="3">
        <f t="shared" si="127"/>
        <v>465439181.16682327</v>
      </c>
      <c r="N690" s="7">
        <f t="shared" si="132"/>
        <v>2.95892231765683E+19</v>
      </c>
      <c r="O690" s="7">
        <f t="shared" si="128"/>
        <v>465439181</v>
      </c>
      <c r="P690" s="3">
        <f>SUM($O$4:O690)</f>
        <v>25245088244</v>
      </c>
      <c r="Y690" s="3">
        <f t="shared" si="129"/>
        <v>687</v>
      </c>
      <c r="Z690" s="3">
        <f t="shared" si="130"/>
        <v>2.4774517102827501E+17</v>
      </c>
      <c r="AA690" s="7"/>
      <c r="AB690" s="7">
        <f t="shared" si="131"/>
        <v>13040</v>
      </c>
    </row>
    <row r="691" spans="6:28" x14ac:dyDescent="0.15">
      <c r="F691">
        <f t="shared" si="121"/>
        <v>99</v>
      </c>
      <c r="G691">
        <v>688</v>
      </c>
      <c r="H691">
        <f t="shared" si="122"/>
        <v>6.8758845491638059E+19</v>
      </c>
      <c r="I691">
        <f t="shared" si="123"/>
        <v>6.87588454916381E+19</v>
      </c>
      <c r="J691" s="1">
        <f t="shared" si="124"/>
        <v>1</v>
      </c>
      <c r="K691" s="1">
        <f t="shared" si="125"/>
        <v>6.87588454916381E+19</v>
      </c>
      <c r="L691" s="1">
        <f t="shared" si="126"/>
        <v>2.9589223176568263E+19</v>
      </c>
      <c r="M691" s="3">
        <f t="shared" si="127"/>
        <v>465439181.16682327</v>
      </c>
      <c r="N691" s="7">
        <f t="shared" si="132"/>
        <v>2.95892231765683E+19</v>
      </c>
      <c r="O691" s="7">
        <f t="shared" si="128"/>
        <v>465439181</v>
      </c>
      <c r="P691" s="3">
        <f>SUM($O$4:O691)</f>
        <v>25710527425</v>
      </c>
      <c r="Y691" s="3">
        <f t="shared" si="129"/>
        <v>688</v>
      </c>
      <c r="Z691" s="3">
        <f t="shared" si="130"/>
        <v>2.60511079404404E+17</v>
      </c>
      <c r="AA691" s="7"/>
      <c r="AB691" s="7">
        <f t="shared" si="131"/>
        <v>13040</v>
      </c>
    </row>
    <row r="692" spans="6:28" x14ac:dyDescent="0.15">
      <c r="F692">
        <f t="shared" si="121"/>
        <v>99</v>
      </c>
      <c r="G692">
        <v>689</v>
      </c>
      <c r="H692">
        <f t="shared" si="122"/>
        <v>6.8758845491638059E+19</v>
      </c>
      <c r="I692">
        <f t="shared" si="123"/>
        <v>6.87588454916381E+19</v>
      </c>
      <c r="J692" s="1">
        <f t="shared" si="124"/>
        <v>1</v>
      </c>
      <c r="K692" s="1">
        <f t="shared" si="125"/>
        <v>6.87588454916381E+19</v>
      </c>
      <c r="L692" s="1">
        <f t="shared" si="126"/>
        <v>2.9589223176568263E+19</v>
      </c>
      <c r="M692" s="3">
        <f t="shared" si="127"/>
        <v>465439181.16682327</v>
      </c>
      <c r="N692" s="7">
        <f t="shared" si="132"/>
        <v>2.95892231765683E+19</v>
      </c>
      <c r="O692" s="7">
        <f t="shared" si="128"/>
        <v>465439181</v>
      </c>
      <c r="P692" s="3">
        <f>SUM($O$4:O692)</f>
        <v>26175966606</v>
      </c>
      <c r="Y692" s="3">
        <f t="shared" si="129"/>
        <v>689</v>
      </c>
      <c r="Z692" s="3">
        <f t="shared" si="130"/>
        <v>2.73934215690576E+17</v>
      </c>
      <c r="AA692" s="7"/>
      <c r="AB692" s="7">
        <f t="shared" si="131"/>
        <v>13040</v>
      </c>
    </row>
    <row r="693" spans="6:28" x14ac:dyDescent="0.15">
      <c r="F693">
        <f t="shared" si="121"/>
        <v>99</v>
      </c>
      <c r="G693">
        <v>690</v>
      </c>
      <c r="H693">
        <f t="shared" si="122"/>
        <v>6.8758845491638059E+19</v>
      </c>
      <c r="I693">
        <f t="shared" si="123"/>
        <v>6.87588454916381E+19</v>
      </c>
      <c r="J693" s="1">
        <f t="shared" si="124"/>
        <v>1</v>
      </c>
      <c r="K693" s="1">
        <f t="shared" si="125"/>
        <v>6.87588454916381E+19</v>
      </c>
      <c r="L693" s="1">
        <f t="shared" si="126"/>
        <v>2.9589223176568263E+19</v>
      </c>
      <c r="M693" s="3">
        <f t="shared" si="127"/>
        <v>465439181.16682327</v>
      </c>
      <c r="N693" s="7">
        <f t="shared" si="132"/>
        <v>2.95892231765683E+19</v>
      </c>
      <c r="O693" s="7">
        <f t="shared" si="128"/>
        <v>465439181</v>
      </c>
      <c r="P693" s="3">
        <f>SUM($O$4:O693)</f>
        <v>26641405787</v>
      </c>
      <c r="Y693" s="3">
        <f t="shared" si="129"/>
        <v>690</v>
      </c>
      <c r="Z693" s="3">
        <f t="shared" si="130"/>
        <v>2.8804838790685402E+17</v>
      </c>
      <c r="AA693" s="7"/>
      <c r="AB693" s="7">
        <f t="shared" si="131"/>
        <v>13040</v>
      </c>
    </row>
    <row r="694" spans="6:28" x14ac:dyDescent="0.15">
      <c r="F694">
        <f t="shared" si="121"/>
        <v>99</v>
      </c>
      <c r="G694">
        <v>691</v>
      </c>
      <c r="H694">
        <f t="shared" si="122"/>
        <v>6.8758845491638059E+19</v>
      </c>
      <c r="I694">
        <f t="shared" si="123"/>
        <v>6.87588454916381E+19</v>
      </c>
      <c r="J694" s="1">
        <f t="shared" si="124"/>
        <v>1</v>
      </c>
      <c r="K694" s="1">
        <f t="shared" si="125"/>
        <v>6.87588454916381E+19</v>
      </c>
      <c r="L694" s="1">
        <f t="shared" si="126"/>
        <v>2.9589223176568263E+19</v>
      </c>
      <c r="M694" s="3">
        <f t="shared" si="127"/>
        <v>465439181.16682327</v>
      </c>
      <c r="N694" s="7">
        <f t="shared" si="132"/>
        <v>2.95892231765683E+19</v>
      </c>
      <c r="O694" s="7">
        <f t="shared" si="128"/>
        <v>465439181</v>
      </c>
      <c r="P694" s="3">
        <f>SUM($O$4:O694)</f>
        <v>27106844968</v>
      </c>
      <c r="Y694" s="3">
        <f t="shared" si="129"/>
        <v>691</v>
      </c>
      <c r="Z694" s="3">
        <f t="shared" si="130"/>
        <v>3.0288914180553299E+17</v>
      </c>
      <c r="AA694" s="7"/>
      <c r="AB694" s="7">
        <f t="shared" si="131"/>
        <v>13040</v>
      </c>
    </row>
    <row r="695" spans="6:28" x14ac:dyDescent="0.15">
      <c r="F695">
        <f t="shared" si="121"/>
        <v>99</v>
      </c>
      <c r="G695">
        <v>692</v>
      </c>
      <c r="H695">
        <f t="shared" si="122"/>
        <v>6.8758845491638059E+19</v>
      </c>
      <c r="I695">
        <f t="shared" si="123"/>
        <v>6.87588454916381E+19</v>
      </c>
      <c r="J695" s="1">
        <f t="shared" si="124"/>
        <v>1</v>
      </c>
      <c r="K695" s="1">
        <f t="shared" si="125"/>
        <v>6.87588454916381E+19</v>
      </c>
      <c r="L695" s="1">
        <f t="shared" si="126"/>
        <v>2.9589223176568263E+19</v>
      </c>
      <c r="M695" s="3">
        <f t="shared" si="127"/>
        <v>465439181.16682327</v>
      </c>
      <c r="N695" s="7">
        <f t="shared" si="132"/>
        <v>2.95892231765683E+19</v>
      </c>
      <c r="O695" s="7">
        <f t="shared" si="128"/>
        <v>465439181</v>
      </c>
      <c r="P695" s="3">
        <f>SUM($O$4:O695)</f>
        <v>27572284149</v>
      </c>
      <c r="Y695" s="3">
        <f t="shared" si="129"/>
        <v>692</v>
      </c>
      <c r="Z695" s="3">
        <f t="shared" si="130"/>
        <v>3.1849385012431302E+17</v>
      </c>
      <c r="AA695" s="7"/>
      <c r="AB695" s="7">
        <f t="shared" si="131"/>
        <v>13040</v>
      </c>
    </row>
    <row r="696" spans="6:28" x14ac:dyDescent="0.15">
      <c r="F696">
        <f t="shared" si="121"/>
        <v>99</v>
      </c>
      <c r="G696">
        <v>693</v>
      </c>
      <c r="H696">
        <f t="shared" si="122"/>
        <v>6.8758845491638059E+19</v>
      </c>
      <c r="I696">
        <f t="shared" si="123"/>
        <v>6.87588454916381E+19</v>
      </c>
      <c r="J696" s="1">
        <f t="shared" si="124"/>
        <v>7</v>
      </c>
      <c r="K696" s="1">
        <f t="shared" si="125"/>
        <v>4.8131191844146669E+20</v>
      </c>
      <c r="L696" s="1">
        <f t="shared" si="126"/>
        <v>2.0712456223597783E+20</v>
      </c>
      <c r="M696" s="3">
        <f t="shared" si="127"/>
        <v>3258074268.1677628</v>
      </c>
      <c r="N696" s="7">
        <f t="shared" si="132"/>
        <v>2.0712456223597799E+20</v>
      </c>
      <c r="O696" s="7">
        <f t="shared" si="128"/>
        <v>3258074268</v>
      </c>
      <c r="P696" s="3">
        <f>SUM($O$4:O696)</f>
        <v>30830358417</v>
      </c>
      <c r="Y696" s="3">
        <f t="shared" si="129"/>
        <v>693</v>
      </c>
      <c r="Z696" s="3">
        <f t="shared" si="130"/>
        <v>3.3490180642045702E+17</v>
      </c>
      <c r="AA696" s="7"/>
      <c r="AB696" s="7">
        <f t="shared" si="131"/>
        <v>13040</v>
      </c>
    </row>
    <row r="697" spans="6:28" x14ac:dyDescent="0.15">
      <c r="F697">
        <f t="shared" si="121"/>
        <v>100</v>
      </c>
      <c r="G697">
        <v>694</v>
      </c>
      <c r="H697">
        <f t="shared" si="122"/>
        <v>1.0795138742187175E+20</v>
      </c>
      <c r="I697">
        <f t="shared" si="123"/>
        <v>1.07951387421872E+20</v>
      </c>
      <c r="J697" s="1">
        <f t="shared" si="124"/>
        <v>1</v>
      </c>
      <c r="K697" s="1">
        <f t="shared" si="125"/>
        <v>1.07951387421872E+20</v>
      </c>
      <c r="L697" s="1">
        <f t="shared" si="126"/>
        <v>4.6778934549477868E+19</v>
      </c>
      <c r="M697" s="3">
        <f t="shared" si="127"/>
        <v>566025960.05570388</v>
      </c>
      <c r="N697" s="7">
        <f t="shared" si="132"/>
        <v>4.67789345494779E+19</v>
      </c>
      <c r="O697" s="7">
        <f t="shared" si="128"/>
        <v>566025960</v>
      </c>
      <c r="P697" s="3">
        <f>SUM($O$4:O697)</f>
        <v>31396384377</v>
      </c>
      <c r="Y697" s="3">
        <f t="shared" si="129"/>
        <v>694</v>
      </c>
      <c r="Z697" s="3">
        <f t="shared" si="130"/>
        <v>3.5215432372090502E+17</v>
      </c>
      <c r="AA697" s="7"/>
      <c r="AB697" s="7">
        <f t="shared" si="131"/>
        <v>13040</v>
      </c>
    </row>
    <row r="698" spans="6:28" x14ac:dyDescent="0.15">
      <c r="F698">
        <f t="shared" si="121"/>
        <v>100</v>
      </c>
      <c r="G698">
        <v>695</v>
      </c>
      <c r="H698">
        <f t="shared" si="122"/>
        <v>1.0795138742187175E+20</v>
      </c>
      <c r="I698">
        <f t="shared" si="123"/>
        <v>1.07951387421872E+20</v>
      </c>
      <c r="J698" s="1">
        <f t="shared" si="124"/>
        <v>1</v>
      </c>
      <c r="K698" s="1">
        <f t="shared" si="125"/>
        <v>1.07951387421872E+20</v>
      </c>
      <c r="L698" s="1">
        <f t="shared" si="126"/>
        <v>4.6778934549477868E+19</v>
      </c>
      <c r="M698" s="3">
        <f t="shared" si="127"/>
        <v>566025960.05570388</v>
      </c>
      <c r="N698" s="7">
        <f t="shared" si="132"/>
        <v>4.67789345494779E+19</v>
      </c>
      <c r="O698" s="7">
        <f t="shared" si="128"/>
        <v>566025960</v>
      </c>
      <c r="P698" s="3">
        <f>SUM($O$4:O698)</f>
        <v>31962410337</v>
      </c>
      <c r="Y698" s="3">
        <f t="shared" si="129"/>
        <v>695</v>
      </c>
      <c r="Z698" s="3">
        <f t="shared" si="130"/>
        <v>3.7029483823534598E+17</v>
      </c>
      <c r="AA698" s="7"/>
      <c r="AB698" s="7">
        <f t="shared" si="131"/>
        <v>13040</v>
      </c>
    </row>
    <row r="699" spans="6:28" x14ac:dyDescent="0.15">
      <c r="F699">
        <f t="shared" si="121"/>
        <v>100</v>
      </c>
      <c r="G699">
        <v>696</v>
      </c>
      <c r="H699">
        <f t="shared" si="122"/>
        <v>1.0795138742187175E+20</v>
      </c>
      <c r="I699">
        <f t="shared" si="123"/>
        <v>1.07951387421872E+20</v>
      </c>
      <c r="J699" s="1">
        <f t="shared" si="124"/>
        <v>1</v>
      </c>
      <c r="K699" s="1">
        <f t="shared" si="125"/>
        <v>1.07951387421872E+20</v>
      </c>
      <c r="L699" s="1">
        <f t="shared" si="126"/>
        <v>4.6778934549477868E+19</v>
      </c>
      <c r="M699" s="3">
        <f t="shared" si="127"/>
        <v>566025960.05570388</v>
      </c>
      <c r="N699" s="7">
        <f t="shared" si="132"/>
        <v>4.67789345494779E+19</v>
      </c>
      <c r="O699" s="7">
        <f t="shared" si="128"/>
        <v>566025960</v>
      </c>
      <c r="P699" s="3">
        <f>SUM($O$4:O699)</f>
        <v>32528436297</v>
      </c>
      <c r="Y699" s="3">
        <f t="shared" si="129"/>
        <v>696</v>
      </c>
      <c r="Z699" s="3">
        <f t="shared" si="130"/>
        <v>3.8936901839192902E+17</v>
      </c>
      <c r="AA699" s="7"/>
      <c r="AB699" s="7">
        <f t="shared" si="131"/>
        <v>13040</v>
      </c>
    </row>
    <row r="700" spans="6:28" x14ac:dyDescent="0.15">
      <c r="F700">
        <f t="shared" si="121"/>
        <v>100</v>
      </c>
      <c r="G700">
        <v>697</v>
      </c>
      <c r="H700">
        <f t="shared" si="122"/>
        <v>1.0795138742187175E+20</v>
      </c>
      <c r="I700">
        <f t="shared" si="123"/>
        <v>1.07951387421872E+20</v>
      </c>
      <c r="J700" s="1">
        <f t="shared" si="124"/>
        <v>1</v>
      </c>
      <c r="K700" s="1">
        <f t="shared" si="125"/>
        <v>1.07951387421872E+20</v>
      </c>
      <c r="L700" s="1">
        <f t="shared" si="126"/>
        <v>4.6778934549477868E+19</v>
      </c>
      <c r="M700" s="3">
        <f t="shared" si="127"/>
        <v>566025960.05570388</v>
      </c>
      <c r="N700" s="7">
        <f t="shared" si="132"/>
        <v>4.67789345494779E+19</v>
      </c>
      <c r="O700" s="7">
        <f t="shared" si="128"/>
        <v>566025960</v>
      </c>
      <c r="P700" s="3">
        <f>SUM($O$4:O700)</f>
        <v>33094462257</v>
      </c>
      <c r="Y700" s="3">
        <f t="shared" si="129"/>
        <v>697</v>
      </c>
      <c r="Z700" s="3">
        <f t="shared" si="130"/>
        <v>4.0942487946858298E+17</v>
      </c>
      <c r="AA700" s="7"/>
      <c r="AB700" s="7">
        <f t="shared" si="131"/>
        <v>13040</v>
      </c>
    </row>
    <row r="701" spans="6:28" x14ac:dyDescent="0.15">
      <c r="F701">
        <f t="shared" si="121"/>
        <v>100</v>
      </c>
      <c r="G701">
        <v>698</v>
      </c>
      <c r="H701">
        <f t="shared" si="122"/>
        <v>1.0795138742187175E+20</v>
      </c>
      <c r="I701">
        <f t="shared" si="123"/>
        <v>1.07951387421872E+20</v>
      </c>
      <c r="J701" s="1">
        <f t="shared" si="124"/>
        <v>1</v>
      </c>
      <c r="K701" s="1">
        <f t="shared" si="125"/>
        <v>1.07951387421872E+20</v>
      </c>
      <c r="L701" s="1">
        <f t="shared" si="126"/>
        <v>4.6778934549477868E+19</v>
      </c>
      <c r="M701" s="3">
        <f t="shared" si="127"/>
        <v>566025960.05570388</v>
      </c>
      <c r="N701" s="7">
        <f t="shared" si="132"/>
        <v>4.67789345494779E+19</v>
      </c>
      <c r="O701" s="7">
        <f t="shared" si="128"/>
        <v>566025960</v>
      </c>
      <c r="P701" s="3">
        <f>SUM($O$4:O701)</f>
        <v>33660488217</v>
      </c>
      <c r="Y701" s="3">
        <f t="shared" si="129"/>
        <v>698</v>
      </c>
      <c r="Z701" s="3">
        <f t="shared" si="130"/>
        <v>4.3051290410692198E+17</v>
      </c>
      <c r="AA701" s="7"/>
      <c r="AB701" s="7">
        <f t="shared" si="131"/>
        <v>13040</v>
      </c>
    </row>
    <row r="702" spans="6:28" x14ac:dyDescent="0.15">
      <c r="F702">
        <f t="shared" si="121"/>
        <v>100</v>
      </c>
      <c r="G702">
        <v>699</v>
      </c>
      <c r="H702">
        <f t="shared" si="122"/>
        <v>1.0795138742187175E+20</v>
      </c>
      <c r="I702">
        <f t="shared" si="123"/>
        <v>1.07951387421872E+20</v>
      </c>
      <c r="J702" s="1">
        <f t="shared" si="124"/>
        <v>1</v>
      </c>
      <c r="K702" s="1">
        <f t="shared" si="125"/>
        <v>1.07951387421872E+20</v>
      </c>
      <c r="L702" s="1">
        <f t="shared" si="126"/>
        <v>4.6778934549477868E+19</v>
      </c>
      <c r="M702" s="3">
        <f t="shared" si="127"/>
        <v>566025960.05570388</v>
      </c>
      <c r="N702" s="7">
        <f t="shared" si="132"/>
        <v>4.67789345494779E+19</v>
      </c>
      <c r="O702" s="7">
        <f t="shared" si="128"/>
        <v>566025960</v>
      </c>
      <c r="P702" s="3">
        <f>SUM($O$4:O702)</f>
        <v>34226514177</v>
      </c>
      <c r="Y702" s="3">
        <f t="shared" si="129"/>
        <v>699</v>
      </c>
      <c r="Z702" s="3">
        <f t="shared" si="130"/>
        <v>4.5268616901042298E+17</v>
      </c>
      <c r="AA702" s="7"/>
      <c r="AB702" s="7">
        <f t="shared" si="131"/>
        <v>13040</v>
      </c>
    </row>
    <row r="703" spans="6:28" x14ac:dyDescent="0.15">
      <c r="F703">
        <f t="shared" si="121"/>
        <v>100</v>
      </c>
      <c r="G703">
        <v>700</v>
      </c>
      <c r="H703">
        <f t="shared" si="122"/>
        <v>1.0795138742187175E+20</v>
      </c>
      <c r="I703">
        <f t="shared" si="123"/>
        <v>1.07951387421872E+20</v>
      </c>
      <c r="J703" s="1">
        <f t="shared" si="124"/>
        <v>10</v>
      </c>
      <c r="K703" s="1">
        <f t="shared" si="125"/>
        <v>1.0795138742187199E+21</v>
      </c>
      <c r="L703" s="1">
        <f t="shared" si="126"/>
        <v>4.6778934549477864E+20</v>
      </c>
      <c r="M703" s="3">
        <f t="shared" si="127"/>
        <v>5660259600.5570383</v>
      </c>
      <c r="N703" s="7">
        <f t="shared" si="132"/>
        <v>4.6778934549477897E+20</v>
      </c>
      <c r="O703" s="7">
        <f t="shared" si="128"/>
        <v>5660259600</v>
      </c>
      <c r="P703" s="3">
        <f>SUM($O$4:O703)</f>
        <v>39886773777</v>
      </c>
      <c r="Y703" s="3">
        <f t="shared" si="129"/>
        <v>700</v>
      </c>
      <c r="Z703" s="3">
        <f t="shared" si="130"/>
        <v>4.7600047814400698E+17</v>
      </c>
      <c r="AA703" s="7"/>
      <c r="AB703" s="7">
        <f t="shared" si="131"/>
        <v>13040</v>
      </c>
    </row>
    <row r="704" spans="6:28" x14ac:dyDescent="0.15">
      <c r="F704">
        <f t="shared" si="121"/>
        <v>101</v>
      </c>
      <c r="G704">
        <v>701</v>
      </c>
      <c r="H704">
        <f t="shared" si="122"/>
        <v>1.6948367825233864E+20</v>
      </c>
      <c r="I704">
        <f t="shared" si="123"/>
        <v>1.69483678252339E+20</v>
      </c>
      <c r="J704" s="1">
        <f t="shared" si="124"/>
        <v>1</v>
      </c>
      <c r="K704" s="1">
        <f t="shared" si="125"/>
        <v>1.69483678252339E+20</v>
      </c>
      <c r="L704" s="1">
        <f t="shared" si="126"/>
        <v>7.395137827743726E+19</v>
      </c>
      <c r="M704" s="3">
        <f t="shared" si="127"/>
        <v>688317710.82205832</v>
      </c>
      <c r="N704" s="7">
        <f t="shared" si="132"/>
        <v>7.3951378277437293E+19</v>
      </c>
      <c r="O704" s="7">
        <f t="shared" si="128"/>
        <v>688317710</v>
      </c>
      <c r="P704" s="3">
        <f>SUM($O$4:O704)</f>
        <v>40575091487</v>
      </c>
      <c r="Y704" s="3">
        <f t="shared" si="129"/>
        <v>701</v>
      </c>
      <c r="Z704" s="3">
        <f t="shared" si="130"/>
        <v>5.0051450276842298E+17</v>
      </c>
      <c r="AA704" s="7"/>
      <c r="AB704" s="7">
        <f t="shared" si="131"/>
        <v>13040</v>
      </c>
    </row>
    <row r="705" spans="6:28" x14ac:dyDescent="0.15">
      <c r="F705">
        <f t="shared" si="121"/>
        <v>101</v>
      </c>
      <c r="G705">
        <v>702</v>
      </c>
      <c r="H705">
        <f t="shared" si="122"/>
        <v>1.6948367825233864E+20</v>
      </c>
      <c r="I705">
        <f t="shared" si="123"/>
        <v>1.69483678252339E+20</v>
      </c>
      <c r="J705" s="1">
        <f t="shared" si="124"/>
        <v>1</v>
      </c>
      <c r="K705" s="1">
        <f t="shared" si="125"/>
        <v>1.69483678252339E+20</v>
      </c>
      <c r="L705" s="1">
        <f t="shared" si="126"/>
        <v>7.395137827743726E+19</v>
      </c>
      <c r="M705" s="3">
        <f t="shared" si="127"/>
        <v>688317710.82205832</v>
      </c>
      <c r="N705" s="7">
        <f t="shared" si="132"/>
        <v>7.3951378277437293E+19</v>
      </c>
      <c r="O705" s="7">
        <f t="shared" si="128"/>
        <v>688317710</v>
      </c>
      <c r="P705" s="3">
        <f>SUM($O$4:O705)</f>
        <v>41263409197</v>
      </c>
      <c r="Y705" s="3">
        <f t="shared" si="129"/>
        <v>702</v>
      </c>
      <c r="Z705" s="3">
        <f t="shared" si="130"/>
        <v>5.2628992865992102E+17</v>
      </c>
      <c r="AA705" s="7"/>
      <c r="AB705" s="7">
        <f t="shared" si="131"/>
        <v>13040</v>
      </c>
    </row>
    <row r="706" spans="6:28" x14ac:dyDescent="0.15">
      <c r="F706">
        <f t="shared" si="121"/>
        <v>101</v>
      </c>
      <c r="G706">
        <v>703</v>
      </c>
      <c r="H706">
        <f t="shared" si="122"/>
        <v>1.6948367825233864E+20</v>
      </c>
      <c r="I706">
        <f t="shared" si="123"/>
        <v>1.69483678252339E+20</v>
      </c>
      <c r="J706" s="1">
        <f t="shared" si="124"/>
        <v>1</v>
      </c>
      <c r="K706" s="1">
        <f t="shared" si="125"/>
        <v>1.69483678252339E+20</v>
      </c>
      <c r="L706" s="1">
        <f t="shared" si="126"/>
        <v>7.395137827743726E+19</v>
      </c>
      <c r="M706" s="3">
        <f t="shared" si="127"/>
        <v>688317710.82205832</v>
      </c>
      <c r="N706" s="7">
        <f t="shared" si="132"/>
        <v>7.3951378277437293E+19</v>
      </c>
      <c r="O706" s="7">
        <f t="shared" si="128"/>
        <v>688317710</v>
      </c>
      <c r="P706" s="3">
        <f>SUM($O$4:O706)</f>
        <v>41951726907</v>
      </c>
      <c r="Y706" s="3">
        <f t="shared" si="129"/>
        <v>703</v>
      </c>
      <c r="Z706" s="3">
        <f t="shared" si="130"/>
        <v>5.53391610883648E+17</v>
      </c>
      <c r="AA706" s="7"/>
      <c r="AB706" s="7">
        <f t="shared" si="131"/>
        <v>13040</v>
      </c>
    </row>
    <row r="707" spans="6:28" x14ac:dyDescent="0.15">
      <c r="F707">
        <f t="shared" si="121"/>
        <v>101</v>
      </c>
      <c r="G707">
        <v>704</v>
      </c>
      <c r="H707">
        <f t="shared" si="122"/>
        <v>1.6948367825233864E+20</v>
      </c>
      <c r="I707">
        <f t="shared" si="123"/>
        <v>1.69483678252339E+20</v>
      </c>
      <c r="J707" s="1">
        <f t="shared" si="124"/>
        <v>1</v>
      </c>
      <c r="K707" s="1">
        <f t="shared" si="125"/>
        <v>1.69483678252339E+20</v>
      </c>
      <c r="L707" s="1">
        <f t="shared" si="126"/>
        <v>7.395137827743726E+19</v>
      </c>
      <c r="M707" s="3">
        <f t="shared" si="127"/>
        <v>688317710.82205832</v>
      </c>
      <c r="N707" s="7">
        <f t="shared" si="132"/>
        <v>7.3951378277437293E+19</v>
      </c>
      <c r="O707" s="7">
        <f t="shared" si="128"/>
        <v>688317710</v>
      </c>
      <c r="P707" s="3">
        <f>SUM($O$4:O707)</f>
        <v>42640044617</v>
      </c>
      <c r="Y707" s="3">
        <f t="shared" si="129"/>
        <v>704</v>
      </c>
      <c r="Z707" s="3">
        <f t="shared" si="130"/>
        <v>5.8188773650809702E+17</v>
      </c>
      <c r="AA707" s="7"/>
      <c r="AB707" s="7">
        <f t="shared" si="131"/>
        <v>13040</v>
      </c>
    </row>
    <row r="708" spans="6:28" x14ac:dyDescent="0.15">
      <c r="F708">
        <f t="shared" si="121"/>
        <v>101</v>
      </c>
      <c r="G708">
        <v>705</v>
      </c>
      <c r="H708">
        <f t="shared" si="122"/>
        <v>1.6948367825233864E+20</v>
      </c>
      <c r="I708">
        <f t="shared" si="123"/>
        <v>1.69483678252339E+20</v>
      </c>
      <c r="J708" s="1">
        <f t="shared" si="124"/>
        <v>1</v>
      </c>
      <c r="K708" s="1">
        <f t="shared" si="125"/>
        <v>1.69483678252339E+20</v>
      </c>
      <c r="L708" s="1">
        <f t="shared" si="126"/>
        <v>7.395137827743726E+19</v>
      </c>
      <c r="M708" s="3">
        <f t="shared" si="127"/>
        <v>688317710.82205832</v>
      </c>
      <c r="N708" s="7">
        <f t="shared" si="132"/>
        <v>7.3951378277437293E+19</v>
      </c>
      <c r="O708" s="7">
        <f t="shared" si="128"/>
        <v>688317710</v>
      </c>
      <c r="P708" s="3">
        <f>SUM($O$4:O708)</f>
        <v>43328362327</v>
      </c>
      <c r="Y708" s="3">
        <f t="shared" si="129"/>
        <v>705</v>
      </c>
      <c r="Z708" s="3">
        <f t="shared" si="130"/>
        <v>6.1184999566778304E+17</v>
      </c>
      <c r="AA708" s="7"/>
      <c r="AB708" s="7">
        <f t="shared" si="131"/>
        <v>13040</v>
      </c>
    </row>
    <row r="709" spans="6:28" x14ac:dyDescent="0.15">
      <c r="F709">
        <f t="shared" ref="F709:F772" si="133">ROUNDUP(G709/$C$4,0)</f>
        <v>101</v>
      </c>
      <c r="G709">
        <v>706</v>
      </c>
      <c r="H709">
        <f t="shared" ref="H709:H772" si="134">18.5*1.57^MIN(F709,156)*1.17^MAX(F709-156,0)*$C$5</f>
        <v>1.6948367825233864E+20</v>
      </c>
      <c r="I709">
        <f t="shared" ref="I709:I772" si="135">ROUND(H709,0)</f>
        <v>1.69483678252339E+20</v>
      </c>
      <c r="J709" s="1">
        <f t="shared" ref="J709:J772" si="136">IF(F709=F710,1,LOOKUP(MOD(F709,5),$D$6:$D$10,$C$6:$C$10))</f>
        <v>1</v>
      </c>
      <c r="K709" s="1">
        <f t="shared" ref="K709:K772" si="137">J709*I709</f>
        <v>1.69483678252339E+20</v>
      </c>
      <c r="L709" s="1">
        <f t="shared" ref="L709:L772" si="138">K709*(0.02+0.00045*F709)/$C$5</f>
        <v>7.395137827743726E+19</v>
      </c>
      <c r="M709" s="3">
        <f t="shared" ref="M709:M772" si="139">L709/(1.3^F709)*3</f>
        <v>688317710.82205832</v>
      </c>
      <c r="N709" s="7">
        <f t="shared" si="132"/>
        <v>7.3951378277437293E+19</v>
      </c>
      <c r="O709" s="7">
        <f t="shared" ref="O709:O772" si="140">ROUNDDOWN(M709,0)</f>
        <v>688317710</v>
      </c>
      <c r="P709" s="3">
        <f>SUM($O$4:O709)</f>
        <v>44016680037</v>
      </c>
      <c r="Y709" s="3">
        <f t="shared" ref="Y709:Y772" si="141">G709</f>
        <v>706</v>
      </c>
      <c r="Z709" s="3">
        <f t="shared" ref="Z709:Z772" si="142">ROUND(1.05^Y709*Y709,0)</f>
        <v>6.4335376140216704E+17</v>
      </c>
      <c r="AA709" s="7"/>
      <c r="AB709" s="7">
        <f t="shared" ref="AB709:AB772" si="143">LOOKUP(Y709,T:T,P:P)</f>
        <v>13040</v>
      </c>
    </row>
    <row r="710" spans="6:28" x14ac:dyDescent="0.15">
      <c r="F710">
        <f t="shared" si="133"/>
        <v>101</v>
      </c>
      <c r="G710">
        <v>707</v>
      </c>
      <c r="H710">
        <f t="shared" si="134"/>
        <v>1.6948367825233864E+20</v>
      </c>
      <c r="I710">
        <f t="shared" si="135"/>
        <v>1.69483678252339E+20</v>
      </c>
      <c r="J710" s="1">
        <f t="shared" si="136"/>
        <v>2</v>
      </c>
      <c r="K710" s="1">
        <f t="shared" si="137"/>
        <v>3.3896735650467801E+20</v>
      </c>
      <c r="L710" s="1">
        <f t="shared" si="138"/>
        <v>1.4790275655487452E+20</v>
      </c>
      <c r="M710" s="3">
        <f t="shared" si="139"/>
        <v>1376635421.6441166</v>
      </c>
      <c r="N710" s="7">
        <f t="shared" si="132"/>
        <v>1.4790275655487501E+20</v>
      </c>
      <c r="O710" s="7">
        <f t="shared" si="140"/>
        <v>1376635421</v>
      </c>
      <c r="P710" s="3">
        <f>SUM($O$4:O710)</f>
        <v>45393315458</v>
      </c>
      <c r="Y710" s="3">
        <f t="shared" si="141"/>
        <v>707</v>
      </c>
      <c r="Z710" s="3">
        <f t="shared" si="142"/>
        <v>6.7647827872081894E+17</v>
      </c>
      <c r="AA710" s="7"/>
      <c r="AB710" s="7">
        <f t="shared" si="143"/>
        <v>13040</v>
      </c>
    </row>
    <row r="711" spans="6:28" x14ac:dyDescent="0.15">
      <c r="F711">
        <f t="shared" si="133"/>
        <v>102</v>
      </c>
      <c r="G711">
        <v>708</v>
      </c>
      <c r="H711">
        <f t="shared" si="134"/>
        <v>2.6608937485617168E+20</v>
      </c>
      <c r="I711">
        <f t="shared" si="135"/>
        <v>2.6608937485617201E+20</v>
      </c>
      <c r="J711" s="1">
        <f t="shared" si="136"/>
        <v>1</v>
      </c>
      <c r="K711" s="1">
        <f t="shared" si="137"/>
        <v>2.6608937485617201E+20</v>
      </c>
      <c r="L711" s="1">
        <f t="shared" si="138"/>
        <v>1.1690193202014491E+20</v>
      </c>
      <c r="M711" s="3">
        <f t="shared" si="139"/>
        <v>836991424.04398608</v>
      </c>
      <c r="N711" s="7">
        <f t="shared" si="132"/>
        <v>1.16901932020145E+20</v>
      </c>
      <c r="O711" s="7">
        <f t="shared" si="140"/>
        <v>836991424</v>
      </c>
      <c r="P711" s="3">
        <f>SUM($O$4:O711)</f>
        <v>46230306882</v>
      </c>
      <c r="Y711" s="3">
        <f t="shared" si="141"/>
        <v>708</v>
      </c>
      <c r="Z711" s="3">
        <f t="shared" si="142"/>
        <v>7.1130686336783206E+17</v>
      </c>
      <c r="AA711" s="7"/>
      <c r="AB711" s="7">
        <f t="shared" si="143"/>
        <v>13040</v>
      </c>
    </row>
    <row r="712" spans="6:28" x14ac:dyDescent="0.15">
      <c r="F712">
        <f t="shared" si="133"/>
        <v>102</v>
      </c>
      <c r="G712">
        <v>709</v>
      </c>
      <c r="H712">
        <f t="shared" si="134"/>
        <v>2.6608937485617168E+20</v>
      </c>
      <c r="I712">
        <f t="shared" si="135"/>
        <v>2.6608937485617201E+20</v>
      </c>
      <c r="J712" s="1">
        <f t="shared" si="136"/>
        <v>1</v>
      </c>
      <c r="K712" s="1">
        <f t="shared" si="137"/>
        <v>2.6608937485617201E+20</v>
      </c>
      <c r="L712" s="1">
        <f t="shared" si="138"/>
        <v>1.1690193202014491E+20</v>
      </c>
      <c r="M712" s="3">
        <f t="shared" si="139"/>
        <v>836991424.04398608</v>
      </c>
      <c r="N712" s="7">
        <f t="shared" ref="N712:N775" si="144">ROUND(L712,0)</f>
        <v>1.16901932020145E+20</v>
      </c>
      <c r="O712" s="7">
        <f t="shared" si="140"/>
        <v>836991424</v>
      </c>
      <c r="P712" s="3">
        <f>SUM($O$4:O712)</f>
        <v>47067298306</v>
      </c>
      <c r="Y712" s="3">
        <f t="shared" si="141"/>
        <v>709</v>
      </c>
      <c r="Z712" s="3">
        <f t="shared" si="142"/>
        <v>7.4792711078274304E+17</v>
      </c>
      <c r="AA712" s="7"/>
      <c r="AB712" s="7">
        <f t="shared" si="143"/>
        <v>13040</v>
      </c>
    </row>
    <row r="713" spans="6:28" x14ac:dyDescent="0.15">
      <c r="F713">
        <f t="shared" si="133"/>
        <v>102</v>
      </c>
      <c r="G713">
        <v>710</v>
      </c>
      <c r="H713">
        <f t="shared" si="134"/>
        <v>2.6608937485617168E+20</v>
      </c>
      <c r="I713">
        <f t="shared" si="135"/>
        <v>2.6608937485617201E+20</v>
      </c>
      <c r="J713" s="1">
        <f t="shared" si="136"/>
        <v>1</v>
      </c>
      <c r="K713" s="1">
        <f t="shared" si="137"/>
        <v>2.6608937485617201E+20</v>
      </c>
      <c r="L713" s="1">
        <f t="shared" si="138"/>
        <v>1.1690193202014491E+20</v>
      </c>
      <c r="M713" s="3">
        <f t="shared" si="139"/>
        <v>836991424.04398608</v>
      </c>
      <c r="N713" s="7">
        <f t="shared" si="144"/>
        <v>1.16901932020145E+20</v>
      </c>
      <c r="O713" s="7">
        <f t="shared" si="140"/>
        <v>836991424</v>
      </c>
      <c r="P713" s="3">
        <f>SUM($O$4:O713)</f>
        <v>47904289730</v>
      </c>
      <c r="Y713" s="3">
        <f t="shared" si="141"/>
        <v>710</v>
      </c>
      <c r="Z713" s="3">
        <f t="shared" si="142"/>
        <v>7.8643111578072704E+17</v>
      </c>
      <c r="AA713" s="7"/>
      <c r="AB713" s="7">
        <f t="shared" si="143"/>
        <v>13040</v>
      </c>
    </row>
    <row r="714" spans="6:28" x14ac:dyDescent="0.15">
      <c r="F714">
        <f t="shared" si="133"/>
        <v>102</v>
      </c>
      <c r="G714">
        <v>711</v>
      </c>
      <c r="H714">
        <f t="shared" si="134"/>
        <v>2.6608937485617168E+20</v>
      </c>
      <c r="I714">
        <f t="shared" si="135"/>
        <v>2.6608937485617201E+20</v>
      </c>
      <c r="J714" s="1">
        <f t="shared" si="136"/>
        <v>1</v>
      </c>
      <c r="K714" s="1">
        <f t="shared" si="137"/>
        <v>2.6608937485617201E+20</v>
      </c>
      <c r="L714" s="1">
        <f t="shared" si="138"/>
        <v>1.1690193202014491E+20</v>
      </c>
      <c r="M714" s="3">
        <f t="shared" si="139"/>
        <v>836991424.04398608</v>
      </c>
      <c r="N714" s="7">
        <f t="shared" si="144"/>
        <v>1.16901932020145E+20</v>
      </c>
      <c r="O714" s="7">
        <f t="shared" si="140"/>
        <v>836991424</v>
      </c>
      <c r="P714" s="3">
        <f>SUM($O$4:O714)</f>
        <v>48741281154</v>
      </c>
      <c r="Y714" s="3">
        <f t="shared" si="141"/>
        <v>711</v>
      </c>
      <c r="Z714" s="3">
        <f t="shared" si="142"/>
        <v>8.2691570350155098E+17</v>
      </c>
      <c r="AA714" s="7"/>
      <c r="AB714" s="7">
        <f t="shared" si="143"/>
        <v>13040</v>
      </c>
    </row>
    <row r="715" spans="6:28" x14ac:dyDescent="0.15">
      <c r="F715">
        <f t="shared" si="133"/>
        <v>102</v>
      </c>
      <c r="G715">
        <v>712</v>
      </c>
      <c r="H715">
        <f t="shared" si="134"/>
        <v>2.6608937485617168E+20</v>
      </c>
      <c r="I715">
        <f t="shared" si="135"/>
        <v>2.6608937485617201E+20</v>
      </c>
      <c r="J715" s="1">
        <f t="shared" si="136"/>
        <v>1</v>
      </c>
      <c r="K715" s="1">
        <f t="shared" si="137"/>
        <v>2.6608937485617201E+20</v>
      </c>
      <c r="L715" s="1">
        <f t="shared" si="138"/>
        <v>1.1690193202014491E+20</v>
      </c>
      <c r="M715" s="3">
        <f t="shared" si="139"/>
        <v>836991424.04398608</v>
      </c>
      <c r="N715" s="7">
        <f t="shared" si="144"/>
        <v>1.16901932020145E+20</v>
      </c>
      <c r="O715" s="7">
        <f t="shared" si="140"/>
        <v>836991424</v>
      </c>
      <c r="P715" s="3">
        <f>SUM($O$4:O715)</f>
        <v>49578272578</v>
      </c>
      <c r="Y715" s="3">
        <f t="shared" si="141"/>
        <v>712</v>
      </c>
      <c r="Z715" s="3">
        <f t="shared" si="142"/>
        <v>8.6948267220500698E+17</v>
      </c>
      <c r="AA715" s="7"/>
      <c r="AB715" s="7">
        <f t="shared" si="143"/>
        <v>13040</v>
      </c>
    </row>
    <row r="716" spans="6:28" x14ac:dyDescent="0.15">
      <c r="F716">
        <f t="shared" si="133"/>
        <v>102</v>
      </c>
      <c r="G716">
        <v>713</v>
      </c>
      <c r="H716">
        <f t="shared" si="134"/>
        <v>2.6608937485617168E+20</v>
      </c>
      <c r="I716">
        <f t="shared" si="135"/>
        <v>2.6608937485617201E+20</v>
      </c>
      <c r="J716" s="1">
        <f t="shared" si="136"/>
        <v>1</v>
      </c>
      <c r="K716" s="1">
        <f t="shared" si="137"/>
        <v>2.6608937485617201E+20</v>
      </c>
      <c r="L716" s="1">
        <f t="shared" si="138"/>
        <v>1.1690193202014491E+20</v>
      </c>
      <c r="M716" s="3">
        <f t="shared" si="139"/>
        <v>836991424.04398608</v>
      </c>
      <c r="N716" s="7">
        <f t="shared" si="144"/>
        <v>1.16901932020145E+20</v>
      </c>
      <c r="O716" s="7">
        <f t="shared" si="140"/>
        <v>836991424</v>
      </c>
      <c r="P716" s="3">
        <f>SUM($O$4:O716)</f>
        <v>50415264002</v>
      </c>
      <c r="Y716" s="3">
        <f t="shared" si="141"/>
        <v>713</v>
      </c>
      <c r="Z716" s="3">
        <f t="shared" si="142"/>
        <v>9.1423904852005402E+17</v>
      </c>
      <c r="AA716" s="7"/>
      <c r="AB716" s="7">
        <f t="shared" si="143"/>
        <v>13040</v>
      </c>
    </row>
    <row r="717" spans="6:28" x14ac:dyDescent="0.15">
      <c r="F717">
        <f t="shared" si="133"/>
        <v>102</v>
      </c>
      <c r="G717">
        <v>714</v>
      </c>
      <c r="H717">
        <f t="shared" si="134"/>
        <v>2.6608937485617168E+20</v>
      </c>
      <c r="I717">
        <f t="shared" si="135"/>
        <v>2.6608937485617201E+20</v>
      </c>
      <c r="J717" s="1">
        <f t="shared" si="136"/>
        <v>4</v>
      </c>
      <c r="K717" s="1">
        <f t="shared" si="137"/>
        <v>1.064357499424688E+21</v>
      </c>
      <c r="L717" s="1">
        <f t="shared" si="138"/>
        <v>4.6760772808057966E+20</v>
      </c>
      <c r="M717" s="3">
        <f t="shared" si="139"/>
        <v>3347965696.1759443</v>
      </c>
      <c r="N717" s="7">
        <f t="shared" si="144"/>
        <v>4.6760772808057999E+20</v>
      </c>
      <c r="O717" s="7">
        <f t="shared" si="140"/>
        <v>3347965696</v>
      </c>
      <c r="P717" s="3">
        <f>SUM($O$4:O717)</f>
        <v>53763229698</v>
      </c>
      <c r="Y717" s="3">
        <f t="shared" si="141"/>
        <v>714</v>
      </c>
      <c r="Z717" s="3">
        <f t="shared" si="142"/>
        <v>9.6129735578609306E+17</v>
      </c>
      <c r="AA717" s="7"/>
      <c r="AB717" s="7">
        <f t="shared" si="143"/>
        <v>13040</v>
      </c>
    </row>
    <row r="718" spans="6:28" x14ac:dyDescent="0.15">
      <c r="F718">
        <f t="shared" si="133"/>
        <v>103</v>
      </c>
      <c r="G718">
        <v>715</v>
      </c>
      <c r="H718">
        <f t="shared" si="134"/>
        <v>4.1776031852418951E+20</v>
      </c>
      <c r="I718">
        <f t="shared" si="135"/>
        <v>4.1776031852419003E+20</v>
      </c>
      <c r="J718" s="1">
        <f t="shared" si="136"/>
        <v>1</v>
      </c>
      <c r="K718" s="1">
        <f t="shared" si="137"/>
        <v>4.1776031852419003E+20</v>
      </c>
      <c r="L718" s="1">
        <f t="shared" si="138"/>
        <v>1.8478931422720003E+20</v>
      </c>
      <c r="M718" s="3">
        <f t="shared" si="139"/>
        <v>1017730572.5102131</v>
      </c>
      <c r="N718" s="7">
        <f t="shared" si="144"/>
        <v>1.847893142272E+20</v>
      </c>
      <c r="O718" s="7">
        <f t="shared" si="140"/>
        <v>1017730572</v>
      </c>
      <c r="P718" s="3">
        <f>SUM($O$4:O718)</f>
        <v>54780960270</v>
      </c>
      <c r="Y718" s="3">
        <f t="shared" si="141"/>
        <v>715</v>
      </c>
      <c r="Z718" s="3">
        <f t="shared" si="142"/>
        <v>1.01077589615744E+18</v>
      </c>
      <c r="AA718" s="7"/>
      <c r="AB718" s="7">
        <f t="shared" si="143"/>
        <v>13040</v>
      </c>
    </row>
    <row r="719" spans="6:28" x14ac:dyDescent="0.15">
      <c r="F719">
        <f t="shared" si="133"/>
        <v>103</v>
      </c>
      <c r="G719">
        <v>716</v>
      </c>
      <c r="H719">
        <f t="shared" si="134"/>
        <v>4.1776031852418951E+20</v>
      </c>
      <c r="I719">
        <f t="shared" si="135"/>
        <v>4.1776031852419003E+20</v>
      </c>
      <c r="J719" s="1">
        <f t="shared" si="136"/>
        <v>1</v>
      </c>
      <c r="K719" s="1">
        <f t="shared" si="137"/>
        <v>4.1776031852419003E+20</v>
      </c>
      <c r="L719" s="1">
        <f t="shared" si="138"/>
        <v>1.8478931422720003E+20</v>
      </c>
      <c r="M719" s="3">
        <f t="shared" si="139"/>
        <v>1017730572.5102131</v>
      </c>
      <c r="N719" s="7">
        <f t="shared" si="144"/>
        <v>1.847893142272E+20</v>
      </c>
      <c r="O719" s="7">
        <f t="shared" si="140"/>
        <v>1017730572</v>
      </c>
      <c r="P719" s="3">
        <f>SUM($O$4:O719)</f>
        <v>55798690842</v>
      </c>
      <c r="Y719" s="3">
        <f t="shared" si="141"/>
        <v>716</v>
      </c>
      <c r="Z719" s="3">
        <f t="shared" si="142"/>
        <v>1.06279904717645E+18</v>
      </c>
      <c r="AA719" s="7"/>
      <c r="AB719" s="7">
        <f t="shared" si="143"/>
        <v>13040</v>
      </c>
    </row>
    <row r="720" spans="6:28" x14ac:dyDescent="0.15">
      <c r="F720">
        <f t="shared" si="133"/>
        <v>103</v>
      </c>
      <c r="G720">
        <v>717</v>
      </c>
      <c r="H720">
        <f t="shared" si="134"/>
        <v>4.1776031852418951E+20</v>
      </c>
      <c r="I720">
        <f t="shared" si="135"/>
        <v>4.1776031852419003E+20</v>
      </c>
      <c r="J720" s="1">
        <f t="shared" si="136"/>
        <v>1</v>
      </c>
      <c r="K720" s="1">
        <f t="shared" si="137"/>
        <v>4.1776031852419003E+20</v>
      </c>
      <c r="L720" s="1">
        <f t="shared" si="138"/>
        <v>1.8478931422720003E+20</v>
      </c>
      <c r="M720" s="3">
        <f t="shared" si="139"/>
        <v>1017730572.5102131</v>
      </c>
      <c r="N720" s="7">
        <f t="shared" si="144"/>
        <v>1.847893142272E+20</v>
      </c>
      <c r="O720" s="7">
        <f t="shared" si="140"/>
        <v>1017730572</v>
      </c>
      <c r="P720" s="3">
        <f>SUM($O$4:O720)</f>
        <v>56816421414</v>
      </c>
      <c r="Y720" s="3">
        <f t="shared" si="141"/>
        <v>717</v>
      </c>
      <c r="Z720" s="3">
        <f t="shared" si="142"/>
        <v>1.11749757355697E+18</v>
      </c>
      <c r="AA720" s="7"/>
      <c r="AB720" s="7">
        <f t="shared" si="143"/>
        <v>13040</v>
      </c>
    </row>
    <row r="721" spans="6:28" x14ac:dyDescent="0.15">
      <c r="F721">
        <f t="shared" si="133"/>
        <v>103</v>
      </c>
      <c r="G721">
        <v>718</v>
      </c>
      <c r="H721">
        <f t="shared" si="134"/>
        <v>4.1776031852418951E+20</v>
      </c>
      <c r="I721">
        <f t="shared" si="135"/>
        <v>4.1776031852419003E+20</v>
      </c>
      <c r="J721" s="1">
        <f t="shared" si="136"/>
        <v>1</v>
      </c>
      <c r="K721" s="1">
        <f t="shared" si="137"/>
        <v>4.1776031852419003E+20</v>
      </c>
      <c r="L721" s="1">
        <f t="shared" si="138"/>
        <v>1.8478931422720003E+20</v>
      </c>
      <c r="M721" s="3">
        <f t="shared" si="139"/>
        <v>1017730572.5102131</v>
      </c>
      <c r="N721" s="7">
        <f t="shared" si="144"/>
        <v>1.847893142272E+20</v>
      </c>
      <c r="O721" s="7">
        <f t="shared" si="140"/>
        <v>1017730572</v>
      </c>
      <c r="P721" s="3">
        <f>SUM($O$4:O721)</f>
        <v>57834151986</v>
      </c>
      <c r="Y721" s="3">
        <f t="shared" si="141"/>
        <v>718</v>
      </c>
      <c r="Z721" s="3">
        <f t="shared" si="142"/>
        <v>1.1750089549576E+18</v>
      </c>
      <c r="AA721" s="7"/>
      <c r="AB721" s="7">
        <f t="shared" si="143"/>
        <v>13040</v>
      </c>
    </row>
    <row r="722" spans="6:28" x14ac:dyDescent="0.15">
      <c r="F722">
        <f t="shared" si="133"/>
        <v>103</v>
      </c>
      <c r="G722">
        <v>719</v>
      </c>
      <c r="H722">
        <f t="shared" si="134"/>
        <v>4.1776031852418951E+20</v>
      </c>
      <c r="I722">
        <f t="shared" si="135"/>
        <v>4.1776031852419003E+20</v>
      </c>
      <c r="J722" s="1">
        <f t="shared" si="136"/>
        <v>1</v>
      </c>
      <c r="K722" s="1">
        <f t="shared" si="137"/>
        <v>4.1776031852419003E+20</v>
      </c>
      <c r="L722" s="1">
        <f t="shared" si="138"/>
        <v>1.8478931422720003E+20</v>
      </c>
      <c r="M722" s="3">
        <f t="shared" si="139"/>
        <v>1017730572.5102131</v>
      </c>
      <c r="N722" s="7">
        <f t="shared" si="144"/>
        <v>1.847893142272E+20</v>
      </c>
      <c r="O722" s="7">
        <f t="shared" si="140"/>
        <v>1017730572</v>
      </c>
      <c r="P722" s="3">
        <f>SUM($O$4:O722)</f>
        <v>58851882558</v>
      </c>
      <c r="Y722" s="3">
        <f t="shared" si="141"/>
        <v>719</v>
      </c>
      <c r="Z722" s="3">
        <f t="shared" si="142"/>
        <v>1.2354777305644001E+18</v>
      </c>
      <c r="AA722" s="7"/>
      <c r="AB722" s="7">
        <f t="shared" si="143"/>
        <v>13040</v>
      </c>
    </row>
    <row r="723" spans="6:28" x14ac:dyDescent="0.15">
      <c r="F723">
        <f t="shared" si="133"/>
        <v>103</v>
      </c>
      <c r="G723">
        <v>720</v>
      </c>
      <c r="H723">
        <f t="shared" si="134"/>
        <v>4.1776031852418951E+20</v>
      </c>
      <c r="I723">
        <f t="shared" si="135"/>
        <v>4.1776031852419003E+20</v>
      </c>
      <c r="J723" s="1">
        <f t="shared" si="136"/>
        <v>1</v>
      </c>
      <c r="K723" s="1">
        <f t="shared" si="137"/>
        <v>4.1776031852419003E+20</v>
      </c>
      <c r="L723" s="1">
        <f t="shared" si="138"/>
        <v>1.8478931422720003E+20</v>
      </c>
      <c r="M723" s="3">
        <f t="shared" si="139"/>
        <v>1017730572.5102131</v>
      </c>
      <c r="N723" s="7">
        <f t="shared" si="144"/>
        <v>1.847893142272E+20</v>
      </c>
      <c r="O723" s="7">
        <f t="shared" si="140"/>
        <v>1017730572</v>
      </c>
      <c r="P723" s="3">
        <f>SUM($O$4:O723)</f>
        <v>59869613130</v>
      </c>
      <c r="Y723" s="3">
        <f t="shared" si="141"/>
        <v>720</v>
      </c>
      <c r="Z723" s="3">
        <f t="shared" si="142"/>
        <v>1.29905586134449E+18</v>
      </c>
      <c r="AA723" s="7"/>
      <c r="AB723" s="7">
        <f t="shared" si="143"/>
        <v>13040</v>
      </c>
    </row>
    <row r="724" spans="6:28" x14ac:dyDescent="0.15">
      <c r="F724">
        <f t="shared" si="133"/>
        <v>103</v>
      </c>
      <c r="G724">
        <v>721</v>
      </c>
      <c r="H724">
        <f t="shared" si="134"/>
        <v>4.1776031852418951E+20</v>
      </c>
      <c r="I724">
        <f t="shared" si="135"/>
        <v>4.1776031852419003E+20</v>
      </c>
      <c r="J724" s="1">
        <f t="shared" si="136"/>
        <v>6</v>
      </c>
      <c r="K724" s="1">
        <f t="shared" si="137"/>
        <v>2.5065619111451401E+21</v>
      </c>
      <c r="L724" s="1">
        <f t="shared" si="138"/>
        <v>1.1087358853632003E+21</v>
      </c>
      <c r="M724" s="3">
        <f t="shared" si="139"/>
        <v>6106383435.0612793</v>
      </c>
      <c r="N724" s="7">
        <f t="shared" si="144"/>
        <v>1.1087358853632E+21</v>
      </c>
      <c r="O724" s="7">
        <f t="shared" si="140"/>
        <v>6106383435</v>
      </c>
      <c r="P724" s="3">
        <f>SUM($O$4:O724)</f>
        <v>65975996565</v>
      </c>
      <c r="Y724" s="3">
        <f t="shared" si="141"/>
        <v>721</v>
      </c>
      <c r="Z724" s="3">
        <f t="shared" si="142"/>
        <v>1.36590311087617E+18</v>
      </c>
      <c r="AA724" s="7"/>
      <c r="AB724" s="7">
        <f t="shared" si="143"/>
        <v>13040</v>
      </c>
    </row>
    <row r="725" spans="6:28" x14ac:dyDescent="0.15">
      <c r="F725">
        <f t="shared" si="133"/>
        <v>104</v>
      </c>
      <c r="G725">
        <v>722</v>
      </c>
      <c r="H725">
        <f t="shared" si="134"/>
        <v>6.5588370008297754E+20</v>
      </c>
      <c r="I725">
        <f t="shared" si="135"/>
        <v>6.5588370008297806E+20</v>
      </c>
      <c r="J725" s="1">
        <f t="shared" si="136"/>
        <v>1</v>
      </c>
      <c r="K725" s="1">
        <f t="shared" si="137"/>
        <v>6.5588370008297806E+20</v>
      </c>
      <c r="L725" s="1">
        <f t="shared" si="138"/>
        <v>2.9208687443695288E+20</v>
      </c>
      <c r="M725" s="3">
        <f t="shared" si="139"/>
        <v>1237441441.3376741</v>
      </c>
      <c r="N725" s="7">
        <f t="shared" si="144"/>
        <v>2.9208687443695301E+20</v>
      </c>
      <c r="O725" s="7">
        <f t="shared" si="140"/>
        <v>1237441441</v>
      </c>
      <c r="P725" s="3">
        <f>SUM($O$4:O725)</f>
        <v>67213438006</v>
      </c>
      <c r="Y725" s="3">
        <f t="shared" si="141"/>
        <v>722</v>
      </c>
      <c r="Z725" s="3">
        <f t="shared" si="142"/>
        <v>1.43618744570766E+18</v>
      </c>
      <c r="AA725" s="7"/>
      <c r="AB725" s="7">
        <f t="shared" si="143"/>
        <v>13040</v>
      </c>
    </row>
    <row r="726" spans="6:28" x14ac:dyDescent="0.15">
      <c r="F726">
        <f t="shared" si="133"/>
        <v>104</v>
      </c>
      <c r="G726">
        <v>723</v>
      </c>
      <c r="H726">
        <f t="shared" si="134"/>
        <v>6.5588370008297754E+20</v>
      </c>
      <c r="I726">
        <f t="shared" si="135"/>
        <v>6.5588370008297806E+20</v>
      </c>
      <c r="J726" s="1">
        <f t="shared" si="136"/>
        <v>1</v>
      </c>
      <c r="K726" s="1">
        <f t="shared" si="137"/>
        <v>6.5588370008297806E+20</v>
      </c>
      <c r="L726" s="1">
        <f t="shared" si="138"/>
        <v>2.9208687443695288E+20</v>
      </c>
      <c r="M726" s="3">
        <f t="shared" si="139"/>
        <v>1237441441.3376741</v>
      </c>
      <c r="N726" s="7">
        <f t="shared" si="144"/>
        <v>2.9208687443695301E+20</v>
      </c>
      <c r="O726" s="7">
        <f t="shared" si="140"/>
        <v>1237441441</v>
      </c>
      <c r="P726" s="3">
        <f>SUM($O$4:O726)</f>
        <v>68450879447</v>
      </c>
      <c r="Y726" s="3">
        <f t="shared" si="141"/>
        <v>723</v>
      </c>
      <c r="Z726" s="3">
        <f t="shared" si="142"/>
        <v>1.51008545624512E+18</v>
      </c>
      <c r="AA726" s="7"/>
      <c r="AB726" s="7">
        <f t="shared" si="143"/>
        <v>13040</v>
      </c>
    </row>
    <row r="727" spans="6:28" x14ac:dyDescent="0.15">
      <c r="F727">
        <f t="shared" si="133"/>
        <v>104</v>
      </c>
      <c r="G727">
        <v>724</v>
      </c>
      <c r="H727">
        <f t="shared" si="134"/>
        <v>6.5588370008297754E+20</v>
      </c>
      <c r="I727">
        <f t="shared" si="135"/>
        <v>6.5588370008297806E+20</v>
      </c>
      <c r="J727" s="1">
        <f t="shared" si="136"/>
        <v>1</v>
      </c>
      <c r="K727" s="1">
        <f t="shared" si="137"/>
        <v>6.5588370008297806E+20</v>
      </c>
      <c r="L727" s="1">
        <f t="shared" si="138"/>
        <v>2.9208687443695288E+20</v>
      </c>
      <c r="M727" s="3">
        <f t="shared" si="139"/>
        <v>1237441441.3376741</v>
      </c>
      <c r="N727" s="7">
        <f t="shared" si="144"/>
        <v>2.9208687443695301E+20</v>
      </c>
      <c r="O727" s="7">
        <f t="shared" si="140"/>
        <v>1237441441</v>
      </c>
      <c r="P727" s="3">
        <f>SUM($O$4:O727)</f>
        <v>69688320888</v>
      </c>
      <c r="Y727" s="3">
        <f t="shared" si="141"/>
        <v>724</v>
      </c>
      <c r="Z727" s="3">
        <f t="shared" si="142"/>
        <v>1.5877827992220401E+18</v>
      </c>
      <c r="AA727" s="7"/>
      <c r="AB727" s="7">
        <f t="shared" si="143"/>
        <v>13040</v>
      </c>
    </row>
    <row r="728" spans="6:28" x14ac:dyDescent="0.15">
      <c r="F728">
        <f t="shared" si="133"/>
        <v>104</v>
      </c>
      <c r="G728">
        <v>725</v>
      </c>
      <c r="H728">
        <f t="shared" si="134"/>
        <v>6.5588370008297754E+20</v>
      </c>
      <c r="I728">
        <f t="shared" si="135"/>
        <v>6.5588370008297806E+20</v>
      </c>
      <c r="J728" s="1">
        <f t="shared" si="136"/>
        <v>1</v>
      </c>
      <c r="K728" s="1">
        <f t="shared" si="137"/>
        <v>6.5588370008297806E+20</v>
      </c>
      <c r="L728" s="1">
        <f t="shared" si="138"/>
        <v>2.9208687443695288E+20</v>
      </c>
      <c r="M728" s="3">
        <f t="shared" si="139"/>
        <v>1237441441.3376741</v>
      </c>
      <c r="N728" s="7">
        <f t="shared" si="144"/>
        <v>2.9208687443695301E+20</v>
      </c>
      <c r="O728" s="7">
        <f t="shared" si="140"/>
        <v>1237441441</v>
      </c>
      <c r="P728" s="3">
        <f>SUM($O$4:O728)</f>
        <v>70925762329</v>
      </c>
      <c r="Y728" s="3">
        <f t="shared" si="141"/>
        <v>725</v>
      </c>
      <c r="Z728" s="3">
        <f t="shared" si="142"/>
        <v>1.6694746628560499E+18</v>
      </c>
      <c r="AA728" s="7"/>
      <c r="AB728" s="7">
        <f t="shared" si="143"/>
        <v>13040</v>
      </c>
    </row>
    <row r="729" spans="6:28" x14ac:dyDescent="0.15">
      <c r="F729">
        <f t="shared" si="133"/>
        <v>104</v>
      </c>
      <c r="G729">
        <v>726</v>
      </c>
      <c r="H729">
        <f t="shared" si="134"/>
        <v>6.5588370008297754E+20</v>
      </c>
      <c r="I729">
        <f t="shared" si="135"/>
        <v>6.5588370008297806E+20</v>
      </c>
      <c r="J729" s="1">
        <f t="shared" si="136"/>
        <v>1</v>
      </c>
      <c r="K729" s="1">
        <f t="shared" si="137"/>
        <v>6.5588370008297806E+20</v>
      </c>
      <c r="L729" s="1">
        <f t="shared" si="138"/>
        <v>2.9208687443695288E+20</v>
      </c>
      <c r="M729" s="3">
        <f t="shared" si="139"/>
        <v>1237441441.3376741</v>
      </c>
      <c r="N729" s="7">
        <f t="shared" si="144"/>
        <v>2.9208687443695301E+20</v>
      </c>
      <c r="O729" s="7">
        <f t="shared" si="140"/>
        <v>1237441441</v>
      </c>
      <c r="P729" s="3">
        <f>SUM($O$4:O729)</f>
        <v>72163203770</v>
      </c>
      <c r="Y729" s="3">
        <f t="shared" si="141"/>
        <v>726</v>
      </c>
      <c r="Z729" s="3">
        <f t="shared" si="142"/>
        <v>1.7553662558553999E+18</v>
      </c>
      <c r="AA729" s="7"/>
      <c r="AB729" s="7">
        <f t="shared" si="143"/>
        <v>13040</v>
      </c>
    </row>
    <row r="730" spans="6:28" x14ac:dyDescent="0.15">
      <c r="F730">
        <f t="shared" si="133"/>
        <v>104</v>
      </c>
      <c r="G730">
        <v>727</v>
      </c>
      <c r="H730">
        <f t="shared" si="134"/>
        <v>6.5588370008297754E+20</v>
      </c>
      <c r="I730">
        <f t="shared" si="135"/>
        <v>6.5588370008297806E+20</v>
      </c>
      <c r="J730" s="1">
        <f t="shared" si="136"/>
        <v>1</v>
      </c>
      <c r="K730" s="1">
        <f t="shared" si="137"/>
        <v>6.5588370008297806E+20</v>
      </c>
      <c r="L730" s="1">
        <f t="shared" si="138"/>
        <v>2.9208687443695288E+20</v>
      </c>
      <c r="M730" s="3">
        <f t="shared" si="139"/>
        <v>1237441441.3376741</v>
      </c>
      <c r="N730" s="7">
        <f t="shared" si="144"/>
        <v>2.9208687443695301E+20</v>
      </c>
      <c r="O730" s="7">
        <f t="shared" si="140"/>
        <v>1237441441</v>
      </c>
      <c r="P730" s="3">
        <f>SUM($O$4:O730)</f>
        <v>73400645211</v>
      </c>
      <c r="Y730" s="3">
        <f t="shared" si="141"/>
        <v>727</v>
      </c>
      <c r="Z730" s="3">
        <f t="shared" si="142"/>
        <v>1.8456733214975501E+18</v>
      </c>
      <c r="AA730" s="7"/>
      <c r="AB730" s="7">
        <f t="shared" si="143"/>
        <v>13040</v>
      </c>
    </row>
    <row r="731" spans="6:28" x14ac:dyDescent="0.15">
      <c r="F731">
        <f t="shared" si="133"/>
        <v>104</v>
      </c>
      <c r="G731">
        <v>728</v>
      </c>
      <c r="H731">
        <f t="shared" si="134"/>
        <v>6.5588370008297754E+20</v>
      </c>
      <c r="I731">
        <f t="shared" si="135"/>
        <v>6.5588370008297806E+20</v>
      </c>
      <c r="J731" s="1">
        <f t="shared" si="136"/>
        <v>7</v>
      </c>
      <c r="K731" s="1">
        <f t="shared" si="137"/>
        <v>4.5911859005808464E+21</v>
      </c>
      <c r="L731" s="1">
        <f t="shared" si="138"/>
        <v>2.0446081210586704E+21</v>
      </c>
      <c r="M731" s="3">
        <f t="shared" si="139"/>
        <v>8662090089.3637199</v>
      </c>
      <c r="N731" s="7">
        <f t="shared" si="144"/>
        <v>2.0446081210586699E+21</v>
      </c>
      <c r="O731" s="7">
        <f t="shared" si="140"/>
        <v>8662090089</v>
      </c>
      <c r="P731" s="3">
        <f>SUM($O$4:O731)</f>
        <v>82062735300</v>
      </c>
      <c r="Y731" s="3">
        <f t="shared" si="141"/>
        <v>728</v>
      </c>
      <c r="Z731" s="3">
        <f t="shared" si="142"/>
        <v>1.9406226780642701E+18</v>
      </c>
      <c r="AA731" s="7"/>
      <c r="AB731" s="7">
        <f t="shared" si="143"/>
        <v>13040</v>
      </c>
    </row>
    <row r="732" spans="6:28" x14ac:dyDescent="0.15">
      <c r="F732">
        <f t="shared" si="133"/>
        <v>105</v>
      </c>
      <c r="G732">
        <v>729</v>
      </c>
      <c r="H732">
        <f t="shared" si="134"/>
        <v>1.0297374091302748E+21</v>
      </c>
      <c r="I732">
        <f t="shared" si="135"/>
        <v>1.02973740913027E+21</v>
      </c>
      <c r="J732" s="1">
        <f t="shared" si="136"/>
        <v>1</v>
      </c>
      <c r="K732" s="1">
        <f t="shared" si="137"/>
        <v>1.02973740913027E+21</v>
      </c>
      <c r="L732" s="1">
        <f t="shared" si="138"/>
        <v>4.6166560509340444E+20</v>
      </c>
      <c r="M732" s="3">
        <f t="shared" si="139"/>
        <v>1504515902.5798516</v>
      </c>
      <c r="N732" s="7">
        <f t="shared" si="144"/>
        <v>4.6166560509340398E+20</v>
      </c>
      <c r="O732" s="7">
        <f t="shared" si="140"/>
        <v>1504515902</v>
      </c>
      <c r="P732" s="3">
        <f>SUM($O$4:O732)</f>
        <v>83567251202</v>
      </c>
      <c r="Y732" s="3">
        <f t="shared" si="141"/>
        <v>729</v>
      </c>
      <c r="Z732" s="3">
        <f t="shared" si="142"/>
        <v>2.0404527869839301E+18</v>
      </c>
      <c r="AA732" s="7"/>
      <c r="AB732" s="7">
        <f t="shared" si="143"/>
        <v>13040</v>
      </c>
    </row>
    <row r="733" spans="6:28" x14ac:dyDescent="0.15">
      <c r="F733">
        <f t="shared" si="133"/>
        <v>105</v>
      </c>
      <c r="G733">
        <v>730</v>
      </c>
      <c r="H733">
        <f t="shared" si="134"/>
        <v>1.0297374091302748E+21</v>
      </c>
      <c r="I733">
        <f t="shared" si="135"/>
        <v>1.02973740913027E+21</v>
      </c>
      <c r="J733" s="1">
        <f t="shared" si="136"/>
        <v>1</v>
      </c>
      <c r="K733" s="1">
        <f t="shared" si="137"/>
        <v>1.02973740913027E+21</v>
      </c>
      <c r="L733" s="1">
        <f t="shared" si="138"/>
        <v>4.6166560509340444E+20</v>
      </c>
      <c r="M733" s="3">
        <f t="shared" si="139"/>
        <v>1504515902.5798516</v>
      </c>
      <c r="N733" s="7">
        <f t="shared" si="144"/>
        <v>4.6166560509340398E+20</v>
      </c>
      <c r="O733" s="7">
        <f t="shared" si="140"/>
        <v>1504515902</v>
      </c>
      <c r="P733" s="3">
        <f>SUM($O$4:O733)</f>
        <v>85071767104</v>
      </c>
      <c r="Y733" s="3">
        <f t="shared" si="141"/>
        <v>730</v>
      </c>
      <c r="Z733" s="3">
        <f t="shared" si="142"/>
        <v>2.1454143501003799E+18</v>
      </c>
      <c r="AA733" s="7"/>
      <c r="AB733" s="7">
        <f t="shared" si="143"/>
        <v>13040</v>
      </c>
    </row>
    <row r="734" spans="6:28" x14ac:dyDescent="0.15">
      <c r="F734">
        <f t="shared" si="133"/>
        <v>105</v>
      </c>
      <c r="G734">
        <v>731</v>
      </c>
      <c r="H734">
        <f t="shared" si="134"/>
        <v>1.0297374091302748E+21</v>
      </c>
      <c r="I734">
        <f t="shared" si="135"/>
        <v>1.02973740913027E+21</v>
      </c>
      <c r="J734" s="1">
        <f t="shared" si="136"/>
        <v>1</v>
      </c>
      <c r="K734" s="1">
        <f t="shared" si="137"/>
        <v>1.02973740913027E+21</v>
      </c>
      <c r="L734" s="1">
        <f t="shared" si="138"/>
        <v>4.6166560509340444E+20</v>
      </c>
      <c r="M734" s="3">
        <f t="shared" si="139"/>
        <v>1504515902.5798516</v>
      </c>
      <c r="N734" s="7">
        <f t="shared" si="144"/>
        <v>4.6166560509340398E+20</v>
      </c>
      <c r="O734" s="7">
        <f t="shared" si="140"/>
        <v>1504515902</v>
      </c>
      <c r="P734" s="3">
        <f>SUM($O$4:O734)</f>
        <v>86576283006</v>
      </c>
      <c r="Y734" s="3">
        <f t="shared" si="141"/>
        <v>731</v>
      </c>
      <c r="Z734" s="3">
        <f t="shared" si="142"/>
        <v>2.2557709375610299E+18</v>
      </c>
      <c r="AA734" s="7"/>
      <c r="AB734" s="7">
        <f t="shared" si="143"/>
        <v>13040</v>
      </c>
    </row>
    <row r="735" spans="6:28" x14ac:dyDescent="0.15">
      <c r="F735">
        <f t="shared" si="133"/>
        <v>105</v>
      </c>
      <c r="G735">
        <v>732</v>
      </c>
      <c r="H735">
        <f t="shared" si="134"/>
        <v>1.0297374091302748E+21</v>
      </c>
      <c r="I735">
        <f t="shared" si="135"/>
        <v>1.02973740913027E+21</v>
      </c>
      <c r="J735" s="1">
        <f t="shared" si="136"/>
        <v>1</v>
      </c>
      <c r="K735" s="1">
        <f t="shared" si="137"/>
        <v>1.02973740913027E+21</v>
      </c>
      <c r="L735" s="1">
        <f t="shared" si="138"/>
        <v>4.6166560509340444E+20</v>
      </c>
      <c r="M735" s="3">
        <f t="shared" si="139"/>
        <v>1504515902.5798516</v>
      </c>
      <c r="N735" s="7">
        <f t="shared" si="144"/>
        <v>4.6166560509340398E+20</v>
      </c>
      <c r="O735" s="7">
        <f t="shared" si="140"/>
        <v>1504515902</v>
      </c>
      <c r="P735" s="3">
        <f>SUM($O$4:O735)</f>
        <v>88080798908</v>
      </c>
      <c r="Y735" s="3">
        <f t="shared" si="141"/>
        <v>732</v>
      </c>
      <c r="Z735" s="3">
        <f t="shared" si="142"/>
        <v>2.37179964789248E+18</v>
      </c>
      <c r="AA735" s="7"/>
      <c r="AB735" s="7">
        <f t="shared" si="143"/>
        <v>13040</v>
      </c>
    </row>
    <row r="736" spans="6:28" x14ac:dyDescent="0.15">
      <c r="F736">
        <f t="shared" si="133"/>
        <v>105</v>
      </c>
      <c r="G736">
        <v>733</v>
      </c>
      <c r="H736">
        <f t="shared" si="134"/>
        <v>1.0297374091302748E+21</v>
      </c>
      <c r="I736">
        <f t="shared" si="135"/>
        <v>1.02973740913027E+21</v>
      </c>
      <c r="J736" s="1">
        <f t="shared" si="136"/>
        <v>1</v>
      </c>
      <c r="K736" s="1">
        <f t="shared" si="137"/>
        <v>1.02973740913027E+21</v>
      </c>
      <c r="L736" s="1">
        <f t="shared" si="138"/>
        <v>4.6166560509340444E+20</v>
      </c>
      <c r="M736" s="3">
        <f t="shared" si="139"/>
        <v>1504515902.5798516</v>
      </c>
      <c r="N736" s="7">
        <f t="shared" si="144"/>
        <v>4.6166560509340398E+20</v>
      </c>
      <c r="O736" s="7">
        <f t="shared" si="140"/>
        <v>1504515902</v>
      </c>
      <c r="P736" s="3">
        <f>SUM($O$4:O736)</f>
        <v>89585314810</v>
      </c>
      <c r="Y736" s="3">
        <f t="shared" si="141"/>
        <v>733</v>
      </c>
      <c r="Z736" s="3">
        <f t="shared" si="142"/>
        <v>2.4937918019131802E+18</v>
      </c>
      <c r="AA736" s="7"/>
      <c r="AB736" s="7">
        <f t="shared" si="143"/>
        <v>13040</v>
      </c>
    </row>
    <row r="737" spans="6:28" x14ac:dyDescent="0.15">
      <c r="F737">
        <f t="shared" si="133"/>
        <v>105</v>
      </c>
      <c r="G737">
        <v>734</v>
      </c>
      <c r="H737">
        <f t="shared" si="134"/>
        <v>1.0297374091302748E+21</v>
      </c>
      <c r="I737">
        <f t="shared" si="135"/>
        <v>1.02973740913027E+21</v>
      </c>
      <c r="J737" s="1">
        <f t="shared" si="136"/>
        <v>1</v>
      </c>
      <c r="K737" s="1">
        <f t="shared" si="137"/>
        <v>1.02973740913027E+21</v>
      </c>
      <c r="L737" s="1">
        <f t="shared" si="138"/>
        <v>4.6166560509340444E+20</v>
      </c>
      <c r="M737" s="3">
        <f t="shared" si="139"/>
        <v>1504515902.5798516</v>
      </c>
      <c r="N737" s="7">
        <f t="shared" si="144"/>
        <v>4.6166560509340398E+20</v>
      </c>
      <c r="O737" s="7">
        <f t="shared" si="140"/>
        <v>1504515902</v>
      </c>
      <c r="P737" s="3">
        <f>SUM($O$4:O737)</f>
        <v>91089830712</v>
      </c>
      <c r="Y737" s="3">
        <f t="shared" si="141"/>
        <v>734</v>
      </c>
      <c r="Z737" s="3">
        <f t="shared" si="142"/>
        <v>2.6220536722162202E+18</v>
      </c>
      <c r="AA737" s="7"/>
      <c r="AB737" s="7">
        <f t="shared" si="143"/>
        <v>13040</v>
      </c>
    </row>
    <row r="738" spans="6:28" x14ac:dyDescent="0.15">
      <c r="F738">
        <f t="shared" si="133"/>
        <v>105</v>
      </c>
      <c r="G738">
        <v>735</v>
      </c>
      <c r="H738">
        <f t="shared" si="134"/>
        <v>1.0297374091302748E+21</v>
      </c>
      <c r="I738">
        <f t="shared" si="135"/>
        <v>1.02973740913027E+21</v>
      </c>
      <c r="J738" s="1">
        <f t="shared" si="136"/>
        <v>10</v>
      </c>
      <c r="K738" s="1">
        <f t="shared" si="137"/>
        <v>1.02973740913027E+22</v>
      </c>
      <c r="L738" s="1">
        <f t="shared" si="138"/>
        <v>4.6166560509340444E+21</v>
      </c>
      <c r="M738" s="3">
        <f t="shared" si="139"/>
        <v>15045159025.798515</v>
      </c>
      <c r="N738" s="7">
        <f t="shared" si="144"/>
        <v>4.6166560509340402E+21</v>
      </c>
      <c r="O738" s="7">
        <f t="shared" si="140"/>
        <v>15045159025</v>
      </c>
      <c r="P738" s="3">
        <f>SUM($O$4:O738)</f>
        <v>106134989737</v>
      </c>
      <c r="Y738" s="3">
        <f t="shared" si="141"/>
        <v>735</v>
      </c>
      <c r="Z738" s="3">
        <f t="shared" si="142"/>
        <v>2.75690725004478E+18</v>
      </c>
      <c r="AA738" s="7"/>
      <c r="AB738" s="7">
        <f t="shared" si="143"/>
        <v>13040</v>
      </c>
    </row>
    <row r="739" spans="6:28" x14ac:dyDescent="0.15">
      <c r="F739">
        <f t="shared" si="133"/>
        <v>106</v>
      </c>
      <c r="G739">
        <v>736</v>
      </c>
      <c r="H739">
        <f t="shared" si="134"/>
        <v>1.6166877323345314E+21</v>
      </c>
      <c r="I739">
        <f t="shared" si="135"/>
        <v>1.6166877323345299E+21</v>
      </c>
      <c r="J739" s="1">
        <f t="shared" si="136"/>
        <v>1</v>
      </c>
      <c r="K739" s="1">
        <f t="shared" si="137"/>
        <v>1.6166877323345299E+21</v>
      </c>
      <c r="L739" s="1">
        <f t="shared" si="138"/>
        <v>7.2966506319365118E+20</v>
      </c>
      <c r="M739" s="3">
        <f t="shared" si="139"/>
        <v>1829150595.0164187</v>
      </c>
      <c r="N739" s="7">
        <f t="shared" si="144"/>
        <v>7.2966506319365105E+20</v>
      </c>
      <c r="O739" s="7">
        <f t="shared" si="140"/>
        <v>1829150595</v>
      </c>
      <c r="P739" s="3">
        <f>SUM($O$4:O739)</f>
        <v>107964140332</v>
      </c>
      <c r="Y739" s="3">
        <f t="shared" si="141"/>
        <v>736</v>
      </c>
      <c r="Z739" s="3">
        <f t="shared" si="142"/>
        <v>2.8986910514756598E+18</v>
      </c>
      <c r="AA739" s="7"/>
      <c r="AB739" s="7">
        <f t="shared" si="143"/>
        <v>13040</v>
      </c>
    </row>
    <row r="740" spans="6:28" x14ac:dyDescent="0.15">
      <c r="F740">
        <f t="shared" si="133"/>
        <v>106</v>
      </c>
      <c r="G740">
        <v>737</v>
      </c>
      <c r="H740">
        <f t="shared" si="134"/>
        <v>1.6166877323345314E+21</v>
      </c>
      <c r="I740">
        <f t="shared" si="135"/>
        <v>1.6166877323345299E+21</v>
      </c>
      <c r="J740" s="1">
        <f t="shared" si="136"/>
        <v>1</v>
      </c>
      <c r="K740" s="1">
        <f t="shared" si="137"/>
        <v>1.6166877323345299E+21</v>
      </c>
      <c r="L740" s="1">
        <f t="shared" si="138"/>
        <v>7.2966506319365118E+20</v>
      </c>
      <c r="M740" s="3">
        <f t="shared" si="139"/>
        <v>1829150595.0164187</v>
      </c>
      <c r="N740" s="7">
        <f t="shared" si="144"/>
        <v>7.2966506319365105E+20</v>
      </c>
      <c r="O740" s="7">
        <f t="shared" si="140"/>
        <v>1829150595</v>
      </c>
      <c r="P740" s="3">
        <f>SUM($O$4:O740)</f>
        <v>109793290927</v>
      </c>
      <c r="Y740" s="3">
        <f t="shared" si="141"/>
        <v>737</v>
      </c>
      <c r="Z740" s="3">
        <f t="shared" si="142"/>
        <v>3.0477609649245102E+18</v>
      </c>
      <c r="AA740" s="7"/>
      <c r="AB740" s="7">
        <f t="shared" si="143"/>
        <v>13040</v>
      </c>
    </row>
    <row r="741" spans="6:28" x14ac:dyDescent="0.15">
      <c r="F741">
        <f t="shared" si="133"/>
        <v>106</v>
      </c>
      <c r="G741">
        <v>738</v>
      </c>
      <c r="H741">
        <f t="shared" si="134"/>
        <v>1.6166877323345314E+21</v>
      </c>
      <c r="I741">
        <f t="shared" si="135"/>
        <v>1.6166877323345299E+21</v>
      </c>
      <c r="J741" s="1">
        <f t="shared" si="136"/>
        <v>1</v>
      </c>
      <c r="K741" s="1">
        <f t="shared" si="137"/>
        <v>1.6166877323345299E+21</v>
      </c>
      <c r="L741" s="1">
        <f t="shared" si="138"/>
        <v>7.2966506319365118E+20</v>
      </c>
      <c r="M741" s="3">
        <f t="shared" si="139"/>
        <v>1829150595.0164187</v>
      </c>
      <c r="N741" s="7">
        <f t="shared" si="144"/>
        <v>7.2966506319365105E+20</v>
      </c>
      <c r="O741" s="7">
        <f t="shared" si="140"/>
        <v>1829150595</v>
      </c>
      <c r="P741" s="3">
        <f>SUM($O$4:O741)</f>
        <v>111622441522</v>
      </c>
      <c r="Y741" s="3">
        <f t="shared" si="141"/>
        <v>738</v>
      </c>
      <c r="Z741" s="3">
        <f t="shared" si="142"/>
        <v>3.2044911420895498E+18</v>
      </c>
      <c r="AA741" s="7"/>
      <c r="AB741" s="7">
        <f t="shared" si="143"/>
        <v>13040</v>
      </c>
    </row>
    <row r="742" spans="6:28" x14ac:dyDescent="0.15">
      <c r="F742">
        <f t="shared" si="133"/>
        <v>106</v>
      </c>
      <c r="G742">
        <v>739</v>
      </c>
      <c r="H742">
        <f t="shared" si="134"/>
        <v>1.6166877323345314E+21</v>
      </c>
      <c r="I742">
        <f t="shared" si="135"/>
        <v>1.6166877323345299E+21</v>
      </c>
      <c r="J742" s="1">
        <f t="shared" si="136"/>
        <v>1</v>
      </c>
      <c r="K742" s="1">
        <f t="shared" si="137"/>
        <v>1.6166877323345299E+21</v>
      </c>
      <c r="L742" s="1">
        <f t="shared" si="138"/>
        <v>7.2966506319365118E+20</v>
      </c>
      <c r="M742" s="3">
        <f t="shared" si="139"/>
        <v>1829150595.0164187</v>
      </c>
      <c r="N742" s="7">
        <f t="shared" si="144"/>
        <v>7.2966506319365105E+20</v>
      </c>
      <c r="O742" s="7">
        <f t="shared" si="140"/>
        <v>1829150595</v>
      </c>
      <c r="P742" s="3">
        <f>SUM($O$4:O742)</f>
        <v>113451592117</v>
      </c>
      <c r="Y742" s="3">
        <f t="shared" si="141"/>
        <v>739</v>
      </c>
      <c r="Z742" s="3">
        <f t="shared" si="142"/>
        <v>3.3692749345587901E+18</v>
      </c>
      <c r="AA742" s="7"/>
      <c r="AB742" s="7">
        <f t="shared" si="143"/>
        <v>13040</v>
      </c>
    </row>
    <row r="743" spans="6:28" x14ac:dyDescent="0.15">
      <c r="F743">
        <f t="shared" si="133"/>
        <v>106</v>
      </c>
      <c r="G743">
        <v>740</v>
      </c>
      <c r="H743">
        <f t="shared" si="134"/>
        <v>1.6166877323345314E+21</v>
      </c>
      <c r="I743">
        <f t="shared" si="135"/>
        <v>1.6166877323345299E+21</v>
      </c>
      <c r="J743" s="1">
        <f t="shared" si="136"/>
        <v>1</v>
      </c>
      <c r="K743" s="1">
        <f t="shared" si="137"/>
        <v>1.6166877323345299E+21</v>
      </c>
      <c r="L743" s="1">
        <f t="shared" si="138"/>
        <v>7.2966506319365118E+20</v>
      </c>
      <c r="M743" s="3">
        <f t="shared" si="139"/>
        <v>1829150595.0164187</v>
      </c>
      <c r="N743" s="7">
        <f t="shared" si="144"/>
        <v>7.2966506319365105E+20</v>
      </c>
      <c r="O743" s="7">
        <f t="shared" si="140"/>
        <v>1829150595</v>
      </c>
      <c r="P743" s="3">
        <f>SUM($O$4:O743)</f>
        <v>115280742712</v>
      </c>
      <c r="Y743" s="3">
        <f t="shared" si="141"/>
        <v>740</v>
      </c>
      <c r="Z743" s="3">
        <f t="shared" si="142"/>
        <v>3.5425258784197299E+18</v>
      </c>
      <c r="AA743" s="7"/>
      <c r="AB743" s="7">
        <f t="shared" si="143"/>
        <v>13040</v>
      </c>
    </row>
    <row r="744" spans="6:28" x14ac:dyDescent="0.15">
      <c r="F744">
        <f t="shared" si="133"/>
        <v>106</v>
      </c>
      <c r="G744">
        <v>741</v>
      </c>
      <c r="H744">
        <f t="shared" si="134"/>
        <v>1.6166877323345314E+21</v>
      </c>
      <c r="I744">
        <f t="shared" si="135"/>
        <v>1.6166877323345299E+21</v>
      </c>
      <c r="J744" s="1">
        <f t="shared" si="136"/>
        <v>1</v>
      </c>
      <c r="K744" s="1">
        <f t="shared" si="137"/>
        <v>1.6166877323345299E+21</v>
      </c>
      <c r="L744" s="1">
        <f t="shared" si="138"/>
        <v>7.2966506319365118E+20</v>
      </c>
      <c r="M744" s="3">
        <f t="shared" si="139"/>
        <v>1829150595.0164187</v>
      </c>
      <c r="N744" s="7">
        <f t="shared" si="144"/>
        <v>7.2966506319365105E+20</v>
      </c>
      <c r="O744" s="7">
        <f t="shared" si="140"/>
        <v>1829150595</v>
      </c>
      <c r="P744" s="3">
        <f>SUM($O$4:O744)</f>
        <v>117109893307</v>
      </c>
      <c r="Y744" s="3">
        <f t="shared" si="141"/>
        <v>741</v>
      </c>
      <c r="Z744" s="3">
        <f t="shared" si="142"/>
        <v>3.7246787293303598E+18</v>
      </c>
      <c r="AA744" s="7"/>
      <c r="AB744" s="7">
        <f t="shared" si="143"/>
        <v>13040</v>
      </c>
    </row>
    <row r="745" spans="6:28" x14ac:dyDescent="0.15">
      <c r="F745">
        <f t="shared" si="133"/>
        <v>106</v>
      </c>
      <c r="G745">
        <v>742</v>
      </c>
      <c r="H745">
        <f t="shared" si="134"/>
        <v>1.6166877323345314E+21</v>
      </c>
      <c r="I745">
        <f t="shared" si="135"/>
        <v>1.6166877323345299E+21</v>
      </c>
      <c r="J745" s="1">
        <f t="shared" si="136"/>
        <v>2</v>
      </c>
      <c r="K745" s="1">
        <f t="shared" si="137"/>
        <v>3.2333754646690597E+21</v>
      </c>
      <c r="L745" s="1">
        <f t="shared" si="138"/>
        <v>1.4593301263873024E+21</v>
      </c>
      <c r="M745" s="3">
        <f t="shared" si="139"/>
        <v>3658301190.0328374</v>
      </c>
      <c r="N745" s="7">
        <f t="shared" si="144"/>
        <v>1.4593301263873E+21</v>
      </c>
      <c r="O745" s="7">
        <f t="shared" si="140"/>
        <v>3658301190</v>
      </c>
      <c r="P745" s="3">
        <f>SUM($O$4:O745)</f>
        <v>120768194497</v>
      </c>
      <c r="Y745" s="3">
        <f t="shared" si="141"/>
        <v>742</v>
      </c>
      <c r="Z745" s="3">
        <f t="shared" si="142"/>
        <v>3.9161905506360202E+18</v>
      </c>
      <c r="AA745" s="7"/>
      <c r="AB745" s="7">
        <f t="shared" si="143"/>
        <v>13040</v>
      </c>
    </row>
    <row r="746" spans="6:28" x14ac:dyDescent="0.15">
      <c r="F746">
        <f t="shared" si="133"/>
        <v>107</v>
      </c>
      <c r="G746">
        <v>743</v>
      </c>
      <c r="H746">
        <f t="shared" si="134"/>
        <v>2.5381997397652139E+21</v>
      </c>
      <c r="I746">
        <f t="shared" si="135"/>
        <v>2.5381997397652102E+21</v>
      </c>
      <c r="J746" s="1">
        <f t="shared" si="136"/>
        <v>1</v>
      </c>
      <c r="K746" s="1">
        <f t="shared" si="137"/>
        <v>2.5381997397652102E+21</v>
      </c>
      <c r="L746" s="1">
        <f t="shared" si="138"/>
        <v>1.1531887484333273E+21</v>
      </c>
      <c r="M746" s="3">
        <f t="shared" si="139"/>
        <v>2223734603.8981829</v>
      </c>
      <c r="N746" s="7">
        <f t="shared" si="144"/>
        <v>1.15318874843333E+21</v>
      </c>
      <c r="O746" s="7">
        <f t="shared" si="140"/>
        <v>2223734603</v>
      </c>
      <c r="P746" s="3">
        <f>SUM($O$4:O746)</f>
        <v>122991929100</v>
      </c>
      <c r="Y746" s="3">
        <f t="shared" si="141"/>
        <v>743</v>
      </c>
      <c r="Z746" s="3">
        <f t="shared" si="142"/>
        <v>4.1175418572489098E+18</v>
      </c>
      <c r="AA746" s="7"/>
      <c r="AB746" s="7">
        <f t="shared" si="143"/>
        <v>13040</v>
      </c>
    </row>
    <row r="747" spans="6:28" x14ac:dyDescent="0.15">
      <c r="F747">
        <f t="shared" si="133"/>
        <v>107</v>
      </c>
      <c r="G747">
        <v>744</v>
      </c>
      <c r="H747">
        <f t="shared" si="134"/>
        <v>2.5381997397652139E+21</v>
      </c>
      <c r="I747">
        <f t="shared" si="135"/>
        <v>2.5381997397652102E+21</v>
      </c>
      <c r="J747" s="1">
        <f t="shared" si="136"/>
        <v>1</v>
      </c>
      <c r="K747" s="1">
        <f t="shared" si="137"/>
        <v>2.5381997397652102E+21</v>
      </c>
      <c r="L747" s="1">
        <f t="shared" si="138"/>
        <v>1.1531887484333273E+21</v>
      </c>
      <c r="M747" s="3">
        <f t="shared" si="139"/>
        <v>2223734603.8981829</v>
      </c>
      <c r="N747" s="7">
        <f t="shared" si="144"/>
        <v>1.15318874843333E+21</v>
      </c>
      <c r="O747" s="7">
        <f t="shared" si="140"/>
        <v>2223734603</v>
      </c>
      <c r="P747" s="3">
        <f>SUM($O$4:O747)</f>
        <v>125215663703</v>
      </c>
      <c r="Y747" s="3">
        <f t="shared" si="141"/>
        <v>744</v>
      </c>
      <c r="Z747" s="3">
        <f t="shared" si="142"/>
        <v>4.3292378181464899E+18</v>
      </c>
      <c r="AA747" s="7"/>
      <c r="AB747" s="7">
        <f t="shared" si="143"/>
        <v>13040</v>
      </c>
    </row>
    <row r="748" spans="6:28" x14ac:dyDescent="0.15">
      <c r="F748">
        <f t="shared" si="133"/>
        <v>107</v>
      </c>
      <c r="G748">
        <v>745</v>
      </c>
      <c r="H748">
        <f t="shared" si="134"/>
        <v>2.5381997397652139E+21</v>
      </c>
      <c r="I748">
        <f t="shared" si="135"/>
        <v>2.5381997397652102E+21</v>
      </c>
      <c r="J748" s="1">
        <f t="shared" si="136"/>
        <v>1</v>
      </c>
      <c r="K748" s="1">
        <f t="shared" si="137"/>
        <v>2.5381997397652102E+21</v>
      </c>
      <c r="L748" s="1">
        <f t="shared" si="138"/>
        <v>1.1531887484333273E+21</v>
      </c>
      <c r="M748" s="3">
        <f t="shared" si="139"/>
        <v>2223734603.8981829</v>
      </c>
      <c r="N748" s="7">
        <f t="shared" si="144"/>
        <v>1.15318874843333E+21</v>
      </c>
      <c r="O748" s="7">
        <f t="shared" si="140"/>
        <v>2223734603</v>
      </c>
      <c r="P748" s="3">
        <f>SUM($O$4:O748)</f>
        <v>127439398306</v>
      </c>
      <c r="Y748" s="3">
        <f t="shared" si="141"/>
        <v>745</v>
      </c>
      <c r="Z748" s="3">
        <f t="shared" si="142"/>
        <v>4.5518095204907203E+18</v>
      </c>
      <c r="AA748" s="7"/>
      <c r="AB748" s="7">
        <f t="shared" si="143"/>
        <v>13040</v>
      </c>
    </row>
    <row r="749" spans="6:28" x14ac:dyDescent="0.15">
      <c r="F749">
        <f t="shared" si="133"/>
        <v>107</v>
      </c>
      <c r="G749">
        <v>746</v>
      </c>
      <c r="H749">
        <f t="shared" si="134"/>
        <v>2.5381997397652139E+21</v>
      </c>
      <c r="I749">
        <f t="shared" si="135"/>
        <v>2.5381997397652102E+21</v>
      </c>
      <c r="J749" s="1">
        <f t="shared" si="136"/>
        <v>1</v>
      </c>
      <c r="K749" s="1">
        <f t="shared" si="137"/>
        <v>2.5381997397652102E+21</v>
      </c>
      <c r="L749" s="1">
        <f t="shared" si="138"/>
        <v>1.1531887484333273E+21</v>
      </c>
      <c r="M749" s="3">
        <f t="shared" si="139"/>
        <v>2223734603.8981829</v>
      </c>
      <c r="N749" s="7">
        <f t="shared" si="144"/>
        <v>1.15318874843333E+21</v>
      </c>
      <c r="O749" s="7">
        <f t="shared" si="140"/>
        <v>2223734603</v>
      </c>
      <c r="P749" s="3">
        <f>SUM($O$4:O749)</f>
        <v>129663132909</v>
      </c>
      <c r="Y749" s="3">
        <f t="shared" si="141"/>
        <v>746</v>
      </c>
      <c r="Z749" s="3">
        <f t="shared" si="142"/>
        <v>4.7858152985240003E+18</v>
      </c>
      <c r="AA749" s="7"/>
      <c r="AB749" s="7">
        <f t="shared" si="143"/>
        <v>13040</v>
      </c>
    </row>
    <row r="750" spans="6:28" x14ac:dyDescent="0.15">
      <c r="F750">
        <f t="shared" si="133"/>
        <v>107</v>
      </c>
      <c r="G750">
        <v>747</v>
      </c>
      <c r="H750">
        <f t="shared" si="134"/>
        <v>2.5381997397652139E+21</v>
      </c>
      <c r="I750">
        <f t="shared" si="135"/>
        <v>2.5381997397652102E+21</v>
      </c>
      <c r="J750" s="1">
        <f t="shared" si="136"/>
        <v>1</v>
      </c>
      <c r="K750" s="1">
        <f t="shared" si="137"/>
        <v>2.5381997397652102E+21</v>
      </c>
      <c r="L750" s="1">
        <f t="shared" si="138"/>
        <v>1.1531887484333273E+21</v>
      </c>
      <c r="M750" s="3">
        <f t="shared" si="139"/>
        <v>2223734603.8981829</v>
      </c>
      <c r="N750" s="7">
        <f t="shared" si="144"/>
        <v>1.15318874843333E+21</v>
      </c>
      <c r="O750" s="7">
        <f t="shared" si="140"/>
        <v>2223734603</v>
      </c>
      <c r="P750" s="3">
        <f>SUM($O$4:O750)</f>
        <v>131886867512</v>
      </c>
      <c r="Y750" s="3">
        <f t="shared" si="141"/>
        <v>747</v>
      </c>
      <c r="Z750" s="3">
        <f t="shared" si="142"/>
        <v>5.0318421305593805E+18</v>
      </c>
      <c r="AA750" s="7"/>
      <c r="AB750" s="7">
        <f t="shared" si="143"/>
        <v>13040</v>
      </c>
    </row>
    <row r="751" spans="6:28" x14ac:dyDescent="0.15">
      <c r="F751">
        <f t="shared" si="133"/>
        <v>107</v>
      </c>
      <c r="G751">
        <v>748</v>
      </c>
      <c r="H751">
        <f t="shared" si="134"/>
        <v>2.5381997397652139E+21</v>
      </c>
      <c r="I751">
        <f t="shared" si="135"/>
        <v>2.5381997397652102E+21</v>
      </c>
      <c r="J751" s="1">
        <f t="shared" si="136"/>
        <v>1</v>
      </c>
      <c r="K751" s="1">
        <f t="shared" si="137"/>
        <v>2.5381997397652102E+21</v>
      </c>
      <c r="L751" s="1">
        <f t="shared" si="138"/>
        <v>1.1531887484333273E+21</v>
      </c>
      <c r="M751" s="3">
        <f t="shared" si="139"/>
        <v>2223734603.8981829</v>
      </c>
      <c r="N751" s="7">
        <f t="shared" si="144"/>
        <v>1.15318874843333E+21</v>
      </c>
      <c r="O751" s="7">
        <f t="shared" si="140"/>
        <v>2223734603</v>
      </c>
      <c r="P751" s="3">
        <f>SUM($O$4:O751)</f>
        <v>134110602115</v>
      </c>
      <c r="Y751" s="3">
        <f t="shared" si="141"/>
        <v>748</v>
      </c>
      <c r="Z751" s="3">
        <f t="shared" si="142"/>
        <v>5.2905071075519898E+18</v>
      </c>
      <c r="AA751" s="7"/>
      <c r="AB751" s="7">
        <f t="shared" si="143"/>
        <v>13040</v>
      </c>
    </row>
    <row r="752" spans="6:28" x14ac:dyDescent="0.15">
      <c r="F752">
        <f t="shared" si="133"/>
        <v>107</v>
      </c>
      <c r="G752">
        <v>749</v>
      </c>
      <c r="H752">
        <f t="shared" si="134"/>
        <v>2.5381997397652139E+21</v>
      </c>
      <c r="I752">
        <f t="shared" si="135"/>
        <v>2.5381997397652102E+21</v>
      </c>
      <c r="J752" s="1">
        <f t="shared" si="136"/>
        <v>4</v>
      </c>
      <c r="K752" s="1">
        <f t="shared" si="137"/>
        <v>1.0152798959060841E+22</v>
      </c>
      <c r="L752" s="1">
        <f t="shared" si="138"/>
        <v>4.612754993733309E+21</v>
      </c>
      <c r="M752" s="3">
        <f t="shared" si="139"/>
        <v>8894938415.5927315</v>
      </c>
      <c r="N752" s="7">
        <f t="shared" si="144"/>
        <v>4.6127549937333101E+21</v>
      </c>
      <c r="O752" s="7">
        <f t="shared" si="140"/>
        <v>8894938415</v>
      </c>
      <c r="P752" s="3">
        <f>SUM($O$4:O752)</f>
        <v>143005540530</v>
      </c>
      <c r="Y752" s="3">
        <f t="shared" si="141"/>
        <v>749</v>
      </c>
      <c r="Z752" s="3">
        <f t="shared" si="142"/>
        <v>5.5624589769174702E+18</v>
      </c>
      <c r="AA752" s="7"/>
      <c r="AB752" s="7">
        <f t="shared" si="143"/>
        <v>13040</v>
      </c>
    </row>
    <row r="753" spans="6:28" x14ac:dyDescent="0.15">
      <c r="F753">
        <f t="shared" si="133"/>
        <v>108</v>
      </c>
      <c r="G753">
        <v>750</v>
      </c>
      <c r="H753">
        <f t="shared" si="134"/>
        <v>3.9849735914313865E+21</v>
      </c>
      <c r="I753">
        <f t="shared" si="135"/>
        <v>3.9849735914313902E+21</v>
      </c>
      <c r="J753" s="1">
        <f t="shared" si="136"/>
        <v>1</v>
      </c>
      <c r="K753" s="1">
        <f t="shared" si="137"/>
        <v>3.9849735914313902E+21</v>
      </c>
      <c r="L753" s="1">
        <f t="shared" si="138"/>
        <v>1.8224612558146225E+21</v>
      </c>
      <c r="M753" s="3">
        <f t="shared" si="139"/>
        <v>2703320326.3055782</v>
      </c>
      <c r="N753" s="7">
        <f t="shared" si="144"/>
        <v>1.8224612558146201E+21</v>
      </c>
      <c r="O753" s="7">
        <f t="shared" si="140"/>
        <v>2703320326</v>
      </c>
      <c r="P753" s="3">
        <f>SUM($O$4:O753)</f>
        <v>145708860856</v>
      </c>
      <c r="Y753" s="3">
        <f t="shared" si="141"/>
        <v>750</v>
      </c>
      <c r="Z753" s="3">
        <f t="shared" si="142"/>
        <v>5.8483797654506097E+18</v>
      </c>
      <c r="AA753" s="7"/>
      <c r="AB753" s="7">
        <f t="shared" si="143"/>
        <v>13040</v>
      </c>
    </row>
    <row r="754" spans="6:28" x14ac:dyDescent="0.15">
      <c r="F754">
        <f t="shared" si="133"/>
        <v>108</v>
      </c>
      <c r="G754">
        <v>751</v>
      </c>
      <c r="H754">
        <f t="shared" si="134"/>
        <v>3.9849735914313865E+21</v>
      </c>
      <c r="I754">
        <f t="shared" si="135"/>
        <v>3.9849735914313902E+21</v>
      </c>
      <c r="J754" s="1">
        <f t="shared" si="136"/>
        <v>1</v>
      </c>
      <c r="K754" s="1">
        <f t="shared" si="137"/>
        <v>3.9849735914313902E+21</v>
      </c>
      <c r="L754" s="1">
        <f t="shared" si="138"/>
        <v>1.8224612558146225E+21</v>
      </c>
      <c r="M754" s="3">
        <f t="shared" si="139"/>
        <v>2703320326.3055782</v>
      </c>
      <c r="N754" s="7">
        <f t="shared" si="144"/>
        <v>1.8224612558146201E+21</v>
      </c>
      <c r="O754" s="7">
        <f t="shared" si="140"/>
        <v>2703320326</v>
      </c>
      <c r="P754" s="3">
        <f>SUM($O$4:O754)</f>
        <v>148412181182</v>
      </c>
      <c r="Y754" s="3">
        <f t="shared" si="141"/>
        <v>751</v>
      </c>
      <c r="Z754" s="3">
        <f t="shared" si="142"/>
        <v>6.1489864853947699E+18</v>
      </c>
      <c r="AA754" s="7"/>
      <c r="AB754" s="7">
        <f t="shared" si="143"/>
        <v>13040</v>
      </c>
    </row>
    <row r="755" spans="6:28" x14ac:dyDescent="0.15">
      <c r="F755">
        <f t="shared" si="133"/>
        <v>108</v>
      </c>
      <c r="G755">
        <v>752</v>
      </c>
      <c r="H755">
        <f t="shared" si="134"/>
        <v>3.9849735914313865E+21</v>
      </c>
      <c r="I755">
        <f t="shared" si="135"/>
        <v>3.9849735914313902E+21</v>
      </c>
      <c r="J755" s="1">
        <f t="shared" si="136"/>
        <v>1</v>
      </c>
      <c r="K755" s="1">
        <f t="shared" si="137"/>
        <v>3.9849735914313902E+21</v>
      </c>
      <c r="L755" s="1">
        <f t="shared" si="138"/>
        <v>1.8224612558146225E+21</v>
      </c>
      <c r="M755" s="3">
        <f t="shared" si="139"/>
        <v>2703320326.3055782</v>
      </c>
      <c r="N755" s="7">
        <f t="shared" si="144"/>
        <v>1.8224612558146201E+21</v>
      </c>
      <c r="O755" s="7">
        <f t="shared" si="140"/>
        <v>2703320326</v>
      </c>
      <c r="P755" s="3">
        <f>SUM($O$4:O755)</f>
        <v>151115501508</v>
      </c>
      <c r="Y755" s="3">
        <f t="shared" si="141"/>
        <v>752</v>
      </c>
      <c r="Z755" s="3">
        <f t="shared" si="142"/>
        <v>6.4650329279197204E+18</v>
      </c>
      <c r="AA755" s="7"/>
      <c r="AB755" s="7">
        <f t="shared" si="143"/>
        <v>13040</v>
      </c>
    </row>
    <row r="756" spans="6:28" x14ac:dyDescent="0.15">
      <c r="F756">
        <f t="shared" si="133"/>
        <v>108</v>
      </c>
      <c r="G756">
        <v>753</v>
      </c>
      <c r="H756">
        <f t="shared" si="134"/>
        <v>3.9849735914313865E+21</v>
      </c>
      <c r="I756">
        <f t="shared" si="135"/>
        <v>3.9849735914313902E+21</v>
      </c>
      <c r="J756" s="1">
        <f t="shared" si="136"/>
        <v>1</v>
      </c>
      <c r="K756" s="1">
        <f t="shared" si="137"/>
        <v>3.9849735914313902E+21</v>
      </c>
      <c r="L756" s="1">
        <f t="shared" si="138"/>
        <v>1.8224612558146225E+21</v>
      </c>
      <c r="M756" s="3">
        <f t="shared" si="139"/>
        <v>2703320326.3055782</v>
      </c>
      <c r="N756" s="7">
        <f t="shared" si="144"/>
        <v>1.8224612558146201E+21</v>
      </c>
      <c r="O756" s="7">
        <f t="shared" si="140"/>
        <v>2703320326</v>
      </c>
      <c r="P756" s="3">
        <f>SUM($O$4:O756)</f>
        <v>153818821834</v>
      </c>
      <c r="Y756" s="3">
        <f t="shared" si="141"/>
        <v>753</v>
      </c>
      <c r="Z756" s="3">
        <f t="shared" si="142"/>
        <v>6.7973115484836803E+18</v>
      </c>
      <c r="AA756" s="7"/>
      <c r="AB756" s="7">
        <f t="shared" si="143"/>
        <v>13040</v>
      </c>
    </row>
    <row r="757" spans="6:28" x14ac:dyDescent="0.15">
      <c r="F757">
        <f t="shared" si="133"/>
        <v>108</v>
      </c>
      <c r="G757">
        <v>754</v>
      </c>
      <c r="H757">
        <f t="shared" si="134"/>
        <v>3.9849735914313865E+21</v>
      </c>
      <c r="I757">
        <f t="shared" si="135"/>
        <v>3.9849735914313902E+21</v>
      </c>
      <c r="J757" s="1">
        <f t="shared" si="136"/>
        <v>1</v>
      </c>
      <c r="K757" s="1">
        <f t="shared" si="137"/>
        <v>3.9849735914313902E+21</v>
      </c>
      <c r="L757" s="1">
        <f t="shared" si="138"/>
        <v>1.8224612558146225E+21</v>
      </c>
      <c r="M757" s="3">
        <f t="shared" si="139"/>
        <v>2703320326.3055782</v>
      </c>
      <c r="N757" s="7">
        <f t="shared" si="144"/>
        <v>1.8224612558146201E+21</v>
      </c>
      <c r="O757" s="7">
        <f t="shared" si="140"/>
        <v>2703320326</v>
      </c>
      <c r="P757" s="3">
        <f>SUM($O$4:O757)</f>
        <v>156522142160</v>
      </c>
      <c r="Y757" s="3">
        <f t="shared" si="141"/>
        <v>754</v>
      </c>
      <c r="Z757" s="3">
        <f t="shared" si="142"/>
        <v>7.1466554487842396E+18</v>
      </c>
      <c r="AA757" s="7"/>
      <c r="AB757" s="7">
        <f t="shared" si="143"/>
        <v>13040</v>
      </c>
    </row>
    <row r="758" spans="6:28" x14ac:dyDescent="0.15">
      <c r="F758">
        <f t="shared" si="133"/>
        <v>108</v>
      </c>
      <c r="G758">
        <v>755</v>
      </c>
      <c r="H758">
        <f t="shared" si="134"/>
        <v>3.9849735914313865E+21</v>
      </c>
      <c r="I758">
        <f t="shared" si="135"/>
        <v>3.9849735914313902E+21</v>
      </c>
      <c r="J758" s="1">
        <f t="shared" si="136"/>
        <v>1</v>
      </c>
      <c r="K758" s="1">
        <f t="shared" si="137"/>
        <v>3.9849735914313902E+21</v>
      </c>
      <c r="L758" s="1">
        <f t="shared" si="138"/>
        <v>1.8224612558146225E+21</v>
      </c>
      <c r="M758" s="3">
        <f t="shared" si="139"/>
        <v>2703320326.3055782</v>
      </c>
      <c r="N758" s="7">
        <f t="shared" si="144"/>
        <v>1.8224612558146201E+21</v>
      </c>
      <c r="O758" s="7">
        <f t="shared" si="140"/>
        <v>2703320326</v>
      </c>
      <c r="P758" s="3">
        <f>SUM($O$4:O758)</f>
        <v>159225462486</v>
      </c>
      <c r="Y758" s="3">
        <f t="shared" si="141"/>
        <v>755</v>
      </c>
      <c r="Z758" s="3">
        <f t="shared" si="142"/>
        <v>7.5139404602436403E+18</v>
      </c>
      <c r="AA758" s="7"/>
      <c r="AB758" s="7">
        <f t="shared" si="143"/>
        <v>13040</v>
      </c>
    </row>
    <row r="759" spans="6:28" x14ac:dyDescent="0.15">
      <c r="F759">
        <f t="shared" si="133"/>
        <v>108</v>
      </c>
      <c r="G759">
        <v>756</v>
      </c>
      <c r="H759">
        <f t="shared" si="134"/>
        <v>3.9849735914313865E+21</v>
      </c>
      <c r="I759">
        <f t="shared" si="135"/>
        <v>3.9849735914313902E+21</v>
      </c>
      <c r="J759" s="1">
        <f t="shared" si="136"/>
        <v>6</v>
      </c>
      <c r="K759" s="1">
        <f t="shared" si="137"/>
        <v>2.3909841548588341E+22</v>
      </c>
      <c r="L759" s="1">
        <f t="shared" si="138"/>
        <v>1.0934767534887735E+22</v>
      </c>
      <c r="M759" s="3">
        <f t="shared" si="139"/>
        <v>16219921957.833469</v>
      </c>
      <c r="N759" s="7">
        <f t="shared" si="144"/>
        <v>1.0934767534887699E+22</v>
      </c>
      <c r="O759" s="7">
        <f t="shared" si="140"/>
        <v>16219921957</v>
      </c>
      <c r="P759" s="3">
        <f>SUM($O$4:O759)</f>
        <v>175445384443</v>
      </c>
      <c r="Y759" s="3">
        <f t="shared" si="141"/>
        <v>756</v>
      </c>
      <c r="Z759" s="3">
        <f t="shared" si="142"/>
        <v>7.9000873342270198E+18</v>
      </c>
      <c r="AA759" s="7"/>
      <c r="AB759" s="7">
        <f t="shared" si="143"/>
        <v>13040</v>
      </c>
    </row>
    <row r="760" spans="6:28" x14ac:dyDescent="0.15">
      <c r="F760">
        <f t="shared" si="133"/>
        <v>109</v>
      </c>
      <c r="G760">
        <v>757</v>
      </c>
      <c r="H760">
        <f t="shared" si="134"/>
        <v>6.2564085385472781E+21</v>
      </c>
      <c r="I760">
        <f t="shared" si="135"/>
        <v>6.2564085385472802E+21</v>
      </c>
      <c r="J760" s="1">
        <f t="shared" si="136"/>
        <v>1</v>
      </c>
      <c r="K760" s="1">
        <f t="shared" si="137"/>
        <v>6.2564085385472802E+21</v>
      </c>
      <c r="L760" s="1">
        <f t="shared" si="138"/>
        <v>2.8800333972445982E+21</v>
      </c>
      <c r="M760" s="3">
        <f t="shared" si="139"/>
        <v>3286195353.154274</v>
      </c>
      <c r="N760" s="7">
        <f t="shared" si="144"/>
        <v>2.8800333972446003E+21</v>
      </c>
      <c r="O760" s="7">
        <f t="shared" si="140"/>
        <v>3286195353</v>
      </c>
      <c r="P760" s="3">
        <f>SUM($O$4:O760)</f>
        <v>178731579796</v>
      </c>
      <c r="Y760" s="3">
        <f t="shared" si="141"/>
        <v>757</v>
      </c>
      <c r="Z760" s="3">
        <f t="shared" si="142"/>
        <v>8.3060640444581304E+18</v>
      </c>
      <c r="AA760" s="7"/>
      <c r="AB760" s="7">
        <f t="shared" si="143"/>
        <v>13040</v>
      </c>
    </row>
    <row r="761" spans="6:28" x14ac:dyDescent="0.15">
      <c r="F761">
        <f t="shared" si="133"/>
        <v>109</v>
      </c>
      <c r="G761">
        <v>758</v>
      </c>
      <c r="H761">
        <f t="shared" si="134"/>
        <v>6.2564085385472781E+21</v>
      </c>
      <c r="I761">
        <f t="shared" si="135"/>
        <v>6.2564085385472802E+21</v>
      </c>
      <c r="J761" s="1">
        <f t="shared" si="136"/>
        <v>1</v>
      </c>
      <c r="K761" s="1">
        <f t="shared" si="137"/>
        <v>6.2564085385472802E+21</v>
      </c>
      <c r="L761" s="1">
        <f t="shared" si="138"/>
        <v>2.8800333972445982E+21</v>
      </c>
      <c r="M761" s="3">
        <f t="shared" si="139"/>
        <v>3286195353.154274</v>
      </c>
      <c r="N761" s="7">
        <f t="shared" si="144"/>
        <v>2.8800333972446003E+21</v>
      </c>
      <c r="O761" s="7">
        <f t="shared" si="140"/>
        <v>3286195353</v>
      </c>
      <c r="P761" s="3">
        <f>SUM($O$4:O761)</f>
        <v>182017775149</v>
      </c>
      <c r="Y761" s="3">
        <f t="shared" si="141"/>
        <v>758</v>
      </c>
      <c r="Z761" s="3">
        <f t="shared" si="142"/>
        <v>8.7328882073767803E+18</v>
      </c>
      <c r="AA761" s="7"/>
      <c r="AB761" s="7">
        <f t="shared" si="143"/>
        <v>13040</v>
      </c>
    </row>
    <row r="762" spans="6:28" x14ac:dyDescent="0.15">
      <c r="F762">
        <f t="shared" si="133"/>
        <v>109</v>
      </c>
      <c r="G762">
        <v>759</v>
      </c>
      <c r="H762">
        <f t="shared" si="134"/>
        <v>6.2564085385472781E+21</v>
      </c>
      <c r="I762">
        <f t="shared" si="135"/>
        <v>6.2564085385472802E+21</v>
      </c>
      <c r="J762" s="1">
        <f t="shared" si="136"/>
        <v>1</v>
      </c>
      <c r="K762" s="1">
        <f t="shared" si="137"/>
        <v>6.2564085385472802E+21</v>
      </c>
      <c r="L762" s="1">
        <f t="shared" si="138"/>
        <v>2.8800333972445982E+21</v>
      </c>
      <c r="M762" s="3">
        <f t="shared" si="139"/>
        <v>3286195353.154274</v>
      </c>
      <c r="N762" s="7">
        <f t="shared" si="144"/>
        <v>2.8800333972446003E+21</v>
      </c>
      <c r="O762" s="7">
        <f t="shared" si="140"/>
        <v>3286195353</v>
      </c>
      <c r="P762" s="3">
        <f>SUM($O$4:O762)</f>
        <v>185303970502</v>
      </c>
      <c r="Y762" s="3">
        <f t="shared" si="141"/>
        <v>759</v>
      </c>
      <c r="Z762" s="3">
        <f t="shared" si="142"/>
        <v>9.18162962647616E+18</v>
      </c>
      <c r="AA762" s="7"/>
      <c r="AB762" s="7">
        <f t="shared" si="143"/>
        <v>13040</v>
      </c>
    </row>
    <row r="763" spans="6:28" x14ac:dyDescent="0.15">
      <c r="F763">
        <f t="shared" si="133"/>
        <v>109</v>
      </c>
      <c r="G763">
        <v>760</v>
      </c>
      <c r="H763">
        <f t="shared" si="134"/>
        <v>6.2564085385472781E+21</v>
      </c>
      <c r="I763">
        <f t="shared" si="135"/>
        <v>6.2564085385472802E+21</v>
      </c>
      <c r="J763" s="1">
        <f t="shared" si="136"/>
        <v>1</v>
      </c>
      <c r="K763" s="1">
        <f t="shared" si="137"/>
        <v>6.2564085385472802E+21</v>
      </c>
      <c r="L763" s="1">
        <f t="shared" si="138"/>
        <v>2.8800333972445982E+21</v>
      </c>
      <c r="M763" s="3">
        <f t="shared" si="139"/>
        <v>3286195353.154274</v>
      </c>
      <c r="N763" s="7">
        <f t="shared" si="144"/>
        <v>2.8800333972446003E+21</v>
      </c>
      <c r="O763" s="7">
        <f t="shared" si="140"/>
        <v>3286195353</v>
      </c>
      <c r="P763" s="3">
        <f>SUM($O$4:O763)</f>
        <v>188590165855</v>
      </c>
      <c r="Y763" s="3">
        <f t="shared" si="141"/>
        <v>760</v>
      </c>
      <c r="Z763" s="3">
        <f t="shared" si="142"/>
        <v>9.6534129669670298E+18</v>
      </c>
      <c r="AA763" s="7"/>
      <c r="AB763" s="7">
        <f t="shared" si="143"/>
        <v>13040</v>
      </c>
    </row>
    <row r="764" spans="6:28" x14ac:dyDescent="0.15">
      <c r="F764">
        <f t="shared" si="133"/>
        <v>109</v>
      </c>
      <c r="G764">
        <v>761</v>
      </c>
      <c r="H764">
        <f t="shared" si="134"/>
        <v>6.2564085385472781E+21</v>
      </c>
      <c r="I764">
        <f t="shared" si="135"/>
        <v>6.2564085385472802E+21</v>
      </c>
      <c r="J764" s="1">
        <f t="shared" si="136"/>
        <v>1</v>
      </c>
      <c r="K764" s="1">
        <f t="shared" si="137"/>
        <v>6.2564085385472802E+21</v>
      </c>
      <c r="L764" s="1">
        <f t="shared" si="138"/>
        <v>2.8800333972445982E+21</v>
      </c>
      <c r="M764" s="3">
        <f t="shared" si="139"/>
        <v>3286195353.154274</v>
      </c>
      <c r="N764" s="7">
        <f t="shared" si="144"/>
        <v>2.8800333972446003E+21</v>
      </c>
      <c r="O764" s="7">
        <f t="shared" si="140"/>
        <v>3286195353</v>
      </c>
      <c r="P764" s="3">
        <f>SUM($O$4:O764)</f>
        <v>191876361208</v>
      </c>
      <c r="Y764" s="3">
        <f t="shared" si="141"/>
        <v>761</v>
      </c>
      <c r="Z764" s="3">
        <f t="shared" si="142"/>
        <v>1.01494205674408E+19</v>
      </c>
      <c r="AA764" s="7"/>
      <c r="AB764" s="7">
        <f t="shared" si="143"/>
        <v>13040</v>
      </c>
    </row>
    <row r="765" spans="6:28" x14ac:dyDescent="0.15">
      <c r="F765">
        <f t="shared" si="133"/>
        <v>109</v>
      </c>
      <c r="G765">
        <v>762</v>
      </c>
      <c r="H765">
        <f t="shared" si="134"/>
        <v>6.2564085385472781E+21</v>
      </c>
      <c r="I765">
        <f t="shared" si="135"/>
        <v>6.2564085385472802E+21</v>
      </c>
      <c r="J765" s="1">
        <f t="shared" si="136"/>
        <v>1</v>
      </c>
      <c r="K765" s="1">
        <f t="shared" si="137"/>
        <v>6.2564085385472802E+21</v>
      </c>
      <c r="L765" s="1">
        <f t="shared" si="138"/>
        <v>2.8800333972445982E+21</v>
      </c>
      <c r="M765" s="3">
        <f t="shared" si="139"/>
        <v>3286195353.154274</v>
      </c>
      <c r="N765" s="7">
        <f t="shared" si="144"/>
        <v>2.8800333972446003E+21</v>
      </c>
      <c r="O765" s="7">
        <f t="shared" si="140"/>
        <v>3286195353</v>
      </c>
      <c r="P765" s="3">
        <f>SUM($O$4:O765)</f>
        <v>195162556561</v>
      </c>
      <c r="Y765" s="3">
        <f t="shared" si="141"/>
        <v>762</v>
      </c>
      <c r="Z765" s="3">
        <f t="shared" si="142"/>
        <v>1.06708953955445E+19</v>
      </c>
      <c r="AA765" s="7"/>
      <c r="AB765" s="7">
        <f t="shared" si="143"/>
        <v>13040</v>
      </c>
    </row>
    <row r="766" spans="6:28" x14ac:dyDescent="0.15">
      <c r="F766">
        <f t="shared" si="133"/>
        <v>109</v>
      </c>
      <c r="G766">
        <v>763</v>
      </c>
      <c r="H766">
        <f t="shared" si="134"/>
        <v>6.2564085385472781E+21</v>
      </c>
      <c r="I766">
        <f t="shared" si="135"/>
        <v>6.2564085385472802E+21</v>
      </c>
      <c r="J766" s="1">
        <f t="shared" si="136"/>
        <v>7</v>
      </c>
      <c r="K766" s="1">
        <f t="shared" si="137"/>
        <v>4.379485976983096E+22</v>
      </c>
      <c r="L766" s="1">
        <f t="shared" si="138"/>
        <v>2.0160233780712187E+22</v>
      </c>
      <c r="M766" s="3">
        <f t="shared" si="139"/>
        <v>23003367472.079918</v>
      </c>
      <c r="N766" s="7">
        <f t="shared" si="144"/>
        <v>2.01602337807122E+22</v>
      </c>
      <c r="O766" s="7">
        <f t="shared" si="140"/>
        <v>23003367472</v>
      </c>
      <c r="P766" s="3">
        <f>SUM($O$4:O766)</f>
        <v>218165924033</v>
      </c>
      <c r="Y766" s="3">
        <f t="shared" si="141"/>
        <v>763</v>
      </c>
      <c r="Z766" s="3">
        <f t="shared" si="142"/>
        <v>1.121914415504E+19</v>
      </c>
      <c r="AA766" s="7"/>
      <c r="AB766" s="7">
        <f t="shared" si="143"/>
        <v>13040</v>
      </c>
    </row>
    <row r="767" spans="6:28" x14ac:dyDescent="0.15">
      <c r="F767">
        <f t="shared" si="133"/>
        <v>110</v>
      </c>
      <c r="G767">
        <v>764</v>
      </c>
      <c r="H767">
        <f t="shared" si="134"/>
        <v>9.8225614055192238E+21</v>
      </c>
      <c r="I767">
        <f t="shared" si="135"/>
        <v>9.8225614055192197E+21</v>
      </c>
      <c r="J767" s="1">
        <f t="shared" si="136"/>
        <v>1</v>
      </c>
      <c r="K767" s="1">
        <f t="shared" si="137"/>
        <v>9.8225614055192197E+21</v>
      </c>
      <c r="L767" s="1">
        <f t="shared" si="138"/>
        <v>4.5511201178905713E+21</v>
      </c>
      <c r="M767" s="3">
        <f t="shared" si="139"/>
        <v>3994577017.3166399</v>
      </c>
      <c r="N767" s="7">
        <f t="shared" si="144"/>
        <v>4.5511201178905703E+21</v>
      </c>
      <c r="O767" s="7">
        <f t="shared" si="140"/>
        <v>3994577017</v>
      </c>
      <c r="P767" s="3">
        <f>SUM($O$4:O767)</f>
        <v>222160501050</v>
      </c>
      <c r="Y767" s="3">
        <f t="shared" si="141"/>
        <v>764</v>
      </c>
      <c r="Z767" s="3">
        <f t="shared" si="142"/>
        <v>1.1795540551996201E+19</v>
      </c>
      <c r="AA767" s="7"/>
      <c r="AB767" s="7">
        <f t="shared" si="143"/>
        <v>13040</v>
      </c>
    </row>
    <row r="768" spans="6:28" x14ac:dyDescent="0.15">
      <c r="F768">
        <f t="shared" si="133"/>
        <v>110</v>
      </c>
      <c r="G768">
        <v>765</v>
      </c>
      <c r="H768">
        <f t="shared" si="134"/>
        <v>9.8225614055192238E+21</v>
      </c>
      <c r="I768">
        <f t="shared" si="135"/>
        <v>9.8225614055192197E+21</v>
      </c>
      <c r="J768" s="1">
        <f t="shared" si="136"/>
        <v>1</v>
      </c>
      <c r="K768" s="1">
        <f t="shared" si="137"/>
        <v>9.8225614055192197E+21</v>
      </c>
      <c r="L768" s="1">
        <f t="shared" si="138"/>
        <v>4.5511201178905713E+21</v>
      </c>
      <c r="M768" s="3">
        <f t="shared" si="139"/>
        <v>3994577017.3166399</v>
      </c>
      <c r="N768" s="7">
        <f t="shared" si="144"/>
        <v>4.5511201178905703E+21</v>
      </c>
      <c r="O768" s="7">
        <f t="shared" si="140"/>
        <v>3994577017</v>
      </c>
      <c r="P768" s="3">
        <f>SUM($O$4:O768)</f>
        <v>226155078067</v>
      </c>
      <c r="Y768" s="3">
        <f t="shared" si="141"/>
        <v>765</v>
      </c>
      <c r="Z768" s="3">
        <f t="shared" si="142"/>
        <v>1.2401528728260399E+19</v>
      </c>
      <c r="AA768" s="7"/>
      <c r="AB768" s="7">
        <f t="shared" si="143"/>
        <v>13040</v>
      </c>
    </row>
    <row r="769" spans="6:28" x14ac:dyDescent="0.15">
      <c r="F769">
        <f t="shared" si="133"/>
        <v>110</v>
      </c>
      <c r="G769">
        <v>766</v>
      </c>
      <c r="H769">
        <f t="shared" si="134"/>
        <v>9.8225614055192238E+21</v>
      </c>
      <c r="I769">
        <f t="shared" si="135"/>
        <v>9.8225614055192197E+21</v>
      </c>
      <c r="J769" s="1">
        <f t="shared" si="136"/>
        <v>1</v>
      </c>
      <c r="K769" s="1">
        <f t="shared" si="137"/>
        <v>9.8225614055192197E+21</v>
      </c>
      <c r="L769" s="1">
        <f t="shared" si="138"/>
        <v>4.5511201178905713E+21</v>
      </c>
      <c r="M769" s="3">
        <f t="shared" si="139"/>
        <v>3994577017.3166399</v>
      </c>
      <c r="N769" s="7">
        <f t="shared" si="144"/>
        <v>4.5511201178905703E+21</v>
      </c>
      <c r="O769" s="7">
        <f t="shared" si="140"/>
        <v>3994577017</v>
      </c>
      <c r="P769" s="3">
        <f>SUM($O$4:O769)</f>
        <v>230149655084</v>
      </c>
      <c r="Y769" s="3">
        <f t="shared" si="141"/>
        <v>766</v>
      </c>
      <c r="Z769" s="3">
        <f t="shared" si="142"/>
        <v>1.3038626870770999E+19</v>
      </c>
      <c r="AA769" s="7"/>
      <c r="AB769" s="7">
        <f t="shared" si="143"/>
        <v>13040</v>
      </c>
    </row>
    <row r="770" spans="6:28" x14ac:dyDescent="0.15">
      <c r="F770">
        <f t="shared" si="133"/>
        <v>110</v>
      </c>
      <c r="G770">
        <v>767</v>
      </c>
      <c r="H770">
        <f t="shared" si="134"/>
        <v>9.8225614055192238E+21</v>
      </c>
      <c r="I770">
        <f t="shared" si="135"/>
        <v>9.8225614055192197E+21</v>
      </c>
      <c r="J770" s="1">
        <f t="shared" si="136"/>
        <v>1</v>
      </c>
      <c r="K770" s="1">
        <f t="shared" si="137"/>
        <v>9.8225614055192197E+21</v>
      </c>
      <c r="L770" s="1">
        <f t="shared" si="138"/>
        <v>4.5511201178905713E+21</v>
      </c>
      <c r="M770" s="3">
        <f t="shared" si="139"/>
        <v>3994577017.3166399</v>
      </c>
      <c r="N770" s="7">
        <f t="shared" si="144"/>
        <v>4.5511201178905703E+21</v>
      </c>
      <c r="O770" s="7">
        <f t="shared" si="140"/>
        <v>3994577017</v>
      </c>
      <c r="P770" s="3">
        <f>SUM($O$4:O770)</f>
        <v>234144232101</v>
      </c>
      <c r="Y770" s="3">
        <f t="shared" si="141"/>
        <v>767</v>
      </c>
      <c r="Z770" s="3">
        <f t="shared" si="142"/>
        <v>1.3708431005712099E+19</v>
      </c>
      <c r="AA770" s="7"/>
      <c r="AB770" s="7">
        <f t="shared" si="143"/>
        <v>13040</v>
      </c>
    </row>
    <row r="771" spans="6:28" x14ac:dyDescent="0.15">
      <c r="F771">
        <f t="shared" si="133"/>
        <v>110</v>
      </c>
      <c r="G771">
        <v>768</v>
      </c>
      <c r="H771">
        <f t="shared" si="134"/>
        <v>9.8225614055192238E+21</v>
      </c>
      <c r="I771">
        <f t="shared" si="135"/>
        <v>9.8225614055192197E+21</v>
      </c>
      <c r="J771" s="1">
        <f t="shared" si="136"/>
        <v>1</v>
      </c>
      <c r="K771" s="1">
        <f t="shared" si="137"/>
        <v>9.8225614055192197E+21</v>
      </c>
      <c r="L771" s="1">
        <f t="shared" si="138"/>
        <v>4.5511201178905713E+21</v>
      </c>
      <c r="M771" s="3">
        <f t="shared" si="139"/>
        <v>3994577017.3166399</v>
      </c>
      <c r="N771" s="7">
        <f t="shared" si="144"/>
        <v>4.5511201178905703E+21</v>
      </c>
      <c r="O771" s="7">
        <f t="shared" si="140"/>
        <v>3994577017</v>
      </c>
      <c r="P771" s="3">
        <f>SUM($O$4:O771)</f>
        <v>238138809118</v>
      </c>
      <c r="Y771" s="3">
        <f t="shared" si="141"/>
        <v>768</v>
      </c>
      <c r="Z771" s="3">
        <f t="shared" si="142"/>
        <v>1.44126189869703E+19</v>
      </c>
      <c r="AA771" s="7"/>
      <c r="AB771" s="7">
        <f t="shared" si="143"/>
        <v>13040</v>
      </c>
    </row>
    <row r="772" spans="6:28" x14ac:dyDescent="0.15">
      <c r="F772">
        <f t="shared" si="133"/>
        <v>110</v>
      </c>
      <c r="G772">
        <v>769</v>
      </c>
      <c r="H772">
        <f t="shared" si="134"/>
        <v>9.8225614055192238E+21</v>
      </c>
      <c r="I772">
        <f t="shared" si="135"/>
        <v>9.8225614055192197E+21</v>
      </c>
      <c r="J772" s="1">
        <f t="shared" si="136"/>
        <v>1</v>
      </c>
      <c r="K772" s="1">
        <f t="shared" si="137"/>
        <v>9.8225614055192197E+21</v>
      </c>
      <c r="L772" s="1">
        <f t="shared" si="138"/>
        <v>4.5511201178905713E+21</v>
      </c>
      <c r="M772" s="3">
        <f t="shared" si="139"/>
        <v>3994577017.3166399</v>
      </c>
      <c r="N772" s="7">
        <f t="shared" si="144"/>
        <v>4.5511201178905703E+21</v>
      </c>
      <c r="O772" s="7">
        <f t="shared" si="140"/>
        <v>3994577017</v>
      </c>
      <c r="P772" s="3">
        <f>SUM($O$4:O772)</f>
        <v>242133386135</v>
      </c>
      <c r="Y772" s="3">
        <f t="shared" si="141"/>
        <v>769</v>
      </c>
      <c r="Z772" s="3">
        <f t="shared" si="142"/>
        <v>1.51529546888401E+19</v>
      </c>
      <c r="AA772" s="7"/>
      <c r="AB772" s="7">
        <f t="shared" si="143"/>
        <v>13040</v>
      </c>
    </row>
    <row r="773" spans="6:28" x14ac:dyDescent="0.15">
      <c r="F773">
        <f t="shared" ref="F773:F836" si="145">ROUNDUP(G773/$C$4,0)</f>
        <v>110</v>
      </c>
      <c r="G773">
        <v>770</v>
      </c>
      <c r="H773">
        <f t="shared" ref="H773:H836" si="146">18.5*1.57^MIN(F773,156)*1.17^MAX(F773-156,0)*$C$5</f>
        <v>9.8225614055192238E+21</v>
      </c>
      <c r="I773">
        <f t="shared" ref="I773:I836" si="147">ROUND(H773,0)</f>
        <v>9.8225614055192197E+21</v>
      </c>
      <c r="J773" s="1">
        <f t="shared" ref="J773:J836" si="148">IF(F773=F774,1,LOOKUP(MOD(F773,5),$D$6:$D$10,$C$6:$C$10))</f>
        <v>10</v>
      </c>
      <c r="K773" s="1">
        <f t="shared" ref="K773:K836" si="149">J773*I773</f>
        <v>9.8225614055192205E+22</v>
      </c>
      <c r="L773" s="1">
        <f t="shared" ref="L773:L836" si="150">K773*(0.02+0.00045*F773)/$C$5</f>
        <v>4.551120117890572E+22</v>
      </c>
      <c r="M773" s="3">
        <f t="shared" ref="M773:M836" si="151">L773/(1.3^F773)*3</f>
        <v>39945770173.166405</v>
      </c>
      <c r="N773" s="7">
        <f t="shared" si="144"/>
        <v>4.5511201178905704E+22</v>
      </c>
      <c r="O773" s="7">
        <f t="shared" ref="O773:O836" si="152">ROUNDDOWN(M773,0)</f>
        <v>39945770173</v>
      </c>
      <c r="P773" s="3">
        <f>SUM($O$4:O773)</f>
        <v>282079156308</v>
      </c>
      <c r="Y773" s="3">
        <f t="shared" ref="Y773:Y836" si="153">G773</f>
        <v>770</v>
      </c>
      <c r="Z773" s="3">
        <f t="shared" ref="Z773:Z836" si="154">ROUND(1.05^Y773*Y773,0)</f>
        <v>1.59312924134294E+19</v>
      </c>
      <c r="AA773" s="7"/>
      <c r="AB773" s="7">
        <f t="shared" ref="AB773:AB836" si="155">LOOKUP(Y773,T:T,P:P)</f>
        <v>13040</v>
      </c>
    </row>
    <row r="774" spans="6:28" x14ac:dyDescent="0.15">
      <c r="F774">
        <f t="shared" si="145"/>
        <v>111</v>
      </c>
      <c r="G774">
        <v>771</v>
      </c>
      <c r="H774">
        <f t="shared" si="146"/>
        <v>1.5421421406665184E+22</v>
      </c>
      <c r="I774">
        <f t="shared" si="147"/>
        <v>1.5421421406665199E+22</v>
      </c>
      <c r="J774" s="1">
        <f t="shared" si="148"/>
        <v>1</v>
      </c>
      <c r="K774" s="1">
        <f t="shared" si="149"/>
        <v>1.5421421406665199E+22</v>
      </c>
      <c r="L774" s="1">
        <f t="shared" si="150"/>
        <v>7.1915228493082043E+21</v>
      </c>
      <c r="M774" s="3">
        <f t="shared" si="151"/>
        <v>4855455892.7198668</v>
      </c>
      <c r="N774" s="7">
        <f t="shared" si="144"/>
        <v>7.1915228493082001E+21</v>
      </c>
      <c r="O774" s="7">
        <f t="shared" si="152"/>
        <v>4855455892</v>
      </c>
      <c r="P774" s="3">
        <f>SUM($O$4:O774)</f>
        <v>286934612200</v>
      </c>
      <c r="Y774" s="3">
        <f t="shared" si="153"/>
        <v>771</v>
      </c>
      <c r="Z774" s="3">
        <f t="shared" si="154"/>
        <v>1.67495815237555E+19</v>
      </c>
      <c r="AA774" s="7"/>
      <c r="AB774" s="7">
        <f t="shared" si="155"/>
        <v>13040</v>
      </c>
    </row>
    <row r="775" spans="6:28" x14ac:dyDescent="0.15">
      <c r="F775">
        <f t="shared" si="145"/>
        <v>111</v>
      </c>
      <c r="G775">
        <v>772</v>
      </c>
      <c r="H775">
        <f t="shared" si="146"/>
        <v>1.5421421406665184E+22</v>
      </c>
      <c r="I775">
        <f t="shared" si="147"/>
        <v>1.5421421406665199E+22</v>
      </c>
      <c r="J775" s="1">
        <f t="shared" si="148"/>
        <v>1</v>
      </c>
      <c r="K775" s="1">
        <f t="shared" si="149"/>
        <v>1.5421421406665199E+22</v>
      </c>
      <c r="L775" s="1">
        <f t="shared" si="150"/>
        <v>7.1915228493082043E+21</v>
      </c>
      <c r="M775" s="3">
        <f t="shared" si="151"/>
        <v>4855455892.7198668</v>
      </c>
      <c r="N775" s="7">
        <f t="shared" si="144"/>
        <v>7.1915228493082001E+21</v>
      </c>
      <c r="O775" s="7">
        <f t="shared" si="152"/>
        <v>4855455892</v>
      </c>
      <c r="P775" s="3">
        <f>SUM($O$4:O775)</f>
        <v>291790068092</v>
      </c>
      <c r="Y775" s="3">
        <f t="shared" si="153"/>
        <v>772</v>
      </c>
      <c r="Z775" s="3">
        <f t="shared" si="154"/>
        <v>1.76098713140807E+19</v>
      </c>
      <c r="AA775" s="7"/>
      <c r="AB775" s="7">
        <f t="shared" si="155"/>
        <v>13040</v>
      </c>
    </row>
    <row r="776" spans="6:28" x14ac:dyDescent="0.15">
      <c r="F776">
        <f t="shared" si="145"/>
        <v>111</v>
      </c>
      <c r="G776">
        <v>773</v>
      </c>
      <c r="H776">
        <f t="shared" si="146"/>
        <v>1.5421421406665184E+22</v>
      </c>
      <c r="I776">
        <f t="shared" si="147"/>
        <v>1.5421421406665199E+22</v>
      </c>
      <c r="J776" s="1">
        <f t="shared" si="148"/>
        <v>1</v>
      </c>
      <c r="K776" s="1">
        <f t="shared" si="149"/>
        <v>1.5421421406665199E+22</v>
      </c>
      <c r="L776" s="1">
        <f t="shared" si="150"/>
        <v>7.1915228493082043E+21</v>
      </c>
      <c r="M776" s="3">
        <f t="shared" si="151"/>
        <v>4855455892.7198668</v>
      </c>
      <c r="N776" s="7">
        <f t="shared" ref="N776:N839" si="156">ROUND(L776,0)</f>
        <v>7.1915228493082001E+21</v>
      </c>
      <c r="O776" s="7">
        <f t="shared" si="152"/>
        <v>4855455892</v>
      </c>
      <c r="P776" s="3">
        <f>SUM($O$4:O776)</f>
        <v>296645523984</v>
      </c>
      <c r="Y776" s="3">
        <f t="shared" si="153"/>
        <v>773</v>
      </c>
      <c r="Z776" s="3">
        <f t="shared" si="154"/>
        <v>1.8514316129629E+19</v>
      </c>
      <c r="AA776" s="7"/>
      <c r="AB776" s="7">
        <f t="shared" si="155"/>
        <v>13040</v>
      </c>
    </row>
    <row r="777" spans="6:28" x14ac:dyDescent="0.15">
      <c r="F777">
        <f t="shared" si="145"/>
        <v>111</v>
      </c>
      <c r="G777">
        <v>774</v>
      </c>
      <c r="H777">
        <f t="shared" si="146"/>
        <v>1.5421421406665184E+22</v>
      </c>
      <c r="I777">
        <f t="shared" si="147"/>
        <v>1.5421421406665199E+22</v>
      </c>
      <c r="J777" s="1">
        <f t="shared" si="148"/>
        <v>1</v>
      </c>
      <c r="K777" s="1">
        <f t="shared" si="149"/>
        <v>1.5421421406665199E+22</v>
      </c>
      <c r="L777" s="1">
        <f t="shared" si="150"/>
        <v>7.1915228493082043E+21</v>
      </c>
      <c r="M777" s="3">
        <f t="shared" si="151"/>
        <v>4855455892.7198668</v>
      </c>
      <c r="N777" s="7">
        <f t="shared" si="156"/>
        <v>7.1915228493082001E+21</v>
      </c>
      <c r="O777" s="7">
        <f t="shared" si="152"/>
        <v>4855455892</v>
      </c>
      <c r="P777" s="3">
        <f>SUM($O$4:O777)</f>
        <v>301500979876</v>
      </c>
      <c r="Y777" s="3">
        <f t="shared" si="153"/>
        <v>774</v>
      </c>
      <c r="Z777" s="3">
        <f t="shared" si="154"/>
        <v>1.9465180748446999E+19</v>
      </c>
      <c r="AA777" s="7"/>
      <c r="AB777" s="7">
        <f t="shared" si="155"/>
        <v>13040</v>
      </c>
    </row>
    <row r="778" spans="6:28" x14ac:dyDescent="0.15">
      <c r="F778">
        <f t="shared" si="145"/>
        <v>111</v>
      </c>
      <c r="G778">
        <v>775</v>
      </c>
      <c r="H778">
        <f t="shared" si="146"/>
        <v>1.5421421406665184E+22</v>
      </c>
      <c r="I778">
        <f t="shared" si="147"/>
        <v>1.5421421406665199E+22</v>
      </c>
      <c r="J778" s="1">
        <f t="shared" si="148"/>
        <v>1</v>
      </c>
      <c r="K778" s="1">
        <f t="shared" si="149"/>
        <v>1.5421421406665199E+22</v>
      </c>
      <c r="L778" s="1">
        <f t="shared" si="150"/>
        <v>7.1915228493082043E+21</v>
      </c>
      <c r="M778" s="3">
        <f t="shared" si="151"/>
        <v>4855455892.7198668</v>
      </c>
      <c r="N778" s="7">
        <f t="shared" si="156"/>
        <v>7.1915228493082001E+21</v>
      </c>
      <c r="O778" s="7">
        <f t="shared" si="152"/>
        <v>4855455892</v>
      </c>
      <c r="P778" s="3">
        <f>SUM($O$4:O778)</f>
        <v>306356435768</v>
      </c>
      <c r="Y778" s="3">
        <f t="shared" si="153"/>
        <v>775</v>
      </c>
      <c r="Z778" s="3">
        <f t="shared" si="154"/>
        <v>2.0464846038822601E+19</v>
      </c>
      <c r="AA778" s="7"/>
      <c r="AB778" s="7">
        <f t="shared" si="155"/>
        <v>13040</v>
      </c>
    </row>
    <row r="779" spans="6:28" x14ac:dyDescent="0.15">
      <c r="F779">
        <f t="shared" si="145"/>
        <v>111</v>
      </c>
      <c r="G779">
        <v>776</v>
      </c>
      <c r="H779">
        <f t="shared" si="146"/>
        <v>1.5421421406665184E+22</v>
      </c>
      <c r="I779">
        <f t="shared" si="147"/>
        <v>1.5421421406665199E+22</v>
      </c>
      <c r="J779" s="1">
        <f t="shared" si="148"/>
        <v>1</v>
      </c>
      <c r="K779" s="1">
        <f t="shared" si="149"/>
        <v>1.5421421406665199E+22</v>
      </c>
      <c r="L779" s="1">
        <f t="shared" si="150"/>
        <v>7.1915228493082043E+21</v>
      </c>
      <c r="M779" s="3">
        <f t="shared" si="151"/>
        <v>4855455892.7198668</v>
      </c>
      <c r="N779" s="7">
        <f t="shared" si="156"/>
        <v>7.1915228493082001E+21</v>
      </c>
      <c r="O779" s="7">
        <f t="shared" si="152"/>
        <v>4855455892</v>
      </c>
      <c r="P779" s="3">
        <f>SUM($O$4:O779)</f>
        <v>311211891660</v>
      </c>
      <c r="Y779" s="3">
        <f t="shared" si="153"/>
        <v>776</v>
      </c>
      <c r="Z779" s="3">
        <f t="shared" si="154"/>
        <v>2.1515814906364801E+19</v>
      </c>
      <c r="AA779" s="7"/>
      <c r="AB779" s="7">
        <f t="shared" si="155"/>
        <v>13040</v>
      </c>
    </row>
    <row r="780" spans="6:28" x14ac:dyDescent="0.15">
      <c r="F780">
        <f t="shared" si="145"/>
        <v>111</v>
      </c>
      <c r="G780">
        <v>777</v>
      </c>
      <c r="H780">
        <f t="shared" si="146"/>
        <v>1.5421421406665184E+22</v>
      </c>
      <c r="I780">
        <f t="shared" si="147"/>
        <v>1.5421421406665199E+22</v>
      </c>
      <c r="J780" s="1">
        <f t="shared" si="148"/>
        <v>2</v>
      </c>
      <c r="K780" s="1">
        <f t="shared" si="149"/>
        <v>3.0842842813330398E+22</v>
      </c>
      <c r="L780" s="1">
        <f t="shared" si="150"/>
        <v>1.4383045698616409E+22</v>
      </c>
      <c r="M780" s="3">
        <f t="shared" si="151"/>
        <v>9710911785.4397335</v>
      </c>
      <c r="N780" s="7">
        <f t="shared" si="156"/>
        <v>1.43830456986164E+22</v>
      </c>
      <c r="O780" s="7">
        <f t="shared" si="152"/>
        <v>9710911785</v>
      </c>
      <c r="P780" s="3">
        <f>SUM($O$4:O780)</f>
        <v>320922803445</v>
      </c>
      <c r="Y780" s="3">
        <f t="shared" si="153"/>
        <v>777</v>
      </c>
      <c r="Z780" s="3">
        <f t="shared" si="154"/>
        <v>2.2620718545564E+19</v>
      </c>
      <c r="AA780" s="7"/>
      <c r="AB780" s="7">
        <f t="shared" si="155"/>
        <v>13040</v>
      </c>
    </row>
    <row r="781" spans="6:28" x14ac:dyDescent="0.15">
      <c r="F781">
        <f t="shared" si="145"/>
        <v>112</v>
      </c>
      <c r="G781">
        <v>778</v>
      </c>
      <c r="H781">
        <f t="shared" si="146"/>
        <v>2.4211631608464335E+22</v>
      </c>
      <c r="I781">
        <f t="shared" si="147"/>
        <v>2.4211631608464302E+22</v>
      </c>
      <c r="J781" s="1">
        <f t="shared" si="148"/>
        <v>1</v>
      </c>
      <c r="K781" s="1">
        <f t="shared" si="149"/>
        <v>2.4211631608464302E+22</v>
      </c>
      <c r="L781" s="1">
        <f t="shared" si="150"/>
        <v>1.1363325768239245E+22</v>
      </c>
      <c r="M781" s="3">
        <f t="shared" si="151"/>
        <v>5901620156.2714052</v>
      </c>
      <c r="N781" s="7">
        <f t="shared" si="156"/>
        <v>1.1363325768239199E+22</v>
      </c>
      <c r="O781" s="7">
        <f t="shared" si="152"/>
        <v>5901620156</v>
      </c>
      <c r="P781" s="3">
        <f>SUM($O$4:O781)</f>
        <v>326824423601</v>
      </c>
      <c r="Y781" s="3">
        <f t="shared" si="153"/>
        <v>778</v>
      </c>
      <c r="Z781" s="3">
        <f t="shared" si="154"/>
        <v>2.3782323011417301E+19</v>
      </c>
      <c r="AA781" s="7"/>
      <c r="AB781" s="7">
        <f t="shared" si="155"/>
        <v>13040</v>
      </c>
    </row>
    <row r="782" spans="6:28" x14ac:dyDescent="0.15">
      <c r="F782">
        <f t="shared" si="145"/>
        <v>112</v>
      </c>
      <c r="G782">
        <v>779</v>
      </c>
      <c r="H782">
        <f t="shared" si="146"/>
        <v>2.4211631608464335E+22</v>
      </c>
      <c r="I782">
        <f t="shared" si="147"/>
        <v>2.4211631608464302E+22</v>
      </c>
      <c r="J782" s="1">
        <f t="shared" si="148"/>
        <v>1</v>
      </c>
      <c r="K782" s="1">
        <f t="shared" si="149"/>
        <v>2.4211631608464302E+22</v>
      </c>
      <c r="L782" s="1">
        <f t="shared" si="150"/>
        <v>1.1363325768239245E+22</v>
      </c>
      <c r="M782" s="3">
        <f t="shared" si="151"/>
        <v>5901620156.2714052</v>
      </c>
      <c r="N782" s="7">
        <f t="shared" si="156"/>
        <v>1.1363325768239199E+22</v>
      </c>
      <c r="O782" s="7">
        <f t="shared" si="152"/>
        <v>5901620156</v>
      </c>
      <c r="P782" s="3">
        <f>SUM($O$4:O782)</f>
        <v>332726043757</v>
      </c>
      <c r="Y782" s="3">
        <f t="shared" si="153"/>
        <v>779</v>
      </c>
      <c r="Z782" s="3">
        <f t="shared" si="154"/>
        <v>2.5003536127492002E+19</v>
      </c>
      <c r="AA782" s="7"/>
      <c r="AB782" s="7">
        <f t="shared" si="155"/>
        <v>13040</v>
      </c>
    </row>
    <row r="783" spans="6:28" x14ac:dyDescent="0.15">
      <c r="F783">
        <f t="shared" si="145"/>
        <v>112</v>
      </c>
      <c r="G783">
        <v>780</v>
      </c>
      <c r="H783">
        <f t="shared" si="146"/>
        <v>2.4211631608464335E+22</v>
      </c>
      <c r="I783">
        <f t="shared" si="147"/>
        <v>2.4211631608464302E+22</v>
      </c>
      <c r="J783" s="1">
        <f t="shared" si="148"/>
        <v>1</v>
      </c>
      <c r="K783" s="1">
        <f t="shared" si="149"/>
        <v>2.4211631608464302E+22</v>
      </c>
      <c r="L783" s="1">
        <f t="shared" si="150"/>
        <v>1.1363325768239245E+22</v>
      </c>
      <c r="M783" s="3">
        <f t="shared" si="151"/>
        <v>5901620156.2714052</v>
      </c>
      <c r="N783" s="7">
        <f t="shared" si="156"/>
        <v>1.1363325768239199E+22</v>
      </c>
      <c r="O783" s="7">
        <f t="shared" si="152"/>
        <v>5901620156</v>
      </c>
      <c r="P783" s="3">
        <f>SUM($O$4:O783)</f>
        <v>338627663913</v>
      </c>
      <c r="Y783" s="3">
        <f t="shared" si="153"/>
        <v>780</v>
      </c>
      <c r="Z783" s="3">
        <f t="shared" si="154"/>
        <v>2.6287414747645698E+19</v>
      </c>
      <c r="AA783" s="7"/>
      <c r="AB783" s="7">
        <f t="shared" si="155"/>
        <v>13040</v>
      </c>
    </row>
    <row r="784" spans="6:28" x14ac:dyDescent="0.15">
      <c r="F784">
        <f t="shared" si="145"/>
        <v>112</v>
      </c>
      <c r="G784">
        <v>781</v>
      </c>
      <c r="H784">
        <f t="shared" si="146"/>
        <v>2.4211631608464335E+22</v>
      </c>
      <c r="I784">
        <f t="shared" si="147"/>
        <v>2.4211631608464302E+22</v>
      </c>
      <c r="J784" s="1">
        <f t="shared" si="148"/>
        <v>1</v>
      </c>
      <c r="K784" s="1">
        <f t="shared" si="149"/>
        <v>2.4211631608464302E+22</v>
      </c>
      <c r="L784" s="1">
        <f t="shared" si="150"/>
        <v>1.1363325768239245E+22</v>
      </c>
      <c r="M784" s="3">
        <f t="shared" si="151"/>
        <v>5901620156.2714052</v>
      </c>
      <c r="N784" s="7">
        <f t="shared" si="156"/>
        <v>1.1363325768239199E+22</v>
      </c>
      <c r="O784" s="7">
        <f t="shared" si="152"/>
        <v>5901620156</v>
      </c>
      <c r="P784" s="3">
        <f>SUM($O$4:O784)</f>
        <v>344529284069</v>
      </c>
      <c r="Y784" s="3">
        <f t="shared" si="153"/>
        <v>781</v>
      </c>
      <c r="Z784" s="3">
        <f t="shared" si="154"/>
        <v>2.7637172389495898E+19</v>
      </c>
      <c r="AA784" s="7"/>
      <c r="AB784" s="7">
        <f t="shared" si="155"/>
        <v>13040</v>
      </c>
    </row>
    <row r="785" spans="6:28" x14ac:dyDescent="0.15">
      <c r="F785">
        <f t="shared" si="145"/>
        <v>112</v>
      </c>
      <c r="G785">
        <v>782</v>
      </c>
      <c r="H785">
        <f t="shared" si="146"/>
        <v>2.4211631608464335E+22</v>
      </c>
      <c r="I785">
        <f t="shared" si="147"/>
        <v>2.4211631608464302E+22</v>
      </c>
      <c r="J785" s="1">
        <f t="shared" si="148"/>
        <v>1</v>
      </c>
      <c r="K785" s="1">
        <f t="shared" si="149"/>
        <v>2.4211631608464302E+22</v>
      </c>
      <c r="L785" s="1">
        <f t="shared" si="150"/>
        <v>1.1363325768239245E+22</v>
      </c>
      <c r="M785" s="3">
        <f t="shared" si="151"/>
        <v>5901620156.2714052</v>
      </c>
      <c r="N785" s="7">
        <f t="shared" si="156"/>
        <v>1.1363325768239199E+22</v>
      </c>
      <c r="O785" s="7">
        <f t="shared" si="152"/>
        <v>5901620156</v>
      </c>
      <c r="P785" s="3">
        <f>SUM($O$4:O785)</f>
        <v>350430904225</v>
      </c>
      <c r="Y785" s="3">
        <f t="shared" si="153"/>
        <v>782</v>
      </c>
      <c r="Z785" s="3">
        <f t="shared" si="154"/>
        <v>2.9056187258662101E+19</v>
      </c>
      <c r="AA785" s="7"/>
      <c r="AB785" s="7">
        <f t="shared" si="155"/>
        <v>13040</v>
      </c>
    </row>
    <row r="786" spans="6:28" x14ac:dyDescent="0.15">
      <c r="F786">
        <f t="shared" si="145"/>
        <v>112</v>
      </c>
      <c r="G786">
        <v>783</v>
      </c>
      <c r="H786">
        <f t="shared" si="146"/>
        <v>2.4211631608464335E+22</v>
      </c>
      <c r="I786">
        <f t="shared" si="147"/>
        <v>2.4211631608464302E+22</v>
      </c>
      <c r="J786" s="1">
        <f t="shared" si="148"/>
        <v>1</v>
      </c>
      <c r="K786" s="1">
        <f t="shared" si="149"/>
        <v>2.4211631608464302E+22</v>
      </c>
      <c r="L786" s="1">
        <f t="shared" si="150"/>
        <v>1.1363325768239245E+22</v>
      </c>
      <c r="M786" s="3">
        <f t="shared" si="151"/>
        <v>5901620156.2714052</v>
      </c>
      <c r="N786" s="7">
        <f t="shared" si="156"/>
        <v>1.1363325768239199E+22</v>
      </c>
      <c r="O786" s="7">
        <f t="shared" si="152"/>
        <v>5901620156</v>
      </c>
      <c r="P786" s="3">
        <f>SUM($O$4:O786)</f>
        <v>356332524381</v>
      </c>
      <c r="Y786" s="3">
        <f t="shared" si="153"/>
        <v>783</v>
      </c>
      <c r="Z786" s="3">
        <f t="shared" si="154"/>
        <v>3.0548010683771199E+19</v>
      </c>
      <c r="AA786" s="7"/>
      <c r="AB786" s="7">
        <f t="shared" si="155"/>
        <v>13040</v>
      </c>
    </row>
    <row r="787" spans="6:28" x14ac:dyDescent="0.15">
      <c r="F787">
        <f t="shared" si="145"/>
        <v>112</v>
      </c>
      <c r="G787">
        <v>784</v>
      </c>
      <c r="H787">
        <f t="shared" si="146"/>
        <v>2.4211631608464335E+22</v>
      </c>
      <c r="I787">
        <f t="shared" si="147"/>
        <v>2.4211631608464302E+22</v>
      </c>
      <c r="J787" s="1">
        <f t="shared" si="148"/>
        <v>4</v>
      </c>
      <c r="K787" s="1">
        <f t="shared" si="149"/>
        <v>9.6846526433857206E+22</v>
      </c>
      <c r="L787" s="1">
        <f t="shared" si="150"/>
        <v>4.5453303072956982E+22</v>
      </c>
      <c r="M787" s="3">
        <f t="shared" si="151"/>
        <v>23606480625.085621</v>
      </c>
      <c r="N787" s="7">
        <f t="shared" si="156"/>
        <v>4.5453303072956998E+22</v>
      </c>
      <c r="O787" s="7">
        <f t="shared" si="152"/>
        <v>23606480625</v>
      </c>
      <c r="P787" s="3">
        <f>SUM($O$4:O787)</f>
        <v>379939005006</v>
      </c>
      <c r="Y787" s="3">
        <f t="shared" si="153"/>
        <v>784</v>
      </c>
      <c r="Z787" s="3">
        <f t="shared" si="154"/>
        <v>3.2116375983244501E+19</v>
      </c>
      <c r="AA787" s="7"/>
      <c r="AB787" s="7">
        <f t="shared" si="155"/>
        <v>13040</v>
      </c>
    </row>
    <row r="788" spans="6:28" x14ac:dyDescent="0.15">
      <c r="F788">
        <f t="shared" si="145"/>
        <v>113</v>
      </c>
      <c r="G788">
        <v>785</v>
      </c>
      <c r="H788">
        <f t="shared" si="146"/>
        <v>3.8012261625289008E+22</v>
      </c>
      <c r="I788">
        <f t="shared" si="147"/>
        <v>3.8012261625288999E+22</v>
      </c>
      <c r="J788" s="1">
        <f t="shared" si="148"/>
        <v>1</v>
      </c>
      <c r="K788" s="1">
        <f t="shared" si="149"/>
        <v>3.8012261625288999E+22</v>
      </c>
      <c r="L788" s="1">
        <f t="shared" si="150"/>
        <v>1.7954458241011504E+22</v>
      </c>
      <c r="M788" s="3">
        <f t="shared" si="151"/>
        <v>7172899554.9909573</v>
      </c>
      <c r="N788" s="7">
        <f t="shared" si="156"/>
        <v>1.79544582410115E+22</v>
      </c>
      <c r="O788" s="7">
        <f t="shared" si="152"/>
        <v>7172899554</v>
      </c>
      <c r="P788" s="3">
        <f>SUM($O$4:O788)</f>
        <v>387111904560</v>
      </c>
      <c r="Y788" s="3">
        <f t="shared" si="153"/>
        <v>785</v>
      </c>
      <c r="Z788" s="3">
        <f t="shared" si="154"/>
        <v>3.3765207785955701E+19</v>
      </c>
      <c r="AA788" s="7"/>
      <c r="AB788" s="7">
        <f t="shared" si="155"/>
        <v>13040</v>
      </c>
    </row>
    <row r="789" spans="6:28" x14ac:dyDescent="0.15">
      <c r="F789">
        <f t="shared" si="145"/>
        <v>113</v>
      </c>
      <c r="G789">
        <v>786</v>
      </c>
      <c r="H789">
        <f t="shared" si="146"/>
        <v>3.8012261625289008E+22</v>
      </c>
      <c r="I789">
        <f t="shared" si="147"/>
        <v>3.8012261625288999E+22</v>
      </c>
      <c r="J789" s="1">
        <f t="shared" si="148"/>
        <v>1</v>
      </c>
      <c r="K789" s="1">
        <f t="shared" si="149"/>
        <v>3.8012261625288999E+22</v>
      </c>
      <c r="L789" s="1">
        <f t="shared" si="150"/>
        <v>1.7954458241011504E+22</v>
      </c>
      <c r="M789" s="3">
        <f t="shared" si="151"/>
        <v>7172899554.9909573</v>
      </c>
      <c r="N789" s="7">
        <f t="shared" si="156"/>
        <v>1.79544582410115E+22</v>
      </c>
      <c r="O789" s="7">
        <f t="shared" si="152"/>
        <v>7172899554</v>
      </c>
      <c r="P789" s="3">
        <f>SUM($O$4:O789)</f>
        <v>394284804114</v>
      </c>
      <c r="Y789" s="3">
        <f t="shared" si="153"/>
        <v>786</v>
      </c>
      <c r="Z789" s="3">
        <f t="shared" si="154"/>
        <v>3.54986318289799E+19</v>
      </c>
      <c r="AA789" s="7"/>
      <c r="AB789" s="7">
        <f t="shared" si="155"/>
        <v>13040</v>
      </c>
    </row>
    <row r="790" spans="6:28" x14ac:dyDescent="0.15">
      <c r="F790">
        <f t="shared" si="145"/>
        <v>113</v>
      </c>
      <c r="G790">
        <v>787</v>
      </c>
      <c r="H790">
        <f t="shared" si="146"/>
        <v>3.8012261625289008E+22</v>
      </c>
      <c r="I790">
        <f t="shared" si="147"/>
        <v>3.8012261625288999E+22</v>
      </c>
      <c r="J790" s="1">
        <f t="shared" si="148"/>
        <v>1</v>
      </c>
      <c r="K790" s="1">
        <f t="shared" si="149"/>
        <v>3.8012261625288999E+22</v>
      </c>
      <c r="L790" s="1">
        <f t="shared" si="150"/>
        <v>1.7954458241011504E+22</v>
      </c>
      <c r="M790" s="3">
        <f t="shared" si="151"/>
        <v>7172899554.9909573</v>
      </c>
      <c r="N790" s="7">
        <f t="shared" si="156"/>
        <v>1.79544582410115E+22</v>
      </c>
      <c r="O790" s="7">
        <f t="shared" si="152"/>
        <v>7172899554</v>
      </c>
      <c r="P790" s="3">
        <f>SUM($O$4:O790)</f>
        <v>401457703668</v>
      </c>
      <c r="Y790" s="3">
        <f t="shared" si="153"/>
        <v>787</v>
      </c>
      <c r="Z790" s="3">
        <f t="shared" si="154"/>
        <v>3.7320985256841699E+19</v>
      </c>
      <c r="AA790" s="7"/>
      <c r="AB790" s="7">
        <f t="shared" si="155"/>
        <v>13040</v>
      </c>
    </row>
    <row r="791" spans="6:28" x14ac:dyDescent="0.15">
      <c r="F791">
        <f t="shared" si="145"/>
        <v>113</v>
      </c>
      <c r="G791">
        <v>788</v>
      </c>
      <c r="H791">
        <f t="shared" si="146"/>
        <v>3.8012261625289008E+22</v>
      </c>
      <c r="I791">
        <f t="shared" si="147"/>
        <v>3.8012261625288999E+22</v>
      </c>
      <c r="J791" s="1">
        <f t="shared" si="148"/>
        <v>1</v>
      </c>
      <c r="K791" s="1">
        <f t="shared" si="149"/>
        <v>3.8012261625288999E+22</v>
      </c>
      <c r="L791" s="1">
        <f t="shared" si="150"/>
        <v>1.7954458241011504E+22</v>
      </c>
      <c r="M791" s="3">
        <f t="shared" si="151"/>
        <v>7172899554.9909573</v>
      </c>
      <c r="N791" s="7">
        <f t="shared" si="156"/>
        <v>1.79544582410115E+22</v>
      </c>
      <c r="O791" s="7">
        <f t="shared" si="152"/>
        <v>7172899554</v>
      </c>
      <c r="P791" s="3">
        <f>SUM($O$4:O791)</f>
        <v>408630603222</v>
      </c>
      <c r="Y791" s="3">
        <f t="shared" si="153"/>
        <v>788</v>
      </c>
      <c r="Z791" s="3">
        <f t="shared" si="154"/>
        <v>3.9236827447917199E+19</v>
      </c>
      <c r="AA791" s="7"/>
      <c r="AB791" s="7">
        <f t="shared" si="155"/>
        <v>13040</v>
      </c>
    </row>
    <row r="792" spans="6:28" x14ac:dyDescent="0.15">
      <c r="F792">
        <f t="shared" si="145"/>
        <v>113</v>
      </c>
      <c r="G792">
        <v>789</v>
      </c>
      <c r="H792">
        <f t="shared" si="146"/>
        <v>3.8012261625289008E+22</v>
      </c>
      <c r="I792">
        <f t="shared" si="147"/>
        <v>3.8012261625288999E+22</v>
      </c>
      <c r="J792" s="1">
        <f t="shared" si="148"/>
        <v>1</v>
      </c>
      <c r="K792" s="1">
        <f t="shared" si="149"/>
        <v>3.8012261625288999E+22</v>
      </c>
      <c r="L792" s="1">
        <f t="shared" si="150"/>
        <v>1.7954458241011504E+22</v>
      </c>
      <c r="M792" s="3">
        <f t="shared" si="151"/>
        <v>7172899554.9909573</v>
      </c>
      <c r="N792" s="7">
        <f t="shared" si="156"/>
        <v>1.79544582410115E+22</v>
      </c>
      <c r="O792" s="7">
        <f t="shared" si="152"/>
        <v>7172899554</v>
      </c>
      <c r="P792" s="3">
        <f>SUM($O$4:O792)</f>
        <v>415803502776</v>
      </c>
      <c r="Y792" s="3">
        <f t="shared" si="153"/>
        <v>789</v>
      </c>
      <c r="Z792" s="3">
        <f t="shared" si="154"/>
        <v>4.1250951394958098E+19</v>
      </c>
      <c r="AA792" s="7"/>
      <c r="AB792" s="7">
        <f t="shared" si="155"/>
        <v>13040</v>
      </c>
    </row>
    <row r="793" spans="6:28" x14ac:dyDescent="0.15">
      <c r="F793">
        <f t="shared" si="145"/>
        <v>113</v>
      </c>
      <c r="G793">
        <v>790</v>
      </c>
      <c r="H793">
        <f t="shared" si="146"/>
        <v>3.8012261625289008E+22</v>
      </c>
      <c r="I793">
        <f t="shared" si="147"/>
        <v>3.8012261625288999E+22</v>
      </c>
      <c r="J793" s="1">
        <f t="shared" si="148"/>
        <v>1</v>
      </c>
      <c r="K793" s="1">
        <f t="shared" si="149"/>
        <v>3.8012261625288999E+22</v>
      </c>
      <c r="L793" s="1">
        <f t="shared" si="150"/>
        <v>1.7954458241011504E+22</v>
      </c>
      <c r="M793" s="3">
        <f t="shared" si="151"/>
        <v>7172899554.9909573</v>
      </c>
      <c r="N793" s="7">
        <f t="shared" si="156"/>
        <v>1.79544582410115E+22</v>
      </c>
      <c r="O793" s="7">
        <f t="shared" si="152"/>
        <v>7172899554</v>
      </c>
      <c r="P793" s="3">
        <f>SUM($O$4:O793)</f>
        <v>422976402330</v>
      </c>
      <c r="Y793" s="3">
        <f t="shared" si="153"/>
        <v>790</v>
      </c>
      <c r="Z793" s="3">
        <f t="shared" si="154"/>
        <v>4.3368395668083302E+19</v>
      </c>
      <c r="AA793" s="7"/>
      <c r="AB793" s="7">
        <f t="shared" si="155"/>
        <v>13040</v>
      </c>
    </row>
    <row r="794" spans="6:28" x14ac:dyDescent="0.15">
      <c r="F794">
        <f t="shared" si="145"/>
        <v>113</v>
      </c>
      <c r="G794">
        <v>791</v>
      </c>
      <c r="H794">
        <f t="shared" si="146"/>
        <v>3.8012261625289008E+22</v>
      </c>
      <c r="I794">
        <f t="shared" si="147"/>
        <v>3.8012261625288999E+22</v>
      </c>
      <c r="J794" s="1">
        <f t="shared" si="148"/>
        <v>6</v>
      </c>
      <c r="K794" s="1">
        <f t="shared" si="149"/>
        <v>2.2807356975173398E+23</v>
      </c>
      <c r="L794" s="1">
        <f t="shared" si="150"/>
        <v>1.0772674944606902E+23</v>
      </c>
      <c r="M794" s="3">
        <f t="shared" si="151"/>
        <v>43037397329.94574</v>
      </c>
      <c r="N794" s="7">
        <f t="shared" si="156"/>
        <v>1.0772674944606901E+23</v>
      </c>
      <c r="O794" s="7">
        <f t="shared" si="152"/>
        <v>43037397329</v>
      </c>
      <c r="P794" s="3">
        <f>SUM($O$4:O794)</f>
        <v>466013799659</v>
      </c>
      <c r="Y794" s="3">
        <f t="shared" si="153"/>
        <v>791</v>
      </c>
      <c r="Z794" s="3">
        <f t="shared" si="154"/>
        <v>4.5594456990033699E+19</v>
      </c>
      <c r="AA794" s="7"/>
      <c r="AB794" s="7">
        <f t="shared" si="155"/>
        <v>13040</v>
      </c>
    </row>
    <row r="795" spans="6:28" x14ac:dyDescent="0.15">
      <c r="F795">
        <f t="shared" si="145"/>
        <v>114</v>
      </c>
      <c r="G795">
        <v>792</v>
      </c>
      <c r="H795">
        <f t="shared" si="146"/>
        <v>5.9679250751703742E+22</v>
      </c>
      <c r="I795">
        <f t="shared" si="147"/>
        <v>5.96792507517037E+22</v>
      </c>
      <c r="J795" s="1">
        <f t="shared" si="148"/>
        <v>1</v>
      </c>
      <c r="K795" s="1">
        <f t="shared" si="149"/>
        <v>5.96792507517037E+22</v>
      </c>
      <c r="L795" s="1">
        <f t="shared" si="150"/>
        <v>2.8367537190643163E+22</v>
      </c>
      <c r="M795" s="3">
        <f t="shared" si="151"/>
        <v>8717676011.9998093</v>
      </c>
      <c r="N795" s="7">
        <f t="shared" si="156"/>
        <v>2.8367537190643201E+22</v>
      </c>
      <c r="O795" s="7">
        <f t="shared" si="152"/>
        <v>8717676011</v>
      </c>
      <c r="P795" s="3">
        <f>SUM($O$4:O795)</f>
        <v>474731475670</v>
      </c>
      <c r="Y795" s="3">
        <f t="shared" si="153"/>
        <v>792</v>
      </c>
      <c r="Z795" s="3">
        <f t="shared" si="154"/>
        <v>4.7934703455008801E+19</v>
      </c>
      <c r="AA795" s="7"/>
      <c r="AB795" s="7">
        <f t="shared" si="155"/>
        <v>13040</v>
      </c>
    </row>
    <row r="796" spans="6:28" x14ac:dyDescent="0.15">
      <c r="F796">
        <f t="shared" si="145"/>
        <v>114</v>
      </c>
      <c r="G796">
        <v>793</v>
      </c>
      <c r="H796">
        <f t="shared" si="146"/>
        <v>5.9679250751703742E+22</v>
      </c>
      <c r="I796">
        <f t="shared" si="147"/>
        <v>5.96792507517037E+22</v>
      </c>
      <c r="J796" s="1">
        <f t="shared" si="148"/>
        <v>1</v>
      </c>
      <c r="K796" s="1">
        <f t="shared" si="149"/>
        <v>5.96792507517037E+22</v>
      </c>
      <c r="L796" s="1">
        <f t="shared" si="150"/>
        <v>2.8367537190643163E+22</v>
      </c>
      <c r="M796" s="3">
        <f t="shared" si="151"/>
        <v>8717676011.9998093</v>
      </c>
      <c r="N796" s="7">
        <f t="shared" si="156"/>
        <v>2.8367537190643201E+22</v>
      </c>
      <c r="O796" s="7">
        <f t="shared" si="152"/>
        <v>8717676011</v>
      </c>
      <c r="P796" s="3">
        <f>SUM($O$4:O796)</f>
        <v>483449151681</v>
      </c>
      <c r="Y796" s="3">
        <f t="shared" si="153"/>
        <v>793</v>
      </c>
      <c r="Z796" s="3">
        <f t="shared" si="154"/>
        <v>5.03949884240065E+19</v>
      </c>
      <c r="AA796" s="7"/>
      <c r="AB796" s="7">
        <f t="shared" si="155"/>
        <v>13040</v>
      </c>
    </row>
    <row r="797" spans="6:28" x14ac:dyDescent="0.15">
      <c r="F797">
        <f t="shared" si="145"/>
        <v>114</v>
      </c>
      <c r="G797">
        <v>794</v>
      </c>
      <c r="H797">
        <f t="shared" si="146"/>
        <v>5.9679250751703742E+22</v>
      </c>
      <c r="I797">
        <f t="shared" si="147"/>
        <v>5.96792507517037E+22</v>
      </c>
      <c r="J797" s="1">
        <f t="shared" si="148"/>
        <v>1</v>
      </c>
      <c r="K797" s="1">
        <f t="shared" si="149"/>
        <v>5.96792507517037E+22</v>
      </c>
      <c r="L797" s="1">
        <f t="shared" si="150"/>
        <v>2.8367537190643163E+22</v>
      </c>
      <c r="M797" s="3">
        <f t="shared" si="151"/>
        <v>8717676011.9998093</v>
      </c>
      <c r="N797" s="7">
        <f t="shared" si="156"/>
        <v>2.8367537190643201E+22</v>
      </c>
      <c r="O797" s="7">
        <f t="shared" si="152"/>
        <v>8717676011</v>
      </c>
      <c r="P797" s="3">
        <f>SUM($O$4:O797)</f>
        <v>492166827692</v>
      </c>
      <c r="Y797" s="3">
        <f t="shared" si="153"/>
        <v>794</v>
      </c>
      <c r="Z797" s="3">
        <f t="shared" si="154"/>
        <v>5.2981465131266302E+19</v>
      </c>
      <c r="AA797" s="7"/>
      <c r="AB797" s="7">
        <f t="shared" si="155"/>
        <v>13040</v>
      </c>
    </row>
    <row r="798" spans="6:28" x14ac:dyDescent="0.15">
      <c r="F798">
        <f t="shared" si="145"/>
        <v>114</v>
      </c>
      <c r="G798">
        <v>795</v>
      </c>
      <c r="H798">
        <f t="shared" si="146"/>
        <v>5.9679250751703742E+22</v>
      </c>
      <c r="I798">
        <f t="shared" si="147"/>
        <v>5.96792507517037E+22</v>
      </c>
      <c r="J798" s="1">
        <f t="shared" si="148"/>
        <v>1</v>
      </c>
      <c r="K798" s="1">
        <f t="shared" si="149"/>
        <v>5.96792507517037E+22</v>
      </c>
      <c r="L798" s="1">
        <f t="shared" si="150"/>
        <v>2.8367537190643163E+22</v>
      </c>
      <c r="M798" s="3">
        <f t="shared" si="151"/>
        <v>8717676011.9998093</v>
      </c>
      <c r="N798" s="7">
        <f t="shared" si="156"/>
        <v>2.8367537190643201E+22</v>
      </c>
      <c r="O798" s="7">
        <f t="shared" si="152"/>
        <v>8717676011</v>
      </c>
      <c r="P798" s="3">
        <f>SUM($O$4:O798)</f>
        <v>500884503703</v>
      </c>
      <c r="Y798" s="3">
        <f t="shared" si="153"/>
        <v>795</v>
      </c>
      <c r="Z798" s="3">
        <f t="shared" si="154"/>
        <v>5.5700602038192103E+19</v>
      </c>
      <c r="AA798" s="7"/>
      <c r="AB798" s="7">
        <f t="shared" si="155"/>
        <v>13040</v>
      </c>
    </row>
    <row r="799" spans="6:28" x14ac:dyDescent="0.15">
      <c r="F799">
        <f t="shared" si="145"/>
        <v>114</v>
      </c>
      <c r="G799">
        <v>796</v>
      </c>
      <c r="H799">
        <f t="shared" si="146"/>
        <v>5.9679250751703742E+22</v>
      </c>
      <c r="I799">
        <f t="shared" si="147"/>
        <v>5.96792507517037E+22</v>
      </c>
      <c r="J799" s="1">
        <f t="shared" si="148"/>
        <v>1</v>
      </c>
      <c r="K799" s="1">
        <f t="shared" si="149"/>
        <v>5.96792507517037E+22</v>
      </c>
      <c r="L799" s="1">
        <f t="shared" si="150"/>
        <v>2.8367537190643163E+22</v>
      </c>
      <c r="M799" s="3">
        <f t="shared" si="151"/>
        <v>8717676011.9998093</v>
      </c>
      <c r="N799" s="7">
        <f t="shared" si="156"/>
        <v>2.8367537190643201E+22</v>
      </c>
      <c r="O799" s="7">
        <f t="shared" si="152"/>
        <v>8717676011</v>
      </c>
      <c r="P799" s="3">
        <f>SUM($O$4:O799)</f>
        <v>509602179714</v>
      </c>
      <c r="Y799" s="3">
        <f t="shared" si="153"/>
        <v>796</v>
      </c>
      <c r="Z799" s="3">
        <f t="shared" si="154"/>
        <v>5.8559198972982403E+19</v>
      </c>
      <c r="AA799" s="7"/>
      <c r="AB799" s="7">
        <f t="shared" si="155"/>
        <v>13040</v>
      </c>
    </row>
    <row r="800" spans="6:28" x14ac:dyDescent="0.15">
      <c r="F800">
        <f t="shared" si="145"/>
        <v>114</v>
      </c>
      <c r="G800">
        <v>797</v>
      </c>
      <c r="H800">
        <f t="shared" si="146"/>
        <v>5.9679250751703742E+22</v>
      </c>
      <c r="I800">
        <f t="shared" si="147"/>
        <v>5.96792507517037E+22</v>
      </c>
      <c r="J800" s="1">
        <f t="shared" si="148"/>
        <v>1</v>
      </c>
      <c r="K800" s="1">
        <f t="shared" si="149"/>
        <v>5.96792507517037E+22</v>
      </c>
      <c r="L800" s="1">
        <f t="shared" si="150"/>
        <v>2.8367537190643163E+22</v>
      </c>
      <c r="M800" s="3">
        <f t="shared" si="151"/>
        <v>8717676011.9998093</v>
      </c>
      <c r="N800" s="7">
        <f t="shared" si="156"/>
        <v>2.8367537190643201E+22</v>
      </c>
      <c r="O800" s="7">
        <f t="shared" si="152"/>
        <v>8717676011</v>
      </c>
      <c r="P800" s="3">
        <f>SUM($O$4:O800)</f>
        <v>518319855725</v>
      </c>
      <c r="Y800" s="3">
        <f t="shared" si="153"/>
        <v>797</v>
      </c>
      <c r="Z800" s="3">
        <f t="shared" si="154"/>
        <v>6.1564404096156197E+19</v>
      </c>
      <c r="AA800" s="7"/>
      <c r="AB800" s="7">
        <f t="shared" si="155"/>
        <v>13040</v>
      </c>
    </row>
    <row r="801" spans="6:28" x14ac:dyDescent="0.15">
      <c r="F801">
        <f t="shared" si="145"/>
        <v>114</v>
      </c>
      <c r="G801">
        <v>798</v>
      </c>
      <c r="H801">
        <f t="shared" si="146"/>
        <v>5.9679250751703742E+22</v>
      </c>
      <c r="I801">
        <f t="shared" si="147"/>
        <v>5.96792507517037E+22</v>
      </c>
      <c r="J801" s="1">
        <f t="shared" si="148"/>
        <v>7</v>
      </c>
      <c r="K801" s="1">
        <f t="shared" si="149"/>
        <v>4.1775475526192589E+23</v>
      </c>
      <c r="L801" s="1">
        <f t="shared" si="150"/>
        <v>1.9857276033450214E+23</v>
      </c>
      <c r="M801" s="3">
        <f t="shared" si="151"/>
        <v>61023732083.998657</v>
      </c>
      <c r="N801" s="7">
        <f t="shared" si="156"/>
        <v>1.9857276033450201E+23</v>
      </c>
      <c r="O801" s="7">
        <f t="shared" si="152"/>
        <v>61023732083</v>
      </c>
      <c r="P801" s="3">
        <f>SUM($O$4:O801)</f>
        <v>579343587808</v>
      </c>
      <c r="Y801" s="3">
        <f t="shared" si="153"/>
        <v>798</v>
      </c>
      <c r="Z801" s="3">
        <f t="shared" si="154"/>
        <v>6.4723731734214803E+19</v>
      </c>
      <c r="AA801" s="7"/>
      <c r="AB801" s="7">
        <f t="shared" si="155"/>
        <v>13040</v>
      </c>
    </row>
    <row r="802" spans="6:28" x14ac:dyDescent="0.15">
      <c r="F802">
        <f t="shared" si="145"/>
        <v>115</v>
      </c>
      <c r="G802">
        <v>799</v>
      </c>
      <c r="H802">
        <f t="shared" si="146"/>
        <v>9.3696423680174878E+22</v>
      </c>
      <c r="I802">
        <f t="shared" si="147"/>
        <v>9.3696423680174895E+22</v>
      </c>
      <c r="J802" s="1">
        <f t="shared" si="148"/>
        <v>1</v>
      </c>
      <c r="K802" s="1">
        <f t="shared" si="149"/>
        <v>9.3696423680174895E+22</v>
      </c>
      <c r="L802" s="1">
        <f t="shared" si="150"/>
        <v>4.4818122660350322E+22</v>
      </c>
      <c r="M802" s="3">
        <f t="shared" si="151"/>
        <v>10594717969.16333</v>
      </c>
      <c r="N802" s="7">
        <f t="shared" si="156"/>
        <v>4.4818122660350297E+22</v>
      </c>
      <c r="O802" s="7">
        <f t="shared" si="152"/>
        <v>10594717969</v>
      </c>
      <c r="P802" s="3">
        <f>SUM($O$4:O802)</f>
        <v>589938305777</v>
      </c>
      <c r="Y802" s="3">
        <f t="shared" si="153"/>
        <v>799</v>
      </c>
      <c r="Z802" s="3">
        <f t="shared" si="154"/>
        <v>6.8045081125839102E+19</v>
      </c>
      <c r="AA802" s="7"/>
      <c r="AB802" s="7">
        <f t="shared" si="155"/>
        <v>13040</v>
      </c>
    </row>
    <row r="803" spans="6:28" x14ac:dyDescent="0.15">
      <c r="F803">
        <f t="shared" si="145"/>
        <v>115</v>
      </c>
      <c r="G803">
        <v>800</v>
      </c>
      <c r="H803">
        <f t="shared" si="146"/>
        <v>9.3696423680174878E+22</v>
      </c>
      <c r="I803">
        <f t="shared" si="147"/>
        <v>9.3696423680174895E+22</v>
      </c>
      <c r="J803" s="1">
        <f t="shared" si="148"/>
        <v>1</v>
      </c>
      <c r="K803" s="1">
        <f t="shared" si="149"/>
        <v>9.3696423680174895E+22</v>
      </c>
      <c r="L803" s="1">
        <f t="shared" si="150"/>
        <v>4.4818122660350322E+22</v>
      </c>
      <c r="M803" s="3">
        <f t="shared" si="151"/>
        <v>10594717969.16333</v>
      </c>
      <c r="N803" s="7">
        <f t="shared" si="156"/>
        <v>4.4818122660350297E+22</v>
      </c>
      <c r="O803" s="7">
        <f t="shared" si="152"/>
        <v>10594717969</v>
      </c>
      <c r="P803" s="3">
        <f>SUM($O$4:O803)</f>
        <v>600533023746</v>
      </c>
      <c r="Y803" s="3">
        <f t="shared" si="153"/>
        <v>800</v>
      </c>
      <c r="Z803" s="3">
        <f t="shared" si="154"/>
        <v>7.1536756127290098E+19</v>
      </c>
      <c r="AA803" s="7"/>
      <c r="AB803" s="7">
        <f t="shared" si="155"/>
        <v>13040</v>
      </c>
    </row>
    <row r="804" spans="6:28" x14ac:dyDescent="0.15">
      <c r="F804">
        <f t="shared" si="145"/>
        <v>115</v>
      </c>
      <c r="G804">
        <v>801</v>
      </c>
      <c r="H804">
        <f t="shared" si="146"/>
        <v>9.3696423680174878E+22</v>
      </c>
      <c r="I804">
        <f t="shared" si="147"/>
        <v>9.3696423680174895E+22</v>
      </c>
      <c r="J804" s="1">
        <f t="shared" si="148"/>
        <v>1</v>
      </c>
      <c r="K804" s="1">
        <f t="shared" si="149"/>
        <v>9.3696423680174895E+22</v>
      </c>
      <c r="L804" s="1">
        <f t="shared" si="150"/>
        <v>4.4818122660350322E+22</v>
      </c>
      <c r="M804" s="3">
        <f t="shared" si="151"/>
        <v>10594717969.16333</v>
      </c>
      <c r="N804" s="7">
        <f t="shared" si="156"/>
        <v>4.4818122660350297E+22</v>
      </c>
      <c r="O804" s="7">
        <f t="shared" si="152"/>
        <v>10594717969</v>
      </c>
      <c r="P804" s="3">
        <f>SUM($O$4:O804)</f>
        <v>611127741715</v>
      </c>
      <c r="Y804" s="3">
        <f t="shared" si="153"/>
        <v>801</v>
      </c>
      <c r="Z804" s="3">
        <f t="shared" si="154"/>
        <v>7.5207485926071697E+19</v>
      </c>
      <c r="AA804" s="7"/>
      <c r="AB804" s="7">
        <f t="shared" si="155"/>
        <v>13040</v>
      </c>
    </row>
    <row r="805" spans="6:28" x14ac:dyDescent="0.15">
      <c r="F805">
        <f t="shared" si="145"/>
        <v>115</v>
      </c>
      <c r="G805">
        <v>802</v>
      </c>
      <c r="H805">
        <f t="shared" si="146"/>
        <v>9.3696423680174878E+22</v>
      </c>
      <c r="I805">
        <f t="shared" si="147"/>
        <v>9.3696423680174895E+22</v>
      </c>
      <c r="J805" s="1">
        <f t="shared" si="148"/>
        <v>1</v>
      </c>
      <c r="K805" s="1">
        <f t="shared" si="149"/>
        <v>9.3696423680174895E+22</v>
      </c>
      <c r="L805" s="1">
        <f t="shared" si="150"/>
        <v>4.4818122660350322E+22</v>
      </c>
      <c r="M805" s="3">
        <f t="shared" si="151"/>
        <v>10594717969.16333</v>
      </c>
      <c r="N805" s="7">
        <f t="shared" si="156"/>
        <v>4.4818122660350297E+22</v>
      </c>
      <c r="O805" s="7">
        <f t="shared" si="152"/>
        <v>10594717969</v>
      </c>
      <c r="P805" s="3">
        <f>SUM($O$4:O805)</f>
        <v>621722459684</v>
      </c>
      <c r="Y805" s="3">
        <f t="shared" si="153"/>
        <v>802</v>
      </c>
      <c r="Z805" s="3">
        <f t="shared" si="154"/>
        <v>7.9066446814413193E+19</v>
      </c>
      <c r="AA805" s="7"/>
      <c r="AB805" s="7">
        <f t="shared" si="155"/>
        <v>13040</v>
      </c>
    </row>
    <row r="806" spans="6:28" x14ac:dyDescent="0.15">
      <c r="F806">
        <f t="shared" si="145"/>
        <v>115</v>
      </c>
      <c r="G806">
        <v>803</v>
      </c>
      <c r="H806">
        <f t="shared" si="146"/>
        <v>9.3696423680174878E+22</v>
      </c>
      <c r="I806">
        <f t="shared" si="147"/>
        <v>9.3696423680174895E+22</v>
      </c>
      <c r="J806" s="1">
        <f t="shared" si="148"/>
        <v>1</v>
      </c>
      <c r="K806" s="1">
        <f t="shared" si="149"/>
        <v>9.3696423680174895E+22</v>
      </c>
      <c r="L806" s="1">
        <f t="shared" si="150"/>
        <v>4.4818122660350322E+22</v>
      </c>
      <c r="M806" s="3">
        <f t="shared" si="151"/>
        <v>10594717969.16333</v>
      </c>
      <c r="N806" s="7">
        <f t="shared" si="156"/>
        <v>4.4818122660350297E+22</v>
      </c>
      <c r="O806" s="7">
        <f t="shared" si="152"/>
        <v>10594717969</v>
      </c>
      <c r="P806" s="3">
        <f>SUM($O$4:O806)</f>
        <v>632317177653</v>
      </c>
      <c r="Y806" s="3">
        <f t="shared" si="153"/>
        <v>803</v>
      </c>
      <c r="Z806" s="3">
        <f t="shared" si="154"/>
        <v>8.31232850767737E+19</v>
      </c>
      <c r="AA806" s="7"/>
      <c r="AB806" s="7">
        <f t="shared" si="155"/>
        <v>13040</v>
      </c>
    </row>
    <row r="807" spans="6:28" x14ac:dyDescent="0.15">
      <c r="F807">
        <f t="shared" si="145"/>
        <v>115</v>
      </c>
      <c r="G807">
        <v>804</v>
      </c>
      <c r="H807">
        <f t="shared" si="146"/>
        <v>9.3696423680174878E+22</v>
      </c>
      <c r="I807">
        <f t="shared" si="147"/>
        <v>9.3696423680174895E+22</v>
      </c>
      <c r="J807" s="1">
        <f t="shared" si="148"/>
        <v>1</v>
      </c>
      <c r="K807" s="1">
        <f t="shared" si="149"/>
        <v>9.3696423680174895E+22</v>
      </c>
      <c r="L807" s="1">
        <f t="shared" si="150"/>
        <v>4.4818122660350322E+22</v>
      </c>
      <c r="M807" s="3">
        <f t="shared" si="151"/>
        <v>10594717969.16333</v>
      </c>
      <c r="N807" s="7">
        <f t="shared" si="156"/>
        <v>4.4818122660350297E+22</v>
      </c>
      <c r="O807" s="7">
        <f t="shared" si="152"/>
        <v>10594717969</v>
      </c>
      <c r="P807" s="3">
        <f>SUM($O$4:O807)</f>
        <v>642911895622</v>
      </c>
      <c r="Y807" s="3">
        <f t="shared" si="153"/>
        <v>804</v>
      </c>
      <c r="Z807" s="3">
        <f t="shared" si="154"/>
        <v>8.7388141048334205E+19</v>
      </c>
      <c r="AA807" s="7"/>
      <c r="AB807" s="7">
        <f t="shared" si="155"/>
        <v>13040</v>
      </c>
    </row>
    <row r="808" spans="6:28" x14ac:dyDescent="0.15">
      <c r="F808">
        <f t="shared" si="145"/>
        <v>115</v>
      </c>
      <c r="G808">
        <v>805</v>
      </c>
      <c r="H808">
        <f t="shared" si="146"/>
        <v>9.3696423680174878E+22</v>
      </c>
      <c r="I808">
        <f t="shared" si="147"/>
        <v>9.3696423680174895E+22</v>
      </c>
      <c r="J808" s="1">
        <f t="shared" si="148"/>
        <v>10</v>
      </c>
      <c r="K808" s="1">
        <f t="shared" si="149"/>
        <v>9.3696423680174898E+23</v>
      </c>
      <c r="L808" s="1">
        <f t="shared" si="150"/>
        <v>4.4818122660350322E+23</v>
      </c>
      <c r="M808" s="3">
        <f t="shared" si="151"/>
        <v>105947179691.63329</v>
      </c>
      <c r="N808" s="7">
        <f t="shared" si="156"/>
        <v>4.4818122660350302E+23</v>
      </c>
      <c r="O808" s="7">
        <f t="shared" si="152"/>
        <v>105947179691</v>
      </c>
      <c r="P808" s="3">
        <f>SUM($O$4:O808)</f>
        <v>748859075313</v>
      </c>
      <c r="Y808" s="3">
        <f t="shared" si="153"/>
        <v>805</v>
      </c>
      <c r="Z808" s="3">
        <f t="shared" si="154"/>
        <v>9.1871674404358799E+19</v>
      </c>
      <c r="AA808" s="7"/>
      <c r="AB808" s="7">
        <f t="shared" si="155"/>
        <v>13040</v>
      </c>
    </row>
    <row r="809" spans="6:28" x14ac:dyDescent="0.15">
      <c r="F809">
        <f t="shared" si="145"/>
        <v>116</v>
      </c>
      <c r="G809">
        <v>806</v>
      </c>
      <c r="H809">
        <f t="shared" si="146"/>
        <v>1.4710338517787453E+23</v>
      </c>
      <c r="I809">
        <f t="shared" si="147"/>
        <v>1.47103385177875E+23</v>
      </c>
      <c r="J809" s="1">
        <f t="shared" si="148"/>
        <v>1</v>
      </c>
      <c r="K809" s="1">
        <f t="shared" si="149"/>
        <v>1.47103385177875E+23</v>
      </c>
      <c r="L809" s="1">
        <f t="shared" si="150"/>
        <v>7.0805762732283836E+22</v>
      </c>
      <c r="M809" s="3">
        <f t="shared" si="151"/>
        <v>12875407779.968304</v>
      </c>
      <c r="N809" s="7">
        <f t="shared" si="156"/>
        <v>7.0805762732283803E+22</v>
      </c>
      <c r="O809" s="7">
        <f t="shared" si="152"/>
        <v>12875407779</v>
      </c>
      <c r="P809" s="3">
        <f>SUM($O$4:O809)</f>
        <v>761734483092</v>
      </c>
      <c r="Y809" s="3">
        <f t="shared" si="153"/>
        <v>806</v>
      </c>
      <c r="Z809" s="3">
        <f t="shared" si="154"/>
        <v>9.6585090743364993E+19</v>
      </c>
      <c r="AA809" s="7"/>
      <c r="AB809" s="7">
        <f t="shared" si="155"/>
        <v>13040</v>
      </c>
    </row>
    <row r="810" spans="6:28" x14ac:dyDescent="0.15">
      <c r="F810">
        <f t="shared" si="145"/>
        <v>116</v>
      </c>
      <c r="G810">
        <v>807</v>
      </c>
      <c r="H810">
        <f t="shared" si="146"/>
        <v>1.4710338517787453E+23</v>
      </c>
      <c r="I810">
        <f t="shared" si="147"/>
        <v>1.47103385177875E+23</v>
      </c>
      <c r="J810" s="1">
        <f t="shared" si="148"/>
        <v>1</v>
      </c>
      <c r="K810" s="1">
        <f t="shared" si="149"/>
        <v>1.47103385177875E+23</v>
      </c>
      <c r="L810" s="1">
        <f t="shared" si="150"/>
        <v>7.0805762732283836E+22</v>
      </c>
      <c r="M810" s="3">
        <f t="shared" si="151"/>
        <v>12875407779.968304</v>
      </c>
      <c r="N810" s="7">
        <f t="shared" si="156"/>
        <v>7.0805762732283803E+22</v>
      </c>
      <c r="O810" s="7">
        <f t="shared" si="152"/>
        <v>12875407779</v>
      </c>
      <c r="P810" s="3">
        <f>SUM($O$4:O810)</f>
        <v>774609890871</v>
      </c>
      <c r="Y810" s="3">
        <f t="shared" si="153"/>
        <v>807</v>
      </c>
      <c r="Z810" s="3">
        <f t="shared" si="154"/>
        <v>1.01540169530261E+20</v>
      </c>
      <c r="AA810" s="7"/>
      <c r="AB810" s="7">
        <f t="shared" si="155"/>
        <v>13040</v>
      </c>
    </row>
    <row r="811" spans="6:28" x14ac:dyDescent="0.15">
      <c r="F811">
        <f t="shared" si="145"/>
        <v>116</v>
      </c>
      <c r="G811">
        <v>808</v>
      </c>
      <c r="H811">
        <f t="shared" si="146"/>
        <v>1.4710338517787453E+23</v>
      </c>
      <c r="I811">
        <f t="shared" si="147"/>
        <v>1.47103385177875E+23</v>
      </c>
      <c r="J811" s="1">
        <f t="shared" si="148"/>
        <v>1</v>
      </c>
      <c r="K811" s="1">
        <f t="shared" si="149"/>
        <v>1.47103385177875E+23</v>
      </c>
      <c r="L811" s="1">
        <f t="shared" si="150"/>
        <v>7.0805762732283836E+22</v>
      </c>
      <c r="M811" s="3">
        <f t="shared" si="151"/>
        <v>12875407779.968304</v>
      </c>
      <c r="N811" s="7">
        <f t="shared" si="156"/>
        <v>7.0805762732283803E+22</v>
      </c>
      <c r="O811" s="7">
        <f t="shared" si="152"/>
        <v>12875407779</v>
      </c>
      <c r="P811" s="3">
        <f>SUM($O$4:O811)</f>
        <v>787485298650</v>
      </c>
      <c r="Y811" s="3">
        <f t="shared" si="153"/>
        <v>808</v>
      </c>
      <c r="Z811" s="3">
        <f t="shared" si="154"/>
        <v>1.06749293468988E+20</v>
      </c>
      <c r="AA811" s="7"/>
      <c r="AB811" s="7">
        <f t="shared" si="155"/>
        <v>13040</v>
      </c>
    </row>
    <row r="812" spans="6:28" x14ac:dyDescent="0.15">
      <c r="F812">
        <f t="shared" si="145"/>
        <v>116</v>
      </c>
      <c r="G812">
        <v>809</v>
      </c>
      <c r="H812">
        <f t="shared" si="146"/>
        <v>1.4710338517787453E+23</v>
      </c>
      <c r="I812">
        <f t="shared" si="147"/>
        <v>1.47103385177875E+23</v>
      </c>
      <c r="J812" s="1">
        <f t="shared" si="148"/>
        <v>1</v>
      </c>
      <c r="K812" s="1">
        <f t="shared" si="149"/>
        <v>1.47103385177875E+23</v>
      </c>
      <c r="L812" s="1">
        <f t="shared" si="150"/>
        <v>7.0805762732283836E+22</v>
      </c>
      <c r="M812" s="3">
        <f t="shared" si="151"/>
        <v>12875407779.968304</v>
      </c>
      <c r="N812" s="7">
        <f t="shared" si="156"/>
        <v>7.0805762732283803E+22</v>
      </c>
      <c r="O812" s="7">
        <f t="shared" si="152"/>
        <v>12875407779</v>
      </c>
      <c r="P812" s="3">
        <f>SUM($O$4:O812)</f>
        <v>800360706429</v>
      </c>
      <c r="Y812" s="3">
        <f t="shared" si="153"/>
        <v>809</v>
      </c>
      <c r="Z812" s="3">
        <f t="shared" si="154"/>
        <v>1.1222547937776199E+20</v>
      </c>
      <c r="AA812" s="7"/>
      <c r="AB812" s="7">
        <f t="shared" si="155"/>
        <v>13040</v>
      </c>
    </row>
    <row r="813" spans="6:28" x14ac:dyDescent="0.15">
      <c r="F813">
        <f t="shared" si="145"/>
        <v>116</v>
      </c>
      <c r="G813">
        <v>810</v>
      </c>
      <c r="H813">
        <f t="shared" si="146"/>
        <v>1.4710338517787453E+23</v>
      </c>
      <c r="I813">
        <f t="shared" si="147"/>
        <v>1.47103385177875E+23</v>
      </c>
      <c r="J813" s="1">
        <f t="shared" si="148"/>
        <v>1</v>
      </c>
      <c r="K813" s="1">
        <f t="shared" si="149"/>
        <v>1.47103385177875E+23</v>
      </c>
      <c r="L813" s="1">
        <f t="shared" si="150"/>
        <v>7.0805762732283836E+22</v>
      </c>
      <c r="M813" s="3">
        <f t="shared" si="151"/>
        <v>12875407779.968304</v>
      </c>
      <c r="N813" s="7">
        <f t="shared" si="156"/>
        <v>7.0805762732283803E+22</v>
      </c>
      <c r="O813" s="7">
        <f t="shared" si="152"/>
        <v>12875407779</v>
      </c>
      <c r="P813" s="3">
        <f>SUM($O$4:O813)</f>
        <v>813236114208</v>
      </c>
      <c r="Y813" s="3">
        <f t="shared" si="153"/>
        <v>810</v>
      </c>
      <c r="Z813" s="3">
        <f t="shared" si="154"/>
        <v>1.17982410643741E+20</v>
      </c>
      <c r="AA813" s="7"/>
      <c r="AB813" s="7">
        <f t="shared" si="155"/>
        <v>13040</v>
      </c>
    </row>
    <row r="814" spans="6:28" x14ac:dyDescent="0.15">
      <c r="F814">
        <f t="shared" si="145"/>
        <v>116</v>
      </c>
      <c r="G814">
        <v>811</v>
      </c>
      <c r="H814">
        <f t="shared" si="146"/>
        <v>1.4710338517787453E+23</v>
      </c>
      <c r="I814">
        <f t="shared" si="147"/>
        <v>1.47103385177875E+23</v>
      </c>
      <c r="J814" s="1">
        <f t="shared" si="148"/>
        <v>1</v>
      </c>
      <c r="K814" s="1">
        <f t="shared" si="149"/>
        <v>1.47103385177875E+23</v>
      </c>
      <c r="L814" s="1">
        <f t="shared" si="150"/>
        <v>7.0805762732283836E+22</v>
      </c>
      <c r="M814" s="3">
        <f t="shared" si="151"/>
        <v>12875407779.968304</v>
      </c>
      <c r="N814" s="7">
        <f t="shared" si="156"/>
        <v>7.0805762732283803E+22</v>
      </c>
      <c r="O814" s="7">
        <f t="shared" si="152"/>
        <v>12875407779</v>
      </c>
      <c r="P814" s="3">
        <f>SUM($O$4:O814)</f>
        <v>826111521987</v>
      </c>
      <c r="Y814" s="3">
        <f t="shared" si="153"/>
        <v>811</v>
      </c>
      <c r="Z814" s="3">
        <f t="shared" si="154"/>
        <v>1.24034471337874E+20</v>
      </c>
      <c r="AA814" s="7"/>
      <c r="AB814" s="7">
        <f t="shared" si="155"/>
        <v>13040</v>
      </c>
    </row>
    <row r="815" spans="6:28" x14ac:dyDescent="0.15">
      <c r="F815">
        <f t="shared" si="145"/>
        <v>116</v>
      </c>
      <c r="G815">
        <v>812</v>
      </c>
      <c r="H815">
        <f t="shared" si="146"/>
        <v>1.4710338517787453E+23</v>
      </c>
      <c r="I815">
        <f t="shared" si="147"/>
        <v>1.47103385177875E+23</v>
      </c>
      <c r="J815" s="1">
        <f t="shared" si="148"/>
        <v>2</v>
      </c>
      <c r="K815" s="1">
        <f t="shared" si="149"/>
        <v>2.9420677035575001E+23</v>
      </c>
      <c r="L815" s="1">
        <f t="shared" si="150"/>
        <v>1.4161152546456767E+23</v>
      </c>
      <c r="M815" s="3">
        <f t="shared" si="151"/>
        <v>25750815559.936607</v>
      </c>
      <c r="N815" s="7">
        <f t="shared" si="156"/>
        <v>1.4161152546456799E+23</v>
      </c>
      <c r="O815" s="7">
        <f t="shared" si="152"/>
        <v>25750815559</v>
      </c>
      <c r="P815" s="3">
        <f>SUM($O$4:O815)</f>
        <v>851862337546</v>
      </c>
      <c r="Y815" s="3">
        <f t="shared" si="153"/>
        <v>812</v>
      </c>
      <c r="Z815" s="3">
        <f t="shared" si="154"/>
        <v>1.3039678207481101E+20</v>
      </c>
      <c r="AA815" s="7"/>
      <c r="AB815" s="7">
        <f t="shared" si="155"/>
        <v>13040</v>
      </c>
    </row>
    <row r="816" spans="6:28" x14ac:dyDescent="0.15">
      <c r="F816">
        <f t="shared" si="145"/>
        <v>117</v>
      </c>
      <c r="G816">
        <v>813</v>
      </c>
      <c r="H816">
        <f t="shared" si="146"/>
        <v>2.3095231472926305E+23</v>
      </c>
      <c r="I816">
        <f t="shared" si="147"/>
        <v>2.3095231472926301E+23</v>
      </c>
      <c r="J816" s="1">
        <f t="shared" si="148"/>
        <v>1</v>
      </c>
      <c r="K816" s="1">
        <f t="shared" si="149"/>
        <v>2.3095231472926301E+23</v>
      </c>
      <c r="L816" s="1">
        <f t="shared" si="150"/>
        <v>1.1185790443387305E+23</v>
      </c>
      <c r="M816" s="3">
        <f t="shared" si="151"/>
        <v>15646446293.277969</v>
      </c>
      <c r="N816" s="7">
        <f t="shared" si="156"/>
        <v>1.11857904433873E+23</v>
      </c>
      <c r="O816" s="7">
        <f t="shared" si="152"/>
        <v>15646446293</v>
      </c>
      <c r="P816" s="3">
        <f>SUM($O$4:O816)</f>
        <v>867508783839</v>
      </c>
      <c r="Y816" s="3">
        <f t="shared" si="153"/>
        <v>813</v>
      </c>
      <c r="Z816" s="3">
        <f t="shared" si="154"/>
        <v>1.37085237707096E+20</v>
      </c>
      <c r="AA816" s="7"/>
      <c r="AB816" s="7">
        <f t="shared" si="155"/>
        <v>13040</v>
      </c>
    </row>
    <row r="817" spans="6:28" x14ac:dyDescent="0.15">
      <c r="F817">
        <f t="shared" si="145"/>
        <v>117</v>
      </c>
      <c r="G817">
        <v>814</v>
      </c>
      <c r="H817">
        <f t="shared" si="146"/>
        <v>2.3095231472926305E+23</v>
      </c>
      <c r="I817">
        <f t="shared" si="147"/>
        <v>2.3095231472926301E+23</v>
      </c>
      <c r="J817" s="1">
        <f t="shared" si="148"/>
        <v>1</v>
      </c>
      <c r="K817" s="1">
        <f t="shared" si="149"/>
        <v>2.3095231472926301E+23</v>
      </c>
      <c r="L817" s="1">
        <f t="shared" si="150"/>
        <v>1.1185790443387305E+23</v>
      </c>
      <c r="M817" s="3">
        <f t="shared" si="151"/>
        <v>15646446293.277969</v>
      </c>
      <c r="N817" s="7">
        <f t="shared" si="156"/>
        <v>1.11857904433873E+23</v>
      </c>
      <c r="O817" s="7">
        <f t="shared" si="152"/>
        <v>15646446293</v>
      </c>
      <c r="P817" s="3">
        <f>SUM($O$4:O817)</f>
        <v>883155230132</v>
      </c>
      <c r="Y817" s="3">
        <f t="shared" si="153"/>
        <v>814</v>
      </c>
      <c r="Z817" s="3">
        <f t="shared" si="154"/>
        <v>1.4411654694742299E+20</v>
      </c>
      <c r="AA817" s="7"/>
      <c r="AB817" s="7">
        <f t="shared" si="155"/>
        <v>13040</v>
      </c>
    </row>
    <row r="818" spans="6:28" x14ac:dyDescent="0.15">
      <c r="F818">
        <f t="shared" si="145"/>
        <v>117</v>
      </c>
      <c r="G818">
        <v>815</v>
      </c>
      <c r="H818">
        <f t="shared" si="146"/>
        <v>2.3095231472926305E+23</v>
      </c>
      <c r="I818">
        <f t="shared" si="147"/>
        <v>2.3095231472926301E+23</v>
      </c>
      <c r="J818" s="1">
        <f t="shared" si="148"/>
        <v>1</v>
      </c>
      <c r="K818" s="1">
        <f t="shared" si="149"/>
        <v>2.3095231472926301E+23</v>
      </c>
      <c r="L818" s="1">
        <f t="shared" si="150"/>
        <v>1.1185790443387305E+23</v>
      </c>
      <c r="M818" s="3">
        <f t="shared" si="151"/>
        <v>15646446293.277969</v>
      </c>
      <c r="N818" s="7">
        <f t="shared" si="156"/>
        <v>1.11857904433873E+23</v>
      </c>
      <c r="O818" s="7">
        <f t="shared" si="152"/>
        <v>15646446293</v>
      </c>
      <c r="P818" s="3">
        <f>SUM($O$4:O818)</f>
        <v>898801676425</v>
      </c>
      <c r="Y818" s="3">
        <f t="shared" si="153"/>
        <v>815</v>
      </c>
      <c r="Z818" s="3">
        <f t="shared" si="154"/>
        <v>1.5150827401751501E+20</v>
      </c>
      <c r="AA818" s="7"/>
      <c r="AB818" s="7">
        <f t="shared" si="155"/>
        <v>13040</v>
      </c>
    </row>
    <row r="819" spans="6:28" x14ac:dyDescent="0.15">
      <c r="F819">
        <f t="shared" si="145"/>
        <v>117</v>
      </c>
      <c r="G819">
        <v>816</v>
      </c>
      <c r="H819">
        <f t="shared" si="146"/>
        <v>2.3095231472926305E+23</v>
      </c>
      <c r="I819">
        <f t="shared" si="147"/>
        <v>2.3095231472926301E+23</v>
      </c>
      <c r="J819" s="1">
        <f t="shared" si="148"/>
        <v>1</v>
      </c>
      <c r="K819" s="1">
        <f t="shared" si="149"/>
        <v>2.3095231472926301E+23</v>
      </c>
      <c r="L819" s="1">
        <f t="shared" si="150"/>
        <v>1.1185790443387305E+23</v>
      </c>
      <c r="M819" s="3">
        <f t="shared" si="151"/>
        <v>15646446293.277969</v>
      </c>
      <c r="N819" s="7">
        <f t="shared" si="156"/>
        <v>1.11857904433873E+23</v>
      </c>
      <c r="O819" s="7">
        <f t="shared" si="152"/>
        <v>15646446293</v>
      </c>
      <c r="P819" s="3">
        <f>SUM($O$4:O819)</f>
        <v>914448122718</v>
      </c>
      <c r="Y819" s="3">
        <f t="shared" si="153"/>
        <v>816</v>
      </c>
      <c r="Z819" s="3">
        <f t="shared" si="154"/>
        <v>1.5927888242724798E+20</v>
      </c>
      <c r="AA819" s="7"/>
      <c r="AB819" s="7">
        <f t="shared" si="155"/>
        <v>13040</v>
      </c>
    </row>
    <row r="820" spans="6:28" x14ac:dyDescent="0.15">
      <c r="F820">
        <f t="shared" si="145"/>
        <v>117</v>
      </c>
      <c r="G820">
        <v>817</v>
      </c>
      <c r="H820">
        <f t="shared" si="146"/>
        <v>2.3095231472926305E+23</v>
      </c>
      <c r="I820">
        <f t="shared" si="147"/>
        <v>2.3095231472926301E+23</v>
      </c>
      <c r="J820" s="1">
        <f t="shared" si="148"/>
        <v>1</v>
      </c>
      <c r="K820" s="1">
        <f t="shared" si="149"/>
        <v>2.3095231472926301E+23</v>
      </c>
      <c r="L820" s="1">
        <f t="shared" si="150"/>
        <v>1.1185790443387305E+23</v>
      </c>
      <c r="M820" s="3">
        <f t="shared" si="151"/>
        <v>15646446293.277969</v>
      </c>
      <c r="N820" s="7">
        <f t="shared" si="156"/>
        <v>1.11857904433873E+23</v>
      </c>
      <c r="O820" s="7">
        <f t="shared" si="152"/>
        <v>15646446293</v>
      </c>
      <c r="P820" s="3">
        <f>SUM($O$4:O820)</f>
        <v>930094569011</v>
      </c>
      <c r="Y820" s="3">
        <f t="shared" si="153"/>
        <v>817</v>
      </c>
      <c r="Z820" s="3">
        <f t="shared" si="154"/>
        <v>1.6744778099291E+20</v>
      </c>
      <c r="AA820" s="7"/>
      <c r="AB820" s="7">
        <f t="shared" si="155"/>
        <v>13040</v>
      </c>
    </row>
    <row r="821" spans="6:28" x14ac:dyDescent="0.15">
      <c r="F821">
        <f t="shared" si="145"/>
        <v>117</v>
      </c>
      <c r="G821">
        <v>818</v>
      </c>
      <c r="H821">
        <f t="shared" si="146"/>
        <v>2.3095231472926305E+23</v>
      </c>
      <c r="I821">
        <f t="shared" si="147"/>
        <v>2.3095231472926301E+23</v>
      </c>
      <c r="J821" s="1">
        <f t="shared" si="148"/>
        <v>1</v>
      </c>
      <c r="K821" s="1">
        <f t="shared" si="149"/>
        <v>2.3095231472926301E+23</v>
      </c>
      <c r="L821" s="1">
        <f t="shared" si="150"/>
        <v>1.1185790443387305E+23</v>
      </c>
      <c r="M821" s="3">
        <f t="shared" si="151"/>
        <v>15646446293.277969</v>
      </c>
      <c r="N821" s="7">
        <f t="shared" si="156"/>
        <v>1.11857904433873E+23</v>
      </c>
      <c r="O821" s="7">
        <f t="shared" si="152"/>
        <v>15646446293</v>
      </c>
      <c r="P821" s="3">
        <f>SUM($O$4:O821)</f>
        <v>945741015304</v>
      </c>
      <c r="Y821" s="3">
        <f t="shared" si="153"/>
        <v>818</v>
      </c>
      <c r="Z821" s="3">
        <f t="shared" si="154"/>
        <v>1.76035372209071E+20</v>
      </c>
      <c r="AA821" s="7"/>
      <c r="AB821" s="7">
        <f t="shared" si="155"/>
        <v>13040</v>
      </c>
    </row>
    <row r="822" spans="6:28" x14ac:dyDescent="0.15">
      <c r="F822">
        <f t="shared" si="145"/>
        <v>117</v>
      </c>
      <c r="G822">
        <v>819</v>
      </c>
      <c r="H822">
        <f t="shared" si="146"/>
        <v>2.3095231472926305E+23</v>
      </c>
      <c r="I822">
        <f t="shared" si="147"/>
        <v>2.3095231472926301E+23</v>
      </c>
      <c r="J822" s="1">
        <f t="shared" si="148"/>
        <v>4</v>
      </c>
      <c r="K822" s="1">
        <f t="shared" si="149"/>
        <v>9.2380925891705206E+23</v>
      </c>
      <c r="L822" s="1">
        <f t="shared" si="150"/>
        <v>4.4743161773549219E+23</v>
      </c>
      <c r="M822" s="3">
        <f t="shared" si="151"/>
        <v>62585785173.111877</v>
      </c>
      <c r="N822" s="7">
        <f t="shared" si="156"/>
        <v>4.4743161773549199E+23</v>
      </c>
      <c r="O822" s="7">
        <f t="shared" si="152"/>
        <v>62585785173</v>
      </c>
      <c r="P822" s="3">
        <f>SUM($O$4:O822)</f>
        <v>1008326800477</v>
      </c>
      <c r="Y822" s="3">
        <f t="shared" si="153"/>
        <v>819</v>
      </c>
      <c r="Z822" s="3">
        <f t="shared" si="154"/>
        <v>1.85063103094365E+20</v>
      </c>
      <c r="AA822" s="7"/>
      <c r="AB822" s="7">
        <f t="shared" si="155"/>
        <v>13040</v>
      </c>
    </row>
    <row r="823" spans="6:28" x14ac:dyDescent="0.15">
      <c r="F823">
        <f t="shared" si="145"/>
        <v>118</v>
      </c>
      <c r="G823">
        <v>820</v>
      </c>
      <c r="H823">
        <f t="shared" si="146"/>
        <v>3.6259513412494302E+23</v>
      </c>
      <c r="I823">
        <f t="shared" si="147"/>
        <v>3.6259513412494302E+23</v>
      </c>
      <c r="J823" s="1">
        <f t="shared" si="148"/>
        <v>1</v>
      </c>
      <c r="K823" s="1">
        <f t="shared" si="149"/>
        <v>3.6259513412494302E+23</v>
      </c>
      <c r="L823" s="1">
        <f t="shared" si="150"/>
        <v>1.7670469536355556E+23</v>
      </c>
      <c r="M823" s="3">
        <f t="shared" si="151"/>
        <v>19013136764.684551</v>
      </c>
      <c r="N823" s="7">
        <f t="shared" si="156"/>
        <v>1.76704695363556E+23</v>
      </c>
      <c r="O823" s="7">
        <f t="shared" si="152"/>
        <v>19013136764</v>
      </c>
      <c r="P823" s="3">
        <f>SUM($O$4:O823)</f>
        <v>1027339937241</v>
      </c>
      <c r="Y823" s="3">
        <f t="shared" si="153"/>
        <v>820</v>
      </c>
      <c r="Z823" s="3">
        <f t="shared" si="154"/>
        <v>1.9455351863766499E+20</v>
      </c>
      <c r="AA823" s="7"/>
      <c r="AB823" s="7">
        <f t="shared" si="155"/>
        <v>13040</v>
      </c>
    </row>
    <row r="824" spans="6:28" x14ac:dyDescent="0.15">
      <c r="F824">
        <f t="shared" si="145"/>
        <v>118</v>
      </c>
      <c r="G824">
        <v>821</v>
      </c>
      <c r="H824">
        <f t="shared" si="146"/>
        <v>3.6259513412494302E+23</v>
      </c>
      <c r="I824">
        <f t="shared" si="147"/>
        <v>3.6259513412494302E+23</v>
      </c>
      <c r="J824" s="1">
        <f t="shared" si="148"/>
        <v>1</v>
      </c>
      <c r="K824" s="1">
        <f t="shared" si="149"/>
        <v>3.6259513412494302E+23</v>
      </c>
      <c r="L824" s="1">
        <f t="shared" si="150"/>
        <v>1.7670469536355556E+23</v>
      </c>
      <c r="M824" s="3">
        <f t="shared" si="151"/>
        <v>19013136764.684551</v>
      </c>
      <c r="N824" s="7">
        <f t="shared" si="156"/>
        <v>1.76704695363556E+23</v>
      </c>
      <c r="O824" s="7">
        <f t="shared" si="152"/>
        <v>19013136764</v>
      </c>
      <c r="P824" s="3">
        <f>SUM($O$4:O824)</f>
        <v>1046353074005</v>
      </c>
      <c r="Y824" s="3">
        <f t="shared" si="153"/>
        <v>821</v>
      </c>
      <c r="Z824" s="3">
        <f t="shared" si="154"/>
        <v>2.0453031797755999E+20</v>
      </c>
      <c r="AA824" s="7"/>
      <c r="AB824" s="7">
        <f t="shared" si="155"/>
        <v>13040</v>
      </c>
    </row>
    <row r="825" spans="6:28" x14ac:dyDescent="0.15">
      <c r="F825">
        <f t="shared" si="145"/>
        <v>118</v>
      </c>
      <c r="G825">
        <v>822</v>
      </c>
      <c r="H825">
        <f t="shared" si="146"/>
        <v>3.6259513412494302E+23</v>
      </c>
      <c r="I825">
        <f t="shared" si="147"/>
        <v>3.6259513412494302E+23</v>
      </c>
      <c r="J825" s="1">
        <f t="shared" si="148"/>
        <v>1</v>
      </c>
      <c r="K825" s="1">
        <f t="shared" si="149"/>
        <v>3.6259513412494302E+23</v>
      </c>
      <c r="L825" s="1">
        <f t="shared" si="150"/>
        <v>1.7670469536355556E+23</v>
      </c>
      <c r="M825" s="3">
        <f t="shared" si="151"/>
        <v>19013136764.684551</v>
      </c>
      <c r="N825" s="7">
        <f t="shared" si="156"/>
        <v>1.76704695363556E+23</v>
      </c>
      <c r="O825" s="7">
        <f t="shared" si="152"/>
        <v>19013136764</v>
      </c>
      <c r="P825" s="3">
        <f>SUM($O$4:O825)</f>
        <v>1065366210769</v>
      </c>
      <c r="Y825" s="3">
        <f t="shared" si="153"/>
        <v>822</v>
      </c>
      <c r="Z825" s="3">
        <f t="shared" si="154"/>
        <v>2.1501841345485E+20</v>
      </c>
      <c r="AA825" s="7"/>
      <c r="AB825" s="7">
        <f t="shared" si="155"/>
        <v>13040</v>
      </c>
    </row>
    <row r="826" spans="6:28" x14ac:dyDescent="0.15">
      <c r="F826">
        <f t="shared" si="145"/>
        <v>118</v>
      </c>
      <c r="G826">
        <v>823</v>
      </c>
      <c r="H826">
        <f t="shared" si="146"/>
        <v>3.6259513412494302E+23</v>
      </c>
      <c r="I826">
        <f t="shared" si="147"/>
        <v>3.6259513412494302E+23</v>
      </c>
      <c r="J826" s="1">
        <f t="shared" si="148"/>
        <v>1</v>
      </c>
      <c r="K826" s="1">
        <f t="shared" si="149"/>
        <v>3.6259513412494302E+23</v>
      </c>
      <c r="L826" s="1">
        <f t="shared" si="150"/>
        <v>1.7670469536355556E+23</v>
      </c>
      <c r="M826" s="3">
        <f t="shared" si="151"/>
        <v>19013136764.684551</v>
      </c>
      <c r="N826" s="7">
        <f t="shared" si="156"/>
        <v>1.76704695363556E+23</v>
      </c>
      <c r="O826" s="7">
        <f t="shared" si="152"/>
        <v>19013136764</v>
      </c>
      <c r="P826" s="3">
        <f>SUM($O$4:O826)</f>
        <v>1084379347533</v>
      </c>
      <c r="Y826" s="3">
        <f t="shared" si="153"/>
        <v>823</v>
      </c>
      <c r="Z826" s="3">
        <f t="shared" si="154"/>
        <v>2.2604399268492601E+20</v>
      </c>
      <c r="AA826" s="7"/>
      <c r="AB826" s="7">
        <f t="shared" si="155"/>
        <v>13040</v>
      </c>
    </row>
    <row r="827" spans="6:28" x14ac:dyDescent="0.15">
      <c r="F827">
        <f t="shared" si="145"/>
        <v>118</v>
      </c>
      <c r="G827">
        <v>824</v>
      </c>
      <c r="H827">
        <f t="shared" si="146"/>
        <v>3.6259513412494302E+23</v>
      </c>
      <c r="I827">
        <f t="shared" si="147"/>
        <v>3.6259513412494302E+23</v>
      </c>
      <c r="J827" s="1">
        <f t="shared" si="148"/>
        <v>1</v>
      </c>
      <c r="K827" s="1">
        <f t="shared" si="149"/>
        <v>3.6259513412494302E+23</v>
      </c>
      <c r="L827" s="1">
        <f t="shared" si="150"/>
        <v>1.7670469536355556E+23</v>
      </c>
      <c r="M827" s="3">
        <f t="shared" si="151"/>
        <v>19013136764.684551</v>
      </c>
      <c r="N827" s="7">
        <f t="shared" si="156"/>
        <v>1.76704695363556E+23</v>
      </c>
      <c r="O827" s="7">
        <f t="shared" si="152"/>
        <v>19013136764</v>
      </c>
      <c r="P827" s="3">
        <f>SUM($O$4:O827)</f>
        <v>1103392484297</v>
      </c>
      <c r="Y827" s="3">
        <f t="shared" si="153"/>
        <v>824</v>
      </c>
      <c r="Z827" s="3">
        <f t="shared" si="154"/>
        <v>2.3763458380437199E+20</v>
      </c>
      <c r="AA827" s="7"/>
      <c r="AB827" s="7">
        <f t="shared" si="155"/>
        <v>13040</v>
      </c>
    </row>
    <row r="828" spans="6:28" x14ac:dyDescent="0.15">
      <c r="F828">
        <f t="shared" si="145"/>
        <v>118</v>
      </c>
      <c r="G828">
        <v>825</v>
      </c>
      <c r="H828">
        <f t="shared" si="146"/>
        <v>3.6259513412494302E+23</v>
      </c>
      <c r="I828">
        <f t="shared" si="147"/>
        <v>3.6259513412494302E+23</v>
      </c>
      <c r="J828" s="1">
        <f t="shared" si="148"/>
        <v>1</v>
      </c>
      <c r="K828" s="1">
        <f t="shared" si="149"/>
        <v>3.6259513412494302E+23</v>
      </c>
      <c r="L828" s="1">
        <f t="shared" si="150"/>
        <v>1.7670469536355556E+23</v>
      </c>
      <c r="M828" s="3">
        <f t="shared" si="151"/>
        <v>19013136764.684551</v>
      </c>
      <c r="N828" s="7">
        <f t="shared" si="156"/>
        <v>1.76704695363556E+23</v>
      </c>
      <c r="O828" s="7">
        <f t="shared" si="152"/>
        <v>19013136764</v>
      </c>
      <c r="P828" s="3">
        <f>SUM($O$4:O828)</f>
        <v>1122405621061</v>
      </c>
      <c r="Y828" s="3">
        <f t="shared" si="153"/>
        <v>825</v>
      </c>
      <c r="Z828" s="3">
        <f t="shared" si="154"/>
        <v>2.4981912405405001E+20</v>
      </c>
      <c r="AA828" s="7"/>
      <c r="AB828" s="7">
        <f t="shared" si="155"/>
        <v>13040</v>
      </c>
    </row>
    <row r="829" spans="6:28" x14ac:dyDescent="0.15">
      <c r="F829">
        <f t="shared" si="145"/>
        <v>118</v>
      </c>
      <c r="G829">
        <v>826</v>
      </c>
      <c r="H829">
        <f t="shared" si="146"/>
        <v>3.6259513412494302E+23</v>
      </c>
      <c r="I829">
        <f t="shared" si="147"/>
        <v>3.6259513412494302E+23</v>
      </c>
      <c r="J829" s="1">
        <f t="shared" si="148"/>
        <v>6</v>
      </c>
      <c r="K829" s="1">
        <f t="shared" si="149"/>
        <v>2.175570804749658E+24</v>
      </c>
      <c r="L829" s="1">
        <f t="shared" si="150"/>
        <v>1.0602281721813335E+24</v>
      </c>
      <c r="M829" s="3">
        <f t="shared" si="151"/>
        <v>114078820588.10733</v>
      </c>
      <c r="N829" s="7">
        <f t="shared" si="156"/>
        <v>1.06022817218133E+24</v>
      </c>
      <c r="O829" s="7">
        <f t="shared" si="152"/>
        <v>114078820588</v>
      </c>
      <c r="P829" s="3">
        <f>SUM($O$4:O829)</f>
        <v>1236484441649</v>
      </c>
      <c r="Y829" s="3">
        <f t="shared" si="153"/>
        <v>826</v>
      </c>
      <c r="Z829" s="3">
        <f t="shared" si="154"/>
        <v>2.62628031869185E+20</v>
      </c>
      <c r="AA829" s="7"/>
      <c r="AB829" s="7">
        <f t="shared" si="155"/>
        <v>13040</v>
      </c>
    </row>
    <row r="830" spans="6:28" x14ac:dyDescent="0.15">
      <c r="F830">
        <f t="shared" si="145"/>
        <v>119</v>
      </c>
      <c r="G830">
        <v>827</v>
      </c>
      <c r="H830">
        <f t="shared" si="146"/>
        <v>5.6927436057616044E+23</v>
      </c>
      <c r="I830">
        <f t="shared" si="147"/>
        <v>5.6927436057615997E+23</v>
      </c>
      <c r="J830" s="1">
        <f t="shared" si="148"/>
        <v>1</v>
      </c>
      <c r="K830" s="1">
        <f t="shared" si="149"/>
        <v>5.6927436057615997E+23</v>
      </c>
      <c r="L830" s="1">
        <f t="shared" si="150"/>
        <v>2.7913419480251046E+23</v>
      </c>
      <c r="M830" s="3">
        <f t="shared" si="151"/>
        <v>23103372074.048191</v>
      </c>
      <c r="N830" s="7">
        <f t="shared" si="156"/>
        <v>2.7913419480250999E+23</v>
      </c>
      <c r="O830" s="7">
        <f t="shared" si="152"/>
        <v>23103372074</v>
      </c>
      <c r="P830" s="3">
        <f>SUM($O$4:O830)</f>
        <v>1259587813723</v>
      </c>
      <c r="Y830" s="3">
        <f t="shared" si="153"/>
        <v>827</v>
      </c>
      <c r="Z830" s="3">
        <f t="shared" si="154"/>
        <v>2.7609328265569799E+20</v>
      </c>
      <c r="AA830" s="7"/>
      <c r="AB830" s="7">
        <f t="shared" si="155"/>
        <v>13040</v>
      </c>
    </row>
    <row r="831" spans="6:28" x14ac:dyDescent="0.15">
      <c r="F831">
        <f t="shared" si="145"/>
        <v>119</v>
      </c>
      <c r="G831">
        <v>828</v>
      </c>
      <c r="H831">
        <f t="shared" si="146"/>
        <v>5.6927436057616044E+23</v>
      </c>
      <c r="I831">
        <f t="shared" si="147"/>
        <v>5.6927436057615997E+23</v>
      </c>
      <c r="J831" s="1">
        <f t="shared" si="148"/>
        <v>1</v>
      </c>
      <c r="K831" s="1">
        <f t="shared" si="149"/>
        <v>5.6927436057615997E+23</v>
      </c>
      <c r="L831" s="1">
        <f t="shared" si="150"/>
        <v>2.7913419480251046E+23</v>
      </c>
      <c r="M831" s="3">
        <f t="shared" si="151"/>
        <v>23103372074.048191</v>
      </c>
      <c r="N831" s="7">
        <f t="shared" si="156"/>
        <v>2.7913419480250999E+23</v>
      </c>
      <c r="O831" s="7">
        <f t="shared" si="152"/>
        <v>23103372074</v>
      </c>
      <c r="P831" s="3">
        <f>SUM($O$4:O831)</f>
        <v>1282691185797</v>
      </c>
      <c r="Y831" s="3">
        <f t="shared" si="153"/>
        <v>828</v>
      </c>
      <c r="Z831" s="3">
        <f t="shared" si="154"/>
        <v>2.9024848844118901E+20</v>
      </c>
      <c r="AA831" s="7"/>
      <c r="AB831" s="7">
        <f t="shared" si="155"/>
        <v>13040</v>
      </c>
    </row>
    <row r="832" spans="6:28" x14ac:dyDescent="0.15">
      <c r="F832">
        <f t="shared" si="145"/>
        <v>119</v>
      </c>
      <c r="G832">
        <v>829</v>
      </c>
      <c r="H832">
        <f t="shared" si="146"/>
        <v>5.6927436057616044E+23</v>
      </c>
      <c r="I832">
        <f t="shared" si="147"/>
        <v>5.6927436057615997E+23</v>
      </c>
      <c r="J832" s="1">
        <f t="shared" si="148"/>
        <v>1</v>
      </c>
      <c r="K832" s="1">
        <f t="shared" si="149"/>
        <v>5.6927436057615997E+23</v>
      </c>
      <c r="L832" s="1">
        <f t="shared" si="150"/>
        <v>2.7913419480251046E+23</v>
      </c>
      <c r="M832" s="3">
        <f t="shared" si="151"/>
        <v>23103372074.048191</v>
      </c>
      <c r="N832" s="7">
        <f t="shared" si="156"/>
        <v>2.7913419480250999E+23</v>
      </c>
      <c r="O832" s="7">
        <f t="shared" si="152"/>
        <v>23103372074</v>
      </c>
      <c r="P832" s="3">
        <f>SUM($O$4:O832)</f>
        <v>1305794557871</v>
      </c>
      <c r="Y832" s="3">
        <f t="shared" si="153"/>
        <v>829</v>
      </c>
      <c r="Z832" s="3">
        <f t="shared" si="154"/>
        <v>3.0512898159859099E+20</v>
      </c>
      <c r="AA832" s="7"/>
      <c r="AB832" s="7">
        <f t="shared" si="155"/>
        <v>13040</v>
      </c>
    </row>
    <row r="833" spans="6:28" x14ac:dyDescent="0.15">
      <c r="F833">
        <f t="shared" si="145"/>
        <v>119</v>
      </c>
      <c r="G833">
        <v>830</v>
      </c>
      <c r="H833">
        <f t="shared" si="146"/>
        <v>5.6927436057616044E+23</v>
      </c>
      <c r="I833">
        <f t="shared" si="147"/>
        <v>5.6927436057615997E+23</v>
      </c>
      <c r="J833" s="1">
        <f t="shared" si="148"/>
        <v>1</v>
      </c>
      <c r="K833" s="1">
        <f t="shared" si="149"/>
        <v>5.6927436057615997E+23</v>
      </c>
      <c r="L833" s="1">
        <f t="shared" si="150"/>
        <v>2.7913419480251046E+23</v>
      </c>
      <c r="M833" s="3">
        <f t="shared" si="151"/>
        <v>23103372074.048191</v>
      </c>
      <c r="N833" s="7">
        <f t="shared" si="156"/>
        <v>2.7913419480250999E+23</v>
      </c>
      <c r="O833" s="7">
        <f t="shared" si="152"/>
        <v>23103372074</v>
      </c>
      <c r="P833" s="3">
        <f>SUM($O$4:O833)</f>
        <v>1328897929945</v>
      </c>
      <c r="Y833" s="3">
        <f t="shared" si="153"/>
        <v>830</v>
      </c>
      <c r="Z833" s="3">
        <f t="shared" si="154"/>
        <v>3.2077190285063003E+20</v>
      </c>
      <c r="AA833" s="7"/>
      <c r="AB833" s="7">
        <f t="shared" si="155"/>
        <v>13040</v>
      </c>
    </row>
    <row r="834" spans="6:28" x14ac:dyDescent="0.15">
      <c r="F834">
        <f t="shared" si="145"/>
        <v>119</v>
      </c>
      <c r="G834">
        <v>831</v>
      </c>
      <c r="H834">
        <f t="shared" si="146"/>
        <v>5.6927436057616044E+23</v>
      </c>
      <c r="I834">
        <f t="shared" si="147"/>
        <v>5.6927436057615997E+23</v>
      </c>
      <c r="J834" s="1">
        <f t="shared" si="148"/>
        <v>1</v>
      </c>
      <c r="K834" s="1">
        <f t="shared" si="149"/>
        <v>5.6927436057615997E+23</v>
      </c>
      <c r="L834" s="1">
        <f t="shared" si="150"/>
        <v>2.7913419480251046E+23</v>
      </c>
      <c r="M834" s="3">
        <f t="shared" si="151"/>
        <v>23103372074.048191</v>
      </c>
      <c r="N834" s="7">
        <f t="shared" si="156"/>
        <v>2.7913419480250999E+23</v>
      </c>
      <c r="O834" s="7">
        <f t="shared" si="152"/>
        <v>23103372074</v>
      </c>
      <c r="P834" s="3">
        <f>SUM($O$4:O834)</f>
        <v>1352001302019</v>
      </c>
      <c r="Y834" s="3">
        <f t="shared" si="153"/>
        <v>831</v>
      </c>
      <c r="Z834" s="3">
        <f t="shared" si="154"/>
        <v>3.37216293773876E+20</v>
      </c>
      <c r="AA834" s="7"/>
      <c r="AB834" s="7">
        <f t="shared" si="155"/>
        <v>13040</v>
      </c>
    </row>
    <row r="835" spans="6:28" x14ac:dyDescent="0.15">
      <c r="F835">
        <f t="shared" si="145"/>
        <v>119</v>
      </c>
      <c r="G835">
        <v>832</v>
      </c>
      <c r="H835">
        <f t="shared" si="146"/>
        <v>5.6927436057616044E+23</v>
      </c>
      <c r="I835">
        <f t="shared" si="147"/>
        <v>5.6927436057615997E+23</v>
      </c>
      <c r="J835" s="1">
        <f t="shared" si="148"/>
        <v>1</v>
      </c>
      <c r="K835" s="1">
        <f t="shared" si="149"/>
        <v>5.6927436057615997E+23</v>
      </c>
      <c r="L835" s="1">
        <f t="shared" si="150"/>
        <v>2.7913419480251046E+23</v>
      </c>
      <c r="M835" s="3">
        <f t="shared" si="151"/>
        <v>23103372074.048191</v>
      </c>
      <c r="N835" s="7">
        <f t="shared" si="156"/>
        <v>2.7913419480250999E+23</v>
      </c>
      <c r="O835" s="7">
        <f t="shared" si="152"/>
        <v>23103372074</v>
      </c>
      <c r="P835" s="3">
        <f>SUM($O$4:O835)</f>
        <v>1375104674093</v>
      </c>
      <c r="Y835" s="3">
        <f t="shared" si="153"/>
        <v>832</v>
      </c>
      <c r="Z835" s="3">
        <f t="shared" si="154"/>
        <v>3.5450319403232002E+20</v>
      </c>
      <c r="AA835" s="7"/>
      <c r="AB835" s="7">
        <f t="shared" si="155"/>
        <v>13040</v>
      </c>
    </row>
    <row r="836" spans="6:28" x14ac:dyDescent="0.15">
      <c r="F836">
        <f t="shared" si="145"/>
        <v>119</v>
      </c>
      <c r="G836">
        <v>833</v>
      </c>
      <c r="H836">
        <f t="shared" si="146"/>
        <v>5.6927436057616044E+23</v>
      </c>
      <c r="I836">
        <f t="shared" si="147"/>
        <v>5.6927436057615997E+23</v>
      </c>
      <c r="J836" s="1">
        <f t="shared" si="148"/>
        <v>7</v>
      </c>
      <c r="K836" s="1">
        <f t="shared" si="149"/>
        <v>3.9849205240331198E+24</v>
      </c>
      <c r="L836" s="1">
        <f t="shared" si="150"/>
        <v>1.9539393636175733E+24</v>
      </c>
      <c r="M836" s="3">
        <f t="shared" si="151"/>
        <v>161723604518.33737</v>
      </c>
      <c r="N836" s="7">
        <f t="shared" si="156"/>
        <v>1.9539393636175701E+24</v>
      </c>
      <c r="O836" s="7">
        <f t="shared" si="152"/>
        <v>161723604518</v>
      </c>
      <c r="P836" s="3">
        <f>SUM($O$4:O836)</f>
        <v>1536828278611</v>
      </c>
      <c r="Y836" s="3">
        <f t="shared" si="153"/>
        <v>833</v>
      </c>
      <c r="Z836" s="3">
        <f t="shared" si="154"/>
        <v>3.7267574358217399E+20</v>
      </c>
      <c r="AA836" s="7"/>
      <c r="AB836" s="7">
        <f t="shared" si="155"/>
        <v>13040</v>
      </c>
    </row>
    <row r="837" spans="6:28" x14ac:dyDescent="0.15">
      <c r="F837">
        <f t="shared" ref="F837:F900" si="157">ROUNDUP(G837/$C$4,0)</f>
        <v>120</v>
      </c>
      <c r="G837">
        <v>834</v>
      </c>
      <c r="H837">
        <f t="shared" ref="H837:H900" si="158">18.5*1.57^MIN(F837,156)*1.17^MAX(F837-156,0)*$C$5</f>
        <v>8.9376074610457199E+23</v>
      </c>
      <c r="I837">
        <f t="shared" ref="I837:I900" si="159">ROUND(H837,0)</f>
        <v>8.9376074610457199E+23</v>
      </c>
      <c r="J837" s="1">
        <f t="shared" ref="J837:J900" si="160">IF(F837=F838,1,LOOKUP(MOD(F837,5),$D$6:$D$10,$C$6:$C$10))</f>
        <v>1</v>
      </c>
      <c r="K837" s="1">
        <f t="shared" ref="K837:K900" si="161">J837*I837</f>
        <v>8.9376074610457199E+23</v>
      </c>
      <c r="L837" s="1">
        <f t="shared" ref="L837:L900" si="162">K837*(0.02+0.00045*F837)/$C$5</f>
        <v>4.4092196807825551E+23</v>
      </c>
      <c r="M837" s="3">
        <f t="shared" ref="M837:M900" si="163">L837/(1.3^F837)*3</f>
        <v>28072475736.682755</v>
      </c>
      <c r="N837" s="7">
        <f t="shared" si="156"/>
        <v>4.4092196807825598E+23</v>
      </c>
      <c r="O837" s="7">
        <f t="shared" ref="O837:O900" si="164">ROUNDDOWN(M837,0)</f>
        <v>28072475736</v>
      </c>
      <c r="P837" s="3">
        <f>SUM($O$4:O837)</f>
        <v>1564900754347</v>
      </c>
      <c r="Y837" s="3">
        <f t="shared" ref="Y837:Y900" si="165">G837</f>
        <v>834</v>
      </c>
      <c r="Z837" s="3">
        <f t="shared" ref="Z837:Z900" si="166">ROUND(1.05^Y837*Y837,0)</f>
        <v>3.9177929010193302E+20</v>
      </c>
      <c r="AA837" s="7"/>
      <c r="AB837" s="7">
        <f t="shared" ref="AB837:AB900" si="167">LOOKUP(Y837,T:T,P:P)</f>
        <v>13040</v>
      </c>
    </row>
    <row r="838" spans="6:28" x14ac:dyDescent="0.15">
      <c r="F838">
        <f t="shared" si="157"/>
        <v>120</v>
      </c>
      <c r="G838">
        <v>835</v>
      </c>
      <c r="H838">
        <f t="shared" si="158"/>
        <v>8.9376074610457199E+23</v>
      </c>
      <c r="I838">
        <f t="shared" si="159"/>
        <v>8.9376074610457199E+23</v>
      </c>
      <c r="J838" s="1">
        <f t="shared" si="160"/>
        <v>1</v>
      </c>
      <c r="K838" s="1">
        <f t="shared" si="161"/>
        <v>8.9376074610457199E+23</v>
      </c>
      <c r="L838" s="1">
        <f t="shared" si="162"/>
        <v>4.4092196807825551E+23</v>
      </c>
      <c r="M838" s="3">
        <f t="shared" si="163"/>
        <v>28072475736.682755</v>
      </c>
      <c r="N838" s="7">
        <f t="shared" si="156"/>
        <v>4.4092196807825598E+23</v>
      </c>
      <c r="O838" s="7">
        <f t="shared" si="164"/>
        <v>28072475736</v>
      </c>
      <c r="P838" s="3">
        <f>SUM($O$4:O838)</f>
        <v>1592973230083</v>
      </c>
      <c r="Y838" s="3">
        <f t="shared" si="165"/>
        <v>835</v>
      </c>
      <c r="Z838" s="3">
        <f t="shared" si="166"/>
        <v>4.1186150191471198E+20</v>
      </c>
      <c r="AA838" s="7"/>
      <c r="AB838" s="7">
        <f t="shared" si="167"/>
        <v>13040</v>
      </c>
    </row>
    <row r="839" spans="6:28" x14ac:dyDescent="0.15">
      <c r="F839">
        <f t="shared" si="157"/>
        <v>120</v>
      </c>
      <c r="G839">
        <v>836</v>
      </c>
      <c r="H839">
        <f t="shared" si="158"/>
        <v>8.9376074610457199E+23</v>
      </c>
      <c r="I839">
        <f t="shared" si="159"/>
        <v>8.9376074610457199E+23</v>
      </c>
      <c r="J839" s="1">
        <f t="shared" si="160"/>
        <v>1</v>
      </c>
      <c r="K839" s="1">
        <f t="shared" si="161"/>
        <v>8.9376074610457199E+23</v>
      </c>
      <c r="L839" s="1">
        <f t="shared" si="162"/>
        <v>4.4092196807825551E+23</v>
      </c>
      <c r="M839" s="3">
        <f t="shared" si="163"/>
        <v>28072475736.682755</v>
      </c>
      <c r="N839" s="7">
        <f t="shared" si="156"/>
        <v>4.4092196807825598E+23</v>
      </c>
      <c r="O839" s="7">
        <f t="shared" si="164"/>
        <v>28072475736</v>
      </c>
      <c r="P839" s="3">
        <f>SUM($O$4:O839)</f>
        <v>1621045705819</v>
      </c>
      <c r="Y839" s="3">
        <f t="shared" si="165"/>
        <v>836</v>
      </c>
      <c r="Z839" s="3">
        <f t="shared" si="166"/>
        <v>4.3297248668351398E+20</v>
      </c>
      <c r="AA839" s="7"/>
      <c r="AB839" s="7">
        <f t="shared" si="167"/>
        <v>13040</v>
      </c>
    </row>
    <row r="840" spans="6:28" x14ac:dyDescent="0.15">
      <c r="F840">
        <f t="shared" si="157"/>
        <v>120</v>
      </c>
      <c r="G840">
        <v>837</v>
      </c>
      <c r="H840">
        <f t="shared" si="158"/>
        <v>8.9376074610457199E+23</v>
      </c>
      <c r="I840">
        <f t="shared" si="159"/>
        <v>8.9376074610457199E+23</v>
      </c>
      <c r="J840" s="1">
        <f t="shared" si="160"/>
        <v>1</v>
      </c>
      <c r="K840" s="1">
        <f t="shared" si="161"/>
        <v>8.9376074610457199E+23</v>
      </c>
      <c r="L840" s="1">
        <f t="shared" si="162"/>
        <v>4.4092196807825551E+23</v>
      </c>
      <c r="M840" s="3">
        <f t="shared" si="163"/>
        <v>28072475736.682755</v>
      </c>
      <c r="N840" s="7">
        <f t="shared" ref="N840:N903" si="168">ROUND(L840,0)</f>
        <v>4.4092196807825598E+23</v>
      </c>
      <c r="O840" s="7">
        <f t="shared" si="164"/>
        <v>28072475736</v>
      </c>
      <c r="P840" s="3">
        <f>SUM($O$4:O840)</f>
        <v>1649118181555</v>
      </c>
      <c r="Y840" s="3">
        <f t="shared" si="165"/>
        <v>837</v>
      </c>
      <c r="Z840" s="3">
        <f t="shared" si="166"/>
        <v>4.5516491617440897E+20</v>
      </c>
      <c r="AA840" s="7"/>
      <c r="AB840" s="7">
        <f t="shared" si="167"/>
        <v>13040</v>
      </c>
    </row>
    <row r="841" spans="6:28" x14ac:dyDescent="0.15">
      <c r="F841">
        <f t="shared" si="157"/>
        <v>120</v>
      </c>
      <c r="G841">
        <v>838</v>
      </c>
      <c r="H841">
        <f t="shared" si="158"/>
        <v>8.9376074610457199E+23</v>
      </c>
      <c r="I841">
        <f t="shared" si="159"/>
        <v>8.9376074610457199E+23</v>
      </c>
      <c r="J841" s="1">
        <f t="shared" si="160"/>
        <v>1</v>
      </c>
      <c r="K841" s="1">
        <f t="shared" si="161"/>
        <v>8.9376074610457199E+23</v>
      </c>
      <c r="L841" s="1">
        <f t="shared" si="162"/>
        <v>4.4092196807825551E+23</v>
      </c>
      <c r="M841" s="3">
        <f t="shared" si="163"/>
        <v>28072475736.682755</v>
      </c>
      <c r="N841" s="7">
        <f t="shared" si="168"/>
        <v>4.4092196807825598E+23</v>
      </c>
      <c r="O841" s="7">
        <f t="shared" si="164"/>
        <v>28072475736</v>
      </c>
      <c r="P841" s="3">
        <f>SUM($O$4:O841)</f>
        <v>1677190657291</v>
      </c>
      <c r="Y841" s="3">
        <f t="shared" si="165"/>
        <v>838</v>
      </c>
      <c r="Z841" s="3">
        <f t="shared" si="166"/>
        <v>4.7849415739768498E+20</v>
      </c>
      <c r="AA841" s="7"/>
      <c r="AB841" s="7">
        <f t="shared" si="167"/>
        <v>13040</v>
      </c>
    </row>
    <row r="842" spans="6:28" x14ac:dyDescent="0.15">
      <c r="F842">
        <f t="shared" si="157"/>
        <v>120</v>
      </c>
      <c r="G842">
        <v>839</v>
      </c>
      <c r="H842">
        <f t="shared" si="158"/>
        <v>8.9376074610457199E+23</v>
      </c>
      <c r="I842">
        <f t="shared" si="159"/>
        <v>8.9376074610457199E+23</v>
      </c>
      <c r="J842" s="1">
        <f t="shared" si="160"/>
        <v>1</v>
      </c>
      <c r="K842" s="1">
        <f t="shared" si="161"/>
        <v>8.9376074610457199E+23</v>
      </c>
      <c r="L842" s="1">
        <f t="shared" si="162"/>
        <v>4.4092196807825551E+23</v>
      </c>
      <c r="M842" s="3">
        <f t="shared" si="163"/>
        <v>28072475736.682755</v>
      </c>
      <c r="N842" s="7">
        <f t="shared" si="168"/>
        <v>4.4092196807825598E+23</v>
      </c>
      <c r="O842" s="7">
        <f t="shared" si="164"/>
        <v>28072475736</v>
      </c>
      <c r="P842" s="3">
        <f>SUM($O$4:O842)</f>
        <v>1705263133027</v>
      </c>
      <c r="Y842" s="3">
        <f t="shared" si="165"/>
        <v>839</v>
      </c>
      <c r="Z842" s="3">
        <f t="shared" si="166"/>
        <v>5.03018410452853E+20</v>
      </c>
      <c r="AA842" s="7"/>
      <c r="AB842" s="7">
        <f t="shared" si="167"/>
        <v>13040</v>
      </c>
    </row>
    <row r="843" spans="6:28" x14ac:dyDescent="0.15">
      <c r="F843">
        <f t="shared" si="157"/>
        <v>120</v>
      </c>
      <c r="G843">
        <v>840</v>
      </c>
      <c r="H843">
        <f t="shared" si="158"/>
        <v>8.9376074610457199E+23</v>
      </c>
      <c r="I843">
        <f t="shared" si="159"/>
        <v>8.9376074610457199E+23</v>
      </c>
      <c r="J843" s="1">
        <f t="shared" si="160"/>
        <v>10</v>
      </c>
      <c r="K843" s="1">
        <f t="shared" si="161"/>
        <v>8.9376074610457199E+24</v>
      </c>
      <c r="L843" s="1">
        <f t="shared" si="162"/>
        <v>4.4092196807825551E+24</v>
      </c>
      <c r="M843" s="3">
        <f t="shared" si="163"/>
        <v>280724757366.82751</v>
      </c>
      <c r="N843" s="7">
        <f t="shared" si="168"/>
        <v>4.4092196807825599E+24</v>
      </c>
      <c r="O843" s="7">
        <f t="shared" si="164"/>
        <v>280724757366</v>
      </c>
      <c r="P843" s="3">
        <f>SUM($O$4:O843)</f>
        <v>1985987890393</v>
      </c>
      <c r="Y843" s="3">
        <f t="shared" si="165"/>
        <v>840</v>
      </c>
      <c r="Z843" s="3">
        <f t="shared" si="166"/>
        <v>5.2879885342004301E+20</v>
      </c>
      <c r="AA843" s="7"/>
      <c r="AB843" s="7">
        <f t="shared" si="167"/>
        <v>13040</v>
      </c>
    </row>
    <row r="844" spans="6:28" x14ac:dyDescent="0.15">
      <c r="F844">
        <f t="shared" si="157"/>
        <v>121</v>
      </c>
      <c r="G844">
        <v>841</v>
      </c>
      <c r="H844">
        <f t="shared" si="158"/>
        <v>1.4032043713841783E+24</v>
      </c>
      <c r="I844">
        <f t="shared" si="159"/>
        <v>1.4032043713841799E+24</v>
      </c>
      <c r="J844" s="1">
        <f t="shared" si="160"/>
        <v>1</v>
      </c>
      <c r="K844" s="1">
        <f t="shared" si="161"/>
        <v>1.4032043713841799E+24</v>
      </c>
      <c r="L844" s="1">
        <f t="shared" si="162"/>
        <v>6.9645710299701472E+23</v>
      </c>
      <c r="M844" s="3">
        <f t="shared" si="163"/>
        <v>34109079367.93943</v>
      </c>
      <c r="N844" s="7">
        <f t="shared" si="168"/>
        <v>6.9645710299701499E+23</v>
      </c>
      <c r="O844" s="7">
        <f t="shared" si="164"/>
        <v>34109079367</v>
      </c>
      <c r="P844" s="3">
        <f>SUM($O$4:O844)</f>
        <v>2020096969760</v>
      </c>
      <c r="Y844" s="3">
        <f t="shared" si="165"/>
        <v>841</v>
      </c>
      <c r="Z844" s="3">
        <f t="shared" si="166"/>
        <v>5.5589979465782002E+20</v>
      </c>
      <c r="AA844" s="7"/>
      <c r="AB844" s="7">
        <f t="shared" si="167"/>
        <v>13040</v>
      </c>
    </row>
    <row r="845" spans="6:28" x14ac:dyDescent="0.15">
      <c r="F845">
        <f t="shared" si="157"/>
        <v>121</v>
      </c>
      <c r="G845">
        <v>842</v>
      </c>
      <c r="H845">
        <f t="shared" si="158"/>
        <v>1.4032043713841783E+24</v>
      </c>
      <c r="I845">
        <f t="shared" si="159"/>
        <v>1.4032043713841799E+24</v>
      </c>
      <c r="J845" s="1">
        <f t="shared" si="160"/>
        <v>1</v>
      </c>
      <c r="K845" s="1">
        <f t="shared" si="161"/>
        <v>1.4032043713841799E+24</v>
      </c>
      <c r="L845" s="1">
        <f t="shared" si="162"/>
        <v>6.9645710299701472E+23</v>
      </c>
      <c r="M845" s="3">
        <f t="shared" si="163"/>
        <v>34109079367.93943</v>
      </c>
      <c r="N845" s="7">
        <f t="shared" si="168"/>
        <v>6.9645710299701499E+23</v>
      </c>
      <c r="O845" s="7">
        <f t="shared" si="164"/>
        <v>34109079367</v>
      </c>
      <c r="P845" s="3">
        <f>SUM($O$4:O845)</f>
        <v>2054206049127</v>
      </c>
      <c r="Y845" s="3">
        <f t="shared" si="165"/>
        <v>842</v>
      </c>
      <c r="Z845" s="3">
        <f t="shared" si="166"/>
        <v>5.8438883288582501E+20</v>
      </c>
      <c r="AA845" s="7"/>
      <c r="AB845" s="7">
        <f t="shared" si="167"/>
        <v>13040</v>
      </c>
    </row>
    <row r="846" spans="6:28" x14ac:dyDescent="0.15">
      <c r="F846">
        <f t="shared" si="157"/>
        <v>121</v>
      </c>
      <c r="G846">
        <v>843</v>
      </c>
      <c r="H846">
        <f t="shared" si="158"/>
        <v>1.4032043713841783E+24</v>
      </c>
      <c r="I846">
        <f t="shared" si="159"/>
        <v>1.4032043713841799E+24</v>
      </c>
      <c r="J846" s="1">
        <f t="shared" si="160"/>
        <v>1</v>
      </c>
      <c r="K846" s="1">
        <f t="shared" si="161"/>
        <v>1.4032043713841799E+24</v>
      </c>
      <c r="L846" s="1">
        <f t="shared" si="162"/>
        <v>6.9645710299701472E+23</v>
      </c>
      <c r="M846" s="3">
        <f t="shared" si="163"/>
        <v>34109079367.93943</v>
      </c>
      <c r="N846" s="7">
        <f t="shared" si="168"/>
        <v>6.9645710299701499E+23</v>
      </c>
      <c r="O846" s="7">
        <f t="shared" si="164"/>
        <v>34109079367</v>
      </c>
      <c r="P846" s="3">
        <f>SUM($O$4:O846)</f>
        <v>2088315128494</v>
      </c>
      <c r="Y846" s="3">
        <f t="shared" si="165"/>
        <v>843</v>
      </c>
      <c r="Z846" s="3">
        <f t="shared" si="166"/>
        <v>6.1433702544998597E+20</v>
      </c>
      <c r="AA846" s="7"/>
      <c r="AB846" s="7">
        <f t="shared" si="167"/>
        <v>13040</v>
      </c>
    </row>
    <row r="847" spans="6:28" x14ac:dyDescent="0.15">
      <c r="F847">
        <f t="shared" si="157"/>
        <v>121</v>
      </c>
      <c r="G847">
        <v>844</v>
      </c>
      <c r="H847">
        <f t="shared" si="158"/>
        <v>1.4032043713841783E+24</v>
      </c>
      <c r="I847">
        <f t="shared" si="159"/>
        <v>1.4032043713841799E+24</v>
      </c>
      <c r="J847" s="1">
        <f t="shared" si="160"/>
        <v>1</v>
      </c>
      <c r="K847" s="1">
        <f t="shared" si="161"/>
        <v>1.4032043713841799E+24</v>
      </c>
      <c r="L847" s="1">
        <f t="shared" si="162"/>
        <v>6.9645710299701472E+23</v>
      </c>
      <c r="M847" s="3">
        <f t="shared" si="163"/>
        <v>34109079367.93943</v>
      </c>
      <c r="N847" s="7">
        <f t="shared" si="168"/>
        <v>6.9645710299701499E+23</v>
      </c>
      <c r="O847" s="7">
        <f t="shared" si="164"/>
        <v>34109079367</v>
      </c>
      <c r="P847" s="3">
        <f>SUM($O$4:O847)</f>
        <v>2122424207861</v>
      </c>
      <c r="Y847" s="3">
        <f t="shared" si="165"/>
        <v>844</v>
      </c>
      <c r="Z847" s="3">
        <f t="shared" si="166"/>
        <v>6.4581906518834794E+20</v>
      </c>
      <c r="AA847" s="7"/>
      <c r="AB847" s="7">
        <f t="shared" si="167"/>
        <v>13040</v>
      </c>
    </row>
    <row r="848" spans="6:28" x14ac:dyDescent="0.15">
      <c r="F848">
        <f t="shared" si="157"/>
        <v>121</v>
      </c>
      <c r="G848">
        <v>845</v>
      </c>
      <c r="H848">
        <f t="shared" si="158"/>
        <v>1.4032043713841783E+24</v>
      </c>
      <c r="I848">
        <f t="shared" si="159"/>
        <v>1.4032043713841799E+24</v>
      </c>
      <c r="J848" s="1">
        <f t="shared" si="160"/>
        <v>1</v>
      </c>
      <c r="K848" s="1">
        <f t="shared" si="161"/>
        <v>1.4032043713841799E+24</v>
      </c>
      <c r="L848" s="1">
        <f t="shared" si="162"/>
        <v>6.9645710299701472E+23</v>
      </c>
      <c r="M848" s="3">
        <f t="shared" si="163"/>
        <v>34109079367.93943</v>
      </c>
      <c r="N848" s="7">
        <f t="shared" si="168"/>
        <v>6.9645710299701499E+23</v>
      </c>
      <c r="O848" s="7">
        <f t="shared" si="164"/>
        <v>34109079367</v>
      </c>
      <c r="P848" s="3">
        <f>SUM($O$4:O848)</f>
        <v>2156533287228</v>
      </c>
      <c r="Y848" s="3">
        <f t="shared" si="165"/>
        <v>845</v>
      </c>
      <c r="Z848" s="3">
        <f t="shared" si="166"/>
        <v>6.7891346633692204E+20</v>
      </c>
      <c r="AA848" s="7"/>
      <c r="AB848" s="7">
        <f t="shared" si="167"/>
        <v>13040</v>
      </c>
    </row>
    <row r="849" spans="6:28" x14ac:dyDescent="0.15">
      <c r="F849">
        <f t="shared" si="157"/>
        <v>121</v>
      </c>
      <c r="G849">
        <v>846</v>
      </c>
      <c r="H849">
        <f t="shared" si="158"/>
        <v>1.4032043713841783E+24</v>
      </c>
      <c r="I849">
        <f t="shared" si="159"/>
        <v>1.4032043713841799E+24</v>
      </c>
      <c r="J849" s="1">
        <f t="shared" si="160"/>
        <v>1</v>
      </c>
      <c r="K849" s="1">
        <f t="shared" si="161"/>
        <v>1.4032043713841799E+24</v>
      </c>
      <c r="L849" s="1">
        <f t="shared" si="162"/>
        <v>6.9645710299701472E+23</v>
      </c>
      <c r="M849" s="3">
        <f t="shared" si="163"/>
        <v>34109079367.93943</v>
      </c>
      <c r="N849" s="7">
        <f t="shared" si="168"/>
        <v>6.9645710299701499E+23</v>
      </c>
      <c r="O849" s="7">
        <f t="shared" si="164"/>
        <v>34109079367</v>
      </c>
      <c r="P849" s="3">
        <f>SUM($O$4:O849)</f>
        <v>2190642366595</v>
      </c>
      <c r="Y849" s="3">
        <f t="shared" si="165"/>
        <v>846</v>
      </c>
      <c r="Z849" s="3">
        <f t="shared" si="166"/>
        <v>7.1370275993738202E+20</v>
      </c>
      <c r="AA849" s="7"/>
      <c r="AB849" s="7">
        <f t="shared" si="167"/>
        <v>13040</v>
      </c>
    </row>
    <row r="850" spans="6:28" x14ac:dyDescent="0.15">
      <c r="F850">
        <f t="shared" si="157"/>
        <v>121</v>
      </c>
      <c r="G850">
        <v>847</v>
      </c>
      <c r="H850">
        <f t="shared" si="158"/>
        <v>1.4032043713841783E+24</v>
      </c>
      <c r="I850">
        <f t="shared" si="159"/>
        <v>1.4032043713841799E+24</v>
      </c>
      <c r="J850" s="1">
        <f t="shared" si="160"/>
        <v>2</v>
      </c>
      <c r="K850" s="1">
        <f t="shared" si="161"/>
        <v>2.8064087427683598E+24</v>
      </c>
      <c r="L850" s="1">
        <f t="shared" si="162"/>
        <v>1.3929142059940294E+24</v>
      </c>
      <c r="M850" s="3">
        <f t="shared" si="163"/>
        <v>68218158735.87886</v>
      </c>
      <c r="N850" s="7">
        <f t="shared" si="168"/>
        <v>1.39291420599403E+24</v>
      </c>
      <c r="O850" s="7">
        <f t="shared" si="164"/>
        <v>68218158735</v>
      </c>
      <c r="P850" s="3">
        <f>SUM($O$4:O850)</f>
        <v>2258860525330</v>
      </c>
      <c r="Y850" s="3">
        <f t="shared" si="165"/>
        <v>847</v>
      </c>
      <c r="Z850" s="3">
        <f t="shared" si="166"/>
        <v>7.5027369923204599E+20</v>
      </c>
      <c r="AA850" s="7"/>
      <c r="AB850" s="7">
        <f t="shared" si="167"/>
        <v>13040</v>
      </c>
    </row>
    <row r="851" spans="6:28" x14ac:dyDescent="0.15">
      <c r="F851">
        <f t="shared" si="157"/>
        <v>122</v>
      </c>
      <c r="G851">
        <v>848</v>
      </c>
      <c r="H851">
        <f t="shared" si="158"/>
        <v>2.2030308630731594E+24</v>
      </c>
      <c r="I851">
        <f t="shared" si="159"/>
        <v>2.2030308630731599E+24</v>
      </c>
      <c r="J851" s="1">
        <f t="shared" si="160"/>
        <v>1</v>
      </c>
      <c r="K851" s="1">
        <f t="shared" si="161"/>
        <v>2.2030308630731599E+24</v>
      </c>
      <c r="L851" s="1">
        <f t="shared" si="162"/>
        <v>1.1000467442945312E+24</v>
      </c>
      <c r="M851" s="3">
        <f t="shared" si="163"/>
        <v>41442258305.668198</v>
      </c>
      <c r="N851" s="7">
        <f t="shared" si="168"/>
        <v>1.10004674429453E+24</v>
      </c>
      <c r="O851" s="7">
        <f t="shared" si="164"/>
        <v>41442258305</v>
      </c>
      <c r="P851" s="3">
        <f>SUM($O$4:O851)</f>
        <v>2300302783635</v>
      </c>
      <c r="Y851" s="3">
        <f t="shared" si="165"/>
        <v>848</v>
      </c>
      <c r="Z851" s="3">
        <f t="shared" si="166"/>
        <v>7.8871747555633201E+20</v>
      </c>
      <c r="AA851" s="7"/>
      <c r="AB851" s="7">
        <f t="shared" si="167"/>
        <v>13040</v>
      </c>
    </row>
    <row r="852" spans="6:28" x14ac:dyDescent="0.15">
      <c r="F852">
        <f t="shared" si="157"/>
        <v>122</v>
      </c>
      <c r="G852">
        <v>849</v>
      </c>
      <c r="H852">
        <f t="shared" si="158"/>
        <v>2.2030308630731594E+24</v>
      </c>
      <c r="I852">
        <f t="shared" si="159"/>
        <v>2.2030308630731599E+24</v>
      </c>
      <c r="J852" s="1">
        <f t="shared" si="160"/>
        <v>1</v>
      </c>
      <c r="K852" s="1">
        <f t="shared" si="161"/>
        <v>2.2030308630731599E+24</v>
      </c>
      <c r="L852" s="1">
        <f t="shared" si="162"/>
        <v>1.1000467442945312E+24</v>
      </c>
      <c r="M852" s="3">
        <f t="shared" si="163"/>
        <v>41442258305.668198</v>
      </c>
      <c r="N852" s="7">
        <f t="shared" si="168"/>
        <v>1.10004674429453E+24</v>
      </c>
      <c r="O852" s="7">
        <f t="shared" si="164"/>
        <v>41442258305</v>
      </c>
      <c r="P852" s="3">
        <f>SUM($O$4:O852)</f>
        <v>2341745041940</v>
      </c>
      <c r="Y852" s="3">
        <f t="shared" si="165"/>
        <v>849</v>
      </c>
      <c r="Z852" s="3">
        <f t="shared" si="166"/>
        <v>8.2912994526496699E+20</v>
      </c>
      <c r="AA852" s="7"/>
      <c r="AB852" s="7">
        <f t="shared" si="167"/>
        <v>13040</v>
      </c>
    </row>
    <row r="853" spans="6:28" x14ac:dyDescent="0.15">
      <c r="F853">
        <f t="shared" si="157"/>
        <v>122</v>
      </c>
      <c r="G853">
        <v>850</v>
      </c>
      <c r="H853">
        <f t="shared" si="158"/>
        <v>2.2030308630731594E+24</v>
      </c>
      <c r="I853">
        <f t="shared" si="159"/>
        <v>2.2030308630731599E+24</v>
      </c>
      <c r="J853" s="1">
        <f t="shared" si="160"/>
        <v>1</v>
      </c>
      <c r="K853" s="1">
        <f t="shared" si="161"/>
        <v>2.2030308630731599E+24</v>
      </c>
      <c r="L853" s="1">
        <f t="shared" si="162"/>
        <v>1.1000467442945312E+24</v>
      </c>
      <c r="M853" s="3">
        <f t="shared" si="163"/>
        <v>41442258305.668198</v>
      </c>
      <c r="N853" s="7">
        <f t="shared" si="168"/>
        <v>1.10004674429453E+24</v>
      </c>
      <c r="O853" s="7">
        <f t="shared" si="164"/>
        <v>41442258305</v>
      </c>
      <c r="P853" s="3">
        <f>SUM($O$4:O853)</f>
        <v>2383187300245</v>
      </c>
      <c r="Y853" s="3">
        <f t="shared" si="165"/>
        <v>850</v>
      </c>
      <c r="Z853" s="3">
        <f t="shared" si="166"/>
        <v>8.7161186825557495E+20</v>
      </c>
      <c r="AA853" s="7"/>
      <c r="AB853" s="7">
        <f t="shared" si="167"/>
        <v>13040</v>
      </c>
    </row>
    <row r="854" spans="6:28" x14ac:dyDescent="0.15">
      <c r="F854">
        <f t="shared" si="157"/>
        <v>122</v>
      </c>
      <c r="G854">
        <v>851</v>
      </c>
      <c r="H854">
        <f t="shared" si="158"/>
        <v>2.2030308630731594E+24</v>
      </c>
      <c r="I854">
        <f t="shared" si="159"/>
        <v>2.2030308630731599E+24</v>
      </c>
      <c r="J854" s="1">
        <f t="shared" si="160"/>
        <v>1</v>
      </c>
      <c r="K854" s="1">
        <f t="shared" si="161"/>
        <v>2.2030308630731599E+24</v>
      </c>
      <c r="L854" s="1">
        <f t="shared" si="162"/>
        <v>1.1000467442945312E+24</v>
      </c>
      <c r="M854" s="3">
        <f t="shared" si="163"/>
        <v>41442258305.668198</v>
      </c>
      <c r="N854" s="7">
        <f t="shared" si="168"/>
        <v>1.10004674429453E+24</v>
      </c>
      <c r="O854" s="7">
        <f t="shared" si="164"/>
        <v>41442258305</v>
      </c>
      <c r="P854" s="3">
        <f>SUM($O$4:O854)</f>
        <v>2424629558550</v>
      </c>
      <c r="Y854" s="3">
        <f t="shared" si="165"/>
        <v>851</v>
      </c>
      <c r="Z854" s="3">
        <f t="shared" si="166"/>
        <v>9.1626915868208097E+20</v>
      </c>
      <c r="AA854" s="7"/>
      <c r="AB854" s="7">
        <f t="shared" si="167"/>
        <v>13040</v>
      </c>
    </row>
    <row r="855" spans="6:28" x14ac:dyDescent="0.15">
      <c r="F855">
        <f t="shared" si="157"/>
        <v>122</v>
      </c>
      <c r="G855">
        <v>852</v>
      </c>
      <c r="H855">
        <f t="shared" si="158"/>
        <v>2.2030308630731594E+24</v>
      </c>
      <c r="I855">
        <f t="shared" si="159"/>
        <v>2.2030308630731599E+24</v>
      </c>
      <c r="J855" s="1">
        <f t="shared" si="160"/>
        <v>1</v>
      </c>
      <c r="K855" s="1">
        <f t="shared" si="161"/>
        <v>2.2030308630731599E+24</v>
      </c>
      <c r="L855" s="1">
        <f t="shared" si="162"/>
        <v>1.1000467442945312E+24</v>
      </c>
      <c r="M855" s="3">
        <f t="shared" si="163"/>
        <v>41442258305.668198</v>
      </c>
      <c r="N855" s="7">
        <f t="shared" si="168"/>
        <v>1.10004674429453E+24</v>
      </c>
      <c r="O855" s="7">
        <f t="shared" si="164"/>
        <v>41442258305</v>
      </c>
      <c r="P855" s="3">
        <f>SUM($O$4:O855)</f>
        <v>2466071816855</v>
      </c>
      <c r="Y855" s="3">
        <f t="shared" si="165"/>
        <v>852</v>
      </c>
      <c r="Z855" s="3">
        <f t="shared" si="166"/>
        <v>9.6321314848059897E+20</v>
      </c>
      <c r="AA855" s="7"/>
      <c r="AB855" s="7">
        <f t="shared" si="167"/>
        <v>13040</v>
      </c>
    </row>
    <row r="856" spans="6:28" x14ac:dyDescent="0.15">
      <c r="F856">
        <f t="shared" si="157"/>
        <v>122</v>
      </c>
      <c r="G856">
        <v>853</v>
      </c>
      <c r="H856">
        <f t="shared" si="158"/>
        <v>2.2030308630731594E+24</v>
      </c>
      <c r="I856">
        <f t="shared" si="159"/>
        <v>2.2030308630731599E+24</v>
      </c>
      <c r="J856" s="1">
        <f t="shared" si="160"/>
        <v>1</v>
      </c>
      <c r="K856" s="1">
        <f t="shared" si="161"/>
        <v>2.2030308630731599E+24</v>
      </c>
      <c r="L856" s="1">
        <f t="shared" si="162"/>
        <v>1.1000467442945312E+24</v>
      </c>
      <c r="M856" s="3">
        <f t="shared" si="163"/>
        <v>41442258305.668198</v>
      </c>
      <c r="N856" s="7">
        <f t="shared" si="168"/>
        <v>1.10004674429453E+24</v>
      </c>
      <c r="O856" s="7">
        <f t="shared" si="164"/>
        <v>41442258305</v>
      </c>
      <c r="P856" s="3">
        <f>SUM($O$4:O856)</f>
        <v>2507514075160</v>
      </c>
      <c r="Y856" s="3">
        <f t="shared" si="165"/>
        <v>853</v>
      </c>
      <c r="Z856" s="3">
        <f t="shared" si="166"/>
        <v>1.0125608643622599E+21</v>
      </c>
      <c r="AA856" s="7"/>
      <c r="AB856" s="7">
        <f t="shared" si="167"/>
        <v>13040</v>
      </c>
    </row>
    <row r="857" spans="6:28" x14ac:dyDescent="0.15">
      <c r="F857">
        <f t="shared" si="157"/>
        <v>122</v>
      </c>
      <c r="G857">
        <v>854</v>
      </c>
      <c r="H857">
        <f t="shared" si="158"/>
        <v>2.2030308630731594E+24</v>
      </c>
      <c r="I857">
        <f t="shared" si="159"/>
        <v>2.2030308630731599E+24</v>
      </c>
      <c r="J857" s="1">
        <f t="shared" si="160"/>
        <v>4</v>
      </c>
      <c r="K857" s="1">
        <f t="shared" si="161"/>
        <v>8.8121234522926396E+24</v>
      </c>
      <c r="L857" s="1">
        <f t="shared" si="162"/>
        <v>4.4001869771781248E+24</v>
      </c>
      <c r="M857" s="3">
        <f t="shared" si="163"/>
        <v>165769033222.67279</v>
      </c>
      <c r="N857" s="7">
        <f t="shared" si="168"/>
        <v>4.40018697717812E+24</v>
      </c>
      <c r="O857" s="7">
        <f t="shared" si="164"/>
        <v>165769033222</v>
      </c>
      <c r="P857" s="3">
        <f>SUM($O$4:O857)</f>
        <v>2673283108382</v>
      </c>
      <c r="Y857" s="3">
        <f t="shared" si="165"/>
        <v>854</v>
      </c>
      <c r="Z857" s="3">
        <f t="shared" si="166"/>
        <v>1.0644353189608901E+21</v>
      </c>
      <c r="AA857" s="7"/>
      <c r="AB857" s="7">
        <f t="shared" si="167"/>
        <v>13040</v>
      </c>
    </row>
    <row r="858" spans="6:28" x14ac:dyDescent="0.15">
      <c r="F858">
        <f t="shared" si="157"/>
        <v>123</v>
      </c>
      <c r="G858">
        <v>855</v>
      </c>
      <c r="H858">
        <f t="shared" si="158"/>
        <v>3.4587584550248601E+24</v>
      </c>
      <c r="I858">
        <f t="shared" si="159"/>
        <v>3.4587584550248601E+24</v>
      </c>
      <c r="J858" s="1">
        <f t="shared" si="160"/>
        <v>1</v>
      </c>
      <c r="K858" s="1">
        <f t="shared" si="161"/>
        <v>3.4587584550248601E+24</v>
      </c>
      <c r="L858" s="1">
        <f t="shared" si="162"/>
        <v>1.7374496639074882E+24</v>
      </c>
      <c r="M858" s="3">
        <f t="shared" si="163"/>
        <v>50350194479.114655</v>
      </c>
      <c r="N858" s="7">
        <f t="shared" si="168"/>
        <v>1.7374496639074901E+24</v>
      </c>
      <c r="O858" s="7">
        <f t="shared" si="164"/>
        <v>50350194479</v>
      </c>
      <c r="P858" s="3">
        <f>SUM($O$4:O858)</f>
        <v>2723633302861</v>
      </c>
      <c r="Y858" s="3">
        <f t="shared" si="165"/>
        <v>855</v>
      </c>
      <c r="Z858" s="3">
        <f t="shared" si="166"/>
        <v>1.11896581685848E+21</v>
      </c>
      <c r="AA858" s="7"/>
      <c r="AB858" s="7">
        <f t="shared" si="167"/>
        <v>13040</v>
      </c>
    </row>
    <row r="859" spans="6:28" x14ac:dyDescent="0.15">
      <c r="F859">
        <f t="shared" si="157"/>
        <v>123</v>
      </c>
      <c r="G859">
        <v>856</v>
      </c>
      <c r="H859">
        <f t="shared" si="158"/>
        <v>3.4587584550248601E+24</v>
      </c>
      <c r="I859">
        <f t="shared" si="159"/>
        <v>3.4587584550248601E+24</v>
      </c>
      <c r="J859" s="1">
        <f t="shared" si="160"/>
        <v>1</v>
      </c>
      <c r="K859" s="1">
        <f t="shared" si="161"/>
        <v>3.4587584550248601E+24</v>
      </c>
      <c r="L859" s="1">
        <f t="shared" si="162"/>
        <v>1.7374496639074882E+24</v>
      </c>
      <c r="M859" s="3">
        <f t="shared" si="163"/>
        <v>50350194479.114655</v>
      </c>
      <c r="N859" s="7">
        <f t="shared" si="168"/>
        <v>1.7374496639074901E+24</v>
      </c>
      <c r="O859" s="7">
        <f t="shared" si="164"/>
        <v>50350194479</v>
      </c>
      <c r="P859" s="3">
        <f>SUM($O$4:O859)</f>
        <v>2773983497340</v>
      </c>
      <c r="Y859" s="3">
        <f t="shared" si="165"/>
        <v>856</v>
      </c>
      <c r="Z859" s="3">
        <f t="shared" si="166"/>
        <v>1.17628827624842E+21</v>
      </c>
      <c r="AA859" s="7"/>
      <c r="AB859" s="7">
        <f t="shared" si="167"/>
        <v>13040</v>
      </c>
    </row>
    <row r="860" spans="6:28" x14ac:dyDescent="0.15">
      <c r="F860">
        <f t="shared" si="157"/>
        <v>123</v>
      </c>
      <c r="G860">
        <v>857</v>
      </c>
      <c r="H860">
        <f t="shared" si="158"/>
        <v>3.4587584550248601E+24</v>
      </c>
      <c r="I860">
        <f t="shared" si="159"/>
        <v>3.4587584550248601E+24</v>
      </c>
      <c r="J860" s="1">
        <f t="shared" si="160"/>
        <v>1</v>
      </c>
      <c r="K860" s="1">
        <f t="shared" si="161"/>
        <v>3.4587584550248601E+24</v>
      </c>
      <c r="L860" s="1">
        <f t="shared" si="162"/>
        <v>1.7374496639074882E+24</v>
      </c>
      <c r="M860" s="3">
        <f t="shared" si="163"/>
        <v>50350194479.114655</v>
      </c>
      <c r="N860" s="7">
        <f t="shared" si="168"/>
        <v>1.7374496639074901E+24</v>
      </c>
      <c r="O860" s="7">
        <f t="shared" si="164"/>
        <v>50350194479</v>
      </c>
      <c r="P860" s="3">
        <f>SUM($O$4:O860)</f>
        <v>2824333691819</v>
      </c>
      <c r="Y860" s="3">
        <f t="shared" si="165"/>
        <v>857</v>
      </c>
      <c r="Z860" s="3">
        <f t="shared" si="166"/>
        <v>1.2365455670352101E+21</v>
      </c>
      <c r="AA860" s="7"/>
      <c r="AB860" s="7">
        <f t="shared" si="167"/>
        <v>13040</v>
      </c>
    </row>
    <row r="861" spans="6:28" x14ac:dyDescent="0.15">
      <c r="F861">
        <f t="shared" si="157"/>
        <v>123</v>
      </c>
      <c r="G861">
        <v>858</v>
      </c>
      <c r="H861">
        <f t="shared" si="158"/>
        <v>3.4587584550248601E+24</v>
      </c>
      <c r="I861">
        <f t="shared" si="159"/>
        <v>3.4587584550248601E+24</v>
      </c>
      <c r="J861" s="1">
        <f t="shared" si="160"/>
        <v>1</v>
      </c>
      <c r="K861" s="1">
        <f t="shared" si="161"/>
        <v>3.4587584550248601E+24</v>
      </c>
      <c r="L861" s="1">
        <f t="shared" si="162"/>
        <v>1.7374496639074882E+24</v>
      </c>
      <c r="M861" s="3">
        <f t="shared" si="163"/>
        <v>50350194479.114655</v>
      </c>
      <c r="N861" s="7">
        <f t="shared" si="168"/>
        <v>1.7374496639074901E+24</v>
      </c>
      <c r="O861" s="7">
        <f t="shared" si="164"/>
        <v>50350194479</v>
      </c>
      <c r="P861" s="3">
        <f>SUM($O$4:O861)</f>
        <v>2874683886298</v>
      </c>
      <c r="Y861" s="3">
        <f t="shared" si="165"/>
        <v>858</v>
      </c>
      <c r="Z861" s="3">
        <f t="shared" si="166"/>
        <v>1.2998878662100601E+21</v>
      </c>
      <c r="AA861" s="7"/>
      <c r="AB861" s="7">
        <f t="shared" si="167"/>
        <v>13040</v>
      </c>
    </row>
    <row r="862" spans="6:28" x14ac:dyDescent="0.15">
      <c r="F862">
        <f t="shared" si="157"/>
        <v>123</v>
      </c>
      <c r="G862">
        <v>859</v>
      </c>
      <c r="H862">
        <f t="shared" si="158"/>
        <v>3.4587584550248601E+24</v>
      </c>
      <c r="I862">
        <f t="shared" si="159"/>
        <v>3.4587584550248601E+24</v>
      </c>
      <c r="J862" s="1">
        <f t="shared" si="160"/>
        <v>1</v>
      </c>
      <c r="K862" s="1">
        <f t="shared" si="161"/>
        <v>3.4587584550248601E+24</v>
      </c>
      <c r="L862" s="1">
        <f t="shared" si="162"/>
        <v>1.7374496639074882E+24</v>
      </c>
      <c r="M862" s="3">
        <f t="shared" si="163"/>
        <v>50350194479.114655</v>
      </c>
      <c r="N862" s="7">
        <f t="shared" si="168"/>
        <v>1.7374496639074901E+24</v>
      </c>
      <c r="O862" s="7">
        <f t="shared" si="164"/>
        <v>50350194479</v>
      </c>
      <c r="P862" s="3">
        <f>SUM($O$4:O862)</f>
        <v>2925034080777</v>
      </c>
      <c r="Y862" s="3">
        <f t="shared" si="165"/>
        <v>859</v>
      </c>
      <c r="Z862" s="3">
        <f t="shared" si="166"/>
        <v>1.3664730313848101E+21</v>
      </c>
      <c r="AA862" s="7"/>
      <c r="AB862" s="7">
        <f t="shared" si="167"/>
        <v>13040</v>
      </c>
    </row>
    <row r="863" spans="6:28" x14ac:dyDescent="0.15">
      <c r="F863">
        <f t="shared" si="157"/>
        <v>123</v>
      </c>
      <c r="G863">
        <v>860</v>
      </c>
      <c r="H863">
        <f t="shared" si="158"/>
        <v>3.4587584550248601E+24</v>
      </c>
      <c r="I863">
        <f t="shared" si="159"/>
        <v>3.4587584550248601E+24</v>
      </c>
      <c r="J863" s="1">
        <f t="shared" si="160"/>
        <v>1</v>
      </c>
      <c r="K863" s="1">
        <f t="shared" si="161"/>
        <v>3.4587584550248601E+24</v>
      </c>
      <c r="L863" s="1">
        <f t="shared" si="162"/>
        <v>1.7374496639074882E+24</v>
      </c>
      <c r="M863" s="3">
        <f t="shared" si="163"/>
        <v>50350194479.114655</v>
      </c>
      <c r="N863" s="7">
        <f t="shared" si="168"/>
        <v>1.7374496639074901E+24</v>
      </c>
      <c r="O863" s="7">
        <f t="shared" si="164"/>
        <v>50350194479</v>
      </c>
      <c r="P863" s="3">
        <f>SUM($O$4:O863)</f>
        <v>2975384275256</v>
      </c>
      <c r="Y863" s="3">
        <f t="shared" si="165"/>
        <v>860</v>
      </c>
      <c r="Z863" s="3">
        <f t="shared" si="166"/>
        <v>1.43646699341151E+21</v>
      </c>
      <c r="AA863" s="7"/>
      <c r="AB863" s="7">
        <f t="shared" si="167"/>
        <v>13040</v>
      </c>
    </row>
    <row r="864" spans="6:28" x14ac:dyDescent="0.15">
      <c r="F864">
        <f t="shared" si="157"/>
        <v>123</v>
      </c>
      <c r="G864">
        <v>861</v>
      </c>
      <c r="H864">
        <f t="shared" si="158"/>
        <v>3.4587584550248601E+24</v>
      </c>
      <c r="I864">
        <f t="shared" si="159"/>
        <v>3.4587584550248601E+24</v>
      </c>
      <c r="J864" s="1">
        <f t="shared" si="160"/>
        <v>6</v>
      </c>
      <c r="K864" s="1">
        <f t="shared" si="161"/>
        <v>2.075255073014916E+25</v>
      </c>
      <c r="L864" s="1">
        <f t="shared" si="162"/>
        <v>1.0424697983444929E+25</v>
      </c>
      <c r="M864" s="3">
        <f t="shared" si="163"/>
        <v>302101166874.68787</v>
      </c>
      <c r="N864" s="7">
        <f t="shared" si="168"/>
        <v>1.0424697983444901E+25</v>
      </c>
      <c r="O864" s="7">
        <f t="shared" si="164"/>
        <v>302101166874</v>
      </c>
      <c r="P864" s="3">
        <f>SUM($O$4:O864)</f>
        <v>3277485442130</v>
      </c>
      <c r="Y864" s="3">
        <f t="shared" si="165"/>
        <v>861</v>
      </c>
      <c r="Z864" s="3">
        <f t="shared" si="166"/>
        <v>1.5100441690624101E+21</v>
      </c>
      <c r="AA864" s="7"/>
      <c r="AB864" s="7">
        <f t="shared" si="167"/>
        <v>13040</v>
      </c>
    </row>
    <row r="865" spans="6:28" x14ac:dyDescent="0.15">
      <c r="F865">
        <f t="shared" si="157"/>
        <v>124</v>
      </c>
      <c r="G865">
        <v>862</v>
      </c>
      <c r="H865">
        <f t="shared" si="158"/>
        <v>5.4302507743890307E+24</v>
      </c>
      <c r="I865">
        <f t="shared" si="159"/>
        <v>5.4302507743890296E+24</v>
      </c>
      <c r="J865" s="1">
        <f t="shared" si="160"/>
        <v>1</v>
      </c>
      <c r="K865" s="1">
        <f t="shared" si="161"/>
        <v>5.4302507743890296E+24</v>
      </c>
      <c r="L865" s="1">
        <f t="shared" si="162"/>
        <v>2.7440867246579224E+24</v>
      </c>
      <c r="M865" s="3">
        <f t="shared" si="163"/>
        <v>61170693116.038132</v>
      </c>
      <c r="N865" s="7">
        <f t="shared" si="168"/>
        <v>2.7440867246579197E+24</v>
      </c>
      <c r="O865" s="7">
        <f t="shared" si="164"/>
        <v>61170693116</v>
      </c>
      <c r="P865" s="3">
        <f>SUM($O$4:O865)</f>
        <v>3338656135246</v>
      </c>
      <c r="Y865" s="3">
        <f t="shared" si="165"/>
        <v>862</v>
      </c>
      <c r="Z865" s="3">
        <f t="shared" si="166"/>
        <v>1.5873878947948701E+21</v>
      </c>
      <c r="AA865" s="7"/>
      <c r="AB865" s="7">
        <f t="shared" si="167"/>
        <v>13040</v>
      </c>
    </row>
    <row r="866" spans="6:28" x14ac:dyDescent="0.15">
      <c r="F866">
        <f t="shared" si="157"/>
        <v>124</v>
      </c>
      <c r="G866">
        <v>863</v>
      </c>
      <c r="H866">
        <f t="shared" si="158"/>
        <v>5.4302507743890307E+24</v>
      </c>
      <c r="I866">
        <f t="shared" si="159"/>
        <v>5.4302507743890296E+24</v>
      </c>
      <c r="J866" s="1">
        <f t="shared" si="160"/>
        <v>1</v>
      </c>
      <c r="K866" s="1">
        <f t="shared" si="161"/>
        <v>5.4302507743890296E+24</v>
      </c>
      <c r="L866" s="1">
        <f t="shared" si="162"/>
        <v>2.7440867246579224E+24</v>
      </c>
      <c r="M866" s="3">
        <f t="shared" si="163"/>
        <v>61170693116.038132</v>
      </c>
      <c r="N866" s="7">
        <f t="shared" si="168"/>
        <v>2.7440867246579197E+24</v>
      </c>
      <c r="O866" s="7">
        <f t="shared" si="164"/>
        <v>61170693116</v>
      </c>
      <c r="P866" s="3">
        <f>SUM($O$4:O866)</f>
        <v>3399826828362</v>
      </c>
      <c r="Y866" s="3">
        <f t="shared" si="165"/>
        <v>863</v>
      </c>
      <c r="Z866" s="3">
        <f t="shared" si="166"/>
        <v>1.6686908826779299E+21</v>
      </c>
      <c r="AA866" s="7"/>
      <c r="AB866" s="7">
        <f t="shared" si="167"/>
        <v>13040</v>
      </c>
    </row>
    <row r="867" spans="6:28" x14ac:dyDescent="0.15">
      <c r="F867">
        <f t="shared" si="157"/>
        <v>124</v>
      </c>
      <c r="G867">
        <v>864</v>
      </c>
      <c r="H867">
        <f t="shared" si="158"/>
        <v>5.4302507743890307E+24</v>
      </c>
      <c r="I867">
        <f t="shared" si="159"/>
        <v>5.4302507743890296E+24</v>
      </c>
      <c r="J867" s="1">
        <f t="shared" si="160"/>
        <v>1</v>
      </c>
      <c r="K867" s="1">
        <f t="shared" si="161"/>
        <v>5.4302507743890296E+24</v>
      </c>
      <c r="L867" s="1">
        <f t="shared" si="162"/>
        <v>2.7440867246579224E+24</v>
      </c>
      <c r="M867" s="3">
        <f t="shared" si="163"/>
        <v>61170693116.038132</v>
      </c>
      <c r="N867" s="7">
        <f t="shared" si="168"/>
        <v>2.7440867246579197E+24</v>
      </c>
      <c r="O867" s="7">
        <f t="shared" si="164"/>
        <v>61170693116</v>
      </c>
      <c r="P867" s="3">
        <f>SUM($O$4:O867)</f>
        <v>3460997521478</v>
      </c>
      <c r="Y867" s="3">
        <f t="shared" si="165"/>
        <v>864</v>
      </c>
      <c r="Z867" s="3">
        <f t="shared" si="166"/>
        <v>1.7541556996123001E+21</v>
      </c>
      <c r="AA867" s="7"/>
      <c r="AB867" s="7">
        <f t="shared" si="167"/>
        <v>13040</v>
      </c>
    </row>
    <row r="868" spans="6:28" x14ac:dyDescent="0.15">
      <c r="F868">
        <f t="shared" si="157"/>
        <v>124</v>
      </c>
      <c r="G868">
        <v>865</v>
      </c>
      <c r="H868">
        <f t="shared" si="158"/>
        <v>5.4302507743890307E+24</v>
      </c>
      <c r="I868">
        <f t="shared" si="159"/>
        <v>5.4302507743890296E+24</v>
      </c>
      <c r="J868" s="1">
        <f t="shared" si="160"/>
        <v>1</v>
      </c>
      <c r="K868" s="1">
        <f t="shared" si="161"/>
        <v>5.4302507743890296E+24</v>
      </c>
      <c r="L868" s="1">
        <f t="shared" si="162"/>
        <v>2.7440867246579224E+24</v>
      </c>
      <c r="M868" s="3">
        <f t="shared" si="163"/>
        <v>61170693116.038132</v>
      </c>
      <c r="N868" s="7">
        <f t="shared" si="168"/>
        <v>2.7440867246579197E+24</v>
      </c>
      <c r="O868" s="7">
        <f t="shared" si="164"/>
        <v>61170693116</v>
      </c>
      <c r="P868" s="3">
        <f>SUM($O$4:O868)</f>
        <v>3522168214594</v>
      </c>
      <c r="Y868" s="3">
        <f t="shared" si="165"/>
        <v>865</v>
      </c>
      <c r="Z868" s="3">
        <f t="shared" si="166"/>
        <v>1.84399527103342E+21</v>
      </c>
      <c r="AA868" s="7"/>
      <c r="AB868" s="7">
        <f t="shared" si="167"/>
        <v>13040</v>
      </c>
    </row>
    <row r="869" spans="6:28" x14ac:dyDescent="0.15">
      <c r="F869">
        <f t="shared" si="157"/>
        <v>124</v>
      </c>
      <c r="G869">
        <v>866</v>
      </c>
      <c r="H869">
        <f t="shared" si="158"/>
        <v>5.4302507743890307E+24</v>
      </c>
      <c r="I869">
        <f t="shared" si="159"/>
        <v>5.4302507743890296E+24</v>
      </c>
      <c r="J869" s="1">
        <f t="shared" si="160"/>
        <v>1</v>
      </c>
      <c r="K869" s="1">
        <f t="shared" si="161"/>
        <v>5.4302507743890296E+24</v>
      </c>
      <c r="L869" s="1">
        <f t="shared" si="162"/>
        <v>2.7440867246579224E+24</v>
      </c>
      <c r="M869" s="3">
        <f t="shared" si="163"/>
        <v>61170693116.038132</v>
      </c>
      <c r="N869" s="7">
        <f t="shared" si="168"/>
        <v>2.7440867246579197E+24</v>
      </c>
      <c r="O869" s="7">
        <f t="shared" si="164"/>
        <v>61170693116</v>
      </c>
      <c r="P869" s="3">
        <f>SUM($O$4:O869)</f>
        <v>3583338907710</v>
      </c>
      <c r="Y869" s="3">
        <f t="shared" si="165"/>
        <v>866</v>
      </c>
      <c r="Z869" s="3">
        <f t="shared" si="166"/>
        <v>1.9384334103476201E+21</v>
      </c>
      <c r="AA869" s="7"/>
      <c r="AB869" s="7">
        <f t="shared" si="167"/>
        <v>13040</v>
      </c>
    </row>
    <row r="870" spans="6:28" x14ac:dyDescent="0.15">
      <c r="F870">
        <f t="shared" si="157"/>
        <v>124</v>
      </c>
      <c r="G870">
        <v>867</v>
      </c>
      <c r="H870">
        <f t="shared" si="158"/>
        <v>5.4302507743890307E+24</v>
      </c>
      <c r="I870">
        <f t="shared" si="159"/>
        <v>5.4302507743890296E+24</v>
      </c>
      <c r="J870" s="1">
        <f t="shared" si="160"/>
        <v>1</v>
      </c>
      <c r="K870" s="1">
        <f t="shared" si="161"/>
        <v>5.4302507743890296E+24</v>
      </c>
      <c r="L870" s="1">
        <f t="shared" si="162"/>
        <v>2.7440867246579224E+24</v>
      </c>
      <c r="M870" s="3">
        <f t="shared" si="163"/>
        <v>61170693116.038132</v>
      </c>
      <c r="N870" s="7">
        <f t="shared" si="168"/>
        <v>2.7440867246579197E+24</v>
      </c>
      <c r="O870" s="7">
        <f t="shared" si="164"/>
        <v>61170693116</v>
      </c>
      <c r="P870" s="3">
        <f>SUM($O$4:O870)</f>
        <v>3644509600826</v>
      </c>
      <c r="Y870" s="3">
        <f t="shared" si="165"/>
        <v>867</v>
      </c>
      <c r="Z870" s="3">
        <f t="shared" si="166"/>
        <v>2.03770537541565E+21</v>
      </c>
      <c r="AA870" s="7"/>
      <c r="AB870" s="7">
        <f t="shared" si="167"/>
        <v>13040</v>
      </c>
    </row>
    <row r="871" spans="6:28" x14ac:dyDescent="0.15">
      <c r="F871">
        <f t="shared" si="157"/>
        <v>124</v>
      </c>
      <c r="G871">
        <v>868</v>
      </c>
      <c r="H871">
        <f t="shared" si="158"/>
        <v>5.4302507743890307E+24</v>
      </c>
      <c r="I871">
        <f t="shared" si="159"/>
        <v>5.4302507743890296E+24</v>
      </c>
      <c r="J871" s="1">
        <f t="shared" si="160"/>
        <v>7</v>
      </c>
      <c r="K871" s="1">
        <f t="shared" si="161"/>
        <v>3.8011755420723206E+25</v>
      </c>
      <c r="L871" s="1">
        <f t="shared" si="162"/>
        <v>1.9208607072605461E+25</v>
      </c>
      <c r="M871" s="3">
        <f t="shared" si="163"/>
        <v>428194851812.26703</v>
      </c>
      <c r="N871" s="7">
        <f t="shared" si="168"/>
        <v>1.92086070726055E+25</v>
      </c>
      <c r="O871" s="7">
        <f t="shared" si="164"/>
        <v>428194851812</v>
      </c>
      <c r="P871" s="3">
        <f>SUM($O$4:O871)</f>
        <v>4072704452638</v>
      </c>
      <c r="Y871" s="3">
        <f t="shared" si="165"/>
        <v>868</v>
      </c>
      <c r="Z871" s="3">
        <f t="shared" si="166"/>
        <v>2.1420584534646199E+21</v>
      </c>
      <c r="AA871" s="7"/>
      <c r="AB871" s="7">
        <f t="shared" si="167"/>
        <v>13040</v>
      </c>
    </row>
    <row r="872" spans="6:28" x14ac:dyDescent="0.15">
      <c r="F872">
        <f t="shared" si="157"/>
        <v>125</v>
      </c>
      <c r="G872">
        <v>869</v>
      </c>
      <c r="H872">
        <f t="shared" si="158"/>
        <v>8.525493715790779E+24</v>
      </c>
      <c r="I872">
        <f t="shared" si="159"/>
        <v>8.5254937157907801E+24</v>
      </c>
      <c r="J872" s="1">
        <f t="shared" si="160"/>
        <v>1</v>
      </c>
      <c r="K872" s="1">
        <f t="shared" si="161"/>
        <v>8.5254937157907801E+24</v>
      </c>
      <c r="L872" s="1">
        <f t="shared" si="162"/>
        <v>4.3337926388603137E+24</v>
      </c>
      <c r="M872" s="3">
        <f t="shared" si="163"/>
        <v>74313949661.596497</v>
      </c>
      <c r="N872" s="7">
        <f t="shared" si="168"/>
        <v>4.3337926388603099E+24</v>
      </c>
      <c r="O872" s="7">
        <f t="shared" si="164"/>
        <v>74313949661</v>
      </c>
      <c r="P872" s="3">
        <f>SUM($O$4:O872)</f>
        <v>4147018402299</v>
      </c>
      <c r="Y872" s="3">
        <f t="shared" si="165"/>
        <v>869</v>
      </c>
      <c r="Z872" s="3">
        <f t="shared" si="166"/>
        <v>2.2517525758799399E+21</v>
      </c>
      <c r="AA872" s="7"/>
      <c r="AB872" s="7">
        <f t="shared" si="167"/>
        <v>13040</v>
      </c>
    </row>
    <row r="873" spans="6:28" x14ac:dyDescent="0.15">
      <c r="F873">
        <f t="shared" si="157"/>
        <v>125</v>
      </c>
      <c r="G873">
        <v>870</v>
      </c>
      <c r="H873">
        <f t="shared" si="158"/>
        <v>8.525493715790779E+24</v>
      </c>
      <c r="I873">
        <f t="shared" si="159"/>
        <v>8.5254937157907801E+24</v>
      </c>
      <c r="J873" s="1">
        <f t="shared" si="160"/>
        <v>1</v>
      </c>
      <c r="K873" s="1">
        <f t="shared" si="161"/>
        <v>8.5254937157907801E+24</v>
      </c>
      <c r="L873" s="1">
        <f t="shared" si="162"/>
        <v>4.3337926388603137E+24</v>
      </c>
      <c r="M873" s="3">
        <f t="shared" si="163"/>
        <v>74313949661.596497</v>
      </c>
      <c r="N873" s="7">
        <f t="shared" si="168"/>
        <v>4.3337926388603099E+24</v>
      </c>
      <c r="O873" s="7">
        <f t="shared" si="164"/>
        <v>74313949661</v>
      </c>
      <c r="P873" s="3">
        <f>SUM($O$4:O873)</f>
        <v>4221332351960</v>
      </c>
      <c r="Y873" s="3">
        <f t="shared" si="165"/>
        <v>870</v>
      </c>
      <c r="Z873" s="3">
        <f t="shared" si="166"/>
        <v>2.3670609644031401E+21</v>
      </c>
      <c r="AA873" s="7"/>
      <c r="AB873" s="7">
        <f t="shared" si="167"/>
        <v>13040</v>
      </c>
    </row>
    <row r="874" spans="6:28" x14ac:dyDescent="0.15">
      <c r="F874">
        <f t="shared" si="157"/>
        <v>125</v>
      </c>
      <c r="G874">
        <v>871</v>
      </c>
      <c r="H874">
        <f t="shared" si="158"/>
        <v>8.525493715790779E+24</v>
      </c>
      <c r="I874">
        <f t="shared" si="159"/>
        <v>8.5254937157907801E+24</v>
      </c>
      <c r="J874" s="1">
        <f t="shared" si="160"/>
        <v>1</v>
      </c>
      <c r="K874" s="1">
        <f t="shared" si="161"/>
        <v>8.5254937157907801E+24</v>
      </c>
      <c r="L874" s="1">
        <f t="shared" si="162"/>
        <v>4.3337926388603137E+24</v>
      </c>
      <c r="M874" s="3">
        <f t="shared" si="163"/>
        <v>74313949661.596497</v>
      </c>
      <c r="N874" s="7">
        <f t="shared" si="168"/>
        <v>4.3337926388603099E+24</v>
      </c>
      <c r="O874" s="7">
        <f t="shared" si="164"/>
        <v>74313949661</v>
      </c>
      <c r="P874" s="3">
        <f>SUM($O$4:O874)</f>
        <v>4295646301621</v>
      </c>
      <c r="Y874" s="3">
        <f t="shared" si="165"/>
        <v>871</v>
      </c>
      <c r="Z874" s="3">
        <f t="shared" si="166"/>
        <v>2.4882708103389601E+21</v>
      </c>
      <c r="AA874" s="7"/>
      <c r="AB874" s="7">
        <f t="shared" si="167"/>
        <v>13040</v>
      </c>
    </row>
    <row r="875" spans="6:28" x14ac:dyDescent="0.15">
      <c r="F875">
        <f t="shared" si="157"/>
        <v>125</v>
      </c>
      <c r="G875">
        <v>872</v>
      </c>
      <c r="H875">
        <f t="shared" si="158"/>
        <v>8.525493715790779E+24</v>
      </c>
      <c r="I875">
        <f t="shared" si="159"/>
        <v>8.5254937157907801E+24</v>
      </c>
      <c r="J875" s="1">
        <f t="shared" si="160"/>
        <v>1</v>
      </c>
      <c r="K875" s="1">
        <f t="shared" si="161"/>
        <v>8.5254937157907801E+24</v>
      </c>
      <c r="L875" s="1">
        <f t="shared" si="162"/>
        <v>4.3337926388603137E+24</v>
      </c>
      <c r="M875" s="3">
        <f t="shared" si="163"/>
        <v>74313949661.596497</v>
      </c>
      <c r="N875" s="7">
        <f t="shared" si="168"/>
        <v>4.3337926388603099E+24</v>
      </c>
      <c r="O875" s="7">
        <f t="shared" si="164"/>
        <v>74313949661</v>
      </c>
      <c r="P875" s="3">
        <f>SUM($O$4:O875)</f>
        <v>4369960251282</v>
      </c>
      <c r="Y875" s="3">
        <f t="shared" si="165"/>
        <v>872</v>
      </c>
      <c r="Z875" s="3">
        <f t="shared" si="166"/>
        <v>2.6156839884573397E+21</v>
      </c>
      <c r="AA875" s="7"/>
      <c r="AB875" s="7">
        <f t="shared" si="167"/>
        <v>13040</v>
      </c>
    </row>
    <row r="876" spans="6:28" x14ac:dyDescent="0.15">
      <c r="F876">
        <f t="shared" si="157"/>
        <v>125</v>
      </c>
      <c r="G876">
        <v>873</v>
      </c>
      <c r="H876">
        <f t="shared" si="158"/>
        <v>8.525493715790779E+24</v>
      </c>
      <c r="I876">
        <f t="shared" si="159"/>
        <v>8.5254937157907801E+24</v>
      </c>
      <c r="J876" s="1">
        <f t="shared" si="160"/>
        <v>1</v>
      </c>
      <c r="K876" s="1">
        <f t="shared" si="161"/>
        <v>8.5254937157907801E+24</v>
      </c>
      <c r="L876" s="1">
        <f t="shared" si="162"/>
        <v>4.3337926388603137E+24</v>
      </c>
      <c r="M876" s="3">
        <f t="shared" si="163"/>
        <v>74313949661.596497</v>
      </c>
      <c r="N876" s="7">
        <f t="shared" si="168"/>
        <v>4.3337926388603099E+24</v>
      </c>
      <c r="O876" s="7">
        <f t="shared" si="164"/>
        <v>74313949661</v>
      </c>
      <c r="P876" s="3">
        <f>SUM($O$4:O876)</f>
        <v>4444274200943</v>
      </c>
      <c r="Y876" s="3">
        <f t="shared" si="165"/>
        <v>873</v>
      </c>
      <c r="Z876" s="3">
        <f t="shared" si="166"/>
        <v>2.7496178073617302E+21</v>
      </c>
      <c r="AA876" s="7"/>
      <c r="AB876" s="7">
        <f t="shared" si="167"/>
        <v>13040</v>
      </c>
    </row>
    <row r="877" spans="6:28" x14ac:dyDescent="0.15">
      <c r="F877">
        <f t="shared" si="157"/>
        <v>125</v>
      </c>
      <c r="G877">
        <v>874</v>
      </c>
      <c r="H877">
        <f t="shared" si="158"/>
        <v>8.525493715790779E+24</v>
      </c>
      <c r="I877">
        <f t="shared" si="159"/>
        <v>8.5254937157907801E+24</v>
      </c>
      <c r="J877" s="1">
        <f t="shared" si="160"/>
        <v>1</v>
      </c>
      <c r="K877" s="1">
        <f t="shared" si="161"/>
        <v>8.5254937157907801E+24</v>
      </c>
      <c r="L877" s="1">
        <f t="shared" si="162"/>
        <v>4.3337926388603137E+24</v>
      </c>
      <c r="M877" s="3">
        <f t="shared" si="163"/>
        <v>74313949661.596497</v>
      </c>
      <c r="N877" s="7">
        <f t="shared" si="168"/>
        <v>4.3337926388603099E+24</v>
      </c>
      <c r="O877" s="7">
        <f t="shared" si="164"/>
        <v>74313949661</v>
      </c>
      <c r="P877" s="3">
        <f>SUM($O$4:O877)</f>
        <v>4518588150604</v>
      </c>
      <c r="Y877" s="3">
        <f t="shared" si="165"/>
        <v>874</v>
      </c>
      <c r="Z877" s="3">
        <f t="shared" si="166"/>
        <v>2.8904057981853997E+21</v>
      </c>
      <c r="AA877" s="7"/>
      <c r="AB877" s="7">
        <f t="shared" si="167"/>
        <v>13040</v>
      </c>
    </row>
    <row r="878" spans="6:28" x14ac:dyDescent="0.15">
      <c r="F878">
        <f t="shared" si="157"/>
        <v>125</v>
      </c>
      <c r="G878">
        <v>875</v>
      </c>
      <c r="H878">
        <f t="shared" si="158"/>
        <v>8.525493715790779E+24</v>
      </c>
      <c r="I878">
        <f t="shared" si="159"/>
        <v>8.5254937157907801E+24</v>
      </c>
      <c r="J878" s="1">
        <f t="shared" si="160"/>
        <v>10</v>
      </c>
      <c r="K878" s="1">
        <f t="shared" si="161"/>
        <v>8.5254937157907801E+25</v>
      </c>
      <c r="L878" s="1">
        <f t="shared" si="162"/>
        <v>4.3337926388603128E+25</v>
      </c>
      <c r="M878" s="3">
        <f t="shared" si="163"/>
        <v>743139496615.96484</v>
      </c>
      <c r="N878" s="7">
        <f t="shared" si="168"/>
        <v>4.3337926388603102E+25</v>
      </c>
      <c r="O878" s="7">
        <f t="shared" si="164"/>
        <v>743139496615</v>
      </c>
      <c r="P878" s="3">
        <f>SUM($O$4:O878)</f>
        <v>5261727647219</v>
      </c>
      <c r="Y878" s="3">
        <f t="shared" si="165"/>
        <v>875</v>
      </c>
      <c r="Z878" s="3">
        <f t="shared" si="166"/>
        <v>3.03839854357304E+21</v>
      </c>
      <c r="AA878" s="7"/>
      <c r="AB878" s="7">
        <f t="shared" si="167"/>
        <v>13040</v>
      </c>
    </row>
    <row r="879" spans="6:28" x14ac:dyDescent="0.15">
      <c r="F879">
        <f t="shared" si="157"/>
        <v>126</v>
      </c>
      <c r="G879">
        <v>876</v>
      </c>
      <c r="H879">
        <f t="shared" si="158"/>
        <v>1.3385025133791526E+25</v>
      </c>
      <c r="I879">
        <f t="shared" si="159"/>
        <v>1.33850251337915E+25</v>
      </c>
      <c r="J879" s="1">
        <f t="shared" si="160"/>
        <v>1</v>
      </c>
      <c r="K879" s="1">
        <f t="shared" si="161"/>
        <v>1.33850251337915E+25</v>
      </c>
      <c r="L879" s="1">
        <f t="shared" si="162"/>
        <v>6.8442095184120546E+24</v>
      </c>
      <c r="M879" s="3">
        <f t="shared" si="163"/>
        <v>90278047962.671097</v>
      </c>
      <c r="N879" s="7">
        <f t="shared" si="168"/>
        <v>6.8442095184120503E+24</v>
      </c>
      <c r="O879" s="7">
        <f t="shared" si="164"/>
        <v>90278047962</v>
      </c>
      <c r="P879" s="3">
        <f>SUM($O$4:O879)</f>
        <v>5352005695181</v>
      </c>
      <c r="Y879" s="3">
        <f t="shared" si="165"/>
        <v>876</v>
      </c>
      <c r="Z879" s="3">
        <f t="shared" si="166"/>
        <v>3.1939645490039798E+21</v>
      </c>
      <c r="AA879" s="7"/>
      <c r="AB879" s="7">
        <f t="shared" si="167"/>
        <v>13040</v>
      </c>
    </row>
    <row r="880" spans="6:28" x14ac:dyDescent="0.15">
      <c r="F880">
        <f t="shared" si="157"/>
        <v>126</v>
      </c>
      <c r="G880">
        <v>877</v>
      </c>
      <c r="H880">
        <f t="shared" si="158"/>
        <v>1.3385025133791526E+25</v>
      </c>
      <c r="I880">
        <f t="shared" si="159"/>
        <v>1.33850251337915E+25</v>
      </c>
      <c r="J880" s="1">
        <f t="shared" si="160"/>
        <v>1</v>
      </c>
      <c r="K880" s="1">
        <f t="shared" si="161"/>
        <v>1.33850251337915E+25</v>
      </c>
      <c r="L880" s="1">
        <f t="shared" si="162"/>
        <v>6.8442095184120546E+24</v>
      </c>
      <c r="M880" s="3">
        <f t="shared" si="163"/>
        <v>90278047962.671097</v>
      </c>
      <c r="N880" s="7">
        <f t="shared" si="168"/>
        <v>6.8442095184120503E+24</v>
      </c>
      <c r="O880" s="7">
        <f t="shared" si="164"/>
        <v>90278047962</v>
      </c>
      <c r="P880" s="3">
        <f>SUM($O$4:O880)</f>
        <v>5442283743143</v>
      </c>
      <c r="Y880" s="3">
        <f t="shared" si="165"/>
        <v>877</v>
      </c>
      <c r="Z880" s="3">
        <f t="shared" si="166"/>
        <v>3.3574911586190801E+21</v>
      </c>
      <c r="AA880" s="7"/>
      <c r="AB880" s="7">
        <f t="shared" si="167"/>
        <v>13040</v>
      </c>
    </row>
    <row r="881" spans="6:28" x14ac:dyDescent="0.15">
      <c r="F881">
        <f t="shared" si="157"/>
        <v>126</v>
      </c>
      <c r="G881">
        <v>878</v>
      </c>
      <c r="H881">
        <f t="shared" si="158"/>
        <v>1.3385025133791526E+25</v>
      </c>
      <c r="I881">
        <f t="shared" si="159"/>
        <v>1.33850251337915E+25</v>
      </c>
      <c r="J881" s="1">
        <f t="shared" si="160"/>
        <v>1</v>
      </c>
      <c r="K881" s="1">
        <f t="shared" si="161"/>
        <v>1.33850251337915E+25</v>
      </c>
      <c r="L881" s="1">
        <f t="shared" si="162"/>
        <v>6.8442095184120546E+24</v>
      </c>
      <c r="M881" s="3">
        <f t="shared" si="163"/>
        <v>90278047962.671097</v>
      </c>
      <c r="N881" s="7">
        <f t="shared" si="168"/>
        <v>6.8442095184120503E+24</v>
      </c>
      <c r="O881" s="7">
        <f t="shared" si="164"/>
        <v>90278047962</v>
      </c>
      <c r="P881" s="3">
        <f>SUM($O$4:O881)</f>
        <v>5532561791105</v>
      </c>
      <c r="Y881" s="3">
        <f t="shared" si="165"/>
        <v>878</v>
      </c>
      <c r="Z881" s="3">
        <f t="shared" si="166"/>
        <v>3.5293855178231801E+21</v>
      </c>
      <c r="AA881" s="7"/>
      <c r="AB881" s="7">
        <f t="shared" si="167"/>
        <v>13040</v>
      </c>
    </row>
    <row r="882" spans="6:28" x14ac:dyDescent="0.15">
      <c r="F882">
        <f t="shared" si="157"/>
        <v>126</v>
      </c>
      <c r="G882">
        <v>879</v>
      </c>
      <c r="H882">
        <f t="shared" si="158"/>
        <v>1.3385025133791526E+25</v>
      </c>
      <c r="I882">
        <f t="shared" si="159"/>
        <v>1.33850251337915E+25</v>
      </c>
      <c r="J882" s="1">
        <f t="shared" si="160"/>
        <v>1</v>
      </c>
      <c r="K882" s="1">
        <f t="shared" si="161"/>
        <v>1.33850251337915E+25</v>
      </c>
      <c r="L882" s="1">
        <f t="shared" si="162"/>
        <v>6.8442095184120546E+24</v>
      </c>
      <c r="M882" s="3">
        <f t="shared" si="163"/>
        <v>90278047962.671097</v>
      </c>
      <c r="N882" s="7">
        <f t="shared" si="168"/>
        <v>6.8442095184120503E+24</v>
      </c>
      <c r="O882" s="7">
        <f t="shared" si="164"/>
        <v>90278047962</v>
      </c>
      <c r="P882" s="3">
        <f>SUM($O$4:O882)</f>
        <v>5622839839067</v>
      </c>
      <c r="Y882" s="3">
        <f t="shared" si="165"/>
        <v>879</v>
      </c>
      <c r="Z882" s="3">
        <f t="shared" si="166"/>
        <v>3.71007558505115E+21</v>
      </c>
      <c r="AA882" s="7"/>
      <c r="AB882" s="7">
        <f t="shared" si="167"/>
        <v>13040</v>
      </c>
    </row>
    <row r="883" spans="6:28" x14ac:dyDescent="0.15">
      <c r="F883">
        <f t="shared" si="157"/>
        <v>126</v>
      </c>
      <c r="G883">
        <v>880</v>
      </c>
      <c r="H883">
        <f t="shared" si="158"/>
        <v>1.3385025133791526E+25</v>
      </c>
      <c r="I883">
        <f t="shared" si="159"/>
        <v>1.33850251337915E+25</v>
      </c>
      <c r="J883" s="1">
        <f t="shared" si="160"/>
        <v>1</v>
      </c>
      <c r="K883" s="1">
        <f t="shared" si="161"/>
        <v>1.33850251337915E+25</v>
      </c>
      <c r="L883" s="1">
        <f t="shared" si="162"/>
        <v>6.8442095184120546E+24</v>
      </c>
      <c r="M883" s="3">
        <f t="shared" si="163"/>
        <v>90278047962.671097</v>
      </c>
      <c r="N883" s="7">
        <f t="shared" si="168"/>
        <v>6.8442095184120503E+24</v>
      </c>
      <c r="O883" s="7">
        <f t="shared" si="164"/>
        <v>90278047962</v>
      </c>
      <c r="P883" s="3">
        <f>SUM($O$4:O883)</f>
        <v>5713117887029</v>
      </c>
      <c r="Y883" s="3">
        <f t="shared" si="165"/>
        <v>880</v>
      </c>
      <c r="Z883" s="3">
        <f t="shared" si="166"/>
        <v>3.90001119520735E+21</v>
      </c>
      <c r="AA883" s="7"/>
      <c r="AB883" s="7">
        <f t="shared" si="167"/>
        <v>13040</v>
      </c>
    </row>
    <row r="884" spans="6:28" x14ac:dyDescent="0.15">
      <c r="F884">
        <f t="shared" si="157"/>
        <v>126</v>
      </c>
      <c r="G884">
        <v>881</v>
      </c>
      <c r="H884">
        <f t="shared" si="158"/>
        <v>1.3385025133791526E+25</v>
      </c>
      <c r="I884">
        <f t="shared" si="159"/>
        <v>1.33850251337915E+25</v>
      </c>
      <c r="J884" s="1">
        <f t="shared" si="160"/>
        <v>1</v>
      </c>
      <c r="K884" s="1">
        <f t="shared" si="161"/>
        <v>1.33850251337915E+25</v>
      </c>
      <c r="L884" s="1">
        <f t="shared" si="162"/>
        <v>6.8442095184120546E+24</v>
      </c>
      <c r="M884" s="3">
        <f t="shared" si="163"/>
        <v>90278047962.671097</v>
      </c>
      <c r="N884" s="7">
        <f t="shared" si="168"/>
        <v>6.8442095184120503E+24</v>
      </c>
      <c r="O884" s="7">
        <f t="shared" si="164"/>
        <v>90278047962</v>
      </c>
      <c r="P884" s="3">
        <f>SUM($O$4:O884)</f>
        <v>5803395934991</v>
      </c>
      <c r="Y884" s="3">
        <f t="shared" si="165"/>
        <v>881</v>
      </c>
      <c r="Z884" s="3">
        <f t="shared" si="166"/>
        <v>4.0996651774165401E+21</v>
      </c>
      <c r="AA884" s="7"/>
      <c r="AB884" s="7">
        <f t="shared" si="167"/>
        <v>13040</v>
      </c>
    </row>
    <row r="885" spans="6:28" x14ac:dyDescent="0.15">
      <c r="F885">
        <f t="shared" si="157"/>
        <v>126</v>
      </c>
      <c r="G885">
        <v>882</v>
      </c>
      <c r="H885">
        <f t="shared" si="158"/>
        <v>1.3385025133791526E+25</v>
      </c>
      <c r="I885">
        <f t="shared" si="159"/>
        <v>1.33850251337915E+25</v>
      </c>
      <c r="J885" s="1">
        <f t="shared" si="160"/>
        <v>2</v>
      </c>
      <c r="K885" s="1">
        <f t="shared" si="161"/>
        <v>2.6770050267583001E+25</v>
      </c>
      <c r="L885" s="1">
        <f t="shared" si="162"/>
        <v>1.3688419036824109E+25</v>
      </c>
      <c r="M885" s="3">
        <f t="shared" si="163"/>
        <v>180556095925.34219</v>
      </c>
      <c r="N885" s="7">
        <f t="shared" si="168"/>
        <v>1.3688419036824101E+25</v>
      </c>
      <c r="O885" s="7">
        <f t="shared" si="164"/>
        <v>180556095925</v>
      </c>
      <c r="P885" s="3">
        <f>SUM($O$4:O885)</f>
        <v>5983952030916</v>
      </c>
      <c r="Y885" s="3">
        <f t="shared" si="165"/>
        <v>882</v>
      </c>
      <c r="Z885" s="3">
        <f t="shared" si="166"/>
        <v>4.30953452985864E+21</v>
      </c>
      <c r="AA885" s="7"/>
      <c r="AB885" s="7">
        <f t="shared" si="167"/>
        <v>13040</v>
      </c>
    </row>
    <row r="886" spans="6:28" x14ac:dyDescent="0.15">
      <c r="F886">
        <f t="shared" si="157"/>
        <v>127</v>
      </c>
      <c r="G886">
        <v>883</v>
      </c>
      <c r="H886">
        <f t="shared" si="158"/>
        <v>2.1014489460052694E+25</v>
      </c>
      <c r="I886">
        <f t="shared" si="159"/>
        <v>2.1014489460052698E+25</v>
      </c>
      <c r="J886" s="1">
        <f t="shared" si="160"/>
        <v>1</v>
      </c>
      <c r="K886" s="1">
        <f t="shared" si="161"/>
        <v>2.1014489460052698E+25</v>
      </c>
      <c r="L886" s="1">
        <f t="shared" si="162"/>
        <v>1.0808452412287105E+25</v>
      </c>
      <c r="M886" s="3">
        <f t="shared" si="163"/>
        <v>109667773528.25734</v>
      </c>
      <c r="N886" s="7">
        <f t="shared" si="168"/>
        <v>1.0808452412287101E+25</v>
      </c>
      <c r="O886" s="7">
        <f t="shared" si="164"/>
        <v>109667773528</v>
      </c>
      <c r="P886" s="3">
        <f>SUM($O$4:O886)</f>
        <v>6093619804444</v>
      </c>
      <c r="Y886" s="3">
        <f t="shared" si="165"/>
        <v>883</v>
      </c>
      <c r="Z886" s="3">
        <f t="shared" si="166"/>
        <v>4.5301416546014001E+21</v>
      </c>
      <c r="AA886" s="7"/>
      <c r="AB886" s="7">
        <f t="shared" si="167"/>
        <v>13040</v>
      </c>
    </row>
    <row r="887" spans="6:28" x14ac:dyDescent="0.15">
      <c r="F887">
        <f t="shared" si="157"/>
        <v>127</v>
      </c>
      <c r="G887">
        <v>884</v>
      </c>
      <c r="H887">
        <f t="shared" si="158"/>
        <v>2.1014489460052694E+25</v>
      </c>
      <c r="I887">
        <f t="shared" si="159"/>
        <v>2.1014489460052698E+25</v>
      </c>
      <c r="J887" s="1">
        <f t="shared" si="160"/>
        <v>1</v>
      </c>
      <c r="K887" s="1">
        <f t="shared" si="161"/>
        <v>2.1014489460052698E+25</v>
      </c>
      <c r="L887" s="1">
        <f t="shared" si="162"/>
        <v>1.0808452412287105E+25</v>
      </c>
      <c r="M887" s="3">
        <f t="shared" si="163"/>
        <v>109667773528.25734</v>
      </c>
      <c r="N887" s="7">
        <f t="shared" si="168"/>
        <v>1.0808452412287101E+25</v>
      </c>
      <c r="O887" s="7">
        <f t="shared" si="164"/>
        <v>109667773528</v>
      </c>
      <c r="P887" s="3">
        <f>SUM($O$4:O887)</f>
        <v>6203287577972</v>
      </c>
      <c r="Y887" s="3">
        <f t="shared" si="165"/>
        <v>884</v>
      </c>
      <c r="Z887" s="3">
        <f t="shared" si="166"/>
        <v>4.7620356554937996E+21</v>
      </c>
      <c r="AA887" s="7"/>
      <c r="AB887" s="7">
        <f t="shared" si="167"/>
        <v>13040</v>
      </c>
    </row>
    <row r="888" spans="6:28" x14ac:dyDescent="0.15">
      <c r="F888">
        <f t="shared" si="157"/>
        <v>127</v>
      </c>
      <c r="G888">
        <v>885</v>
      </c>
      <c r="H888">
        <f t="shared" si="158"/>
        <v>2.1014489460052694E+25</v>
      </c>
      <c r="I888">
        <f t="shared" si="159"/>
        <v>2.1014489460052698E+25</v>
      </c>
      <c r="J888" s="1">
        <f t="shared" si="160"/>
        <v>1</v>
      </c>
      <c r="K888" s="1">
        <f t="shared" si="161"/>
        <v>2.1014489460052698E+25</v>
      </c>
      <c r="L888" s="1">
        <f t="shared" si="162"/>
        <v>1.0808452412287105E+25</v>
      </c>
      <c r="M888" s="3">
        <f t="shared" si="163"/>
        <v>109667773528.25734</v>
      </c>
      <c r="N888" s="7">
        <f t="shared" si="168"/>
        <v>1.0808452412287101E+25</v>
      </c>
      <c r="O888" s="7">
        <f t="shared" si="164"/>
        <v>109667773528</v>
      </c>
      <c r="P888" s="3">
        <f>SUM($O$4:O888)</f>
        <v>6312955351500</v>
      </c>
      <c r="Y888" s="3">
        <f t="shared" si="165"/>
        <v>885</v>
      </c>
      <c r="Z888" s="3">
        <f t="shared" si="166"/>
        <v>5.0057937023389296E+21</v>
      </c>
      <c r="AA888" s="7"/>
      <c r="AB888" s="7">
        <f t="shared" si="167"/>
        <v>13040</v>
      </c>
    </row>
    <row r="889" spans="6:28" x14ac:dyDescent="0.15">
      <c r="F889">
        <f t="shared" si="157"/>
        <v>127</v>
      </c>
      <c r="G889">
        <v>886</v>
      </c>
      <c r="H889">
        <f t="shared" si="158"/>
        <v>2.1014489460052694E+25</v>
      </c>
      <c r="I889">
        <f t="shared" si="159"/>
        <v>2.1014489460052698E+25</v>
      </c>
      <c r="J889" s="1">
        <f t="shared" si="160"/>
        <v>1</v>
      </c>
      <c r="K889" s="1">
        <f t="shared" si="161"/>
        <v>2.1014489460052698E+25</v>
      </c>
      <c r="L889" s="1">
        <f t="shared" si="162"/>
        <v>1.0808452412287105E+25</v>
      </c>
      <c r="M889" s="3">
        <f t="shared" si="163"/>
        <v>109667773528.25734</v>
      </c>
      <c r="N889" s="7">
        <f t="shared" si="168"/>
        <v>1.0808452412287101E+25</v>
      </c>
      <c r="O889" s="7">
        <f t="shared" si="164"/>
        <v>109667773528</v>
      </c>
      <c r="P889" s="3">
        <f>SUM($O$4:O889)</f>
        <v>6422623125028</v>
      </c>
      <c r="Y889" s="3">
        <f t="shared" si="165"/>
        <v>886</v>
      </c>
      <c r="Z889" s="3">
        <f t="shared" si="166"/>
        <v>5.2620224647298296E+21</v>
      </c>
      <c r="AA889" s="7"/>
      <c r="AB889" s="7">
        <f t="shared" si="167"/>
        <v>13040</v>
      </c>
    </row>
    <row r="890" spans="6:28" x14ac:dyDescent="0.15">
      <c r="F890">
        <f t="shared" si="157"/>
        <v>127</v>
      </c>
      <c r="G890">
        <v>887</v>
      </c>
      <c r="H890">
        <f t="shared" si="158"/>
        <v>2.1014489460052694E+25</v>
      </c>
      <c r="I890">
        <f t="shared" si="159"/>
        <v>2.1014489460052698E+25</v>
      </c>
      <c r="J890" s="1">
        <f t="shared" si="160"/>
        <v>1</v>
      </c>
      <c r="K890" s="1">
        <f t="shared" si="161"/>
        <v>2.1014489460052698E+25</v>
      </c>
      <c r="L890" s="1">
        <f t="shared" si="162"/>
        <v>1.0808452412287105E+25</v>
      </c>
      <c r="M890" s="3">
        <f t="shared" si="163"/>
        <v>109667773528.25734</v>
      </c>
      <c r="N890" s="7">
        <f t="shared" si="168"/>
        <v>1.0808452412287101E+25</v>
      </c>
      <c r="O890" s="7">
        <f t="shared" si="164"/>
        <v>109667773528</v>
      </c>
      <c r="P890" s="3">
        <f>SUM($O$4:O890)</f>
        <v>6532290898556</v>
      </c>
      <c r="Y890" s="3">
        <f t="shared" si="165"/>
        <v>887</v>
      </c>
      <c r="Z890" s="3">
        <f t="shared" si="166"/>
        <v>5.53135961910399E+21</v>
      </c>
      <c r="AA890" s="7"/>
      <c r="AB890" s="7">
        <f t="shared" si="167"/>
        <v>13040</v>
      </c>
    </row>
    <row r="891" spans="6:28" x14ac:dyDescent="0.15">
      <c r="F891">
        <f t="shared" si="157"/>
        <v>127</v>
      </c>
      <c r="G891">
        <v>888</v>
      </c>
      <c r="H891">
        <f t="shared" si="158"/>
        <v>2.1014489460052694E+25</v>
      </c>
      <c r="I891">
        <f t="shared" si="159"/>
        <v>2.1014489460052698E+25</v>
      </c>
      <c r="J891" s="1">
        <f t="shared" si="160"/>
        <v>1</v>
      </c>
      <c r="K891" s="1">
        <f t="shared" si="161"/>
        <v>2.1014489460052698E+25</v>
      </c>
      <c r="L891" s="1">
        <f t="shared" si="162"/>
        <v>1.0808452412287105E+25</v>
      </c>
      <c r="M891" s="3">
        <f t="shared" si="163"/>
        <v>109667773528.25734</v>
      </c>
      <c r="N891" s="7">
        <f t="shared" si="168"/>
        <v>1.0808452412287101E+25</v>
      </c>
      <c r="O891" s="7">
        <f t="shared" si="164"/>
        <v>109667773528</v>
      </c>
      <c r="P891" s="3">
        <f>SUM($O$4:O891)</f>
        <v>6641958672084</v>
      </c>
      <c r="Y891" s="3">
        <f t="shared" si="165"/>
        <v>888</v>
      </c>
      <c r="Z891" s="3">
        <f t="shared" si="166"/>
        <v>5.8144754327537299E+21</v>
      </c>
      <c r="AA891" s="7"/>
      <c r="AB891" s="7">
        <f t="shared" si="167"/>
        <v>13040</v>
      </c>
    </row>
    <row r="892" spans="6:28" x14ac:dyDescent="0.15">
      <c r="F892">
        <f t="shared" si="157"/>
        <v>127</v>
      </c>
      <c r="G892">
        <v>889</v>
      </c>
      <c r="H892">
        <f t="shared" si="158"/>
        <v>2.1014489460052694E+25</v>
      </c>
      <c r="I892">
        <f t="shared" si="159"/>
        <v>2.1014489460052698E+25</v>
      </c>
      <c r="J892" s="1">
        <f t="shared" si="160"/>
        <v>4</v>
      </c>
      <c r="K892" s="1">
        <f t="shared" si="161"/>
        <v>8.4057957840210793E+25</v>
      </c>
      <c r="L892" s="1">
        <f t="shared" si="162"/>
        <v>4.323380964914842E+25</v>
      </c>
      <c r="M892" s="3">
        <f t="shared" si="163"/>
        <v>438671094113.02936</v>
      </c>
      <c r="N892" s="7">
        <f t="shared" si="168"/>
        <v>4.3233809649148402E+25</v>
      </c>
      <c r="O892" s="7">
        <f t="shared" si="164"/>
        <v>438671094113</v>
      </c>
      <c r="P892" s="3">
        <f>SUM($O$4:O892)</f>
        <v>7080629766197</v>
      </c>
      <c r="Y892" s="3">
        <f t="shared" si="165"/>
        <v>889</v>
      </c>
      <c r="Z892" s="3">
        <f t="shared" si="166"/>
        <v>6.1120744287206795E+21</v>
      </c>
      <c r="AA892" s="7"/>
      <c r="AB892" s="7">
        <f t="shared" si="167"/>
        <v>13040</v>
      </c>
    </row>
    <row r="893" spans="6:28" x14ac:dyDescent="0.15">
      <c r="F893">
        <f t="shared" si="157"/>
        <v>128</v>
      </c>
      <c r="G893">
        <v>890</v>
      </c>
      <c r="H893">
        <f t="shared" si="158"/>
        <v>3.2992748452282717E+25</v>
      </c>
      <c r="I893">
        <f t="shared" si="159"/>
        <v>3.29927484522827E+25</v>
      </c>
      <c r="J893" s="1">
        <f t="shared" si="160"/>
        <v>1</v>
      </c>
      <c r="K893" s="1">
        <f t="shared" si="161"/>
        <v>3.29927484522827E+25</v>
      </c>
      <c r="L893" s="1">
        <f t="shared" si="162"/>
        <v>1.7068248532647583E+25</v>
      </c>
      <c r="M893" s="3">
        <f t="shared" si="163"/>
        <v>133217450366.36554</v>
      </c>
      <c r="N893" s="7">
        <f t="shared" si="168"/>
        <v>1.70682485326476E+25</v>
      </c>
      <c r="O893" s="7">
        <f t="shared" si="164"/>
        <v>133217450366</v>
      </c>
      <c r="P893" s="3">
        <f>SUM($O$4:O893)</f>
        <v>7213847216563</v>
      </c>
      <c r="Y893" s="3">
        <f t="shared" si="165"/>
        <v>890</v>
      </c>
      <c r="Z893" s="3">
        <f t="shared" si="166"/>
        <v>6.4248971357024504E+21</v>
      </c>
      <c r="AA893" s="7"/>
      <c r="AB893" s="7">
        <f t="shared" si="167"/>
        <v>13040</v>
      </c>
    </row>
    <row r="894" spans="6:28" x14ac:dyDescent="0.15">
      <c r="F894">
        <f t="shared" si="157"/>
        <v>128</v>
      </c>
      <c r="G894">
        <v>891</v>
      </c>
      <c r="H894">
        <f t="shared" si="158"/>
        <v>3.2992748452282717E+25</v>
      </c>
      <c r="I894">
        <f t="shared" si="159"/>
        <v>3.29927484522827E+25</v>
      </c>
      <c r="J894" s="1">
        <f t="shared" si="160"/>
        <v>1</v>
      </c>
      <c r="K894" s="1">
        <f t="shared" si="161"/>
        <v>3.29927484522827E+25</v>
      </c>
      <c r="L894" s="1">
        <f t="shared" si="162"/>
        <v>1.7068248532647583E+25</v>
      </c>
      <c r="M894" s="3">
        <f t="shared" si="163"/>
        <v>133217450366.36554</v>
      </c>
      <c r="N894" s="7">
        <f t="shared" si="168"/>
        <v>1.70682485326476E+25</v>
      </c>
      <c r="O894" s="7">
        <f t="shared" si="164"/>
        <v>133217450366</v>
      </c>
      <c r="P894" s="3">
        <f>SUM($O$4:O894)</f>
        <v>7347064666929</v>
      </c>
      <c r="Y894" s="3">
        <f t="shared" si="165"/>
        <v>891</v>
      </c>
      <c r="Z894" s="3">
        <f t="shared" si="166"/>
        <v>6.7537219273106003E+21</v>
      </c>
      <c r="AA894" s="7"/>
      <c r="AB894" s="7">
        <f t="shared" si="167"/>
        <v>13040</v>
      </c>
    </row>
    <row r="895" spans="6:28" x14ac:dyDescent="0.15">
      <c r="F895">
        <f t="shared" si="157"/>
        <v>128</v>
      </c>
      <c r="G895">
        <v>892</v>
      </c>
      <c r="H895">
        <f t="shared" si="158"/>
        <v>3.2992748452282717E+25</v>
      </c>
      <c r="I895">
        <f t="shared" si="159"/>
        <v>3.29927484522827E+25</v>
      </c>
      <c r="J895" s="1">
        <f t="shared" si="160"/>
        <v>1</v>
      </c>
      <c r="K895" s="1">
        <f t="shared" si="161"/>
        <v>3.29927484522827E+25</v>
      </c>
      <c r="L895" s="1">
        <f t="shared" si="162"/>
        <v>1.7068248532647583E+25</v>
      </c>
      <c r="M895" s="3">
        <f t="shared" si="163"/>
        <v>133217450366.36554</v>
      </c>
      <c r="N895" s="7">
        <f t="shared" si="168"/>
        <v>1.70682485326476E+25</v>
      </c>
      <c r="O895" s="7">
        <f t="shared" si="164"/>
        <v>133217450366</v>
      </c>
      <c r="P895" s="3">
        <f>SUM($O$4:O895)</f>
        <v>7480282117295</v>
      </c>
      <c r="Y895" s="3">
        <f t="shared" si="165"/>
        <v>892</v>
      </c>
      <c r="Z895" s="3">
        <f t="shared" si="166"/>
        <v>7.09936695524029E+21</v>
      </c>
      <c r="AA895" s="7"/>
      <c r="AB895" s="7">
        <f t="shared" si="167"/>
        <v>13040</v>
      </c>
    </row>
    <row r="896" spans="6:28" x14ac:dyDescent="0.15">
      <c r="F896">
        <f t="shared" si="157"/>
        <v>128</v>
      </c>
      <c r="G896">
        <v>893</v>
      </c>
      <c r="H896">
        <f t="shared" si="158"/>
        <v>3.2992748452282717E+25</v>
      </c>
      <c r="I896">
        <f t="shared" si="159"/>
        <v>3.29927484522827E+25</v>
      </c>
      <c r="J896" s="1">
        <f t="shared" si="160"/>
        <v>1</v>
      </c>
      <c r="K896" s="1">
        <f t="shared" si="161"/>
        <v>3.29927484522827E+25</v>
      </c>
      <c r="L896" s="1">
        <f t="shared" si="162"/>
        <v>1.7068248532647583E+25</v>
      </c>
      <c r="M896" s="3">
        <f t="shared" si="163"/>
        <v>133217450366.36554</v>
      </c>
      <c r="N896" s="7">
        <f t="shared" si="168"/>
        <v>1.70682485326476E+25</v>
      </c>
      <c r="O896" s="7">
        <f t="shared" si="164"/>
        <v>133217450366</v>
      </c>
      <c r="P896" s="3">
        <f>SUM($O$4:O896)</f>
        <v>7613499567661</v>
      </c>
      <c r="Y896" s="3">
        <f t="shared" si="165"/>
        <v>893</v>
      </c>
      <c r="Z896" s="3">
        <f t="shared" si="166"/>
        <v>7.46269218114469E+21</v>
      </c>
      <c r="AA896" s="7"/>
      <c r="AB896" s="7">
        <f t="shared" si="167"/>
        <v>13040</v>
      </c>
    </row>
    <row r="897" spans="6:28" x14ac:dyDescent="0.15">
      <c r="F897">
        <f t="shared" si="157"/>
        <v>128</v>
      </c>
      <c r="G897">
        <v>894</v>
      </c>
      <c r="H897">
        <f t="shared" si="158"/>
        <v>3.2992748452282717E+25</v>
      </c>
      <c r="I897">
        <f t="shared" si="159"/>
        <v>3.29927484522827E+25</v>
      </c>
      <c r="J897" s="1">
        <f t="shared" si="160"/>
        <v>1</v>
      </c>
      <c r="K897" s="1">
        <f t="shared" si="161"/>
        <v>3.29927484522827E+25</v>
      </c>
      <c r="L897" s="1">
        <f t="shared" si="162"/>
        <v>1.7068248532647583E+25</v>
      </c>
      <c r="M897" s="3">
        <f t="shared" si="163"/>
        <v>133217450366.36554</v>
      </c>
      <c r="N897" s="7">
        <f t="shared" si="168"/>
        <v>1.70682485326476E+25</v>
      </c>
      <c r="O897" s="7">
        <f t="shared" si="164"/>
        <v>133217450366</v>
      </c>
      <c r="P897" s="3">
        <f>SUM($O$4:O897)</f>
        <v>7746717018027</v>
      </c>
      <c r="Y897" s="3">
        <f t="shared" si="165"/>
        <v>894</v>
      </c>
      <c r="Z897" s="3">
        <f t="shared" si="166"/>
        <v>7.84460151225142E+21</v>
      </c>
      <c r="AA897" s="7"/>
      <c r="AB897" s="7">
        <f t="shared" si="167"/>
        <v>13040</v>
      </c>
    </row>
    <row r="898" spans="6:28" x14ac:dyDescent="0.15">
      <c r="F898">
        <f t="shared" si="157"/>
        <v>128</v>
      </c>
      <c r="G898">
        <v>895</v>
      </c>
      <c r="H898">
        <f t="shared" si="158"/>
        <v>3.2992748452282717E+25</v>
      </c>
      <c r="I898">
        <f t="shared" si="159"/>
        <v>3.29927484522827E+25</v>
      </c>
      <c r="J898" s="1">
        <f t="shared" si="160"/>
        <v>1</v>
      </c>
      <c r="K898" s="1">
        <f t="shared" si="161"/>
        <v>3.29927484522827E+25</v>
      </c>
      <c r="L898" s="1">
        <f t="shared" si="162"/>
        <v>1.7068248532647583E+25</v>
      </c>
      <c r="M898" s="3">
        <f t="shared" si="163"/>
        <v>133217450366.36554</v>
      </c>
      <c r="N898" s="7">
        <f t="shared" si="168"/>
        <v>1.70682485326476E+25</v>
      </c>
      <c r="O898" s="7">
        <f t="shared" si="164"/>
        <v>133217450366</v>
      </c>
      <c r="P898" s="3">
        <f>SUM($O$4:O898)</f>
        <v>7879934468393</v>
      </c>
      <c r="Y898" s="3">
        <f t="shared" si="165"/>
        <v>895</v>
      </c>
      <c r="Z898" s="3">
        <f t="shared" si="166"/>
        <v>8.2460450460159705E+21</v>
      </c>
      <c r="AA898" s="7"/>
      <c r="AB898" s="7">
        <f t="shared" si="167"/>
        <v>13040</v>
      </c>
    </row>
    <row r="899" spans="6:28" x14ac:dyDescent="0.15">
      <c r="F899">
        <f t="shared" si="157"/>
        <v>128</v>
      </c>
      <c r="G899">
        <v>896</v>
      </c>
      <c r="H899">
        <f t="shared" si="158"/>
        <v>3.2992748452282717E+25</v>
      </c>
      <c r="I899">
        <f t="shared" si="159"/>
        <v>3.29927484522827E+25</v>
      </c>
      <c r="J899" s="1">
        <f t="shared" si="160"/>
        <v>6</v>
      </c>
      <c r="K899" s="1">
        <f t="shared" si="161"/>
        <v>1.979564907136962E+26</v>
      </c>
      <c r="L899" s="1">
        <f t="shared" si="162"/>
        <v>1.024094911958855E+26</v>
      </c>
      <c r="M899" s="3">
        <f t="shared" si="163"/>
        <v>799304702198.19324</v>
      </c>
      <c r="N899" s="7">
        <f t="shared" si="168"/>
        <v>1.02409491195886E+26</v>
      </c>
      <c r="O899" s="7">
        <f t="shared" si="164"/>
        <v>799304702198</v>
      </c>
      <c r="P899" s="3">
        <f>SUM($O$4:O899)</f>
        <v>8679239170591</v>
      </c>
      <c r="Y899" s="3">
        <f t="shared" si="165"/>
        <v>896</v>
      </c>
      <c r="Z899" s="3">
        <f t="shared" si="166"/>
        <v>8.6680214293763399E+21</v>
      </c>
      <c r="AA899" s="7"/>
      <c r="AB899" s="7">
        <f t="shared" si="167"/>
        <v>13040</v>
      </c>
    </row>
    <row r="900" spans="6:28" x14ac:dyDescent="0.15">
      <c r="F900">
        <f t="shared" si="157"/>
        <v>129</v>
      </c>
      <c r="G900">
        <v>897</v>
      </c>
      <c r="H900">
        <f t="shared" si="158"/>
        <v>5.1798615070083867E+25</v>
      </c>
      <c r="I900">
        <f t="shared" si="159"/>
        <v>5.1798615070083901E+25</v>
      </c>
      <c r="J900" s="1">
        <f t="shared" si="160"/>
        <v>1</v>
      </c>
      <c r="K900" s="1">
        <f t="shared" si="161"/>
        <v>5.1798615070083901E+25</v>
      </c>
      <c r="L900" s="1">
        <f t="shared" si="162"/>
        <v>2.6952546041466989E+25</v>
      </c>
      <c r="M900" s="3">
        <f t="shared" si="163"/>
        <v>161818661198.64099</v>
      </c>
      <c r="N900" s="7">
        <f t="shared" si="168"/>
        <v>2.6952546041467002E+25</v>
      </c>
      <c r="O900" s="7">
        <f t="shared" si="164"/>
        <v>161818661198</v>
      </c>
      <c r="P900" s="3">
        <f>SUM($O$4:O900)</f>
        <v>8841057831789</v>
      </c>
      <c r="Y900" s="3">
        <f t="shared" si="165"/>
        <v>897</v>
      </c>
      <c r="Z900" s="3">
        <f t="shared" si="166"/>
        <v>9.1115803384576999E+21</v>
      </c>
      <c r="AA900" s="7"/>
      <c r="AB900" s="7">
        <f t="shared" si="167"/>
        <v>13040</v>
      </c>
    </row>
    <row r="901" spans="6:28" x14ac:dyDescent="0.15">
      <c r="F901">
        <f t="shared" ref="F901:F964" si="169">ROUNDUP(G901/$C$4,0)</f>
        <v>129</v>
      </c>
      <c r="G901">
        <v>898</v>
      </c>
      <c r="H901">
        <f t="shared" ref="H901:H964" si="170">18.5*1.57^MIN(F901,156)*1.17^MAX(F901-156,0)*$C$5</f>
        <v>5.1798615070083867E+25</v>
      </c>
      <c r="I901">
        <f t="shared" ref="I901:I964" si="171">ROUND(H901,0)</f>
        <v>5.1798615070083901E+25</v>
      </c>
      <c r="J901" s="1">
        <f t="shared" ref="J901:J964" si="172">IF(F901=F902,1,LOOKUP(MOD(F901,5),$D$6:$D$10,$C$6:$C$10))</f>
        <v>1</v>
      </c>
      <c r="K901" s="1">
        <f t="shared" ref="K901:K964" si="173">J901*I901</f>
        <v>5.1798615070083901E+25</v>
      </c>
      <c r="L901" s="1">
        <f t="shared" ref="L901:L964" si="174">K901*(0.02+0.00045*F901)/$C$5</f>
        <v>2.6952546041466989E+25</v>
      </c>
      <c r="M901" s="3">
        <f t="shared" ref="M901:M964" si="175">L901/(1.3^F901)*3</f>
        <v>161818661198.64099</v>
      </c>
      <c r="N901" s="7">
        <f t="shared" si="168"/>
        <v>2.6952546041467002E+25</v>
      </c>
      <c r="O901" s="7">
        <f t="shared" ref="O901:O964" si="176">ROUNDDOWN(M901,0)</f>
        <v>161818661198</v>
      </c>
      <c r="P901" s="3">
        <f>SUM($O$4:O901)</f>
        <v>9002876492987</v>
      </c>
      <c r="Y901" s="3">
        <f t="shared" ref="Y901:Y964" si="177">G901</f>
        <v>898</v>
      </c>
      <c r="Z901" s="3">
        <f t="shared" ref="Z901:Z964" si="178">ROUND(1.05^Y901*Y901,0)</f>
        <v>9.57782508487377E+21</v>
      </c>
      <c r="AA901" s="7"/>
      <c r="AB901" s="7">
        <f t="shared" ref="AB901:AB964" si="179">LOOKUP(Y901,T:T,P:P)</f>
        <v>13040</v>
      </c>
    </row>
    <row r="902" spans="6:28" x14ac:dyDescent="0.15">
      <c r="F902">
        <f t="shared" si="169"/>
        <v>129</v>
      </c>
      <c r="G902">
        <v>899</v>
      </c>
      <c r="H902">
        <f t="shared" si="170"/>
        <v>5.1798615070083867E+25</v>
      </c>
      <c r="I902">
        <f t="shared" si="171"/>
        <v>5.1798615070083901E+25</v>
      </c>
      <c r="J902" s="1">
        <f t="shared" si="172"/>
        <v>1</v>
      </c>
      <c r="K902" s="1">
        <f t="shared" si="173"/>
        <v>5.1798615070083901E+25</v>
      </c>
      <c r="L902" s="1">
        <f t="shared" si="174"/>
        <v>2.6952546041466989E+25</v>
      </c>
      <c r="M902" s="3">
        <f t="shared" si="175"/>
        <v>161818661198.64099</v>
      </c>
      <c r="N902" s="7">
        <f t="shared" si="168"/>
        <v>2.6952546041467002E+25</v>
      </c>
      <c r="O902" s="7">
        <f t="shared" si="176"/>
        <v>161818661198</v>
      </c>
      <c r="P902" s="3">
        <f>SUM($O$4:O902)</f>
        <v>9164695154185</v>
      </c>
      <c r="Y902" s="3">
        <f t="shared" si="177"/>
        <v>899</v>
      </c>
      <c r="Z902" s="3">
        <f t="shared" si="178"/>
        <v>1.0067915355085301E+22</v>
      </c>
      <c r="AA902" s="7"/>
      <c r="AB902" s="7">
        <f t="shared" si="179"/>
        <v>13040</v>
      </c>
    </row>
    <row r="903" spans="6:28" x14ac:dyDescent="0.15">
      <c r="F903">
        <f t="shared" si="169"/>
        <v>129</v>
      </c>
      <c r="G903">
        <v>900</v>
      </c>
      <c r="H903">
        <f t="shared" si="170"/>
        <v>5.1798615070083867E+25</v>
      </c>
      <c r="I903">
        <f t="shared" si="171"/>
        <v>5.1798615070083901E+25</v>
      </c>
      <c r="J903" s="1">
        <f t="shared" si="172"/>
        <v>1</v>
      </c>
      <c r="K903" s="1">
        <f t="shared" si="173"/>
        <v>5.1798615070083901E+25</v>
      </c>
      <c r="L903" s="1">
        <f t="shared" si="174"/>
        <v>2.6952546041466989E+25</v>
      </c>
      <c r="M903" s="3">
        <f t="shared" si="175"/>
        <v>161818661198.64099</v>
      </c>
      <c r="N903" s="7">
        <f t="shared" si="168"/>
        <v>2.6952546041467002E+25</v>
      </c>
      <c r="O903" s="7">
        <f t="shared" si="176"/>
        <v>161818661198</v>
      </c>
      <c r="P903" s="3">
        <f>SUM($O$4:O903)</f>
        <v>9326513815383</v>
      </c>
      <c r="Y903" s="3">
        <f t="shared" si="177"/>
        <v>900</v>
      </c>
      <c r="Z903" s="3">
        <f t="shared" si="178"/>
        <v>1.05830700896058E+22</v>
      </c>
      <c r="AA903" s="7"/>
      <c r="AB903" s="7">
        <f t="shared" si="179"/>
        <v>13040</v>
      </c>
    </row>
    <row r="904" spans="6:28" x14ac:dyDescent="0.15">
      <c r="F904">
        <f t="shared" si="169"/>
        <v>129</v>
      </c>
      <c r="G904">
        <v>901</v>
      </c>
      <c r="H904">
        <f t="shared" si="170"/>
        <v>5.1798615070083867E+25</v>
      </c>
      <c r="I904">
        <f t="shared" si="171"/>
        <v>5.1798615070083901E+25</v>
      </c>
      <c r="J904" s="1">
        <f t="shared" si="172"/>
        <v>1</v>
      </c>
      <c r="K904" s="1">
        <f t="shared" si="173"/>
        <v>5.1798615070083901E+25</v>
      </c>
      <c r="L904" s="1">
        <f t="shared" si="174"/>
        <v>2.6952546041466989E+25</v>
      </c>
      <c r="M904" s="3">
        <f t="shared" si="175"/>
        <v>161818661198.64099</v>
      </c>
      <c r="N904" s="7">
        <f t="shared" ref="N904:N967" si="180">ROUND(L904,0)</f>
        <v>2.6952546041467002E+25</v>
      </c>
      <c r="O904" s="7">
        <f t="shared" si="176"/>
        <v>161818661198</v>
      </c>
      <c r="P904" s="3">
        <f>SUM($O$4:O904)</f>
        <v>9488332476581</v>
      </c>
      <c r="Y904" s="3">
        <f t="shared" si="177"/>
        <v>901</v>
      </c>
      <c r="Z904" s="3">
        <f t="shared" si="178"/>
        <v>1.11245705091906E+22</v>
      </c>
      <c r="AA904" s="7"/>
      <c r="AB904" s="7">
        <f t="shared" si="179"/>
        <v>13040</v>
      </c>
    </row>
    <row r="905" spans="6:28" x14ac:dyDescent="0.15">
      <c r="F905">
        <f t="shared" si="169"/>
        <v>129</v>
      </c>
      <c r="G905">
        <v>902</v>
      </c>
      <c r="H905">
        <f t="shared" si="170"/>
        <v>5.1798615070083867E+25</v>
      </c>
      <c r="I905">
        <f t="shared" si="171"/>
        <v>5.1798615070083901E+25</v>
      </c>
      <c r="J905" s="1">
        <f t="shared" si="172"/>
        <v>1</v>
      </c>
      <c r="K905" s="1">
        <f t="shared" si="173"/>
        <v>5.1798615070083901E+25</v>
      </c>
      <c r="L905" s="1">
        <f t="shared" si="174"/>
        <v>2.6952546041466989E+25</v>
      </c>
      <c r="M905" s="3">
        <f t="shared" si="175"/>
        <v>161818661198.64099</v>
      </c>
      <c r="N905" s="7">
        <f t="shared" si="180"/>
        <v>2.6952546041467002E+25</v>
      </c>
      <c r="O905" s="7">
        <f t="shared" si="176"/>
        <v>161818661198</v>
      </c>
      <c r="P905" s="3">
        <f>SUM($O$4:O905)</f>
        <v>9650151137779</v>
      </c>
      <c r="Y905" s="3">
        <f t="shared" si="177"/>
        <v>902</v>
      </c>
      <c r="Z905" s="3">
        <f t="shared" si="178"/>
        <v>1.1693763295509901E+22</v>
      </c>
      <c r="AA905" s="7"/>
      <c r="AB905" s="7">
        <f t="shared" si="179"/>
        <v>13040</v>
      </c>
    </row>
    <row r="906" spans="6:28" x14ac:dyDescent="0.15">
      <c r="F906">
        <f t="shared" si="169"/>
        <v>129</v>
      </c>
      <c r="G906">
        <v>903</v>
      </c>
      <c r="H906">
        <f t="shared" si="170"/>
        <v>5.1798615070083867E+25</v>
      </c>
      <c r="I906">
        <f t="shared" si="171"/>
        <v>5.1798615070083901E+25</v>
      </c>
      <c r="J906" s="1">
        <f t="shared" si="172"/>
        <v>7</v>
      </c>
      <c r="K906" s="1">
        <f t="shared" si="173"/>
        <v>3.6259030549058728E+26</v>
      </c>
      <c r="L906" s="1">
        <f t="shared" si="174"/>
        <v>1.886678222902689E+26</v>
      </c>
      <c r="M906" s="3">
        <f t="shared" si="175"/>
        <v>1132730628390.4868</v>
      </c>
      <c r="N906" s="7">
        <f t="shared" si="180"/>
        <v>1.88667822290269E+26</v>
      </c>
      <c r="O906" s="7">
        <f t="shared" si="176"/>
        <v>1132730628390</v>
      </c>
      <c r="P906" s="3">
        <f>SUM($O$4:O906)</f>
        <v>10782881766169</v>
      </c>
      <c r="Y906" s="3">
        <f t="shared" si="177"/>
        <v>903</v>
      </c>
      <c r="Z906" s="3">
        <f t="shared" si="178"/>
        <v>1.22920639341882E+22</v>
      </c>
      <c r="AA906" s="7"/>
      <c r="AB906" s="7">
        <f t="shared" si="179"/>
        <v>13040</v>
      </c>
    </row>
    <row r="907" spans="6:28" x14ac:dyDescent="0.15">
      <c r="F907">
        <f t="shared" si="169"/>
        <v>130</v>
      </c>
      <c r="G907">
        <v>904</v>
      </c>
      <c r="H907">
        <f t="shared" si="170"/>
        <v>8.1323825660031684E+25</v>
      </c>
      <c r="I907">
        <f t="shared" si="171"/>
        <v>8.1323825660031701E+25</v>
      </c>
      <c r="J907" s="1">
        <f t="shared" si="172"/>
        <v>1</v>
      </c>
      <c r="K907" s="1">
        <f t="shared" si="173"/>
        <v>8.1323825660031701E+25</v>
      </c>
      <c r="L907" s="1">
        <f t="shared" si="174"/>
        <v>4.2559468762083262E+25</v>
      </c>
      <c r="M907" s="3">
        <f t="shared" si="175"/>
        <v>196553894440.70865</v>
      </c>
      <c r="N907" s="7">
        <f t="shared" si="180"/>
        <v>4.2559468762083297E+25</v>
      </c>
      <c r="O907" s="7">
        <f t="shared" si="176"/>
        <v>196553894440</v>
      </c>
      <c r="P907" s="3">
        <f>SUM($O$4:O907)</f>
        <v>10979435660609</v>
      </c>
      <c r="Y907" s="3">
        <f t="shared" si="177"/>
        <v>904</v>
      </c>
      <c r="Z907" s="3">
        <f t="shared" si="178"/>
        <v>1.29209602284955E+22</v>
      </c>
      <c r="AA907" s="7"/>
      <c r="AB907" s="7">
        <f t="shared" si="179"/>
        <v>13040</v>
      </c>
    </row>
    <row r="908" spans="6:28" x14ac:dyDescent="0.15">
      <c r="F908">
        <f t="shared" si="169"/>
        <v>130</v>
      </c>
      <c r="G908">
        <v>905</v>
      </c>
      <c r="H908">
        <f t="shared" si="170"/>
        <v>8.1323825660031684E+25</v>
      </c>
      <c r="I908">
        <f t="shared" si="171"/>
        <v>8.1323825660031701E+25</v>
      </c>
      <c r="J908" s="1">
        <f t="shared" si="172"/>
        <v>1</v>
      </c>
      <c r="K908" s="1">
        <f t="shared" si="173"/>
        <v>8.1323825660031701E+25</v>
      </c>
      <c r="L908" s="1">
        <f t="shared" si="174"/>
        <v>4.2559468762083262E+25</v>
      </c>
      <c r="M908" s="3">
        <f t="shared" si="175"/>
        <v>196553894440.70865</v>
      </c>
      <c r="N908" s="7">
        <f t="shared" si="180"/>
        <v>4.2559468762083297E+25</v>
      </c>
      <c r="O908" s="7">
        <f t="shared" si="176"/>
        <v>196553894440</v>
      </c>
      <c r="P908" s="3">
        <f>SUM($O$4:O908)</f>
        <v>11175989555049</v>
      </c>
      <c r="Y908" s="3">
        <f t="shared" si="177"/>
        <v>905</v>
      </c>
      <c r="Z908" s="3">
        <f t="shared" si="178"/>
        <v>1.3582015992398E+22</v>
      </c>
      <c r="AA908" s="7"/>
      <c r="AB908" s="7">
        <f t="shared" si="179"/>
        <v>13040</v>
      </c>
    </row>
    <row r="909" spans="6:28" x14ac:dyDescent="0.15">
      <c r="F909">
        <f t="shared" si="169"/>
        <v>130</v>
      </c>
      <c r="G909">
        <v>906</v>
      </c>
      <c r="H909">
        <f t="shared" si="170"/>
        <v>8.1323825660031684E+25</v>
      </c>
      <c r="I909">
        <f t="shared" si="171"/>
        <v>8.1323825660031701E+25</v>
      </c>
      <c r="J909" s="1">
        <f t="shared" si="172"/>
        <v>1</v>
      </c>
      <c r="K909" s="1">
        <f t="shared" si="173"/>
        <v>8.1323825660031701E+25</v>
      </c>
      <c r="L909" s="1">
        <f t="shared" si="174"/>
        <v>4.2559468762083262E+25</v>
      </c>
      <c r="M909" s="3">
        <f t="shared" si="175"/>
        <v>196553894440.70865</v>
      </c>
      <c r="N909" s="7">
        <f t="shared" si="180"/>
        <v>4.2559468762083297E+25</v>
      </c>
      <c r="O909" s="7">
        <f t="shared" si="176"/>
        <v>196553894440</v>
      </c>
      <c r="P909" s="3">
        <f>SUM($O$4:O909)</f>
        <v>11372543449489</v>
      </c>
      <c r="Y909" s="3">
        <f t="shared" si="177"/>
        <v>906</v>
      </c>
      <c r="Z909" s="3">
        <f t="shared" si="178"/>
        <v>1.42768749321196E+22</v>
      </c>
      <c r="AA909" s="7"/>
      <c r="AB909" s="7">
        <f t="shared" si="179"/>
        <v>13040</v>
      </c>
    </row>
    <row r="910" spans="6:28" x14ac:dyDescent="0.15">
      <c r="F910">
        <f t="shared" si="169"/>
        <v>130</v>
      </c>
      <c r="G910">
        <v>907</v>
      </c>
      <c r="H910">
        <f t="shared" si="170"/>
        <v>8.1323825660031684E+25</v>
      </c>
      <c r="I910">
        <f t="shared" si="171"/>
        <v>8.1323825660031701E+25</v>
      </c>
      <c r="J910" s="1">
        <f t="shared" si="172"/>
        <v>1</v>
      </c>
      <c r="K910" s="1">
        <f t="shared" si="173"/>
        <v>8.1323825660031701E+25</v>
      </c>
      <c r="L910" s="1">
        <f t="shared" si="174"/>
        <v>4.2559468762083262E+25</v>
      </c>
      <c r="M910" s="3">
        <f t="shared" si="175"/>
        <v>196553894440.70865</v>
      </c>
      <c r="N910" s="7">
        <f t="shared" si="180"/>
        <v>4.2559468762083297E+25</v>
      </c>
      <c r="O910" s="7">
        <f t="shared" si="176"/>
        <v>196553894440</v>
      </c>
      <c r="P910" s="3">
        <f>SUM($O$4:O910)</f>
        <v>11569097343929</v>
      </c>
      <c r="Y910" s="3">
        <f t="shared" si="177"/>
        <v>907</v>
      </c>
      <c r="Z910" s="3">
        <f t="shared" si="178"/>
        <v>1.50072647258323E+22</v>
      </c>
      <c r="AA910" s="7"/>
      <c r="AB910" s="7">
        <f t="shared" si="179"/>
        <v>13040</v>
      </c>
    </row>
    <row r="911" spans="6:28" x14ac:dyDescent="0.15">
      <c r="F911">
        <f t="shared" si="169"/>
        <v>130</v>
      </c>
      <c r="G911">
        <v>908</v>
      </c>
      <c r="H911">
        <f t="shared" si="170"/>
        <v>8.1323825660031684E+25</v>
      </c>
      <c r="I911">
        <f t="shared" si="171"/>
        <v>8.1323825660031701E+25</v>
      </c>
      <c r="J911" s="1">
        <f t="shared" si="172"/>
        <v>1</v>
      </c>
      <c r="K911" s="1">
        <f t="shared" si="173"/>
        <v>8.1323825660031701E+25</v>
      </c>
      <c r="L911" s="1">
        <f t="shared" si="174"/>
        <v>4.2559468762083262E+25</v>
      </c>
      <c r="M911" s="3">
        <f t="shared" si="175"/>
        <v>196553894440.70865</v>
      </c>
      <c r="N911" s="7">
        <f t="shared" si="180"/>
        <v>4.2559468762083297E+25</v>
      </c>
      <c r="O911" s="7">
        <f t="shared" si="176"/>
        <v>196553894440</v>
      </c>
      <c r="P911" s="3">
        <f>SUM($O$4:O911)</f>
        <v>11765651238369</v>
      </c>
      <c r="Y911" s="3">
        <f t="shared" si="177"/>
        <v>908</v>
      </c>
      <c r="Z911" s="3">
        <f t="shared" si="178"/>
        <v>1.5775001311586101E+22</v>
      </c>
      <c r="AA911" s="7"/>
      <c r="AB911" s="7">
        <f t="shared" si="179"/>
        <v>13040</v>
      </c>
    </row>
    <row r="912" spans="6:28" x14ac:dyDescent="0.15">
      <c r="F912">
        <f t="shared" si="169"/>
        <v>130</v>
      </c>
      <c r="G912">
        <v>909</v>
      </c>
      <c r="H912">
        <f t="shared" si="170"/>
        <v>8.1323825660031684E+25</v>
      </c>
      <c r="I912">
        <f t="shared" si="171"/>
        <v>8.1323825660031701E+25</v>
      </c>
      <c r="J912" s="1">
        <f t="shared" si="172"/>
        <v>1</v>
      </c>
      <c r="K912" s="1">
        <f t="shared" si="173"/>
        <v>8.1323825660031701E+25</v>
      </c>
      <c r="L912" s="1">
        <f t="shared" si="174"/>
        <v>4.2559468762083262E+25</v>
      </c>
      <c r="M912" s="3">
        <f t="shared" si="175"/>
        <v>196553894440.70865</v>
      </c>
      <c r="N912" s="7">
        <f t="shared" si="180"/>
        <v>4.2559468762083297E+25</v>
      </c>
      <c r="O912" s="7">
        <f t="shared" si="176"/>
        <v>196553894440</v>
      </c>
      <c r="P912" s="3">
        <f>SUM($O$4:O912)</f>
        <v>11962205132809</v>
      </c>
      <c r="Y912" s="3">
        <f t="shared" si="177"/>
        <v>909</v>
      </c>
      <c r="Z912" s="3">
        <f t="shared" si="178"/>
        <v>1.6581993394100599E+22</v>
      </c>
      <c r="AA912" s="7"/>
      <c r="AB912" s="7">
        <f t="shared" si="179"/>
        <v>13040</v>
      </c>
    </row>
    <row r="913" spans="6:28" x14ac:dyDescent="0.15">
      <c r="F913">
        <f t="shared" si="169"/>
        <v>130</v>
      </c>
      <c r="G913">
        <v>910</v>
      </c>
      <c r="H913">
        <f t="shared" si="170"/>
        <v>8.1323825660031684E+25</v>
      </c>
      <c r="I913">
        <f t="shared" si="171"/>
        <v>8.1323825660031701E+25</v>
      </c>
      <c r="J913" s="1">
        <f t="shared" si="172"/>
        <v>10</v>
      </c>
      <c r="K913" s="1">
        <f t="shared" si="173"/>
        <v>8.1323825660031697E+26</v>
      </c>
      <c r="L913" s="1">
        <f t="shared" si="174"/>
        <v>4.2559468762083259E+26</v>
      </c>
      <c r="M913" s="3">
        <f t="shared" si="175"/>
        <v>1965538944407.0864</v>
      </c>
      <c r="N913" s="7">
        <f t="shared" si="180"/>
        <v>4.25594687620833E+26</v>
      </c>
      <c r="O913" s="7">
        <f t="shared" si="176"/>
        <v>1965538944407</v>
      </c>
      <c r="P913" s="3">
        <f>SUM($O$4:O913)</f>
        <v>13927744077216</v>
      </c>
      <c r="Y913" s="3">
        <f t="shared" si="177"/>
        <v>910</v>
      </c>
      <c r="Z913" s="3">
        <f t="shared" si="178"/>
        <v>1.74302471815876E+22</v>
      </c>
      <c r="AA913" s="7"/>
      <c r="AB913" s="7">
        <f t="shared" si="179"/>
        <v>13040</v>
      </c>
    </row>
    <row r="914" spans="6:28" x14ac:dyDescent="0.15">
      <c r="F914">
        <f t="shared" si="169"/>
        <v>131</v>
      </c>
      <c r="G914">
        <v>911</v>
      </c>
      <c r="H914">
        <f t="shared" si="170"/>
        <v>1.2767840628624975E+26</v>
      </c>
      <c r="I914">
        <f t="shared" si="171"/>
        <v>1.2767840628624999E+26</v>
      </c>
      <c r="J914" s="1">
        <f t="shared" si="172"/>
        <v>1</v>
      </c>
      <c r="K914" s="1">
        <f t="shared" si="173"/>
        <v>1.2767840628624999E+26</v>
      </c>
      <c r="L914" s="1">
        <f t="shared" si="174"/>
        <v>6.7201401175329584E+25</v>
      </c>
      <c r="M914" s="3">
        <f t="shared" si="175"/>
        <v>238737384093.75342</v>
      </c>
      <c r="N914" s="7">
        <f t="shared" si="180"/>
        <v>6.7201401175329601E+25</v>
      </c>
      <c r="O914" s="7">
        <f t="shared" si="176"/>
        <v>238737384093</v>
      </c>
      <c r="P914" s="3">
        <f>SUM($O$4:O914)</f>
        <v>14166481461309</v>
      </c>
      <c r="Y914" s="3">
        <f t="shared" si="177"/>
        <v>911</v>
      </c>
      <c r="Z914" s="3">
        <f t="shared" si="178"/>
        <v>1.8321871364338001E+22</v>
      </c>
      <c r="AA914" s="7"/>
      <c r="AB914" s="7">
        <f t="shared" si="179"/>
        <v>13040</v>
      </c>
    </row>
    <row r="915" spans="6:28" x14ac:dyDescent="0.15">
      <c r="F915">
        <f t="shared" si="169"/>
        <v>131</v>
      </c>
      <c r="G915">
        <v>912</v>
      </c>
      <c r="H915">
        <f t="shared" si="170"/>
        <v>1.2767840628624975E+26</v>
      </c>
      <c r="I915">
        <f t="shared" si="171"/>
        <v>1.2767840628624999E+26</v>
      </c>
      <c r="J915" s="1">
        <f t="shared" si="172"/>
        <v>1</v>
      </c>
      <c r="K915" s="1">
        <f t="shared" si="173"/>
        <v>1.2767840628624999E+26</v>
      </c>
      <c r="L915" s="1">
        <f t="shared" si="174"/>
        <v>6.7201401175329584E+25</v>
      </c>
      <c r="M915" s="3">
        <f t="shared" si="175"/>
        <v>238737384093.75342</v>
      </c>
      <c r="N915" s="7">
        <f t="shared" si="180"/>
        <v>6.7201401175329601E+25</v>
      </c>
      <c r="O915" s="7">
        <f t="shared" si="176"/>
        <v>238737384093</v>
      </c>
      <c r="P915" s="3">
        <f>SUM($O$4:O915)</f>
        <v>14405218845402</v>
      </c>
      <c r="Y915" s="3">
        <f t="shared" si="177"/>
        <v>912</v>
      </c>
      <c r="Z915" s="3">
        <f t="shared" si="178"/>
        <v>1.9259082347409501E+22</v>
      </c>
      <c r="AA915" s="7"/>
      <c r="AB915" s="7">
        <f t="shared" si="179"/>
        <v>13040</v>
      </c>
    </row>
    <row r="916" spans="6:28" x14ac:dyDescent="0.15">
      <c r="F916">
        <f t="shared" si="169"/>
        <v>131</v>
      </c>
      <c r="G916">
        <v>913</v>
      </c>
      <c r="H916">
        <f t="shared" si="170"/>
        <v>1.2767840628624975E+26</v>
      </c>
      <c r="I916">
        <f t="shared" si="171"/>
        <v>1.2767840628624999E+26</v>
      </c>
      <c r="J916" s="1">
        <f t="shared" si="172"/>
        <v>1</v>
      </c>
      <c r="K916" s="1">
        <f t="shared" si="173"/>
        <v>1.2767840628624999E+26</v>
      </c>
      <c r="L916" s="1">
        <f t="shared" si="174"/>
        <v>6.7201401175329584E+25</v>
      </c>
      <c r="M916" s="3">
        <f t="shared" si="175"/>
        <v>238737384093.75342</v>
      </c>
      <c r="N916" s="7">
        <f t="shared" si="180"/>
        <v>6.7201401175329601E+25</v>
      </c>
      <c r="O916" s="7">
        <f t="shared" si="176"/>
        <v>238737384093</v>
      </c>
      <c r="P916" s="3">
        <f>SUM($O$4:O916)</f>
        <v>14643956229495</v>
      </c>
      <c r="Y916" s="3">
        <f t="shared" si="177"/>
        <v>913</v>
      </c>
      <c r="Z916" s="3">
        <f t="shared" si="178"/>
        <v>2.0244209750377299E+22</v>
      </c>
      <c r="AA916" s="7"/>
      <c r="AB916" s="7">
        <f t="shared" si="179"/>
        <v>13040</v>
      </c>
    </row>
    <row r="917" spans="6:28" x14ac:dyDescent="0.15">
      <c r="F917">
        <f t="shared" si="169"/>
        <v>131</v>
      </c>
      <c r="G917">
        <v>914</v>
      </c>
      <c r="H917">
        <f t="shared" si="170"/>
        <v>1.2767840628624975E+26</v>
      </c>
      <c r="I917">
        <f t="shared" si="171"/>
        <v>1.2767840628624999E+26</v>
      </c>
      <c r="J917" s="1">
        <f t="shared" si="172"/>
        <v>1</v>
      </c>
      <c r="K917" s="1">
        <f t="shared" si="173"/>
        <v>1.2767840628624999E+26</v>
      </c>
      <c r="L917" s="1">
        <f t="shared" si="174"/>
        <v>6.7201401175329584E+25</v>
      </c>
      <c r="M917" s="3">
        <f t="shared" si="175"/>
        <v>238737384093.75342</v>
      </c>
      <c r="N917" s="7">
        <f t="shared" si="180"/>
        <v>6.7201401175329601E+25</v>
      </c>
      <c r="O917" s="7">
        <f t="shared" si="176"/>
        <v>238737384093</v>
      </c>
      <c r="P917" s="3">
        <f>SUM($O$4:O917)</f>
        <v>14882693613588</v>
      </c>
      <c r="Y917" s="3">
        <f t="shared" si="177"/>
        <v>914</v>
      </c>
      <c r="Z917" s="3">
        <f t="shared" si="178"/>
        <v>2.12797021877734E+22</v>
      </c>
      <c r="AA917" s="7"/>
      <c r="AB917" s="7">
        <f t="shared" si="179"/>
        <v>13040</v>
      </c>
    </row>
    <row r="918" spans="6:28" x14ac:dyDescent="0.15">
      <c r="F918">
        <f t="shared" si="169"/>
        <v>131</v>
      </c>
      <c r="G918">
        <v>915</v>
      </c>
      <c r="H918">
        <f t="shared" si="170"/>
        <v>1.2767840628624975E+26</v>
      </c>
      <c r="I918">
        <f t="shared" si="171"/>
        <v>1.2767840628624999E+26</v>
      </c>
      <c r="J918" s="1">
        <f t="shared" si="172"/>
        <v>1</v>
      </c>
      <c r="K918" s="1">
        <f t="shared" si="173"/>
        <v>1.2767840628624999E+26</v>
      </c>
      <c r="L918" s="1">
        <f t="shared" si="174"/>
        <v>6.7201401175329584E+25</v>
      </c>
      <c r="M918" s="3">
        <f t="shared" si="175"/>
        <v>238737384093.75342</v>
      </c>
      <c r="N918" s="7">
        <f t="shared" si="180"/>
        <v>6.7201401175329601E+25</v>
      </c>
      <c r="O918" s="7">
        <f t="shared" si="176"/>
        <v>238737384093</v>
      </c>
      <c r="P918" s="3">
        <f>SUM($O$4:O918)</f>
        <v>15121430997681</v>
      </c>
      <c r="Y918" s="3">
        <f t="shared" si="177"/>
        <v>915</v>
      </c>
      <c r="Z918" s="3">
        <f t="shared" si="178"/>
        <v>2.2368133344533202E+22</v>
      </c>
      <c r="AA918" s="7"/>
      <c r="AB918" s="7">
        <f t="shared" si="179"/>
        <v>13040</v>
      </c>
    </row>
    <row r="919" spans="6:28" x14ac:dyDescent="0.15">
      <c r="F919">
        <f t="shared" si="169"/>
        <v>131</v>
      </c>
      <c r="G919">
        <v>916</v>
      </c>
      <c r="H919">
        <f t="shared" si="170"/>
        <v>1.2767840628624975E+26</v>
      </c>
      <c r="I919">
        <f t="shared" si="171"/>
        <v>1.2767840628624999E+26</v>
      </c>
      <c r="J919" s="1">
        <f t="shared" si="172"/>
        <v>1</v>
      </c>
      <c r="K919" s="1">
        <f t="shared" si="173"/>
        <v>1.2767840628624999E+26</v>
      </c>
      <c r="L919" s="1">
        <f t="shared" si="174"/>
        <v>6.7201401175329584E+25</v>
      </c>
      <c r="M919" s="3">
        <f t="shared" si="175"/>
        <v>238737384093.75342</v>
      </c>
      <c r="N919" s="7">
        <f t="shared" si="180"/>
        <v>6.7201401175329601E+25</v>
      </c>
      <c r="O919" s="7">
        <f t="shared" si="176"/>
        <v>238737384093</v>
      </c>
      <c r="P919" s="3">
        <f>SUM($O$4:O919)</f>
        <v>15360168381774</v>
      </c>
      <c r="Y919" s="3">
        <f t="shared" si="177"/>
        <v>916</v>
      </c>
      <c r="Z919" s="3">
        <f t="shared" si="178"/>
        <v>2.3512208361499501E+22</v>
      </c>
      <c r="AA919" s="7"/>
      <c r="AB919" s="7">
        <f t="shared" si="179"/>
        <v>13040</v>
      </c>
    </row>
    <row r="920" spans="6:28" x14ac:dyDescent="0.15">
      <c r="F920">
        <f t="shared" si="169"/>
        <v>131</v>
      </c>
      <c r="G920">
        <v>917</v>
      </c>
      <c r="H920">
        <f t="shared" si="170"/>
        <v>1.2767840628624975E+26</v>
      </c>
      <c r="I920">
        <f t="shared" si="171"/>
        <v>1.2767840628624999E+26</v>
      </c>
      <c r="J920" s="1">
        <f t="shared" si="172"/>
        <v>2</v>
      </c>
      <c r="K920" s="1">
        <f t="shared" si="173"/>
        <v>2.5535681257249999E+26</v>
      </c>
      <c r="L920" s="1">
        <f t="shared" si="174"/>
        <v>1.3440280235065917E+26</v>
      </c>
      <c r="M920" s="3">
        <f t="shared" si="175"/>
        <v>477474768187.50684</v>
      </c>
      <c r="N920" s="7">
        <f t="shared" si="180"/>
        <v>1.34402802350659E+26</v>
      </c>
      <c r="O920" s="7">
        <f t="shared" si="176"/>
        <v>477474768187</v>
      </c>
      <c r="P920" s="3">
        <f>SUM($O$4:O920)</f>
        <v>15837643149961</v>
      </c>
      <c r="Y920" s="3">
        <f t="shared" si="177"/>
        <v>917</v>
      </c>
      <c r="Z920" s="3">
        <f t="shared" si="178"/>
        <v>2.4714770546800999E+22</v>
      </c>
      <c r="AA920" s="7"/>
      <c r="AB920" s="7">
        <f t="shared" si="179"/>
        <v>13040</v>
      </c>
    </row>
    <row r="921" spans="6:28" x14ac:dyDescent="0.15">
      <c r="F921">
        <f t="shared" si="169"/>
        <v>132</v>
      </c>
      <c r="G921">
        <v>918</v>
      </c>
      <c r="H921">
        <f t="shared" si="170"/>
        <v>2.0045509786941209E+26</v>
      </c>
      <c r="I921">
        <f t="shared" si="171"/>
        <v>2.0045509786941199E+26</v>
      </c>
      <c r="J921" s="1">
        <f t="shared" si="172"/>
        <v>1</v>
      </c>
      <c r="K921" s="1">
        <f t="shared" si="173"/>
        <v>2.0045509786941199E+26</v>
      </c>
      <c r="L921" s="1">
        <f t="shared" si="174"/>
        <v>1.0610756513887541E+26</v>
      </c>
      <c r="M921" s="3">
        <f t="shared" si="175"/>
        <v>289964678972.66077</v>
      </c>
      <c r="N921" s="7">
        <f t="shared" si="180"/>
        <v>1.06107565138875E+26</v>
      </c>
      <c r="O921" s="7">
        <f t="shared" si="176"/>
        <v>289964678972</v>
      </c>
      <c r="P921" s="3">
        <f>SUM($O$4:O921)</f>
        <v>16127607828933</v>
      </c>
      <c r="Y921" s="3">
        <f t="shared" si="177"/>
        <v>918</v>
      </c>
      <c r="Z921" s="3">
        <f t="shared" si="178"/>
        <v>2.5978808429728999E+22</v>
      </c>
      <c r="AA921" s="7"/>
      <c r="AB921" s="7">
        <f t="shared" si="179"/>
        <v>13040</v>
      </c>
    </row>
    <row r="922" spans="6:28" x14ac:dyDescent="0.15">
      <c r="F922">
        <f t="shared" si="169"/>
        <v>132</v>
      </c>
      <c r="G922">
        <v>919</v>
      </c>
      <c r="H922">
        <f t="shared" si="170"/>
        <v>2.0045509786941209E+26</v>
      </c>
      <c r="I922">
        <f t="shared" si="171"/>
        <v>2.0045509786941199E+26</v>
      </c>
      <c r="J922" s="1">
        <f t="shared" si="172"/>
        <v>1</v>
      </c>
      <c r="K922" s="1">
        <f t="shared" si="173"/>
        <v>2.0045509786941199E+26</v>
      </c>
      <c r="L922" s="1">
        <f t="shared" si="174"/>
        <v>1.0610756513887541E+26</v>
      </c>
      <c r="M922" s="3">
        <f t="shared" si="175"/>
        <v>289964678972.66077</v>
      </c>
      <c r="N922" s="7">
        <f t="shared" si="180"/>
        <v>1.06107565138875E+26</v>
      </c>
      <c r="O922" s="7">
        <f t="shared" si="176"/>
        <v>289964678972</v>
      </c>
      <c r="P922" s="3">
        <f>SUM($O$4:O922)</f>
        <v>16417572507905</v>
      </c>
      <c r="Y922" s="3">
        <f t="shared" si="177"/>
        <v>919</v>
      </c>
      <c r="Z922" s="3">
        <f t="shared" si="178"/>
        <v>2.7307463174582799E+22</v>
      </c>
      <c r="AA922" s="7"/>
      <c r="AB922" s="7">
        <f t="shared" si="179"/>
        <v>13040</v>
      </c>
    </row>
    <row r="923" spans="6:28" x14ac:dyDescent="0.15">
      <c r="F923">
        <f t="shared" si="169"/>
        <v>132</v>
      </c>
      <c r="G923">
        <v>920</v>
      </c>
      <c r="H923">
        <f t="shared" si="170"/>
        <v>2.0045509786941209E+26</v>
      </c>
      <c r="I923">
        <f t="shared" si="171"/>
        <v>2.0045509786941199E+26</v>
      </c>
      <c r="J923" s="1">
        <f t="shared" si="172"/>
        <v>1</v>
      </c>
      <c r="K923" s="1">
        <f t="shared" si="173"/>
        <v>2.0045509786941199E+26</v>
      </c>
      <c r="L923" s="1">
        <f t="shared" si="174"/>
        <v>1.0610756513887541E+26</v>
      </c>
      <c r="M923" s="3">
        <f t="shared" si="175"/>
        <v>289964678972.66077</v>
      </c>
      <c r="N923" s="7">
        <f t="shared" si="180"/>
        <v>1.06107565138875E+26</v>
      </c>
      <c r="O923" s="7">
        <f t="shared" si="176"/>
        <v>289964678972</v>
      </c>
      <c r="P923" s="3">
        <f>SUM($O$4:O923)</f>
        <v>16707537186877</v>
      </c>
      <c r="Y923" s="3">
        <f t="shared" si="177"/>
        <v>920</v>
      </c>
      <c r="Z923" s="3">
        <f t="shared" si="178"/>
        <v>2.8704036372847702E+22</v>
      </c>
      <c r="AA923" s="7"/>
      <c r="AB923" s="7">
        <f t="shared" si="179"/>
        <v>13040</v>
      </c>
    </row>
    <row r="924" spans="6:28" x14ac:dyDescent="0.15">
      <c r="F924">
        <f t="shared" si="169"/>
        <v>132</v>
      </c>
      <c r="G924">
        <v>921</v>
      </c>
      <c r="H924">
        <f t="shared" si="170"/>
        <v>2.0045509786941209E+26</v>
      </c>
      <c r="I924">
        <f t="shared" si="171"/>
        <v>2.0045509786941199E+26</v>
      </c>
      <c r="J924" s="1">
        <f t="shared" si="172"/>
        <v>1</v>
      </c>
      <c r="K924" s="1">
        <f t="shared" si="173"/>
        <v>2.0045509786941199E+26</v>
      </c>
      <c r="L924" s="1">
        <f t="shared" si="174"/>
        <v>1.0610756513887541E+26</v>
      </c>
      <c r="M924" s="3">
        <f t="shared" si="175"/>
        <v>289964678972.66077</v>
      </c>
      <c r="N924" s="7">
        <f t="shared" si="180"/>
        <v>1.06107565138875E+26</v>
      </c>
      <c r="O924" s="7">
        <f t="shared" si="176"/>
        <v>289964678972</v>
      </c>
      <c r="P924" s="3">
        <f>SUM($O$4:O924)</f>
        <v>16997501865849</v>
      </c>
      <c r="Y924" s="3">
        <f t="shared" si="177"/>
        <v>921</v>
      </c>
      <c r="Z924" s="3">
        <f t="shared" si="178"/>
        <v>3.0171998233002502E+22</v>
      </c>
      <c r="AA924" s="7"/>
      <c r="AB924" s="7">
        <f t="shared" si="179"/>
        <v>13040</v>
      </c>
    </row>
    <row r="925" spans="6:28" x14ac:dyDescent="0.15">
      <c r="F925">
        <f t="shared" si="169"/>
        <v>132</v>
      </c>
      <c r="G925">
        <v>922</v>
      </c>
      <c r="H925">
        <f t="shared" si="170"/>
        <v>2.0045509786941209E+26</v>
      </c>
      <c r="I925">
        <f t="shared" si="171"/>
        <v>2.0045509786941199E+26</v>
      </c>
      <c r="J925" s="1">
        <f t="shared" si="172"/>
        <v>1</v>
      </c>
      <c r="K925" s="1">
        <f t="shared" si="173"/>
        <v>2.0045509786941199E+26</v>
      </c>
      <c r="L925" s="1">
        <f t="shared" si="174"/>
        <v>1.0610756513887541E+26</v>
      </c>
      <c r="M925" s="3">
        <f t="shared" si="175"/>
        <v>289964678972.66077</v>
      </c>
      <c r="N925" s="7">
        <f t="shared" si="180"/>
        <v>1.06107565138875E+26</v>
      </c>
      <c r="O925" s="7">
        <f t="shared" si="176"/>
        <v>289964678972</v>
      </c>
      <c r="P925" s="3">
        <f>SUM($O$4:O925)</f>
        <v>17287466544821</v>
      </c>
      <c r="Y925" s="3">
        <f t="shared" si="177"/>
        <v>922</v>
      </c>
      <c r="Z925" s="3">
        <f t="shared" si="178"/>
        <v>3.1714996188240799E+22</v>
      </c>
      <c r="AA925" s="7"/>
      <c r="AB925" s="7">
        <f t="shared" si="179"/>
        <v>13040</v>
      </c>
    </row>
    <row r="926" spans="6:28" x14ac:dyDescent="0.15">
      <c r="F926">
        <f t="shared" si="169"/>
        <v>132</v>
      </c>
      <c r="G926">
        <v>923</v>
      </c>
      <c r="H926">
        <f t="shared" si="170"/>
        <v>2.0045509786941209E+26</v>
      </c>
      <c r="I926">
        <f t="shared" si="171"/>
        <v>2.0045509786941199E+26</v>
      </c>
      <c r="J926" s="1">
        <f t="shared" si="172"/>
        <v>1</v>
      </c>
      <c r="K926" s="1">
        <f t="shared" si="173"/>
        <v>2.0045509786941199E+26</v>
      </c>
      <c r="L926" s="1">
        <f t="shared" si="174"/>
        <v>1.0610756513887541E+26</v>
      </c>
      <c r="M926" s="3">
        <f t="shared" si="175"/>
        <v>289964678972.66077</v>
      </c>
      <c r="N926" s="7">
        <f t="shared" si="180"/>
        <v>1.06107565138875E+26</v>
      </c>
      <c r="O926" s="7">
        <f t="shared" si="176"/>
        <v>289964678972</v>
      </c>
      <c r="P926" s="3">
        <f>SUM($O$4:O926)</f>
        <v>17577431223793</v>
      </c>
      <c r="Y926" s="3">
        <f t="shared" si="177"/>
        <v>923</v>
      </c>
      <c r="Z926" s="3">
        <f t="shared" si="178"/>
        <v>3.3336863943420302E+22</v>
      </c>
      <c r="AA926" s="7"/>
      <c r="AB926" s="7">
        <f t="shared" si="179"/>
        <v>13040</v>
      </c>
    </row>
    <row r="927" spans="6:28" x14ac:dyDescent="0.15">
      <c r="F927">
        <f t="shared" si="169"/>
        <v>132</v>
      </c>
      <c r="G927">
        <v>924</v>
      </c>
      <c r="H927">
        <f t="shared" si="170"/>
        <v>2.0045509786941209E+26</v>
      </c>
      <c r="I927">
        <f t="shared" si="171"/>
        <v>2.0045509786941199E+26</v>
      </c>
      <c r="J927" s="1">
        <f t="shared" si="172"/>
        <v>4</v>
      </c>
      <c r="K927" s="1">
        <f t="shared" si="173"/>
        <v>8.0182039147764796E+26</v>
      </c>
      <c r="L927" s="1">
        <f t="shared" si="174"/>
        <v>4.2443026055550164E+26</v>
      </c>
      <c r="M927" s="3">
        <f t="shared" si="175"/>
        <v>1159858715890.6431</v>
      </c>
      <c r="N927" s="7">
        <f t="shared" si="180"/>
        <v>4.2443026055550198E+26</v>
      </c>
      <c r="O927" s="7">
        <f t="shared" si="176"/>
        <v>1159858715890</v>
      </c>
      <c r="P927" s="3">
        <f>SUM($O$4:O927)</f>
        <v>18737289939683</v>
      </c>
      <c r="Y927" s="3">
        <f t="shared" si="177"/>
        <v>924</v>
      </c>
      <c r="Z927" s="3">
        <f t="shared" si="178"/>
        <v>3.5041630983647299E+22</v>
      </c>
      <c r="AA927" s="7"/>
      <c r="AB927" s="7">
        <f t="shared" si="179"/>
        <v>13040</v>
      </c>
    </row>
    <row r="928" spans="6:28" x14ac:dyDescent="0.15">
      <c r="F928">
        <f t="shared" si="169"/>
        <v>133</v>
      </c>
      <c r="G928">
        <v>925</v>
      </c>
      <c r="H928">
        <f t="shared" si="170"/>
        <v>3.14714503654977E+26</v>
      </c>
      <c r="I928">
        <f t="shared" si="171"/>
        <v>3.14714503654977E+26</v>
      </c>
      <c r="J928" s="1">
        <f t="shared" si="172"/>
        <v>1</v>
      </c>
      <c r="K928" s="1">
        <f t="shared" si="173"/>
        <v>3.14714503654977E+26</v>
      </c>
      <c r="L928" s="1">
        <f t="shared" si="174"/>
        <v>1.6753302077899943E+26</v>
      </c>
      <c r="M928" s="3">
        <f t="shared" si="175"/>
        <v>352172805629.41437</v>
      </c>
      <c r="N928" s="7">
        <f t="shared" si="180"/>
        <v>1.6753302077899902E+26</v>
      </c>
      <c r="O928" s="7">
        <f t="shared" si="176"/>
        <v>352172805629</v>
      </c>
      <c r="P928" s="3">
        <f>SUM($O$4:O928)</f>
        <v>19089462745312</v>
      </c>
      <c r="Y928" s="3">
        <f t="shared" si="177"/>
        <v>925</v>
      </c>
      <c r="Z928" s="3">
        <f t="shared" si="178"/>
        <v>3.68335325680383E+22</v>
      </c>
      <c r="AA928" s="7"/>
      <c r="AB928" s="7">
        <f t="shared" si="179"/>
        <v>13040</v>
      </c>
    </row>
    <row r="929" spans="6:28" x14ac:dyDescent="0.15">
      <c r="F929">
        <f t="shared" si="169"/>
        <v>133</v>
      </c>
      <c r="G929">
        <v>926</v>
      </c>
      <c r="H929">
        <f t="shared" si="170"/>
        <v>3.14714503654977E+26</v>
      </c>
      <c r="I929">
        <f t="shared" si="171"/>
        <v>3.14714503654977E+26</v>
      </c>
      <c r="J929" s="1">
        <f t="shared" si="172"/>
        <v>1</v>
      </c>
      <c r="K929" s="1">
        <f t="shared" si="173"/>
        <v>3.14714503654977E+26</v>
      </c>
      <c r="L929" s="1">
        <f t="shared" si="174"/>
        <v>1.6753302077899943E+26</v>
      </c>
      <c r="M929" s="3">
        <f t="shared" si="175"/>
        <v>352172805629.41437</v>
      </c>
      <c r="N929" s="7">
        <f t="shared" si="180"/>
        <v>1.6753302077899902E+26</v>
      </c>
      <c r="O929" s="7">
        <f t="shared" si="176"/>
        <v>352172805629</v>
      </c>
      <c r="P929" s="3">
        <f>SUM($O$4:O929)</f>
        <v>19441635550941</v>
      </c>
      <c r="Y929" s="3">
        <f t="shared" si="177"/>
        <v>926</v>
      </c>
      <c r="Z929" s="3">
        <f t="shared" si="178"/>
        <v>3.8717020233409296E+22</v>
      </c>
      <c r="AA929" s="7"/>
      <c r="AB929" s="7">
        <f t="shared" si="179"/>
        <v>13040</v>
      </c>
    </row>
    <row r="930" spans="6:28" x14ac:dyDescent="0.15">
      <c r="F930">
        <f t="shared" si="169"/>
        <v>133</v>
      </c>
      <c r="G930">
        <v>927</v>
      </c>
      <c r="H930">
        <f t="shared" si="170"/>
        <v>3.14714503654977E+26</v>
      </c>
      <c r="I930">
        <f t="shared" si="171"/>
        <v>3.14714503654977E+26</v>
      </c>
      <c r="J930" s="1">
        <f t="shared" si="172"/>
        <v>1</v>
      </c>
      <c r="K930" s="1">
        <f t="shared" si="173"/>
        <v>3.14714503654977E+26</v>
      </c>
      <c r="L930" s="1">
        <f t="shared" si="174"/>
        <v>1.6753302077899943E+26</v>
      </c>
      <c r="M930" s="3">
        <f t="shared" si="175"/>
        <v>352172805629.41437</v>
      </c>
      <c r="N930" s="7">
        <f t="shared" si="180"/>
        <v>1.6753302077899902E+26</v>
      </c>
      <c r="O930" s="7">
        <f t="shared" si="176"/>
        <v>352172805629</v>
      </c>
      <c r="P930" s="3">
        <f>SUM($O$4:O930)</f>
        <v>19793808356570</v>
      </c>
      <c r="Y930" s="3">
        <f t="shared" si="177"/>
        <v>927</v>
      </c>
      <c r="Z930" s="3">
        <f t="shared" si="178"/>
        <v>4.0696772833897404E+22</v>
      </c>
      <c r="AA930" s="7"/>
      <c r="AB930" s="7">
        <f t="shared" si="179"/>
        <v>13040</v>
      </c>
    </row>
    <row r="931" spans="6:28" x14ac:dyDescent="0.15">
      <c r="F931">
        <f t="shared" si="169"/>
        <v>133</v>
      </c>
      <c r="G931">
        <v>928</v>
      </c>
      <c r="H931">
        <f t="shared" si="170"/>
        <v>3.14714503654977E+26</v>
      </c>
      <c r="I931">
        <f t="shared" si="171"/>
        <v>3.14714503654977E+26</v>
      </c>
      <c r="J931" s="1">
        <f t="shared" si="172"/>
        <v>1</v>
      </c>
      <c r="K931" s="1">
        <f t="shared" si="173"/>
        <v>3.14714503654977E+26</v>
      </c>
      <c r="L931" s="1">
        <f t="shared" si="174"/>
        <v>1.6753302077899943E+26</v>
      </c>
      <c r="M931" s="3">
        <f t="shared" si="175"/>
        <v>352172805629.41437</v>
      </c>
      <c r="N931" s="7">
        <f t="shared" si="180"/>
        <v>1.6753302077899902E+26</v>
      </c>
      <c r="O931" s="7">
        <f t="shared" si="176"/>
        <v>352172805629</v>
      </c>
      <c r="P931" s="3">
        <f>SUM($O$4:O931)</f>
        <v>20145981162199</v>
      </c>
      <c r="Y931" s="3">
        <f t="shared" si="177"/>
        <v>928</v>
      </c>
      <c r="Z931" s="3">
        <f t="shared" si="178"/>
        <v>4.2777708143850698E+22</v>
      </c>
      <c r="AA931" s="7"/>
      <c r="AB931" s="7">
        <f t="shared" si="179"/>
        <v>13040</v>
      </c>
    </row>
    <row r="932" spans="6:28" x14ac:dyDescent="0.15">
      <c r="F932">
        <f t="shared" si="169"/>
        <v>133</v>
      </c>
      <c r="G932">
        <v>929</v>
      </c>
      <c r="H932">
        <f t="shared" si="170"/>
        <v>3.14714503654977E+26</v>
      </c>
      <c r="I932">
        <f t="shared" si="171"/>
        <v>3.14714503654977E+26</v>
      </c>
      <c r="J932" s="1">
        <f t="shared" si="172"/>
        <v>1</v>
      </c>
      <c r="K932" s="1">
        <f t="shared" si="173"/>
        <v>3.14714503654977E+26</v>
      </c>
      <c r="L932" s="1">
        <f t="shared" si="174"/>
        <v>1.6753302077899943E+26</v>
      </c>
      <c r="M932" s="3">
        <f t="shared" si="175"/>
        <v>352172805629.41437</v>
      </c>
      <c r="N932" s="7">
        <f t="shared" si="180"/>
        <v>1.6753302077899902E+26</v>
      </c>
      <c r="O932" s="7">
        <f t="shared" si="176"/>
        <v>352172805629</v>
      </c>
      <c r="P932" s="3">
        <f>SUM($O$4:O932)</f>
        <v>20498153967828</v>
      </c>
      <c r="Y932" s="3">
        <f t="shared" si="177"/>
        <v>929</v>
      </c>
      <c r="Z932" s="3">
        <f t="shared" si="178"/>
        <v>4.4964995052714599E+22</v>
      </c>
      <c r="AA932" s="7"/>
      <c r="AB932" s="7">
        <f t="shared" si="179"/>
        <v>13040</v>
      </c>
    </row>
    <row r="933" spans="6:28" x14ac:dyDescent="0.15">
      <c r="F933">
        <f t="shared" si="169"/>
        <v>133</v>
      </c>
      <c r="G933">
        <v>930</v>
      </c>
      <c r="H933">
        <f t="shared" si="170"/>
        <v>3.14714503654977E+26</v>
      </c>
      <c r="I933">
        <f t="shared" si="171"/>
        <v>3.14714503654977E+26</v>
      </c>
      <c r="J933" s="1">
        <f t="shared" si="172"/>
        <v>1</v>
      </c>
      <c r="K933" s="1">
        <f t="shared" si="173"/>
        <v>3.14714503654977E+26</v>
      </c>
      <c r="L933" s="1">
        <f t="shared" si="174"/>
        <v>1.6753302077899943E+26</v>
      </c>
      <c r="M933" s="3">
        <f t="shared" si="175"/>
        <v>352172805629.41437</v>
      </c>
      <c r="N933" s="7">
        <f t="shared" si="180"/>
        <v>1.6753302077899902E+26</v>
      </c>
      <c r="O933" s="7">
        <f t="shared" si="176"/>
        <v>352172805629</v>
      </c>
      <c r="P933" s="3">
        <f>SUM($O$4:O933)</f>
        <v>20850326773457</v>
      </c>
      <c r="Y933" s="3">
        <f t="shared" si="177"/>
        <v>930</v>
      </c>
      <c r="Z933" s="3">
        <f t="shared" si="178"/>
        <v>4.7264066382105303E+22</v>
      </c>
      <c r="AA933" s="7"/>
      <c r="AB933" s="7">
        <f t="shared" si="179"/>
        <v>13040</v>
      </c>
    </row>
    <row r="934" spans="6:28" x14ac:dyDescent="0.15">
      <c r="F934">
        <f t="shared" si="169"/>
        <v>133</v>
      </c>
      <c r="G934">
        <v>931</v>
      </c>
      <c r="H934">
        <f t="shared" si="170"/>
        <v>3.14714503654977E+26</v>
      </c>
      <c r="I934">
        <f t="shared" si="171"/>
        <v>3.14714503654977E+26</v>
      </c>
      <c r="J934" s="1">
        <f t="shared" si="172"/>
        <v>6</v>
      </c>
      <c r="K934" s="1">
        <f t="shared" si="173"/>
        <v>1.8882870219298618E+27</v>
      </c>
      <c r="L934" s="1">
        <f t="shared" si="174"/>
        <v>1.0051981246739966E+27</v>
      </c>
      <c r="M934" s="3">
        <f t="shared" si="175"/>
        <v>2113036833776.4863</v>
      </c>
      <c r="N934" s="7">
        <f t="shared" si="180"/>
        <v>1.005198124674E+27</v>
      </c>
      <c r="O934" s="7">
        <f t="shared" si="176"/>
        <v>2113036833776</v>
      </c>
      <c r="P934" s="3">
        <f>SUM($O$4:O934)</f>
        <v>22963363607233</v>
      </c>
      <c r="Y934" s="3">
        <f t="shared" si="177"/>
        <v>931</v>
      </c>
      <c r="Z934" s="3">
        <f t="shared" si="178"/>
        <v>4.9680632356803296E+22</v>
      </c>
      <c r="AA934" s="7"/>
      <c r="AB934" s="7">
        <f t="shared" si="179"/>
        <v>13040</v>
      </c>
    </row>
    <row r="935" spans="6:28" x14ac:dyDescent="0.15">
      <c r="F935">
        <f t="shared" si="169"/>
        <v>134</v>
      </c>
      <c r="G935">
        <v>932</v>
      </c>
      <c r="H935">
        <f t="shared" si="170"/>
        <v>4.941017707383139E+26</v>
      </c>
      <c r="I935">
        <f t="shared" si="171"/>
        <v>4.9410177073831397E+26</v>
      </c>
      <c r="J935" s="1">
        <f t="shared" si="172"/>
        <v>1</v>
      </c>
      <c r="K935" s="1">
        <f t="shared" si="173"/>
        <v>4.9410177073831397E+26</v>
      </c>
      <c r="L935" s="1">
        <f t="shared" si="174"/>
        <v>2.6450914793524406E+26</v>
      </c>
      <c r="M935" s="3">
        <f t="shared" si="175"/>
        <v>427713287206.83887</v>
      </c>
      <c r="N935" s="7">
        <f t="shared" si="180"/>
        <v>2.6450914793524399E+26</v>
      </c>
      <c r="O935" s="7">
        <f t="shared" si="176"/>
        <v>427713287206</v>
      </c>
      <c r="P935" s="3">
        <f>SUM($O$4:O935)</f>
        <v>23391076894439</v>
      </c>
      <c r="Y935" s="3">
        <f t="shared" si="177"/>
        <v>932</v>
      </c>
      <c r="Z935" s="3">
        <f t="shared" si="178"/>
        <v>5.2220694763015804E+22</v>
      </c>
      <c r="AA935" s="7"/>
      <c r="AB935" s="7">
        <f t="shared" si="179"/>
        <v>13040</v>
      </c>
    </row>
    <row r="936" spans="6:28" x14ac:dyDescent="0.15">
      <c r="F936">
        <f t="shared" si="169"/>
        <v>134</v>
      </c>
      <c r="G936">
        <v>933</v>
      </c>
      <c r="H936">
        <f t="shared" si="170"/>
        <v>4.941017707383139E+26</v>
      </c>
      <c r="I936">
        <f t="shared" si="171"/>
        <v>4.9410177073831397E+26</v>
      </c>
      <c r="J936" s="1">
        <f t="shared" si="172"/>
        <v>1</v>
      </c>
      <c r="K936" s="1">
        <f t="shared" si="173"/>
        <v>4.9410177073831397E+26</v>
      </c>
      <c r="L936" s="1">
        <f t="shared" si="174"/>
        <v>2.6450914793524406E+26</v>
      </c>
      <c r="M936" s="3">
        <f t="shared" si="175"/>
        <v>427713287206.83887</v>
      </c>
      <c r="N936" s="7">
        <f t="shared" si="180"/>
        <v>2.6450914793524399E+26</v>
      </c>
      <c r="O936" s="7">
        <f t="shared" si="176"/>
        <v>427713287206</v>
      </c>
      <c r="P936" s="3">
        <f>SUM($O$4:O936)</f>
        <v>23818790181645</v>
      </c>
      <c r="Y936" s="3">
        <f t="shared" si="177"/>
        <v>933</v>
      </c>
      <c r="Z936" s="3">
        <f t="shared" si="178"/>
        <v>5.4890561828957496E+22</v>
      </c>
      <c r="AA936" s="7"/>
      <c r="AB936" s="7">
        <f t="shared" si="179"/>
        <v>13040</v>
      </c>
    </row>
    <row r="937" spans="6:28" x14ac:dyDescent="0.15">
      <c r="F937">
        <f t="shared" si="169"/>
        <v>134</v>
      </c>
      <c r="G937">
        <v>934</v>
      </c>
      <c r="H937">
        <f t="shared" si="170"/>
        <v>4.941017707383139E+26</v>
      </c>
      <c r="I937">
        <f t="shared" si="171"/>
        <v>4.9410177073831397E+26</v>
      </c>
      <c r="J937" s="1">
        <f t="shared" si="172"/>
        <v>1</v>
      </c>
      <c r="K937" s="1">
        <f t="shared" si="173"/>
        <v>4.9410177073831397E+26</v>
      </c>
      <c r="L937" s="1">
        <f t="shared" si="174"/>
        <v>2.6450914793524406E+26</v>
      </c>
      <c r="M937" s="3">
        <f t="shared" si="175"/>
        <v>427713287206.83887</v>
      </c>
      <c r="N937" s="7">
        <f t="shared" si="180"/>
        <v>2.6450914793524399E+26</v>
      </c>
      <c r="O937" s="7">
        <f t="shared" si="176"/>
        <v>427713287206</v>
      </c>
      <c r="P937" s="3">
        <f>SUM($O$4:O937)</f>
        <v>24246503468851</v>
      </c>
      <c r="Y937" s="3">
        <f t="shared" si="177"/>
        <v>934</v>
      </c>
      <c r="Z937" s="3">
        <f t="shared" si="178"/>
        <v>5.7696863864585898E+22</v>
      </c>
      <c r="AA937" s="7"/>
      <c r="AB937" s="7">
        <f t="shared" si="179"/>
        <v>13040</v>
      </c>
    </row>
    <row r="938" spans="6:28" x14ac:dyDescent="0.15">
      <c r="F938">
        <f t="shared" si="169"/>
        <v>134</v>
      </c>
      <c r="G938">
        <v>935</v>
      </c>
      <c r="H938">
        <f t="shared" si="170"/>
        <v>4.941017707383139E+26</v>
      </c>
      <c r="I938">
        <f t="shared" si="171"/>
        <v>4.9410177073831397E+26</v>
      </c>
      <c r="J938" s="1">
        <f t="shared" si="172"/>
        <v>1</v>
      </c>
      <c r="K938" s="1">
        <f t="shared" si="173"/>
        <v>4.9410177073831397E+26</v>
      </c>
      <c r="L938" s="1">
        <f t="shared" si="174"/>
        <v>2.6450914793524406E+26</v>
      </c>
      <c r="M938" s="3">
        <f t="shared" si="175"/>
        <v>427713287206.83887</v>
      </c>
      <c r="N938" s="7">
        <f t="shared" si="180"/>
        <v>2.6450914793524399E+26</v>
      </c>
      <c r="O938" s="7">
        <f t="shared" si="176"/>
        <v>427713287206</v>
      </c>
      <c r="P938" s="3">
        <f>SUM($O$4:O938)</f>
        <v>24674216756057</v>
      </c>
      <c r="Y938" s="3">
        <f t="shared" si="177"/>
        <v>935</v>
      </c>
      <c r="Z938" s="3">
        <f t="shared" si="178"/>
        <v>6.0646569699204703E+22</v>
      </c>
      <c r="AA938" s="7"/>
      <c r="AB938" s="7">
        <f t="shared" si="179"/>
        <v>13040</v>
      </c>
    </row>
    <row r="939" spans="6:28" x14ac:dyDescent="0.15">
      <c r="F939">
        <f t="shared" si="169"/>
        <v>134</v>
      </c>
      <c r="G939">
        <v>936</v>
      </c>
      <c r="H939">
        <f t="shared" si="170"/>
        <v>4.941017707383139E+26</v>
      </c>
      <c r="I939">
        <f t="shared" si="171"/>
        <v>4.9410177073831397E+26</v>
      </c>
      <c r="J939" s="1">
        <f t="shared" si="172"/>
        <v>1</v>
      </c>
      <c r="K939" s="1">
        <f t="shared" si="173"/>
        <v>4.9410177073831397E+26</v>
      </c>
      <c r="L939" s="1">
        <f t="shared" si="174"/>
        <v>2.6450914793524406E+26</v>
      </c>
      <c r="M939" s="3">
        <f t="shared" si="175"/>
        <v>427713287206.83887</v>
      </c>
      <c r="N939" s="7">
        <f t="shared" si="180"/>
        <v>2.6450914793524399E+26</v>
      </c>
      <c r="O939" s="7">
        <f t="shared" si="176"/>
        <v>427713287206</v>
      </c>
      <c r="P939" s="3">
        <f>SUM($O$4:O939)</f>
        <v>25101930043263</v>
      </c>
      <c r="Y939" s="3">
        <f t="shared" si="177"/>
        <v>936</v>
      </c>
      <c r="Z939" s="3">
        <f t="shared" si="178"/>
        <v>6.3747003957624003E+22</v>
      </c>
      <c r="AA939" s="7"/>
      <c r="AB939" s="7">
        <f t="shared" si="179"/>
        <v>13040</v>
      </c>
    </row>
    <row r="940" spans="6:28" x14ac:dyDescent="0.15">
      <c r="F940">
        <f t="shared" si="169"/>
        <v>134</v>
      </c>
      <c r="G940">
        <v>937</v>
      </c>
      <c r="H940">
        <f t="shared" si="170"/>
        <v>4.941017707383139E+26</v>
      </c>
      <c r="I940">
        <f t="shared" si="171"/>
        <v>4.9410177073831397E+26</v>
      </c>
      <c r="J940" s="1">
        <f t="shared" si="172"/>
        <v>1</v>
      </c>
      <c r="K940" s="1">
        <f t="shared" si="173"/>
        <v>4.9410177073831397E+26</v>
      </c>
      <c r="L940" s="1">
        <f t="shared" si="174"/>
        <v>2.6450914793524406E+26</v>
      </c>
      <c r="M940" s="3">
        <f t="shared" si="175"/>
        <v>427713287206.83887</v>
      </c>
      <c r="N940" s="7">
        <f t="shared" si="180"/>
        <v>2.6450914793524399E+26</v>
      </c>
      <c r="O940" s="7">
        <f t="shared" si="176"/>
        <v>427713287206</v>
      </c>
      <c r="P940" s="3">
        <f>SUM($O$4:O940)</f>
        <v>25529643330469</v>
      </c>
      <c r="Y940" s="3">
        <f t="shared" si="177"/>
        <v>937</v>
      </c>
      <c r="Z940" s="3">
        <f t="shared" si="178"/>
        <v>6.7005865217637099E+22</v>
      </c>
      <c r="AA940" s="7"/>
      <c r="AB940" s="7">
        <f t="shared" si="179"/>
        <v>13040</v>
      </c>
    </row>
    <row r="941" spans="6:28" x14ac:dyDescent="0.15">
      <c r="F941">
        <f t="shared" si="169"/>
        <v>134</v>
      </c>
      <c r="G941">
        <v>938</v>
      </c>
      <c r="H941">
        <f t="shared" si="170"/>
        <v>4.941017707383139E+26</v>
      </c>
      <c r="I941">
        <f t="shared" si="171"/>
        <v>4.9410177073831397E+26</v>
      </c>
      <c r="J941" s="1">
        <f t="shared" si="172"/>
        <v>7</v>
      </c>
      <c r="K941" s="1">
        <f t="shared" si="173"/>
        <v>3.4587123951681979E+27</v>
      </c>
      <c r="L941" s="1">
        <f t="shared" si="174"/>
        <v>1.8515640355467086E+27</v>
      </c>
      <c r="M941" s="3">
        <f t="shared" si="175"/>
        <v>2993993010447.8721</v>
      </c>
      <c r="N941" s="7">
        <f t="shared" si="180"/>
        <v>1.85156403554671E+27</v>
      </c>
      <c r="O941" s="7">
        <f t="shared" si="176"/>
        <v>2993993010447</v>
      </c>
      <c r="P941" s="3">
        <f>SUM($O$4:O941)</f>
        <v>28523636340916</v>
      </c>
      <c r="Y941" s="3">
        <f t="shared" si="177"/>
        <v>938</v>
      </c>
      <c r="Z941" s="3">
        <f t="shared" si="178"/>
        <v>7.0431245093757499E+22</v>
      </c>
      <c r="AA941" s="7"/>
      <c r="AB941" s="7">
        <f t="shared" si="179"/>
        <v>13040</v>
      </c>
    </row>
    <row r="942" spans="6:28" x14ac:dyDescent="0.15">
      <c r="F942">
        <f t="shared" si="169"/>
        <v>135</v>
      </c>
      <c r="G942">
        <v>939</v>
      </c>
      <c r="H942">
        <f t="shared" si="170"/>
        <v>7.7573978005915281E+26</v>
      </c>
      <c r="I942">
        <f t="shared" si="171"/>
        <v>7.7573978005915294E+26</v>
      </c>
      <c r="J942" s="1">
        <f t="shared" si="172"/>
        <v>1</v>
      </c>
      <c r="K942" s="1">
        <f t="shared" si="173"/>
        <v>7.7573978005915294E+26</v>
      </c>
      <c r="L942" s="1">
        <f t="shared" si="174"/>
        <v>4.1760658159851069E+26</v>
      </c>
      <c r="M942" s="3">
        <f t="shared" si="175"/>
        <v>519440763184.83569</v>
      </c>
      <c r="N942" s="7">
        <f t="shared" si="180"/>
        <v>4.1760658159851103E+26</v>
      </c>
      <c r="O942" s="7">
        <f t="shared" si="176"/>
        <v>519440763184</v>
      </c>
      <c r="P942" s="3">
        <f>SUM($O$4:O942)</f>
        <v>29043077104100</v>
      </c>
      <c r="Y942" s="3">
        <f t="shared" si="177"/>
        <v>939</v>
      </c>
      <c r="Z942" s="3">
        <f t="shared" si="178"/>
        <v>7.4031648294445899E+22</v>
      </c>
      <c r="AA942" s="7"/>
      <c r="AB942" s="7">
        <f t="shared" si="179"/>
        <v>13040</v>
      </c>
    </row>
    <row r="943" spans="6:28" x14ac:dyDescent="0.15">
      <c r="F943">
        <f t="shared" si="169"/>
        <v>135</v>
      </c>
      <c r="G943">
        <v>940</v>
      </c>
      <c r="H943">
        <f t="shared" si="170"/>
        <v>7.7573978005915281E+26</v>
      </c>
      <c r="I943">
        <f t="shared" si="171"/>
        <v>7.7573978005915294E+26</v>
      </c>
      <c r="J943" s="1">
        <f t="shared" si="172"/>
        <v>1</v>
      </c>
      <c r="K943" s="1">
        <f t="shared" si="173"/>
        <v>7.7573978005915294E+26</v>
      </c>
      <c r="L943" s="1">
        <f t="shared" si="174"/>
        <v>4.1760658159851069E+26</v>
      </c>
      <c r="M943" s="3">
        <f t="shared" si="175"/>
        <v>519440763184.83569</v>
      </c>
      <c r="N943" s="7">
        <f t="shared" si="180"/>
        <v>4.1760658159851103E+26</v>
      </c>
      <c r="O943" s="7">
        <f t="shared" si="176"/>
        <v>519440763184</v>
      </c>
      <c r="P943" s="3">
        <f>SUM($O$4:O943)</f>
        <v>29562517867284</v>
      </c>
      <c r="Y943" s="3">
        <f t="shared" si="177"/>
        <v>940</v>
      </c>
      <c r="Z943" s="3">
        <f t="shared" si="178"/>
        <v>7.7816013702468695E+22</v>
      </c>
      <c r="AA943" s="7"/>
      <c r="AB943" s="7">
        <f t="shared" si="179"/>
        <v>13040</v>
      </c>
    </row>
    <row r="944" spans="6:28" x14ac:dyDescent="0.15">
      <c r="F944">
        <f t="shared" si="169"/>
        <v>135</v>
      </c>
      <c r="G944">
        <v>941</v>
      </c>
      <c r="H944">
        <f t="shared" si="170"/>
        <v>7.7573978005915281E+26</v>
      </c>
      <c r="I944">
        <f t="shared" si="171"/>
        <v>7.7573978005915294E+26</v>
      </c>
      <c r="J944" s="1">
        <f t="shared" si="172"/>
        <v>1</v>
      </c>
      <c r="K944" s="1">
        <f t="shared" si="173"/>
        <v>7.7573978005915294E+26</v>
      </c>
      <c r="L944" s="1">
        <f t="shared" si="174"/>
        <v>4.1760658159851069E+26</v>
      </c>
      <c r="M944" s="3">
        <f t="shared" si="175"/>
        <v>519440763184.83569</v>
      </c>
      <c r="N944" s="7">
        <f t="shared" si="180"/>
        <v>4.1760658159851103E+26</v>
      </c>
      <c r="O944" s="7">
        <f t="shared" si="176"/>
        <v>519440763184</v>
      </c>
      <c r="P944" s="3">
        <f>SUM($O$4:O944)</f>
        <v>30081958630468</v>
      </c>
      <c r="Y944" s="3">
        <f t="shared" si="177"/>
        <v>941</v>
      </c>
      <c r="Z944" s="3">
        <f t="shared" si="178"/>
        <v>8.1793736530557594E+22</v>
      </c>
      <c r="AA944" s="7"/>
      <c r="AB944" s="7">
        <f t="shared" si="179"/>
        <v>13040</v>
      </c>
    </row>
    <row r="945" spans="6:28" x14ac:dyDescent="0.15">
      <c r="F945">
        <f t="shared" si="169"/>
        <v>135</v>
      </c>
      <c r="G945">
        <v>942</v>
      </c>
      <c r="H945">
        <f t="shared" si="170"/>
        <v>7.7573978005915281E+26</v>
      </c>
      <c r="I945">
        <f t="shared" si="171"/>
        <v>7.7573978005915294E+26</v>
      </c>
      <c r="J945" s="1">
        <f t="shared" si="172"/>
        <v>1</v>
      </c>
      <c r="K945" s="1">
        <f t="shared" si="173"/>
        <v>7.7573978005915294E+26</v>
      </c>
      <c r="L945" s="1">
        <f t="shared" si="174"/>
        <v>4.1760658159851069E+26</v>
      </c>
      <c r="M945" s="3">
        <f t="shared" si="175"/>
        <v>519440763184.83569</v>
      </c>
      <c r="N945" s="7">
        <f t="shared" si="180"/>
        <v>4.1760658159851103E+26</v>
      </c>
      <c r="O945" s="7">
        <f t="shared" si="176"/>
        <v>519440763184</v>
      </c>
      <c r="P945" s="3">
        <f>SUM($O$4:O945)</f>
        <v>30601399393652</v>
      </c>
      <c r="Y945" s="3">
        <f t="shared" si="177"/>
        <v>942</v>
      </c>
      <c r="Z945" s="3">
        <f t="shared" si="178"/>
        <v>8.59746916071993E+22</v>
      </c>
      <c r="AA945" s="7"/>
      <c r="AB945" s="7">
        <f t="shared" si="179"/>
        <v>13040</v>
      </c>
    </row>
    <row r="946" spans="6:28" x14ac:dyDescent="0.15">
      <c r="F946">
        <f t="shared" si="169"/>
        <v>135</v>
      </c>
      <c r="G946">
        <v>943</v>
      </c>
      <c r="H946">
        <f t="shared" si="170"/>
        <v>7.7573978005915281E+26</v>
      </c>
      <c r="I946">
        <f t="shared" si="171"/>
        <v>7.7573978005915294E+26</v>
      </c>
      <c r="J946" s="1">
        <f t="shared" si="172"/>
        <v>1</v>
      </c>
      <c r="K946" s="1">
        <f t="shared" si="173"/>
        <v>7.7573978005915294E+26</v>
      </c>
      <c r="L946" s="1">
        <f t="shared" si="174"/>
        <v>4.1760658159851069E+26</v>
      </c>
      <c r="M946" s="3">
        <f t="shared" si="175"/>
        <v>519440763184.83569</v>
      </c>
      <c r="N946" s="7">
        <f t="shared" si="180"/>
        <v>4.1760658159851103E+26</v>
      </c>
      <c r="O946" s="7">
        <f t="shared" si="176"/>
        <v>519440763184</v>
      </c>
      <c r="P946" s="3">
        <f>SUM($O$4:O946)</f>
        <v>31120840156836</v>
      </c>
      <c r="Y946" s="3">
        <f t="shared" si="177"/>
        <v>943</v>
      </c>
      <c r="Z946" s="3">
        <f t="shared" si="178"/>
        <v>9.0369257850178799E+22</v>
      </c>
      <c r="AA946" s="7"/>
      <c r="AB946" s="7">
        <f t="shared" si="179"/>
        <v>13040</v>
      </c>
    </row>
    <row r="947" spans="6:28" x14ac:dyDescent="0.15">
      <c r="F947">
        <f t="shared" si="169"/>
        <v>135</v>
      </c>
      <c r="G947">
        <v>944</v>
      </c>
      <c r="H947">
        <f t="shared" si="170"/>
        <v>7.7573978005915281E+26</v>
      </c>
      <c r="I947">
        <f t="shared" si="171"/>
        <v>7.7573978005915294E+26</v>
      </c>
      <c r="J947" s="1">
        <f t="shared" si="172"/>
        <v>1</v>
      </c>
      <c r="K947" s="1">
        <f t="shared" si="173"/>
        <v>7.7573978005915294E+26</v>
      </c>
      <c r="L947" s="1">
        <f t="shared" si="174"/>
        <v>4.1760658159851069E+26</v>
      </c>
      <c r="M947" s="3">
        <f t="shared" si="175"/>
        <v>519440763184.83569</v>
      </c>
      <c r="N947" s="7">
        <f t="shared" si="180"/>
        <v>4.1760658159851103E+26</v>
      </c>
      <c r="O947" s="7">
        <f t="shared" si="176"/>
        <v>519440763184</v>
      </c>
      <c r="P947" s="3">
        <f>SUM($O$4:O947)</f>
        <v>31640280920020</v>
      </c>
      <c r="Y947" s="3">
        <f t="shared" si="177"/>
        <v>944</v>
      </c>
      <c r="Z947" s="3">
        <f t="shared" si="178"/>
        <v>9.4988343988438193E+22</v>
      </c>
      <c r="AA947" s="7"/>
      <c r="AB947" s="7">
        <f t="shared" si="179"/>
        <v>13040</v>
      </c>
    </row>
    <row r="948" spans="6:28" x14ac:dyDescent="0.15">
      <c r="F948">
        <f t="shared" si="169"/>
        <v>135</v>
      </c>
      <c r="G948">
        <v>945</v>
      </c>
      <c r="H948">
        <f t="shared" si="170"/>
        <v>7.7573978005915281E+26</v>
      </c>
      <c r="I948">
        <f t="shared" si="171"/>
        <v>7.7573978005915294E+26</v>
      </c>
      <c r="J948" s="1">
        <f t="shared" si="172"/>
        <v>10</v>
      </c>
      <c r="K948" s="1">
        <f t="shared" si="173"/>
        <v>7.7573978005915289E+27</v>
      </c>
      <c r="L948" s="1">
        <f t="shared" si="174"/>
        <v>4.1760658159851069E+27</v>
      </c>
      <c r="M948" s="3">
        <f t="shared" si="175"/>
        <v>5194407631848.3574</v>
      </c>
      <c r="N948" s="7">
        <f t="shared" si="180"/>
        <v>4.1760658159851102E+27</v>
      </c>
      <c r="O948" s="7">
        <f t="shared" si="176"/>
        <v>5194407631848</v>
      </c>
      <c r="P948" s="3">
        <f>SUM($O$4:O948)</f>
        <v>36834688551868</v>
      </c>
      <c r="Y948" s="3">
        <f t="shared" si="177"/>
        <v>945</v>
      </c>
      <c r="Z948" s="3">
        <f t="shared" si="178"/>
        <v>9.9843415595898108E+22</v>
      </c>
      <c r="AA948" s="7"/>
      <c r="AB948" s="7">
        <f t="shared" si="179"/>
        <v>13040</v>
      </c>
    </row>
    <row r="949" spans="6:28" x14ac:dyDescent="0.15">
      <c r="F949">
        <f t="shared" si="169"/>
        <v>136</v>
      </c>
      <c r="G949">
        <v>946</v>
      </c>
      <c r="H949">
        <f t="shared" si="170"/>
        <v>1.2179114546928697E+27</v>
      </c>
      <c r="I949">
        <f t="shared" si="171"/>
        <v>1.21791145469287E+27</v>
      </c>
      <c r="J949" s="1">
        <f t="shared" si="172"/>
        <v>1</v>
      </c>
      <c r="K949" s="1">
        <f t="shared" si="173"/>
        <v>1.21791145469287E+27</v>
      </c>
      <c r="L949" s="1">
        <f t="shared" si="174"/>
        <v>6.5929606747374024E+26</v>
      </c>
      <c r="M949" s="3">
        <f t="shared" si="175"/>
        <v>630820540641.63464</v>
      </c>
      <c r="N949" s="7">
        <f t="shared" si="180"/>
        <v>6.5929606747373996E+26</v>
      </c>
      <c r="O949" s="7">
        <f t="shared" si="176"/>
        <v>630820540641</v>
      </c>
      <c r="P949" s="3">
        <f>SUM($O$4:O949)</f>
        <v>37465509092509</v>
      </c>
      <c r="Y949" s="3">
        <f t="shared" si="177"/>
        <v>946</v>
      </c>
      <c r="Z949" s="3">
        <f t="shared" si="178"/>
        <v>1.0494652350413299E+23</v>
      </c>
      <c r="AA949" s="7"/>
      <c r="AB949" s="7">
        <f t="shared" si="179"/>
        <v>13040</v>
      </c>
    </row>
    <row r="950" spans="6:28" x14ac:dyDescent="0.15">
      <c r="F950">
        <f t="shared" si="169"/>
        <v>136</v>
      </c>
      <c r="G950">
        <v>947</v>
      </c>
      <c r="H950">
        <f t="shared" si="170"/>
        <v>1.2179114546928697E+27</v>
      </c>
      <c r="I950">
        <f t="shared" si="171"/>
        <v>1.21791145469287E+27</v>
      </c>
      <c r="J950" s="1">
        <f t="shared" si="172"/>
        <v>1</v>
      </c>
      <c r="K950" s="1">
        <f t="shared" si="173"/>
        <v>1.21791145469287E+27</v>
      </c>
      <c r="L950" s="1">
        <f t="shared" si="174"/>
        <v>6.5929606747374024E+26</v>
      </c>
      <c r="M950" s="3">
        <f t="shared" si="175"/>
        <v>630820540641.63464</v>
      </c>
      <c r="N950" s="7">
        <f t="shared" si="180"/>
        <v>6.5929606747373996E+26</v>
      </c>
      <c r="O950" s="7">
        <f t="shared" si="176"/>
        <v>630820540641</v>
      </c>
      <c r="P950" s="3">
        <f>SUM($O$4:O950)</f>
        <v>38096329633150</v>
      </c>
      <c r="Y950" s="3">
        <f t="shared" si="177"/>
        <v>947</v>
      </c>
      <c r="Z950" s="3">
        <f t="shared" si="178"/>
        <v>1.10310333664201E+23</v>
      </c>
      <c r="AA950" s="7"/>
      <c r="AB950" s="7">
        <f t="shared" si="179"/>
        <v>13040</v>
      </c>
    </row>
    <row r="951" spans="6:28" x14ac:dyDescent="0.15">
      <c r="F951">
        <f t="shared" si="169"/>
        <v>136</v>
      </c>
      <c r="G951">
        <v>948</v>
      </c>
      <c r="H951">
        <f t="shared" si="170"/>
        <v>1.2179114546928697E+27</v>
      </c>
      <c r="I951">
        <f t="shared" si="171"/>
        <v>1.21791145469287E+27</v>
      </c>
      <c r="J951" s="1">
        <f t="shared" si="172"/>
        <v>1</v>
      </c>
      <c r="K951" s="1">
        <f t="shared" si="173"/>
        <v>1.21791145469287E+27</v>
      </c>
      <c r="L951" s="1">
        <f t="shared" si="174"/>
        <v>6.5929606747374024E+26</v>
      </c>
      <c r="M951" s="3">
        <f t="shared" si="175"/>
        <v>630820540641.63464</v>
      </c>
      <c r="N951" s="7">
        <f t="shared" si="180"/>
        <v>6.5929606747373996E+26</v>
      </c>
      <c r="O951" s="7">
        <f t="shared" si="176"/>
        <v>630820540641</v>
      </c>
      <c r="P951" s="3">
        <f>SUM($O$4:O951)</f>
        <v>38727150173791</v>
      </c>
      <c r="Y951" s="3">
        <f t="shared" si="177"/>
        <v>948</v>
      </c>
      <c r="Z951" s="3">
        <f t="shared" si="178"/>
        <v>1.15948158531516E+23</v>
      </c>
      <c r="AA951" s="7"/>
      <c r="AB951" s="7">
        <f t="shared" si="179"/>
        <v>13040</v>
      </c>
    </row>
    <row r="952" spans="6:28" x14ac:dyDescent="0.15">
      <c r="F952">
        <f t="shared" si="169"/>
        <v>136</v>
      </c>
      <c r="G952">
        <v>949</v>
      </c>
      <c r="H952">
        <f t="shared" si="170"/>
        <v>1.2179114546928697E+27</v>
      </c>
      <c r="I952">
        <f t="shared" si="171"/>
        <v>1.21791145469287E+27</v>
      </c>
      <c r="J952" s="1">
        <f t="shared" si="172"/>
        <v>1</v>
      </c>
      <c r="K952" s="1">
        <f t="shared" si="173"/>
        <v>1.21791145469287E+27</v>
      </c>
      <c r="L952" s="1">
        <f t="shared" si="174"/>
        <v>6.5929606747374024E+26</v>
      </c>
      <c r="M952" s="3">
        <f t="shared" si="175"/>
        <v>630820540641.63464</v>
      </c>
      <c r="N952" s="7">
        <f t="shared" si="180"/>
        <v>6.5929606747373996E+26</v>
      </c>
      <c r="O952" s="7">
        <f t="shared" si="176"/>
        <v>630820540641</v>
      </c>
      <c r="P952" s="3">
        <f>SUM($O$4:O952)</f>
        <v>39357970714432</v>
      </c>
      <c r="Y952" s="3">
        <f t="shared" si="177"/>
        <v>949</v>
      </c>
      <c r="Z952" s="3">
        <f t="shared" si="178"/>
        <v>1.21873990051402E+23</v>
      </c>
      <c r="AA952" s="7"/>
      <c r="AB952" s="7">
        <f t="shared" si="179"/>
        <v>13040</v>
      </c>
    </row>
    <row r="953" spans="6:28" x14ac:dyDescent="0.15">
      <c r="F953">
        <f t="shared" si="169"/>
        <v>136</v>
      </c>
      <c r="G953">
        <v>950</v>
      </c>
      <c r="H953">
        <f t="shared" si="170"/>
        <v>1.2179114546928697E+27</v>
      </c>
      <c r="I953">
        <f t="shared" si="171"/>
        <v>1.21791145469287E+27</v>
      </c>
      <c r="J953" s="1">
        <f t="shared" si="172"/>
        <v>1</v>
      </c>
      <c r="K953" s="1">
        <f t="shared" si="173"/>
        <v>1.21791145469287E+27</v>
      </c>
      <c r="L953" s="1">
        <f t="shared" si="174"/>
        <v>6.5929606747374024E+26</v>
      </c>
      <c r="M953" s="3">
        <f t="shared" si="175"/>
        <v>630820540641.63464</v>
      </c>
      <c r="N953" s="7">
        <f t="shared" si="180"/>
        <v>6.5929606747373996E+26</v>
      </c>
      <c r="O953" s="7">
        <f t="shared" si="176"/>
        <v>630820540641</v>
      </c>
      <c r="P953" s="3">
        <f>SUM($O$4:O953)</f>
        <v>39988791255073</v>
      </c>
      <c r="Y953" s="3">
        <f t="shared" si="177"/>
        <v>950</v>
      </c>
      <c r="Z953" s="3">
        <f t="shared" si="178"/>
        <v>1.2810253432694799E+23</v>
      </c>
      <c r="AA953" s="7"/>
      <c r="AB953" s="7">
        <f t="shared" si="179"/>
        <v>13040</v>
      </c>
    </row>
    <row r="954" spans="6:28" x14ac:dyDescent="0.15">
      <c r="F954">
        <f t="shared" si="169"/>
        <v>136</v>
      </c>
      <c r="G954">
        <v>951</v>
      </c>
      <c r="H954">
        <f t="shared" si="170"/>
        <v>1.2179114546928697E+27</v>
      </c>
      <c r="I954">
        <f t="shared" si="171"/>
        <v>1.21791145469287E+27</v>
      </c>
      <c r="J954" s="1">
        <f t="shared" si="172"/>
        <v>1</v>
      </c>
      <c r="K954" s="1">
        <f t="shared" si="173"/>
        <v>1.21791145469287E+27</v>
      </c>
      <c r="L954" s="1">
        <f t="shared" si="174"/>
        <v>6.5929606747374024E+26</v>
      </c>
      <c r="M954" s="3">
        <f t="shared" si="175"/>
        <v>630820540641.63464</v>
      </c>
      <c r="N954" s="7">
        <f t="shared" si="180"/>
        <v>6.5929606747373996E+26</v>
      </c>
      <c r="O954" s="7">
        <f t="shared" si="176"/>
        <v>630820540641</v>
      </c>
      <c r="P954" s="3">
        <f>SUM($O$4:O954)</f>
        <v>40619611795714</v>
      </c>
      <c r="Y954" s="3">
        <f t="shared" si="177"/>
        <v>951</v>
      </c>
      <c r="Z954" s="3">
        <f t="shared" si="178"/>
        <v>1.3464924805492001E+23</v>
      </c>
      <c r="AA954" s="7"/>
      <c r="AB954" s="7">
        <f t="shared" si="179"/>
        <v>13040</v>
      </c>
    </row>
    <row r="955" spans="6:28" x14ac:dyDescent="0.15">
      <c r="F955">
        <f t="shared" si="169"/>
        <v>136</v>
      </c>
      <c r="G955">
        <v>952</v>
      </c>
      <c r="H955">
        <f t="shared" si="170"/>
        <v>1.2179114546928697E+27</v>
      </c>
      <c r="I955">
        <f t="shared" si="171"/>
        <v>1.21791145469287E+27</v>
      </c>
      <c r="J955" s="1">
        <f t="shared" si="172"/>
        <v>2</v>
      </c>
      <c r="K955" s="1">
        <f t="shared" si="173"/>
        <v>2.43582290938574E+27</v>
      </c>
      <c r="L955" s="1">
        <f t="shared" si="174"/>
        <v>1.3185921349474805E+27</v>
      </c>
      <c r="M955" s="3">
        <f t="shared" si="175"/>
        <v>1261641081283.2693</v>
      </c>
      <c r="N955" s="7">
        <f t="shared" si="180"/>
        <v>1.3185921349474799E+27</v>
      </c>
      <c r="O955" s="7">
        <f t="shared" si="176"/>
        <v>1261641081283</v>
      </c>
      <c r="P955" s="3">
        <f>SUM($O$4:O955)</f>
        <v>41881252876997</v>
      </c>
      <c r="Y955" s="3">
        <f t="shared" si="177"/>
        <v>952</v>
      </c>
      <c r="Z955" s="3">
        <f t="shared" si="178"/>
        <v>1.41530376819872E+23</v>
      </c>
      <c r="AA955" s="7"/>
      <c r="AB955" s="7">
        <f t="shared" si="179"/>
        <v>13040</v>
      </c>
    </row>
    <row r="956" spans="6:28" x14ac:dyDescent="0.15">
      <c r="F956">
        <f t="shared" si="169"/>
        <v>137</v>
      </c>
      <c r="G956">
        <v>953</v>
      </c>
      <c r="H956">
        <f t="shared" si="170"/>
        <v>1.9121209838678056E+27</v>
      </c>
      <c r="I956">
        <f t="shared" si="171"/>
        <v>1.91212098386781E+27</v>
      </c>
      <c r="J956" s="1">
        <f t="shared" si="172"/>
        <v>1</v>
      </c>
      <c r="K956" s="1">
        <f t="shared" si="173"/>
        <v>1.91212098386781E+27</v>
      </c>
      <c r="L956" s="1">
        <f t="shared" si="174"/>
        <v>1.0408311888853781E+27</v>
      </c>
      <c r="M956" s="3">
        <f t="shared" si="175"/>
        <v>766059118180.38708</v>
      </c>
      <c r="N956" s="7">
        <f t="shared" si="180"/>
        <v>1.04083118888538E+27</v>
      </c>
      <c r="O956" s="7">
        <f t="shared" si="176"/>
        <v>766059118180</v>
      </c>
      <c r="P956" s="3">
        <f>SUM($O$4:O956)</f>
        <v>42647311995177</v>
      </c>
      <c r="Y956" s="3">
        <f t="shared" si="177"/>
        <v>953</v>
      </c>
      <c r="Z956" s="3">
        <f t="shared" si="178"/>
        <v>1.4876299534118201E+23</v>
      </c>
      <c r="AA956" s="7"/>
      <c r="AB956" s="7">
        <f t="shared" si="179"/>
        <v>13040</v>
      </c>
    </row>
    <row r="957" spans="6:28" x14ac:dyDescent="0.15">
      <c r="F957">
        <f t="shared" si="169"/>
        <v>137</v>
      </c>
      <c r="G957">
        <v>954</v>
      </c>
      <c r="H957">
        <f t="shared" si="170"/>
        <v>1.9121209838678056E+27</v>
      </c>
      <c r="I957">
        <f t="shared" si="171"/>
        <v>1.91212098386781E+27</v>
      </c>
      <c r="J957" s="1">
        <f t="shared" si="172"/>
        <v>1</v>
      </c>
      <c r="K957" s="1">
        <f t="shared" si="173"/>
        <v>1.91212098386781E+27</v>
      </c>
      <c r="L957" s="1">
        <f t="shared" si="174"/>
        <v>1.0408311888853781E+27</v>
      </c>
      <c r="M957" s="3">
        <f t="shared" si="175"/>
        <v>766059118180.38708</v>
      </c>
      <c r="N957" s="7">
        <f t="shared" si="180"/>
        <v>1.04083118888538E+27</v>
      </c>
      <c r="O957" s="7">
        <f t="shared" si="176"/>
        <v>766059118180</v>
      </c>
      <c r="P957" s="3">
        <f>SUM($O$4:O957)</f>
        <v>43413371113357</v>
      </c>
      <c r="Y957" s="3">
        <f t="shared" si="177"/>
        <v>954</v>
      </c>
      <c r="Z957" s="3">
        <f t="shared" si="178"/>
        <v>1.5636504977257299E+23</v>
      </c>
      <c r="AA957" s="7"/>
      <c r="AB957" s="7">
        <f t="shared" si="179"/>
        <v>13040</v>
      </c>
    </row>
    <row r="958" spans="6:28" x14ac:dyDescent="0.15">
      <c r="F958">
        <f t="shared" si="169"/>
        <v>137</v>
      </c>
      <c r="G958">
        <v>955</v>
      </c>
      <c r="H958">
        <f t="shared" si="170"/>
        <v>1.9121209838678056E+27</v>
      </c>
      <c r="I958">
        <f t="shared" si="171"/>
        <v>1.91212098386781E+27</v>
      </c>
      <c r="J958" s="1">
        <f t="shared" si="172"/>
        <v>1</v>
      </c>
      <c r="K958" s="1">
        <f t="shared" si="173"/>
        <v>1.91212098386781E+27</v>
      </c>
      <c r="L958" s="1">
        <f t="shared" si="174"/>
        <v>1.0408311888853781E+27</v>
      </c>
      <c r="M958" s="3">
        <f t="shared" si="175"/>
        <v>766059118180.38708</v>
      </c>
      <c r="N958" s="7">
        <f t="shared" si="180"/>
        <v>1.04083118888538E+27</v>
      </c>
      <c r="O958" s="7">
        <f t="shared" si="176"/>
        <v>766059118180</v>
      </c>
      <c r="P958" s="3">
        <f>SUM($O$4:O958)</f>
        <v>44179430231537</v>
      </c>
      <c r="Y958" s="3">
        <f t="shared" si="177"/>
        <v>955</v>
      </c>
      <c r="Z958" s="3">
        <f t="shared" si="178"/>
        <v>1.6435540215875001E+23</v>
      </c>
      <c r="AA958" s="7"/>
      <c r="AB958" s="7">
        <f t="shared" si="179"/>
        <v>13040</v>
      </c>
    </row>
    <row r="959" spans="6:28" x14ac:dyDescent="0.15">
      <c r="F959">
        <f t="shared" si="169"/>
        <v>137</v>
      </c>
      <c r="G959">
        <v>956</v>
      </c>
      <c r="H959">
        <f t="shared" si="170"/>
        <v>1.9121209838678056E+27</v>
      </c>
      <c r="I959">
        <f t="shared" si="171"/>
        <v>1.91212098386781E+27</v>
      </c>
      <c r="J959" s="1">
        <f t="shared" si="172"/>
        <v>1</v>
      </c>
      <c r="K959" s="1">
        <f t="shared" si="173"/>
        <v>1.91212098386781E+27</v>
      </c>
      <c r="L959" s="1">
        <f t="shared" si="174"/>
        <v>1.0408311888853781E+27</v>
      </c>
      <c r="M959" s="3">
        <f t="shared" si="175"/>
        <v>766059118180.38708</v>
      </c>
      <c r="N959" s="7">
        <f t="shared" si="180"/>
        <v>1.04083118888538E+27</v>
      </c>
      <c r="O959" s="7">
        <f t="shared" si="176"/>
        <v>766059118180</v>
      </c>
      <c r="P959" s="3">
        <f>SUM($O$4:O959)</f>
        <v>44945489349717</v>
      </c>
      <c r="Y959" s="3">
        <f t="shared" si="177"/>
        <v>956</v>
      </c>
      <c r="Z959" s="3">
        <f t="shared" si="178"/>
        <v>1.7275387715911299E+23</v>
      </c>
      <c r="AA959" s="7"/>
      <c r="AB959" s="7">
        <f t="shared" si="179"/>
        <v>13040</v>
      </c>
    </row>
    <row r="960" spans="6:28" x14ac:dyDescent="0.15">
      <c r="F960">
        <f t="shared" si="169"/>
        <v>137</v>
      </c>
      <c r="G960">
        <v>957</v>
      </c>
      <c r="H960">
        <f t="shared" si="170"/>
        <v>1.9121209838678056E+27</v>
      </c>
      <c r="I960">
        <f t="shared" si="171"/>
        <v>1.91212098386781E+27</v>
      </c>
      <c r="J960" s="1">
        <f t="shared" si="172"/>
        <v>1</v>
      </c>
      <c r="K960" s="1">
        <f t="shared" si="173"/>
        <v>1.91212098386781E+27</v>
      </c>
      <c r="L960" s="1">
        <f t="shared" si="174"/>
        <v>1.0408311888853781E+27</v>
      </c>
      <c r="M960" s="3">
        <f t="shared" si="175"/>
        <v>766059118180.38708</v>
      </c>
      <c r="N960" s="7">
        <f t="shared" si="180"/>
        <v>1.04083118888538E+27</v>
      </c>
      <c r="O960" s="7">
        <f t="shared" si="176"/>
        <v>766059118180</v>
      </c>
      <c r="P960" s="3">
        <f>SUM($O$4:O960)</f>
        <v>45711548467897</v>
      </c>
      <c r="Y960" s="3">
        <f t="shared" si="177"/>
        <v>957</v>
      </c>
      <c r="Z960" s="3">
        <f t="shared" si="178"/>
        <v>1.8158131115411601E+23</v>
      </c>
      <c r="AA960" s="7"/>
      <c r="AB960" s="7">
        <f t="shared" si="179"/>
        <v>13040</v>
      </c>
    </row>
    <row r="961" spans="6:28" x14ac:dyDescent="0.15">
      <c r="F961">
        <f t="shared" si="169"/>
        <v>137</v>
      </c>
      <c r="G961">
        <v>958</v>
      </c>
      <c r="H961">
        <f t="shared" si="170"/>
        <v>1.9121209838678056E+27</v>
      </c>
      <c r="I961">
        <f t="shared" si="171"/>
        <v>1.91212098386781E+27</v>
      </c>
      <c r="J961" s="1">
        <f t="shared" si="172"/>
        <v>1</v>
      </c>
      <c r="K961" s="1">
        <f t="shared" si="173"/>
        <v>1.91212098386781E+27</v>
      </c>
      <c r="L961" s="1">
        <f t="shared" si="174"/>
        <v>1.0408311888853781E+27</v>
      </c>
      <c r="M961" s="3">
        <f t="shared" si="175"/>
        <v>766059118180.38708</v>
      </c>
      <c r="N961" s="7">
        <f t="shared" si="180"/>
        <v>1.04083118888538E+27</v>
      </c>
      <c r="O961" s="7">
        <f t="shared" si="176"/>
        <v>766059118180</v>
      </c>
      <c r="P961" s="3">
        <f>SUM($O$4:O961)</f>
        <v>46477607586077</v>
      </c>
      <c r="Y961" s="3">
        <f t="shared" si="177"/>
        <v>958</v>
      </c>
      <c r="Z961" s="3">
        <f t="shared" si="178"/>
        <v>1.9085960385572102E+23</v>
      </c>
      <c r="AA961" s="7"/>
      <c r="AB961" s="7">
        <f t="shared" si="179"/>
        <v>13040</v>
      </c>
    </row>
    <row r="962" spans="6:28" x14ac:dyDescent="0.15">
      <c r="F962">
        <f t="shared" si="169"/>
        <v>137</v>
      </c>
      <c r="G962">
        <v>959</v>
      </c>
      <c r="H962">
        <f t="shared" si="170"/>
        <v>1.9121209838678056E+27</v>
      </c>
      <c r="I962">
        <f t="shared" si="171"/>
        <v>1.91212098386781E+27</v>
      </c>
      <c r="J962" s="1">
        <f t="shared" si="172"/>
        <v>4</v>
      </c>
      <c r="K962" s="1">
        <f t="shared" si="173"/>
        <v>7.6484839354712401E+27</v>
      </c>
      <c r="L962" s="1">
        <f t="shared" si="174"/>
        <v>4.1633247555415122E+27</v>
      </c>
      <c r="M962" s="3">
        <f t="shared" si="175"/>
        <v>3064236472721.5483</v>
      </c>
      <c r="N962" s="7">
        <f t="shared" si="180"/>
        <v>4.16332475554151E+27</v>
      </c>
      <c r="O962" s="7">
        <f t="shared" si="176"/>
        <v>3064236472721</v>
      </c>
      <c r="P962" s="3">
        <f>SUM($O$4:O962)</f>
        <v>49541844058798</v>
      </c>
      <c r="Y962" s="3">
        <f t="shared" si="177"/>
        <v>959</v>
      </c>
      <c r="Z962" s="3">
        <f t="shared" si="178"/>
        <v>2.0061177254960201E+23</v>
      </c>
      <c r="AA962" s="7"/>
      <c r="AB962" s="7">
        <f t="shared" si="179"/>
        <v>13040</v>
      </c>
    </row>
    <row r="963" spans="6:28" x14ac:dyDescent="0.15">
      <c r="F963">
        <f t="shared" si="169"/>
        <v>138</v>
      </c>
      <c r="G963">
        <v>960</v>
      </c>
      <c r="H963">
        <f t="shared" si="170"/>
        <v>3.0020299446724548E+27</v>
      </c>
      <c r="I963">
        <f t="shared" si="171"/>
        <v>3.0020299446724498E+27</v>
      </c>
      <c r="J963" s="1">
        <f t="shared" si="172"/>
        <v>1</v>
      </c>
      <c r="K963" s="1">
        <f t="shared" si="173"/>
        <v>3.0020299446724498E+27</v>
      </c>
      <c r="L963" s="1">
        <f t="shared" si="174"/>
        <v>1.643111056384054E+27</v>
      </c>
      <c r="M963" s="3">
        <f t="shared" si="175"/>
        <v>930262585671.45813</v>
      </c>
      <c r="N963" s="7">
        <f t="shared" si="180"/>
        <v>1.6431110563840501E+27</v>
      </c>
      <c r="O963" s="7">
        <f t="shared" si="176"/>
        <v>930262585671</v>
      </c>
      <c r="P963" s="3">
        <f>SUM($O$4:O963)</f>
        <v>50472106644469</v>
      </c>
      <c r="Y963" s="3">
        <f t="shared" si="177"/>
        <v>960</v>
      </c>
      <c r="Z963" s="3">
        <f t="shared" si="178"/>
        <v>2.10862009103231E+23</v>
      </c>
      <c r="AA963" s="7"/>
      <c r="AB963" s="7">
        <f t="shared" si="179"/>
        <v>13040</v>
      </c>
    </row>
    <row r="964" spans="6:28" x14ac:dyDescent="0.15">
      <c r="F964">
        <f t="shared" si="169"/>
        <v>138</v>
      </c>
      <c r="G964">
        <v>961</v>
      </c>
      <c r="H964">
        <f t="shared" si="170"/>
        <v>3.0020299446724548E+27</v>
      </c>
      <c r="I964">
        <f t="shared" si="171"/>
        <v>3.0020299446724498E+27</v>
      </c>
      <c r="J964" s="1">
        <f t="shared" si="172"/>
        <v>1</v>
      </c>
      <c r="K964" s="1">
        <f t="shared" si="173"/>
        <v>3.0020299446724498E+27</v>
      </c>
      <c r="L964" s="1">
        <f t="shared" si="174"/>
        <v>1.643111056384054E+27</v>
      </c>
      <c r="M964" s="3">
        <f t="shared" si="175"/>
        <v>930262585671.45813</v>
      </c>
      <c r="N964" s="7">
        <f t="shared" si="180"/>
        <v>1.6431110563840501E+27</v>
      </c>
      <c r="O964" s="7">
        <f t="shared" si="176"/>
        <v>930262585671</v>
      </c>
      <c r="P964" s="3">
        <f>SUM($O$4:O964)</f>
        <v>51402369230140</v>
      </c>
      <c r="Y964" s="3">
        <f t="shared" si="177"/>
        <v>961</v>
      </c>
      <c r="Z964" s="3">
        <f t="shared" si="178"/>
        <v>2.21635739880849E+23</v>
      </c>
      <c r="AA964" s="7"/>
      <c r="AB964" s="7">
        <f t="shared" si="179"/>
        <v>13040</v>
      </c>
    </row>
    <row r="965" spans="6:28" x14ac:dyDescent="0.15">
      <c r="F965">
        <f t="shared" ref="F965:F1003" si="181">ROUNDUP(G965/$C$4,0)</f>
        <v>138</v>
      </c>
      <c r="G965">
        <v>962</v>
      </c>
      <c r="H965">
        <f t="shared" ref="H965:H1003" si="182">18.5*1.57^MIN(F965,156)*1.17^MAX(F965-156,0)*$C$5</f>
        <v>3.0020299446724548E+27</v>
      </c>
      <c r="I965">
        <f t="shared" ref="I965:I1003" si="183">ROUND(H965,0)</f>
        <v>3.0020299446724498E+27</v>
      </c>
      <c r="J965" s="1">
        <f t="shared" ref="J965:J1003" si="184">IF(F965=F966,1,LOOKUP(MOD(F965,5),$D$6:$D$10,$C$6:$C$10))</f>
        <v>1</v>
      </c>
      <c r="K965" s="1">
        <f t="shared" ref="K965:K1003" si="185">J965*I965</f>
        <v>3.0020299446724498E+27</v>
      </c>
      <c r="L965" s="1">
        <f t="shared" ref="L965:L1003" si="186">K965*(0.02+0.00045*F965)/$C$5</f>
        <v>1.643111056384054E+27</v>
      </c>
      <c r="M965" s="3">
        <f t="shared" ref="M965:M1004" si="187">L965/(1.3^F965)*3</f>
        <v>930262585671.45813</v>
      </c>
      <c r="N965" s="7">
        <f t="shared" si="180"/>
        <v>1.6431110563840501E+27</v>
      </c>
      <c r="O965" s="7">
        <f t="shared" ref="O965:O1004" si="188">ROUNDDOWN(M965,0)</f>
        <v>930262585671</v>
      </c>
      <c r="P965" s="3">
        <f>SUM($O$4:O965)</f>
        <v>52332631815811</v>
      </c>
      <c r="Y965" s="3">
        <f t="shared" ref="Y965:Y1004" si="189">G965</f>
        <v>962</v>
      </c>
      <c r="Z965" s="3">
        <f t="shared" ref="Z965:Z1004" si="190">ROUND(1.05^Y965*Y965,0)</f>
        <v>2.3295968871347101E+23</v>
      </c>
      <c r="AA965" s="7"/>
      <c r="AB965" s="7">
        <f t="shared" ref="AB965:AB1004" si="191">LOOKUP(Y965,T:T,P:P)</f>
        <v>13040</v>
      </c>
    </row>
    <row r="966" spans="6:28" x14ac:dyDescent="0.15">
      <c r="F966">
        <f t="shared" si="181"/>
        <v>138</v>
      </c>
      <c r="G966">
        <v>963</v>
      </c>
      <c r="H966">
        <f t="shared" si="182"/>
        <v>3.0020299446724548E+27</v>
      </c>
      <c r="I966">
        <f t="shared" si="183"/>
        <v>3.0020299446724498E+27</v>
      </c>
      <c r="J966" s="1">
        <f t="shared" si="184"/>
        <v>1</v>
      </c>
      <c r="K966" s="1">
        <f t="shared" si="185"/>
        <v>3.0020299446724498E+27</v>
      </c>
      <c r="L966" s="1">
        <f t="shared" si="186"/>
        <v>1.643111056384054E+27</v>
      </c>
      <c r="M966" s="3">
        <f t="shared" si="187"/>
        <v>930262585671.45813</v>
      </c>
      <c r="N966" s="7">
        <f t="shared" si="180"/>
        <v>1.6431110563840501E+27</v>
      </c>
      <c r="O966" s="7">
        <f t="shared" si="188"/>
        <v>930262585671</v>
      </c>
      <c r="P966" s="3">
        <f>SUM($O$4:O966)</f>
        <v>53262894401482</v>
      </c>
      <c r="Y966" s="3">
        <f t="shared" si="189"/>
        <v>963</v>
      </c>
      <c r="Z966" s="3">
        <f t="shared" si="190"/>
        <v>2.44861943079653E+23</v>
      </c>
      <c r="AA966" s="7"/>
      <c r="AB966" s="7">
        <f t="shared" si="191"/>
        <v>13040</v>
      </c>
    </row>
    <row r="967" spans="6:28" x14ac:dyDescent="0.15">
      <c r="F967">
        <f t="shared" si="181"/>
        <v>138</v>
      </c>
      <c r="G967">
        <v>964</v>
      </c>
      <c r="H967">
        <f t="shared" si="182"/>
        <v>3.0020299446724548E+27</v>
      </c>
      <c r="I967">
        <f t="shared" si="183"/>
        <v>3.0020299446724498E+27</v>
      </c>
      <c r="J967" s="1">
        <f t="shared" si="184"/>
        <v>1</v>
      </c>
      <c r="K967" s="1">
        <f t="shared" si="185"/>
        <v>3.0020299446724498E+27</v>
      </c>
      <c r="L967" s="1">
        <f t="shared" si="186"/>
        <v>1.643111056384054E+27</v>
      </c>
      <c r="M967" s="3">
        <f t="shared" si="187"/>
        <v>930262585671.45813</v>
      </c>
      <c r="N967" s="7">
        <f t="shared" si="180"/>
        <v>1.6431110563840501E+27</v>
      </c>
      <c r="O967" s="7">
        <f t="shared" si="188"/>
        <v>930262585671</v>
      </c>
      <c r="P967" s="3">
        <f>SUM($O$4:O967)</f>
        <v>54193156987153</v>
      </c>
      <c r="Y967" s="3">
        <f t="shared" si="189"/>
        <v>964</v>
      </c>
      <c r="Z967" s="3">
        <f t="shared" si="190"/>
        <v>2.5737202366066999E+23</v>
      </c>
      <c r="AA967" s="7"/>
      <c r="AB967" s="7">
        <f t="shared" si="191"/>
        <v>13040</v>
      </c>
    </row>
    <row r="968" spans="6:28" x14ac:dyDescent="0.15">
      <c r="F968">
        <f t="shared" si="181"/>
        <v>138</v>
      </c>
      <c r="G968">
        <v>965</v>
      </c>
      <c r="H968">
        <f t="shared" si="182"/>
        <v>3.0020299446724548E+27</v>
      </c>
      <c r="I968">
        <f t="shared" si="183"/>
        <v>3.0020299446724498E+27</v>
      </c>
      <c r="J968" s="1">
        <f t="shared" si="184"/>
        <v>1</v>
      </c>
      <c r="K968" s="1">
        <f t="shared" si="185"/>
        <v>3.0020299446724498E+27</v>
      </c>
      <c r="L968" s="1">
        <f t="shared" si="186"/>
        <v>1.643111056384054E+27</v>
      </c>
      <c r="M968" s="3">
        <f t="shared" si="187"/>
        <v>930262585671.45813</v>
      </c>
      <c r="N968" s="7">
        <f t="shared" ref="N968:N1004" si="192">ROUND(L968,0)</f>
        <v>1.6431110563840501E+27</v>
      </c>
      <c r="O968" s="7">
        <f t="shared" si="188"/>
        <v>930262585671</v>
      </c>
      <c r="P968" s="3">
        <f>SUM($O$4:O968)</f>
        <v>55123419572824</v>
      </c>
      <c r="Y968" s="3">
        <f t="shared" si="189"/>
        <v>965</v>
      </c>
      <c r="Z968" s="3">
        <f t="shared" si="190"/>
        <v>2.70520957442089E+23</v>
      </c>
      <c r="AA968" s="7"/>
      <c r="AB968" s="7">
        <f t="shared" si="191"/>
        <v>13040</v>
      </c>
    </row>
    <row r="969" spans="6:28" x14ac:dyDescent="0.15">
      <c r="F969">
        <f t="shared" si="181"/>
        <v>138</v>
      </c>
      <c r="G969">
        <v>966</v>
      </c>
      <c r="H969">
        <f t="shared" si="182"/>
        <v>3.0020299446724548E+27</v>
      </c>
      <c r="I969">
        <f t="shared" si="183"/>
        <v>3.0020299446724498E+27</v>
      </c>
      <c r="J969" s="1">
        <f t="shared" si="184"/>
        <v>6</v>
      </c>
      <c r="K969" s="1">
        <f t="shared" si="185"/>
        <v>1.8012179668034699E+28</v>
      </c>
      <c r="L969" s="1">
        <f t="shared" si="186"/>
        <v>9.8586663383043255E+27</v>
      </c>
      <c r="M969" s="3">
        <f t="shared" si="187"/>
        <v>5581575514028.75</v>
      </c>
      <c r="N969" s="7">
        <f t="shared" si="192"/>
        <v>9.8586663383043299E+27</v>
      </c>
      <c r="O969" s="7">
        <f t="shared" si="188"/>
        <v>5581575514028</v>
      </c>
      <c r="P969" s="3">
        <f>SUM($O$4:O969)</f>
        <v>60704995086852</v>
      </c>
      <c r="Y969" s="3">
        <f t="shared" si="189"/>
        <v>966</v>
      </c>
      <c r="Z969" s="3">
        <f t="shared" si="190"/>
        <v>2.8434135454249799E+23</v>
      </c>
      <c r="AA969" s="7"/>
      <c r="AB969" s="7">
        <f t="shared" si="191"/>
        <v>13040</v>
      </c>
    </row>
    <row r="970" spans="6:28" x14ac:dyDescent="0.15">
      <c r="F970">
        <f t="shared" si="181"/>
        <v>139</v>
      </c>
      <c r="G970">
        <v>967</v>
      </c>
      <c r="H970">
        <f t="shared" si="182"/>
        <v>4.713187013135754E+27</v>
      </c>
      <c r="I970">
        <f t="shared" si="183"/>
        <v>4.7131870131357502E+27</v>
      </c>
      <c r="J970" s="1">
        <f t="shared" si="184"/>
        <v>1</v>
      </c>
      <c r="K970" s="1">
        <f t="shared" si="185"/>
        <v>4.7131870131357502E+27</v>
      </c>
      <c r="L970" s="1">
        <f t="shared" si="186"/>
        <v>2.5938239195623744E+27</v>
      </c>
      <c r="M970" s="3">
        <f t="shared" si="187"/>
        <v>1129628848702.9976</v>
      </c>
      <c r="N970" s="7">
        <f t="shared" si="192"/>
        <v>2.59382391956237E+27</v>
      </c>
      <c r="O970" s="7">
        <f t="shared" si="188"/>
        <v>1129628848703</v>
      </c>
      <c r="P970" s="3">
        <f>SUM($O$4:O970)</f>
        <v>61834623935555</v>
      </c>
      <c r="Y970" s="3">
        <f t="shared" si="189"/>
        <v>967</v>
      </c>
      <c r="Z970" s="3">
        <f t="shared" si="190"/>
        <v>2.9886748895934302E+23</v>
      </c>
      <c r="AA970" s="7"/>
      <c r="AB970" s="7">
        <f t="shared" si="191"/>
        <v>13040</v>
      </c>
    </row>
    <row r="971" spans="6:28" x14ac:dyDescent="0.15">
      <c r="F971">
        <f t="shared" si="181"/>
        <v>139</v>
      </c>
      <c r="G971">
        <v>968</v>
      </c>
      <c r="H971">
        <f t="shared" si="182"/>
        <v>4.713187013135754E+27</v>
      </c>
      <c r="I971">
        <f t="shared" si="183"/>
        <v>4.7131870131357502E+27</v>
      </c>
      <c r="J971" s="1">
        <f t="shared" si="184"/>
        <v>1</v>
      </c>
      <c r="K971" s="1">
        <f t="shared" si="185"/>
        <v>4.7131870131357502E+27</v>
      </c>
      <c r="L971" s="1">
        <f t="shared" si="186"/>
        <v>2.5938239195623744E+27</v>
      </c>
      <c r="M971" s="3">
        <f t="shared" si="187"/>
        <v>1129628848702.9976</v>
      </c>
      <c r="N971" s="7">
        <f t="shared" si="192"/>
        <v>2.59382391956237E+27</v>
      </c>
      <c r="O971" s="7">
        <f t="shared" si="188"/>
        <v>1129628848703</v>
      </c>
      <c r="P971" s="3">
        <f>SUM($O$4:O971)</f>
        <v>62964252784258</v>
      </c>
      <c r="Y971" s="3">
        <f t="shared" si="189"/>
        <v>968</v>
      </c>
      <c r="Z971" s="3">
        <f t="shared" si="190"/>
        <v>3.1413538343151599E+23</v>
      </c>
      <c r="AA971" s="7"/>
      <c r="AB971" s="7">
        <f t="shared" si="191"/>
        <v>13040</v>
      </c>
    </row>
    <row r="972" spans="6:28" x14ac:dyDescent="0.15">
      <c r="F972">
        <f t="shared" si="181"/>
        <v>139</v>
      </c>
      <c r="G972">
        <v>969</v>
      </c>
      <c r="H972">
        <f t="shared" si="182"/>
        <v>4.713187013135754E+27</v>
      </c>
      <c r="I972">
        <f t="shared" si="183"/>
        <v>4.7131870131357502E+27</v>
      </c>
      <c r="J972" s="1">
        <f t="shared" si="184"/>
        <v>1</v>
      </c>
      <c r="K972" s="1">
        <f t="shared" si="185"/>
        <v>4.7131870131357502E+27</v>
      </c>
      <c r="L972" s="1">
        <f t="shared" si="186"/>
        <v>2.5938239195623744E+27</v>
      </c>
      <c r="M972" s="3">
        <f t="shared" si="187"/>
        <v>1129628848702.9976</v>
      </c>
      <c r="N972" s="7">
        <f t="shared" si="192"/>
        <v>2.59382391956237E+27</v>
      </c>
      <c r="O972" s="7">
        <f t="shared" si="188"/>
        <v>1129628848703</v>
      </c>
      <c r="P972" s="3">
        <f>SUM($O$4:O972)</f>
        <v>64093881632961</v>
      </c>
      <c r="Y972" s="3">
        <f t="shared" si="189"/>
        <v>969</v>
      </c>
      <c r="Z972" s="3">
        <f t="shared" si="190"/>
        <v>3.3018289862850901E+23</v>
      </c>
      <c r="AA972" s="7"/>
      <c r="AB972" s="7">
        <f t="shared" si="191"/>
        <v>13040</v>
      </c>
    </row>
    <row r="973" spans="6:28" x14ac:dyDescent="0.15">
      <c r="F973">
        <f t="shared" si="181"/>
        <v>139</v>
      </c>
      <c r="G973">
        <v>970</v>
      </c>
      <c r="H973">
        <f t="shared" si="182"/>
        <v>4.713187013135754E+27</v>
      </c>
      <c r="I973">
        <f t="shared" si="183"/>
        <v>4.7131870131357502E+27</v>
      </c>
      <c r="J973" s="1">
        <f t="shared" si="184"/>
        <v>1</v>
      </c>
      <c r="K973" s="1">
        <f t="shared" si="185"/>
        <v>4.7131870131357502E+27</v>
      </c>
      <c r="L973" s="1">
        <f t="shared" si="186"/>
        <v>2.5938239195623744E+27</v>
      </c>
      <c r="M973" s="3">
        <f t="shared" si="187"/>
        <v>1129628848702.9976</v>
      </c>
      <c r="N973" s="7">
        <f t="shared" si="192"/>
        <v>2.59382391956237E+27</v>
      </c>
      <c r="O973" s="7">
        <f t="shared" si="188"/>
        <v>1129628848703</v>
      </c>
      <c r="P973" s="3">
        <f>SUM($O$4:O973)</f>
        <v>65223510481664</v>
      </c>
      <c r="Y973" s="3">
        <f t="shared" si="189"/>
        <v>970</v>
      </c>
      <c r="Z973" s="3">
        <f t="shared" si="190"/>
        <v>3.4704982688662101E+23</v>
      </c>
      <c r="AA973" s="7"/>
      <c r="AB973" s="7">
        <f t="shared" si="191"/>
        <v>13040</v>
      </c>
    </row>
    <row r="974" spans="6:28" x14ac:dyDescent="0.15">
      <c r="F974">
        <f t="shared" si="181"/>
        <v>139</v>
      </c>
      <c r="G974">
        <v>971</v>
      </c>
      <c r="H974">
        <f t="shared" si="182"/>
        <v>4.713187013135754E+27</v>
      </c>
      <c r="I974">
        <f t="shared" si="183"/>
        <v>4.7131870131357502E+27</v>
      </c>
      <c r="J974" s="1">
        <f t="shared" si="184"/>
        <v>1</v>
      </c>
      <c r="K974" s="1">
        <f t="shared" si="185"/>
        <v>4.7131870131357502E+27</v>
      </c>
      <c r="L974" s="1">
        <f t="shared" si="186"/>
        <v>2.5938239195623744E+27</v>
      </c>
      <c r="M974" s="3">
        <f t="shared" si="187"/>
        <v>1129628848702.9976</v>
      </c>
      <c r="N974" s="7">
        <f t="shared" si="192"/>
        <v>2.59382391956237E+27</v>
      </c>
      <c r="O974" s="7">
        <f t="shared" si="188"/>
        <v>1129628848703</v>
      </c>
      <c r="P974" s="3">
        <f>SUM($O$4:O974)</f>
        <v>66353139330367</v>
      </c>
      <c r="Y974" s="3">
        <f t="shared" si="189"/>
        <v>971</v>
      </c>
      <c r="Z974" s="3">
        <f t="shared" si="190"/>
        <v>3.6477799072397402E+23</v>
      </c>
      <c r="AA974" s="7"/>
      <c r="AB974" s="7">
        <f t="shared" si="191"/>
        <v>13040</v>
      </c>
    </row>
    <row r="975" spans="6:28" x14ac:dyDescent="0.15">
      <c r="F975">
        <f t="shared" si="181"/>
        <v>139</v>
      </c>
      <c r="G975">
        <v>972</v>
      </c>
      <c r="H975">
        <f t="shared" si="182"/>
        <v>4.713187013135754E+27</v>
      </c>
      <c r="I975">
        <f t="shared" si="183"/>
        <v>4.7131870131357502E+27</v>
      </c>
      <c r="J975" s="1">
        <f t="shared" si="184"/>
        <v>1</v>
      </c>
      <c r="K975" s="1">
        <f t="shared" si="185"/>
        <v>4.7131870131357502E+27</v>
      </c>
      <c r="L975" s="1">
        <f t="shared" si="186"/>
        <v>2.5938239195623744E+27</v>
      </c>
      <c r="M975" s="3">
        <f t="shared" si="187"/>
        <v>1129628848702.9976</v>
      </c>
      <c r="N975" s="7">
        <f t="shared" si="192"/>
        <v>2.59382391956237E+27</v>
      </c>
      <c r="O975" s="7">
        <f t="shared" si="188"/>
        <v>1129628848703</v>
      </c>
      <c r="P975" s="3">
        <f>SUM($O$4:O975)</f>
        <v>67482768179070</v>
      </c>
      <c r="Y975" s="3">
        <f t="shared" si="189"/>
        <v>972</v>
      </c>
      <c r="Z975" s="3">
        <f t="shared" si="190"/>
        <v>3.83411346377845E+23</v>
      </c>
      <c r="AA975" s="7"/>
      <c r="AB975" s="7">
        <f t="shared" si="191"/>
        <v>13040</v>
      </c>
    </row>
    <row r="976" spans="6:28" x14ac:dyDescent="0.15">
      <c r="F976">
        <f t="shared" si="181"/>
        <v>139</v>
      </c>
      <c r="G976">
        <v>973</v>
      </c>
      <c r="H976">
        <f t="shared" si="182"/>
        <v>4.713187013135754E+27</v>
      </c>
      <c r="I976">
        <f t="shared" si="183"/>
        <v>4.7131870131357502E+27</v>
      </c>
      <c r="J976" s="1">
        <f t="shared" si="184"/>
        <v>7</v>
      </c>
      <c r="K976" s="1">
        <f t="shared" si="185"/>
        <v>3.2992309091950253E+28</v>
      </c>
      <c r="L976" s="1">
        <f t="shared" si="186"/>
        <v>1.8156767436936622E+28</v>
      </c>
      <c r="M976" s="3">
        <f t="shared" si="187"/>
        <v>7907401940920.9834</v>
      </c>
      <c r="N976" s="7">
        <f t="shared" si="192"/>
        <v>1.81567674369366E+28</v>
      </c>
      <c r="O976" s="7">
        <f t="shared" si="188"/>
        <v>7907401940920</v>
      </c>
      <c r="P976" s="3">
        <f>SUM($O$4:O976)</f>
        <v>75390170119990</v>
      </c>
      <c r="Y976" s="3">
        <f t="shared" si="189"/>
        <v>973</v>
      </c>
      <c r="Z976" s="3">
        <f t="shared" si="190"/>
        <v>4.0299609262029401E+23</v>
      </c>
      <c r="AA976" s="7"/>
      <c r="AB976" s="7">
        <f t="shared" si="191"/>
        <v>13040</v>
      </c>
    </row>
    <row r="977" spans="6:28" x14ac:dyDescent="0.15">
      <c r="F977">
        <f t="shared" si="181"/>
        <v>140</v>
      </c>
      <c r="G977">
        <v>974</v>
      </c>
      <c r="H977">
        <f t="shared" si="182"/>
        <v>7.3997036106231334E+27</v>
      </c>
      <c r="I977">
        <f t="shared" si="183"/>
        <v>7.3997036106231301E+27</v>
      </c>
      <c r="J977" s="1">
        <f t="shared" si="184"/>
        <v>1</v>
      </c>
      <c r="K977" s="1">
        <f t="shared" si="185"/>
        <v>7.3997036106231301E+27</v>
      </c>
      <c r="L977" s="1">
        <f t="shared" si="186"/>
        <v>4.094502664544799E+27</v>
      </c>
      <c r="M977" s="3">
        <f t="shared" si="187"/>
        <v>1371680895256.8389</v>
      </c>
      <c r="N977" s="7">
        <f t="shared" si="192"/>
        <v>4.0945026645448001E+27</v>
      </c>
      <c r="O977" s="7">
        <f t="shared" si="188"/>
        <v>1371680895256</v>
      </c>
      <c r="P977" s="3">
        <f>SUM($O$4:O977)</f>
        <v>76761851015246</v>
      </c>
      <c r="Y977" s="3">
        <f t="shared" si="189"/>
        <v>974</v>
      </c>
      <c r="Z977" s="3">
        <f t="shared" si="190"/>
        <v>4.2358078512104302E+23</v>
      </c>
      <c r="AA977" s="7"/>
      <c r="AB977" s="7">
        <f t="shared" si="191"/>
        <v>13040</v>
      </c>
    </row>
    <row r="978" spans="6:28" x14ac:dyDescent="0.15">
      <c r="F978">
        <f t="shared" si="181"/>
        <v>140</v>
      </c>
      <c r="G978">
        <v>975</v>
      </c>
      <c r="H978">
        <f t="shared" si="182"/>
        <v>7.3997036106231334E+27</v>
      </c>
      <c r="I978">
        <f t="shared" si="183"/>
        <v>7.3997036106231301E+27</v>
      </c>
      <c r="J978" s="1">
        <f t="shared" si="184"/>
        <v>1</v>
      </c>
      <c r="K978" s="1">
        <f t="shared" si="185"/>
        <v>7.3997036106231301E+27</v>
      </c>
      <c r="L978" s="1">
        <f t="shared" si="186"/>
        <v>4.094502664544799E+27</v>
      </c>
      <c r="M978" s="3">
        <f t="shared" si="187"/>
        <v>1371680895256.8389</v>
      </c>
      <c r="N978" s="7">
        <f t="shared" si="192"/>
        <v>4.0945026645448001E+27</v>
      </c>
      <c r="O978" s="7">
        <f t="shared" si="188"/>
        <v>1371680895256</v>
      </c>
      <c r="P978" s="3">
        <f>SUM($O$4:O978)</f>
        <v>78133531910502</v>
      </c>
      <c r="Y978" s="3">
        <f t="shared" si="189"/>
        <v>975</v>
      </c>
      <c r="Z978" s="3">
        <f t="shared" si="190"/>
        <v>4.4521645664031597E+23</v>
      </c>
      <c r="AA978" s="7"/>
      <c r="AB978" s="7">
        <f t="shared" si="191"/>
        <v>13040</v>
      </c>
    </row>
    <row r="979" spans="6:28" x14ac:dyDescent="0.15">
      <c r="F979">
        <f t="shared" si="181"/>
        <v>140</v>
      </c>
      <c r="G979">
        <v>976</v>
      </c>
      <c r="H979">
        <f t="shared" si="182"/>
        <v>7.3997036106231334E+27</v>
      </c>
      <c r="I979">
        <f t="shared" si="183"/>
        <v>7.3997036106231301E+27</v>
      </c>
      <c r="J979" s="1">
        <f t="shared" si="184"/>
        <v>1</v>
      </c>
      <c r="K979" s="1">
        <f t="shared" si="185"/>
        <v>7.3997036106231301E+27</v>
      </c>
      <c r="L979" s="1">
        <f t="shared" si="186"/>
        <v>4.094502664544799E+27</v>
      </c>
      <c r="M979" s="3">
        <f t="shared" si="187"/>
        <v>1371680895256.8389</v>
      </c>
      <c r="N979" s="7">
        <f t="shared" si="192"/>
        <v>4.0945026645448001E+27</v>
      </c>
      <c r="O979" s="7">
        <f t="shared" si="188"/>
        <v>1371680895256</v>
      </c>
      <c r="P979" s="3">
        <f>SUM($O$4:O979)</f>
        <v>79505212805758</v>
      </c>
      <c r="Y979" s="3">
        <f t="shared" si="189"/>
        <v>976</v>
      </c>
      <c r="Z979" s="3">
        <f t="shared" si="190"/>
        <v>4.6795674334871297E+23</v>
      </c>
      <c r="AA979" s="7"/>
      <c r="AB979" s="7">
        <f t="shared" si="191"/>
        <v>13040</v>
      </c>
    </row>
    <row r="980" spans="6:28" x14ac:dyDescent="0.15">
      <c r="F980">
        <f t="shared" si="181"/>
        <v>140</v>
      </c>
      <c r="G980">
        <v>977</v>
      </c>
      <c r="H980">
        <f t="shared" si="182"/>
        <v>7.3997036106231334E+27</v>
      </c>
      <c r="I980">
        <f t="shared" si="183"/>
        <v>7.3997036106231301E+27</v>
      </c>
      <c r="J980" s="1">
        <f t="shared" si="184"/>
        <v>1</v>
      </c>
      <c r="K980" s="1">
        <f t="shared" si="185"/>
        <v>7.3997036106231301E+27</v>
      </c>
      <c r="L980" s="1">
        <f t="shared" si="186"/>
        <v>4.094502664544799E+27</v>
      </c>
      <c r="M980" s="3">
        <f t="shared" si="187"/>
        <v>1371680895256.8389</v>
      </c>
      <c r="N980" s="7">
        <f t="shared" si="192"/>
        <v>4.0945026645448001E+27</v>
      </c>
      <c r="O980" s="7">
        <f t="shared" si="188"/>
        <v>1371680895256</v>
      </c>
      <c r="P980" s="3">
        <f>SUM($O$4:O980)</f>
        <v>80876893701014</v>
      </c>
      <c r="Y980" s="3">
        <f t="shared" si="189"/>
        <v>977</v>
      </c>
      <c r="Z980" s="3">
        <f t="shared" si="190"/>
        <v>4.9185801758635002E+23</v>
      </c>
      <c r="AA980" s="7"/>
      <c r="AB980" s="7">
        <f t="shared" si="191"/>
        <v>13040</v>
      </c>
    </row>
    <row r="981" spans="6:28" x14ac:dyDescent="0.15">
      <c r="F981">
        <f t="shared" si="181"/>
        <v>140</v>
      </c>
      <c r="G981">
        <v>978</v>
      </c>
      <c r="H981">
        <f t="shared" si="182"/>
        <v>7.3997036106231334E+27</v>
      </c>
      <c r="I981">
        <f t="shared" si="183"/>
        <v>7.3997036106231301E+27</v>
      </c>
      <c r="J981" s="1">
        <f t="shared" si="184"/>
        <v>1</v>
      </c>
      <c r="K981" s="1">
        <f t="shared" si="185"/>
        <v>7.3997036106231301E+27</v>
      </c>
      <c r="L981" s="1">
        <f t="shared" si="186"/>
        <v>4.094502664544799E+27</v>
      </c>
      <c r="M981" s="3">
        <f t="shared" si="187"/>
        <v>1371680895256.8389</v>
      </c>
      <c r="N981" s="7">
        <f t="shared" si="192"/>
        <v>4.0945026645448001E+27</v>
      </c>
      <c r="O981" s="7">
        <f t="shared" si="188"/>
        <v>1371680895256</v>
      </c>
      <c r="P981" s="3">
        <f>SUM($O$4:O981)</f>
        <v>82248574596270</v>
      </c>
      <c r="Y981" s="3">
        <f t="shared" si="189"/>
        <v>978</v>
      </c>
      <c r="Z981" s="3">
        <f t="shared" si="190"/>
        <v>5.1697952738937901E+23</v>
      </c>
      <c r="AA981" s="7"/>
      <c r="AB981" s="7">
        <f t="shared" si="191"/>
        <v>13040</v>
      </c>
    </row>
    <row r="982" spans="6:28" x14ac:dyDescent="0.15">
      <c r="F982">
        <f t="shared" si="181"/>
        <v>140</v>
      </c>
      <c r="G982">
        <v>979</v>
      </c>
      <c r="H982">
        <f t="shared" si="182"/>
        <v>7.3997036106231334E+27</v>
      </c>
      <c r="I982">
        <f t="shared" si="183"/>
        <v>7.3997036106231301E+27</v>
      </c>
      <c r="J982" s="1">
        <f t="shared" si="184"/>
        <v>1</v>
      </c>
      <c r="K982" s="1">
        <f t="shared" si="185"/>
        <v>7.3997036106231301E+27</v>
      </c>
      <c r="L982" s="1">
        <f t="shared" si="186"/>
        <v>4.094502664544799E+27</v>
      </c>
      <c r="M982" s="3">
        <f t="shared" si="187"/>
        <v>1371680895256.8389</v>
      </c>
      <c r="N982" s="7">
        <f t="shared" si="192"/>
        <v>4.0945026645448001E+27</v>
      </c>
      <c r="O982" s="7">
        <f t="shared" si="188"/>
        <v>1371680895256</v>
      </c>
      <c r="P982" s="3">
        <f>SUM($O$4:O982)</f>
        <v>83620255491526</v>
      </c>
      <c r="Y982" s="3">
        <f t="shared" si="189"/>
        <v>979</v>
      </c>
      <c r="Z982" s="3">
        <f t="shared" si="190"/>
        <v>5.4338354312874398E+23</v>
      </c>
      <c r="AA982" s="7"/>
      <c r="AB982" s="7">
        <f t="shared" si="191"/>
        <v>13040</v>
      </c>
    </row>
    <row r="983" spans="6:28" x14ac:dyDescent="0.15">
      <c r="F983">
        <f t="shared" si="181"/>
        <v>140</v>
      </c>
      <c r="G983">
        <v>980</v>
      </c>
      <c r="H983">
        <f t="shared" si="182"/>
        <v>7.3997036106231334E+27</v>
      </c>
      <c r="I983">
        <f t="shared" si="183"/>
        <v>7.3997036106231301E+27</v>
      </c>
      <c r="J983" s="1">
        <f t="shared" si="184"/>
        <v>10</v>
      </c>
      <c r="K983" s="1">
        <f t="shared" si="185"/>
        <v>7.3997036106231301E+28</v>
      </c>
      <c r="L983" s="1">
        <f t="shared" si="186"/>
        <v>4.094502664544799E+28</v>
      </c>
      <c r="M983" s="3">
        <f t="shared" si="187"/>
        <v>13716808952568.391</v>
      </c>
      <c r="N983" s="7">
        <f t="shared" si="192"/>
        <v>4.0945026645447999E+28</v>
      </c>
      <c r="O983" s="7">
        <f t="shared" si="188"/>
        <v>13716808952568</v>
      </c>
      <c r="P983" s="3">
        <f>SUM($O$4:O983)</f>
        <v>97337064444094</v>
      </c>
      <c r="Y983" s="3">
        <f t="shared" si="189"/>
        <v>980</v>
      </c>
      <c r="Z983" s="3">
        <f t="shared" si="190"/>
        <v>5.71135511623573E+23</v>
      </c>
      <c r="AA983" s="7"/>
      <c r="AB983" s="7">
        <f t="shared" si="191"/>
        <v>13040</v>
      </c>
    </row>
    <row r="984" spans="6:28" x14ac:dyDescent="0.15">
      <c r="F984">
        <f t="shared" si="181"/>
        <v>141</v>
      </c>
      <c r="G984">
        <v>981</v>
      </c>
      <c r="H984">
        <f t="shared" si="182"/>
        <v>1.1617534668678321E+28</v>
      </c>
      <c r="I984">
        <f t="shared" si="183"/>
        <v>1.1617534668678301E+28</v>
      </c>
      <c r="J984" s="1">
        <f t="shared" si="184"/>
        <v>1</v>
      </c>
      <c r="K984" s="1">
        <f t="shared" si="185"/>
        <v>1.1617534668678301E+28</v>
      </c>
      <c r="L984" s="1">
        <f t="shared" si="186"/>
        <v>6.4632217873413617E+27</v>
      </c>
      <c r="M984" s="3">
        <f t="shared" si="187"/>
        <v>1665549861106.7412</v>
      </c>
      <c r="N984" s="7">
        <f t="shared" si="192"/>
        <v>6.4632217873413595E+27</v>
      </c>
      <c r="O984" s="7">
        <f t="shared" si="188"/>
        <v>1665549861106</v>
      </c>
      <c r="P984" s="3">
        <f>SUM($O$4:O984)</f>
        <v>99002614305200</v>
      </c>
      <c r="Y984" s="3">
        <f t="shared" si="189"/>
        <v>981</v>
      </c>
      <c r="Z984" s="3">
        <f t="shared" si="190"/>
        <v>6.0030421811006198E+23</v>
      </c>
      <c r="AA984" s="7"/>
      <c r="AB984" s="7">
        <f t="shared" si="191"/>
        <v>13040</v>
      </c>
    </row>
    <row r="985" spans="6:28" x14ac:dyDescent="0.15">
      <c r="F985">
        <f t="shared" si="181"/>
        <v>141</v>
      </c>
      <c r="G985">
        <v>982</v>
      </c>
      <c r="H985">
        <f t="shared" si="182"/>
        <v>1.1617534668678321E+28</v>
      </c>
      <c r="I985">
        <f t="shared" si="183"/>
        <v>1.1617534668678301E+28</v>
      </c>
      <c r="J985" s="1">
        <f t="shared" si="184"/>
        <v>1</v>
      </c>
      <c r="K985" s="1">
        <f t="shared" si="185"/>
        <v>1.1617534668678301E+28</v>
      </c>
      <c r="L985" s="1">
        <f t="shared" si="186"/>
        <v>6.4632217873413617E+27</v>
      </c>
      <c r="M985" s="3">
        <f t="shared" si="187"/>
        <v>1665549861106.7412</v>
      </c>
      <c r="N985" s="7">
        <f t="shared" si="192"/>
        <v>6.4632217873413595E+27</v>
      </c>
      <c r="O985" s="7">
        <f t="shared" si="188"/>
        <v>1665549861106</v>
      </c>
      <c r="P985" s="3">
        <f>SUM($O$4:O985)</f>
        <v>100668164166306</v>
      </c>
      <c r="Y985" s="3">
        <f t="shared" si="189"/>
        <v>982</v>
      </c>
      <c r="Z985" s="3">
        <f t="shared" si="190"/>
        <v>6.3096195646614204E+23</v>
      </c>
      <c r="AA985" s="7"/>
      <c r="AB985" s="7">
        <f t="shared" si="191"/>
        <v>13040</v>
      </c>
    </row>
    <row r="986" spans="6:28" x14ac:dyDescent="0.15">
      <c r="F986">
        <f t="shared" si="181"/>
        <v>141</v>
      </c>
      <c r="G986">
        <v>983</v>
      </c>
      <c r="H986">
        <f t="shared" si="182"/>
        <v>1.1617534668678321E+28</v>
      </c>
      <c r="I986">
        <f t="shared" si="183"/>
        <v>1.1617534668678301E+28</v>
      </c>
      <c r="J986" s="1">
        <f t="shared" si="184"/>
        <v>1</v>
      </c>
      <c r="K986" s="1">
        <f t="shared" si="185"/>
        <v>1.1617534668678301E+28</v>
      </c>
      <c r="L986" s="1">
        <f t="shared" si="186"/>
        <v>6.4632217873413617E+27</v>
      </c>
      <c r="M986" s="3">
        <f t="shared" si="187"/>
        <v>1665549861106.7412</v>
      </c>
      <c r="N986" s="7">
        <f t="shared" si="192"/>
        <v>6.4632217873413595E+27</v>
      </c>
      <c r="O986" s="7">
        <f t="shared" si="188"/>
        <v>1665549861106</v>
      </c>
      <c r="P986" s="3">
        <f>SUM($O$4:O986)</f>
        <v>102333714027412</v>
      </c>
      <c r="Y986" s="3">
        <f t="shared" si="189"/>
        <v>983</v>
      </c>
      <c r="Z986" s="3">
        <f t="shared" si="190"/>
        <v>6.6318470811255396E+23</v>
      </c>
      <c r="AA986" s="7"/>
      <c r="AB986" s="7">
        <f t="shared" si="191"/>
        <v>13040</v>
      </c>
    </row>
    <row r="987" spans="6:28" x14ac:dyDescent="0.15">
      <c r="F987">
        <f t="shared" si="181"/>
        <v>141</v>
      </c>
      <c r="G987">
        <v>984</v>
      </c>
      <c r="H987">
        <f t="shared" si="182"/>
        <v>1.1617534668678321E+28</v>
      </c>
      <c r="I987">
        <f t="shared" si="183"/>
        <v>1.1617534668678301E+28</v>
      </c>
      <c r="J987" s="1">
        <f t="shared" si="184"/>
        <v>1</v>
      </c>
      <c r="K987" s="1">
        <f t="shared" si="185"/>
        <v>1.1617534668678301E+28</v>
      </c>
      <c r="L987" s="1">
        <f t="shared" si="186"/>
        <v>6.4632217873413617E+27</v>
      </c>
      <c r="M987" s="3">
        <f t="shared" si="187"/>
        <v>1665549861106.7412</v>
      </c>
      <c r="N987" s="7">
        <f t="shared" si="192"/>
        <v>6.4632217873413595E+27</v>
      </c>
      <c r="O987" s="7">
        <f t="shared" si="188"/>
        <v>1665549861106</v>
      </c>
      <c r="P987" s="3">
        <f>SUM($O$4:O987)</f>
        <v>103999263888518</v>
      </c>
      <c r="Y987" s="3">
        <f t="shared" si="189"/>
        <v>984</v>
      </c>
      <c r="Z987" s="3">
        <f t="shared" si="190"/>
        <v>6.9705233003244294E+23</v>
      </c>
      <c r="AA987" s="7"/>
      <c r="AB987" s="7">
        <f t="shared" si="191"/>
        <v>13040</v>
      </c>
    </row>
    <row r="988" spans="6:28" x14ac:dyDescent="0.15">
      <c r="F988">
        <f t="shared" si="181"/>
        <v>141</v>
      </c>
      <c r="G988">
        <v>985</v>
      </c>
      <c r="H988">
        <f t="shared" si="182"/>
        <v>1.1617534668678321E+28</v>
      </c>
      <c r="I988">
        <f t="shared" si="183"/>
        <v>1.1617534668678301E+28</v>
      </c>
      <c r="J988" s="1">
        <f t="shared" si="184"/>
        <v>1</v>
      </c>
      <c r="K988" s="1">
        <f t="shared" si="185"/>
        <v>1.1617534668678301E+28</v>
      </c>
      <c r="L988" s="1">
        <f t="shared" si="186"/>
        <v>6.4632217873413617E+27</v>
      </c>
      <c r="M988" s="3">
        <f t="shared" si="187"/>
        <v>1665549861106.7412</v>
      </c>
      <c r="N988" s="7">
        <f t="shared" si="192"/>
        <v>6.4632217873413595E+27</v>
      </c>
      <c r="O988" s="7">
        <f t="shared" si="188"/>
        <v>1665549861106</v>
      </c>
      <c r="P988" s="3">
        <f>SUM($O$4:O988)</f>
        <v>105664813749624</v>
      </c>
      <c r="Y988" s="3">
        <f t="shared" si="189"/>
        <v>985</v>
      </c>
      <c r="Z988" s="3">
        <f t="shared" si="190"/>
        <v>7.32648752374038E+23</v>
      </c>
      <c r="AA988" s="7"/>
      <c r="AB988" s="7">
        <f t="shared" si="191"/>
        <v>13040</v>
      </c>
    </row>
    <row r="989" spans="6:28" x14ac:dyDescent="0.15">
      <c r="F989">
        <f t="shared" si="181"/>
        <v>141</v>
      </c>
      <c r="G989">
        <v>986</v>
      </c>
      <c r="H989">
        <f t="shared" si="182"/>
        <v>1.1617534668678321E+28</v>
      </c>
      <c r="I989">
        <f t="shared" si="183"/>
        <v>1.1617534668678301E+28</v>
      </c>
      <c r="J989" s="1">
        <f t="shared" si="184"/>
        <v>1</v>
      </c>
      <c r="K989" s="1">
        <f t="shared" si="185"/>
        <v>1.1617534668678301E+28</v>
      </c>
      <c r="L989" s="1">
        <f t="shared" si="186"/>
        <v>6.4632217873413617E+27</v>
      </c>
      <c r="M989" s="3">
        <f t="shared" si="187"/>
        <v>1665549861106.7412</v>
      </c>
      <c r="N989" s="7">
        <f t="shared" si="192"/>
        <v>6.4632217873413595E+27</v>
      </c>
      <c r="O989" s="7">
        <f t="shared" si="188"/>
        <v>1665549861106</v>
      </c>
      <c r="P989" s="3">
        <f>SUM($O$4:O989)</f>
        <v>107330363610730</v>
      </c>
      <c r="Y989" s="3">
        <f t="shared" si="189"/>
        <v>986</v>
      </c>
      <c r="Z989" s="3">
        <f t="shared" si="190"/>
        <v>7.7006218612471297E+23</v>
      </c>
      <c r="AA989" s="7"/>
      <c r="AB989" s="7">
        <f t="shared" si="191"/>
        <v>13040</v>
      </c>
    </row>
    <row r="990" spans="6:28" x14ac:dyDescent="0.15">
      <c r="F990">
        <f t="shared" si="181"/>
        <v>141</v>
      </c>
      <c r="G990">
        <v>987</v>
      </c>
      <c r="H990">
        <f t="shared" si="182"/>
        <v>1.1617534668678321E+28</v>
      </c>
      <c r="I990">
        <f t="shared" si="183"/>
        <v>1.1617534668678301E+28</v>
      </c>
      <c r="J990" s="1">
        <f t="shared" si="184"/>
        <v>2</v>
      </c>
      <c r="K990" s="1">
        <f t="shared" si="185"/>
        <v>2.3235069337356602E+28</v>
      </c>
      <c r="L990" s="1">
        <f t="shared" si="186"/>
        <v>1.2926443574682723E+28</v>
      </c>
      <c r="M990" s="3">
        <f t="shared" si="187"/>
        <v>3331099722213.4824</v>
      </c>
      <c r="N990" s="7">
        <f t="shared" si="192"/>
        <v>1.2926443574682699E+28</v>
      </c>
      <c r="O990" s="7">
        <f t="shared" si="188"/>
        <v>3331099722213</v>
      </c>
      <c r="P990" s="3">
        <f>SUM($O$4:O990)</f>
        <v>110661463332943</v>
      </c>
      <c r="Y990" s="3">
        <f t="shared" si="189"/>
        <v>987</v>
      </c>
      <c r="Z990" s="3">
        <f t="shared" si="190"/>
        <v>8.0938534136952004E+23</v>
      </c>
      <c r="AA990" s="7"/>
      <c r="AB990" s="7">
        <f t="shared" si="191"/>
        <v>13040</v>
      </c>
    </row>
    <row r="991" spans="6:28" x14ac:dyDescent="0.15">
      <c r="F991">
        <f t="shared" si="181"/>
        <v>142</v>
      </c>
      <c r="G991">
        <v>988</v>
      </c>
      <c r="H991">
        <f t="shared" si="182"/>
        <v>1.8239529429824967E+28</v>
      </c>
      <c r="I991">
        <f t="shared" si="183"/>
        <v>1.8239529429825E+28</v>
      </c>
      <c r="J991" s="1">
        <f t="shared" si="184"/>
        <v>1</v>
      </c>
      <c r="K991" s="1">
        <f t="shared" si="185"/>
        <v>1.8239529429825E+28</v>
      </c>
      <c r="L991" s="1">
        <f t="shared" si="186"/>
        <v>1.0201976794415452E+28</v>
      </c>
      <c r="M991" s="3">
        <f t="shared" si="187"/>
        <v>2022318517348.6118</v>
      </c>
      <c r="N991" s="7">
        <f t="shared" si="192"/>
        <v>1.02019767944155E+28</v>
      </c>
      <c r="O991" s="7">
        <f t="shared" si="188"/>
        <v>2022318517348</v>
      </c>
      <c r="P991" s="3">
        <f>SUM($O$4:O991)</f>
        <v>112683781850291</v>
      </c>
      <c r="Y991" s="3">
        <f t="shared" si="189"/>
        <v>988</v>
      </c>
      <c r="Z991" s="3">
        <f t="shared" si="190"/>
        <v>8.5071565667349503E+23</v>
      </c>
      <c r="AA991" s="7"/>
      <c r="AB991" s="7">
        <f t="shared" si="191"/>
        <v>13040</v>
      </c>
    </row>
    <row r="992" spans="6:28" x14ac:dyDescent="0.15">
      <c r="F992">
        <f t="shared" si="181"/>
        <v>142</v>
      </c>
      <c r="G992">
        <v>989</v>
      </c>
      <c r="H992">
        <f t="shared" si="182"/>
        <v>1.8239529429824967E+28</v>
      </c>
      <c r="I992">
        <f t="shared" si="183"/>
        <v>1.8239529429825E+28</v>
      </c>
      <c r="J992" s="1">
        <f t="shared" si="184"/>
        <v>1</v>
      </c>
      <c r="K992" s="1">
        <f t="shared" si="185"/>
        <v>1.8239529429825E+28</v>
      </c>
      <c r="L992" s="1">
        <f t="shared" si="186"/>
        <v>1.0201976794415452E+28</v>
      </c>
      <c r="M992" s="3">
        <f t="shared" si="187"/>
        <v>2022318517348.6118</v>
      </c>
      <c r="N992" s="7">
        <f t="shared" si="192"/>
        <v>1.02019767944155E+28</v>
      </c>
      <c r="O992" s="7">
        <f t="shared" si="188"/>
        <v>2022318517348</v>
      </c>
      <c r="P992" s="3">
        <f>SUM($O$4:O992)</f>
        <v>114706100367639</v>
      </c>
      <c r="Y992" s="3">
        <f t="shared" si="189"/>
        <v>989</v>
      </c>
      <c r="Z992" s="3">
        <f t="shared" si="190"/>
        <v>8.9415554015444395E+23</v>
      </c>
      <c r="AA992" s="7"/>
      <c r="AB992" s="7">
        <f t="shared" si="191"/>
        <v>13040</v>
      </c>
    </row>
    <row r="993" spans="6:28" x14ac:dyDescent="0.15">
      <c r="F993">
        <f t="shared" si="181"/>
        <v>142</v>
      </c>
      <c r="G993">
        <v>990</v>
      </c>
      <c r="H993">
        <f t="shared" si="182"/>
        <v>1.8239529429824967E+28</v>
      </c>
      <c r="I993">
        <f t="shared" si="183"/>
        <v>1.8239529429825E+28</v>
      </c>
      <c r="J993" s="1">
        <f t="shared" si="184"/>
        <v>1</v>
      </c>
      <c r="K993" s="1">
        <f t="shared" si="185"/>
        <v>1.8239529429825E+28</v>
      </c>
      <c r="L993" s="1">
        <f t="shared" si="186"/>
        <v>1.0201976794415452E+28</v>
      </c>
      <c r="M993" s="3">
        <f t="shared" si="187"/>
        <v>2022318517348.6118</v>
      </c>
      <c r="N993" s="7">
        <f t="shared" si="192"/>
        <v>1.02019767944155E+28</v>
      </c>
      <c r="O993" s="7">
        <f t="shared" si="188"/>
        <v>2022318517348</v>
      </c>
      <c r="P993" s="3">
        <f>SUM($O$4:O993)</f>
        <v>116728418884987</v>
      </c>
      <c r="Y993" s="3">
        <f t="shared" si="189"/>
        <v>990</v>
      </c>
      <c r="Z993" s="3">
        <f t="shared" si="190"/>
        <v>9.3981262284180405E+23</v>
      </c>
      <c r="AA993" s="7"/>
      <c r="AB993" s="7">
        <f t="shared" si="191"/>
        <v>13040</v>
      </c>
    </row>
    <row r="994" spans="6:28" x14ac:dyDescent="0.15">
      <c r="F994">
        <f t="shared" si="181"/>
        <v>142</v>
      </c>
      <c r="G994">
        <v>991</v>
      </c>
      <c r="H994">
        <f t="shared" si="182"/>
        <v>1.8239529429824967E+28</v>
      </c>
      <c r="I994">
        <f t="shared" si="183"/>
        <v>1.8239529429825E+28</v>
      </c>
      <c r="J994" s="1">
        <f t="shared" si="184"/>
        <v>1</v>
      </c>
      <c r="K994" s="1">
        <f t="shared" si="185"/>
        <v>1.8239529429825E+28</v>
      </c>
      <c r="L994" s="1">
        <f t="shared" si="186"/>
        <v>1.0201976794415452E+28</v>
      </c>
      <c r="M994" s="3">
        <f t="shared" si="187"/>
        <v>2022318517348.6118</v>
      </c>
      <c r="N994" s="7">
        <f t="shared" si="192"/>
        <v>1.02019767944155E+28</v>
      </c>
      <c r="O994" s="7">
        <f t="shared" si="188"/>
        <v>2022318517348</v>
      </c>
      <c r="P994" s="3">
        <f>SUM($O$4:O994)</f>
        <v>118750737402335</v>
      </c>
      <c r="Y994" s="3">
        <f t="shared" si="189"/>
        <v>991</v>
      </c>
      <c r="Z994" s="3">
        <f t="shared" si="190"/>
        <v>9.8780002494751505E+23</v>
      </c>
      <c r="AA994" s="7"/>
      <c r="AB994" s="7">
        <f t="shared" si="191"/>
        <v>13040</v>
      </c>
    </row>
    <row r="995" spans="6:28" x14ac:dyDescent="0.15">
      <c r="F995">
        <f t="shared" si="181"/>
        <v>142</v>
      </c>
      <c r="G995">
        <v>992</v>
      </c>
      <c r="H995">
        <f t="shared" si="182"/>
        <v>1.8239529429824967E+28</v>
      </c>
      <c r="I995">
        <f t="shared" si="183"/>
        <v>1.8239529429825E+28</v>
      </c>
      <c r="J995" s="1">
        <f t="shared" si="184"/>
        <v>1</v>
      </c>
      <c r="K995" s="1">
        <f t="shared" si="185"/>
        <v>1.8239529429825E+28</v>
      </c>
      <c r="L995" s="1">
        <f t="shared" si="186"/>
        <v>1.0201976794415452E+28</v>
      </c>
      <c r="M995" s="3">
        <f t="shared" si="187"/>
        <v>2022318517348.6118</v>
      </c>
      <c r="N995" s="7">
        <f t="shared" si="192"/>
        <v>1.02019767944155E+28</v>
      </c>
      <c r="O995" s="7">
        <f t="shared" si="188"/>
        <v>2022318517348</v>
      </c>
      <c r="P995" s="3">
        <f>SUM($O$4:O995)</f>
        <v>120773055919683</v>
      </c>
      <c r="Y995" s="3">
        <f t="shared" si="189"/>
        <v>992</v>
      </c>
      <c r="Z995" s="3">
        <f t="shared" si="190"/>
        <v>1.0382366357066899E+24</v>
      </c>
      <c r="AA995" s="7"/>
      <c r="AB995" s="7">
        <f t="shared" si="191"/>
        <v>13040</v>
      </c>
    </row>
    <row r="996" spans="6:28" x14ac:dyDescent="0.15">
      <c r="F996">
        <f t="shared" si="181"/>
        <v>142</v>
      </c>
      <c r="G996">
        <v>993</v>
      </c>
      <c r="H996">
        <f t="shared" si="182"/>
        <v>1.8239529429824967E+28</v>
      </c>
      <c r="I996">
        <f t="shared" si="183"/>
        <v>1.8239529429825E+28</v>
      </c>
      <c r="J996" s="1">
        <f t="shared" si="184"/>
        <v>1</v>
      </c>
      <c r="K996" s="1">
        <f t="shared" si="185"/>
        <v>1.8239529429825E+28</v>
      </c>
      <c r="L996" s="1">
        <f t="shared" si="186"/>
        <v>1.0201976794415452E+28</v>
      </c>
      <c r="M996" s="3">
        <f t="shared" si="187"/>
        <v>2022318517348.6118</v>
      </c>
      <c r="N996" s="7">
        <f t="shared" si="192"/>
        <v>1.02019767944155E+28</v>
      </c>
      <c r="O996" s="7">
        <f t="shared" si="188"/>
        <v>2022318517348</v>
      </c>
      <c r="P996" s="3">
        <f>SUM($O$4:O996)</f>
        <v>122795374437031</v>
      </c>
      <c r="Y996" s="3">
        <f t="shared" si="189"/>
        <v>993</v>
      </c>
      <c r="Z996" s="3">
        <f t="shared" si="190"/>
        <v>1.09124740747942E+24</v>
      </c>
      <c r="AA996" s="7"/>
      <c r="AB996" s="7">
        <f t="shared" si="191"/>
        <v>13040</v>
      </c>
    </row>
    <row r="997" spans="6:28" x14ac:dyDescent="0.15">
      <c r="F997">
        <f t="shared" si="181"/>
        <v>142</v>
      </c>
      <c r="G997">
        <v>994</v>
      </c>
      <c r="H997">
        <f t="shared" si="182"/>
        <v>1.8239529429824967E+28</v>
      </c>
      <c r="I997">
        <f t="shared" si="183"/>
        <v>1.8239529429825E+28</v>
      </c>
      <c r="J997" s="1">
        <f t="shared" si="184"/>
        <v>4</v>
      </c>
      <c r="K997" s="1">
        <f t="shared" si="185"/>
        <v>7.2958117719299999E+28</v>
      </c>
      <c r="L997" s="1">
        <f t="shared" si="186"/>
        <v>4.0807907177661808E+28</v>
      </c>
      <c r="M997" s="3">
        <f t="shared" si="187"/>
        <v>8089274069394.4473</v>
      </c>
      <c r="N997" s="7">
        <f t="shared" si="192"/>
        <v>4.0807907177661799E+28</v>
      </c>
      <c r="O997" s="7">
        <f t="shared" si="188"/>
        <v>8089274069394</v>
      </c>
      <c r="P997" s="3">
        <f>SUM($O$4:O997)</f>
        <v>130884648506425</v>
      </c>
      <c r="Y997" s="3">
        <f t="shared" si="189"/>
        <v>994</v>
      </c>
      <c r="Z997" s="3">
        <f t="shared" si="190"/>
        <v>1.14696366484015E+24</v>
      </c>
      <c r="AA997" s="7"/>
      <c r="AB997" s="7">
        <f t="shared" si="191"/>
        <v>13040</v>
      </c>
    </row>
    <row r="998" spans="6:28" x14ac:dyDescent="0.15">
      <c r="F998">
        <f t="shared" si="181"/>
        <v>143</v>
      </c>
      <c r="G998">
        <v>995</v>
      </c>
      <c r="H998">
        <f t="shared" si="182"/>
        <v>2.8636061204825192E+28</v>
      </c>
      <c r="I998">
        <f t="shared" si="183"/>
        <v>2.8636061204825201E+28</v>
      </c>
      <c r="J998" s="1">
        <f t="shared" si="184"/>
        <v>1</v>
      </c>
      <c r="K998" s="1">
        <f t="shared" si="185"/>
        <v>2.8636061204825201E+28</v>
      </c>
      <c r="L998" s="1">
        <f t="shared" si="186"/>
        <v>1.6103011750846706E+28</v>
      </c>
      <c r="M998" s="3">
        <f t="shared" si="187"/>
        <v>2455438068150.8887</v>
      </c>
      <c r="N998" s="7">
        <f t="shared" si="192"/>
        <v>1.61030117508467E+28</v>
      </c>
      <c r="O998" s="7">
        <f t="shared" si="188"/>
        <v>2455438068150</v>
      </c>
      <c r="P998" s="3">
        <f>SUM($O$4:O998)</f>
        <v>133340086574575</v>
      </c>
      <c r="Y998" s="3">
        <f t="shared" si="189"/>
        <v>995</v>
      </c>
      <c r="Z998" s="3">
        <f t="shared" si="190"/>
        <v>1.20552342941826E+24</v>
      </c>
      <c r="AA998" s="7"/>
      <c r="AB998" s="7">
        <f t="shared" si="191"/>
        <v>13040</v>
      </c>
    </row>
    <row r="999" spans="6:28" x14ac:dyDescent="0.15">
      <c r="F999">
        <f t="shared" si="181"/>
        <v>143</v>
      </c>
      <c r="G999">
        <v>996</v>
      </c>
      <c r="H999">
        <f t="shared" si="182"/>
        <v>2.8636061204825192E+28</v>
      </c>
      <c r="I999">
        <f t="shared" si="183"/>
        <v>2.8636061204825201E+28</v>
      </c>
      <c r="J999" s="1">
        <f t="shared" si="184"/>
        <v>1</v>
      </c>
      <c r="K999" s="1">
        <f t="shared" si="185"/>
        <v>2.8636061204825201E+28</v>
      </c>
      <c r="L999" s="1">
        <f t="shared" si="186"/>
        <v>1.6103011750846706E+28</v>
      </c>
      <c r="M999" s="3">
        <f t="shared" si="187"/>
        <v>2455438068150.8887</v>
      </c>
      <c r="N999" s="7">
        <f t="shared" si="192"/>
        <v>1.61030117508467E+28</v>
      </c>
      <c r="O999" s="7">
        <f t="shared" si="188"/>
        <v>2455438068150</v>
      </c>
      <c r="P999" s="3">
        <f>SUM($O$4:O999)</f>
        <v>135795524642725</v>
      </c>
      <c r="Y999" s="3">
        <f t="shared" si="189"/>
        <v>996</v>
      </c>
      <c r="Z999" s="3">
        <f t="shared" si="190"/>
        <v>1.2670717612920701E+24</v>
      </c>
      <c r="AA999" s="7"/>
      <c r="AB999" s="7">
        <f t="shared" si="191"/>
        <v>13040</v>
      </c>
    </row>
    <row r="1000" spans="6:28" x14ac:dyDescent="0.15">
      <c r="F1000">
        <f t="shared" si="181"/>
        <v>143</v>
      </c>
      <c r="G1000">
        <v>997</v>
      </c>
      <c r="H1000">
        <f t="shared" si="182"/>
        <v>2.8636061204825192E+28</v>
      </c>
      <c r="I1000">
        <f t="shared" si="183"/>
        <v>2.8636061204825201E+28</v>
      </c>
      <c r="J1000" s="1">
        <f t="shared" si="184"/>
        <v>1</v>
      </c>
      <c r="K1000" s="1">
        <f t="shared" si="185"/>
        <v>2.8636061204825201E+28</v>
      </c>
      <c r="L1000" s="1">
        <f t="shared" si="186"/>
        <v>1.6103011750846706E+28</v>
      </c>
      <c r="M1000" s="3">
        <f t="shared" si="187"/>
        <v>2455438068150.8887</v>
      </c>
      <c r="N1000" s="7">
        <f t="shared" si="192"/>
        <v>1.61030117508467E+28</v>
      </c>
      <c r="O1000" s="7">
        <f t="shared" si="188"/>
        <v>2455438068150</v>
      </c>
      <c r="P1000" s="3">
        <f>SUM($O$4:O1000)</f>
        <v>138250962710875</v>
      </c>
      <c r="Y1000" s="3">
        <f t="shared" si="189"/>
        <v>997</v>
      </c>
      <c r="Z1000" s="3">
        <f t="shared" si="190"/>
        <v>1.3317611177797199E+24</v>
      </c>
      <c r="AA1000" s="7"/>
      <c r="AB1000" s="7">
        <f t="shared" si="191"/>
        <v>13040</v>
      </c>
    </row>
    <row r="1001" spans="6:28" x14ac:dyDescent="0.15">
      <c r="F1001">
        <f t="shared" si="181"/>
        <v>143</v>
      </c>
      <c r="G1001">
        <v>998</v>
      </c>
      <c r="H1001">
        <f t="shared" si="182"/>
        <v>2.8636061204825192E+28</v>
      </c>
      <c r="I1001">
        <f t="shared" si="183"/>
        <v>2.8636061204825201E+28</v>
      </c>
      <c r="J1001" s="1">
        <f t="shared" si="184"/>
        <v>1</v>
      </c>
      <c r="K1001" s="1">
        <f t="shared" si="185"/>
        <v>2.8636061204825201E+28</v>
      </c>
      <c r="L1001" s="1">
        <f t="shared" si="186"/>
        <v>1.6103011750846706E+28</v>
      </c>
      <c r="M1001" s="3">
        <f t="shared" si="187"/>
        <v>2455438068150.8887</v>
      </c>
      <c r="N1001" s="7">
        <f t="shared" si="192"/>
        <v>1.61030117508467E+28</v>
      </c>
      <c r="O1001" s="7">
        <f t="shared" si="188"/>
        <v>2455438068150</v>
      </c>
      <c r="P1001" s="3">
        <f>SUM($O$4:O1001)</f>
        <v>140706400779025</v>
      </c>
      <c r="Y1001" s="3">
        <f t="shared" si="189"/>
        <v>998</v>
      </c>
      <c r="Z1001" s="3">
        <f t="shared" si="190"/>
        <v>1.3997517305129099E+24</v>
      </c>
      <c r="AA1001" s="7"/>
      <c r="AB1001" s="7">
        <f t="shared" si="191"/>
        <v>13040</v>
      </c>
    </row>
    <row r="1002" spans="6:28" x14ac:dyDescent="0.15">
      <c r="F1002">
        <f t="shared" si="181"/>
        <v>143</v>
      </c>
      <c r="G1002">
        <v>999</v>
      </c>
      <c r="H1002">
        <f t="shared" si="182"/>
        <v>2.8636061204825192E+28</v>
      </c>
      <c r="I1002">
        <f t="shared" si="183"/>
        <v>2.8636061204825201E+28</v>
      </c>
      <c r="J1002" s="1">
        <f t="shared" si="184"/>
        <v>1</v>
      </c>
      <c r="K1002" s="1">
        <f t="shared" si="185"/>
        <v>2.8636061204825201E+28</v>
      </c>
      <c r="L1002" s="1">
        <f t="shared" si="186"/>
        <v>1.6103011750846706E+28</v>
      </c>
      <c r="M1002" s="3">
        <f t="shared" si="187"/>
        <v>2455438068150.8887</v>
      </c>
      <c r="N1002" s="7">
        <f t="shared" si="192"/>
        <v>1.61030117508467E+28</v>
      </c>
      <c r="O1002" s="7">
        <f t="shared" si="188"/>
        <v>2455438068150</v>
      </c>
      <c r="P1002" s="3">
        <f>SUM($O$4:O1002)</f>
        <v>143161838847175</v>
      </c>
      <c r="Y1002" s="3">
        <f t="shared" si="189"/>
        <v>999</v>
      </c>
      <c r="Z1002" s="3">
        <f t="shared" si="190"/>
        <v>1.4712120017249701E+24</v>
      </c>
      <c r="AA1002" s="7"/>
      <c r="AB1002" s="7">
        <f t="shared" si="191"/>
        <v>13040</v>
      </c>
    </row>
    <row r="1003" spans="6:28" x14ac:dyDescent="0.15">
      <c r="F1003">
        <f t="shared" si="181"/>
        <v>143</v>
      </c>
      <c r="G1003">
        <v>1000</v>
      </c>
      <c r="H1003">
        <f t="shared" si="182"/>
        <v>2.8636061204825192E+28</v>
      </c>
      <c r="I1003">
        <f t="shared" si="183"/>
        <v>2.8636061204825201E+28</v>
      </c>
      <c r="J1003" s="1">
        <f t="shared" si="184"/>
        <v>6</v>
      </c>
      <c r="K1003" s="1">
        <f t="shared" si="185"/>
        <v>1.7181636722895119E+29</v>
      </c>
      <c r="L1003" s="1">
        <f t="shared" si="186"/>
        <v>9.6618070505080228E+28</v>
      </c>
      <c r="M1003" s="3">
        <f t="shared" si="187"/>
        <v>14732628408905.332</v>
      </c>
      <c r="N1003" s="7">
        <f t="shared" si="192"/>
        <v>9.6618070505080193E+28</v>
      </c>
      <c r="O1003" s="7">
        <f t="shared" si="188"/>
        <v>14732628408905</v>
      </c>
      <c r="P1003" s="3">
        <f>SUM($O$4:O1003)</f>
        <v>157894467256080</v>
      </c>
      <c r="Y1003" s="3">
        <f t="shared" si="189"/>
        <v>1000</v>
      </c>
      <c r="Z1003" s="3">
        <f t="shared" si="190"/>
        <v>1.54631892073195E+24</v>
      </c>
      <c r="AA1003" s="7"/>
      <c r="AB1003" s="7">
        <f t="shared" si="191"/>
        <v>13040</v>
      </c>
    </row>
    <row r="1004" spans="6:28" x14ac:dyDescent="0.15">
      <c r="M1004" s="3">
        <f t="shared" si="187"/>
        <v>0</v>
      </c>
      <c r="N1004" s="7">
        <f t="shared" si="192"/>
        <v>0</v>
      </c>
      <c r="O1004" s="7">
        <f t="shared" si="188"/>
        <v>0</v>
      </c>
      <c r="P1004" s="3">
        <f>SUM($O$4:O1004)</f>
        <v>157894467256080</v>
      </c>
      <c r="Y1004" s="3">
        <f t="shared" si="189"/>
        <v>0</v>
      </c>
      <c r="Z1004" s="3">
        <f t="shared" si="190"/>
        <v>0</v>
      </c>
      <c r="AA1004" s="7"/>
      <c r="AB1004" s="7" t="e">
        <f t="shared" si="191"/>
        <v>#N/A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简介</vt:lpstr>
      <vt:lpstr>体验</vt:lpstr>
      <vt:lpstr>怪物</vt:lpstr>
      <vt:lpstr>武器系统思路</vt:lpstr>
      <vt:lpstr>输出-武器</vt:lpstr>
      <vt:lpstr>输出-物品</vt:lpstr>
      <vt:lpstr>数值缓存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2017-06-30T09:36:15Z</dcterms:modified>
</cp:coreProperties>
</file>