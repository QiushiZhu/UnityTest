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4215" yWindow="2085" windowWidth="14805" windowHeight="9630" activeTab="5"/>
  </bookViews>
  <sheets>
    <sheet name="简介" sheetId="3" r:id="rId1"/>
    <sheet name="物品" sheetId="1" r:id="rId2"/>
    <sheet name="怪物" sheetId="2" r:id="rId3"/>
    <sheet name="数值总览" sheetId="5" r:id="rId4"/>
    <sheet name="杂七杂八" sheetId="6" r:id="rId5"/>
    <sheet name="Sheet4" sheetId="7" r:id="rId6"/>
    <sheet name="装备数据库" sheetId="8" r:id="rId7"/>
  </sheets>
  <calcPr calcId="145621"/>
</workbook>
</file>

<file path=xl/calcChain.xml><?xml version="1.0" encoding="utf-8"?>
<calcChain xmlns="http://schemas.openxmlformats.org/spreadsheetml/2006/main">
  <c r="W37" i="2" l="1"/>
  <c r="W38" i="2"/>
  <c r="W39" i="2"/>
  <c r="W40" i="2"/>
  <c r="W41" i="2"/>
  <c r="W42" i="2"/>
  <c r="W50" i="2"/>
  <c r="W58" i="2"/>
  <c r="W59" i="2"/>
  <c r="W60" i="2"/>
  <c r="W61" i="2"/>
  <c r="W62" i="2"/>
  <c r="W63" i="2"/>
  <c r="W65" i="2"/>
  <c r="W66" i="2"/>
  <c r="W67" i="2"/>
  <c r="W68" i="2"/>
  <c r="W69" i="2"/>
  <c r="W70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6" i="2"/>
  <c r="W87" i="2"/>
  <c r="W88" i="2"/>
  <c r="W89" i="2"/>
  <c r="W90" i="2"/>
  <c r="W91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N4" i="5"/>
  <c r="N5" i="5"/>
  <c r="N6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N485" i="5"/>
  <c r="N486" i="5"/>
  <c r="N487" i="5"/>
  <c r="N488" i="5"/>
  <c r="N489" i="5"/>
  <c r="N490" i="5"/>
  <c r="N491" i="5"/>
  <c r="N492" i="5"/>
  <c r="N493" i="5"/>
  <c r="N494" i="5"/>
  <c r="N495" i="5"/>
  <c r="N496" i="5"/>
  <c r="N497" i="5"/>
  <c r="N498" i="5"/>
  <c r="N499" i="5"/>
  <c r="N500" i="5"/>
  <c r="N501" i="5"/>
  <c r="N502" i="5"/>
  <c r="N503" i="5"/>
  <c r="N504" i="5"/>
  <c r="N505" i="5"/>
  <c r="N506" i="5"/>
  <c r="N507" i="5"/>
  <c r="N508" i="5"/>
  <c r="N509" i="5"/>
  <c r="N510" i="5"/>
  <c r="N511" i="5"/>
  <c r="N512" i="5"/>
  <c r="N513" i="5"/>
  <c r="N514" i="5"/>
  <c r="N515" i="5"/>
  <c r="N516" i="5"/>
  <c r="N517" i="5"/>
  <c r="N518" i="5"/>
  <c r="N519" i="5"/>
  <c r="N520" i="5"/>
  <c r="N521" i="5"/>
  <c r="N522" i="5"/>
  <c r="N523" i="5"/>
  <c r="N524" i="5"/>
  <c r="N525" i="5"/>
  <c r="N526" i="5"/>
  <c r="N527" i="5"/>
  <c r="N528" i="5"/>
  <c r="N529" i="5"/>
  <c r="N530" i="5"/>
  <c r="N531" i="5"/>
  <c r="N532" i="5"/>
  <c r="N533" i="5"/>
  <c r="N534" i="5"/>
  <c r="N535" i="5"/>
  <c r="N536" i="5"/>
  <c r="N537" i="5"/>
  <c r="N538" i="5"/>
  <c r="N539" i="5"/>
  <c r="N540" i="5"/>
  <c r="N541" i="5"/>
  <c r="N542" i="5"/>
  <c r="N543" i="5"/>
  <c r="N544" i="5"/>
  <c r="N545" i="5"/>
  <c r="N546" i="5"/>
  <c r="N547" i="5"/>
  <c r="N548" i="5"/>
  <c r="N549" i="5"/>
  <c r="N550" i="5"/>
  <c r="N551" i="5"/>
  <c r="N552" i="5"/>
  <c r="N553" i="5"/>
  <c r="N554" i="5"/>
  <c r="N555" i="5"/>
  <c r="N556" i="5"/>
  <c r="N557" i="5"/>
  <c r="N558" i="5"/>
  <c r="N559" i="5"/>
  <c r="N560" i="5"/>
  <c r="N561" i="5"/>
  <c r="N562" i="5"/>
  <c r="N563" i="5"/>
  <c r="N564" i="5"/>
  <c r="N565" i="5"/>
  <c r="N566" i="5"/>
  <c r="N567" i="5"/>
  <c r="N568" i="5"/>
  <c r="N569" i="5"/>
  <c r="N570" i="5"/>
  <c r="N571" i="5"/>
  <c r="N572" i="5"/>
  <c r="N573" i="5"/>
  <c r="N574" i="5"/>
  <c r="N575" i="5"/>
  <c r="N576" i="5"/>
  <c r="N577" i="5"/>
  <c r="N578" i="5"/>
  <c r="N579" i="5"/>
  <c r="N580" i="5"/>
  <c r="N581" i="5"/>
  <c r="N582" i="5"/>
  <c r="N583" i="5"/>
  <c r="N584" i="5"/>
  <c r="N585" i="5"/>
  <c r="N586" i="5"/>
  <c r="N587" i="5"/>
  <c r="N588" i="5"/>
  <c r="N589" i="5"/>
  <c r="N590" i="5"/>
  <c r="N591" i="5"/>
  <c r="N592" i="5"/>
  <c r="N593" i="5"/>
  <c r="N594" i="5"/>
  <c r="N595" i="5"/>
  <c r="N596" i="5"/>
  <c r="N597" i="5"/>
  <c r="N598" i="5"/>
  <c r="N599" i="5"/>
  <c r="N600" i="5"/>
  <c r="N601" i="5"/>
  <c r="N602" i="5"/>
  <c r="N603" i="5"/>
  <c r="N604" i="5"/>
  <c r="N605" i="5"/>
  <c r="N606" i="5"/>
  <c r="N607" i="5"/>
  <c r="N608" i="5"/>
  <c r="N609" i="5"/>
  <c r="N610" i="5"/>
  <c r="N611" i="5"/>
  <c r="N612" i="5"/>
  <c r="N613" i="5"/>
  <c r="N614" i="5"/>
  <c r="N615" i="5"/>
  <c r="N616" i="5"/>
  <c r="N617" i="5"/>
  <c r="N618" i="5"/>
  <c r="N619" i="5"/>
  <c r="N620" i="5"/>
  <c r="N621" i="5"/>
  <c r="N622" i="5"/>
  <c r="N623" i="5"/>
  <c r="N624" i="5"/>
  <c r="N625" i="5"/>
  <c r="N626" i="5"/>
  <c r="N627" i="5"/>
  <c r="N628" i="5"/>
  <c r="N629" i="5"/>
  <c r="N630" i="5"/>
  <c r="N631" i="5"/>
  <c r="N632" i="5"/>
  <c r="N633" i="5"/>
  <c r="N634" i="5"/>
  <c r="N635" i="5"/>
  <c r="N636" i="5"/>
  <c r="N637" i="5"/>
  <c r="N638" i="5"/>
  <c r="N639" i="5"/>
  <c r="N640" i="5"/>
  <c r="N641" i="5"/>
  <c r="N642" i="5"/>
  <c r="N643" i="5"/>
  <c r="N644" i="5"/>
  <c r="N645" i="5"/>
  <c r="N646" i="5"/>
  <c r="N647" i="5"/>
  <c r="N648" i="5"/>
  <c r="N649" i="5"/>
  <c r="N650" i="5"/>
  <c r="N651" i="5"/>
  <c r="N652" i="5"/>
  <c r="N653" i="5"/>
  <c r="N654" i="5"/>
  <c r="N655" i="5"/>
  <c r="N656" i="5"/>
  <c r="N657" i="5"/>
  <c r="N658" i="5"/>
  <c r="N659" i="5"/>
  <c r="N660" i="5"/>
  <c r="N661" i="5"/>
  <c r="N662" i="5"/>
  <c r="N663" i="5"/>
  <c r="N664" i="5"/>
  <c r="N665" i="5"/>
  <c r="N666" i="5"/>
  <c r="N667" i="5"/>
  <c r="N668" i="5"/>
  <c r="N669" i="5"/>
  <c r="N670" i="5"/>
  <c r="N671" i="5"/>
  <c r="N672" i="5"/>
  <c r="N673" i="5"/>
  <c r="N674" i="5"/>
  <c r="N675" i="5"/>
  <c r="N676" i="5"/>
  <c r="N677" i="5"/>
  <c r="N678" i="5"/>
  <c r="N679" i="5"/>
  <c r="N680" i="5"/>
  <c r="N681" i="5"/>
  <c r="N682" i="5"/>
  <c r="N683" i="5"/>
  <c r="N684" i="5"/>
  <c r="N685" i="5"/>
  <c r="N686" i="5"/>
  <c r="N687" i="5"/>
  <c r="N688" i="5"/>
  <c r="N689" i="5"/>
  <c r="N690" i="5"/>
  <c r="N691" i="5"/>
  <c r="N692" i="5"/>
  <c r="N693" i="5"/>
  <c r="N694" i="5"/>
  <c r="N695" i="5"/>
  <c r="N696" i="5"/>
  <c r="N697" i="5"/>
  <c r="N698" i="5"/>
  <c r="N699" i="5"/>
  <c r="N700" i="5"/>
  <c r="N701" i="5"/>
  <c r="N702" i="5"/>
  <c r="N703" i="5"/>
  <c r="N704" i="5"/>
  <c r="N705" i="5"/>
  <c r="N706" i="5"/>
  <c r="N707" i="5"/>
  <c r="N708" i="5"/>
  <c r="N709" i="5"/>
  <c r="N710" i="5"/>
  <c r="N711" i="5"/>
  <c r="N712" i="5"/>
  <c r="N713" i="5"/>
  <c r="N714" i="5"/>
  <c r="N715" i="5"/>
  <c r="N716" i="5"/>
  <c r="N717" i="5"/>
  <c r="N718" i="5"/>
  <c r="N719" i="5"/>
  <c r="N720" i="5"/>
  <c r="N721" i="5"/>
  <c r="N722" i="5"/>
  <c r="N723" i="5"/>
  <c r="N724" i="5"/>
  <c r="N725" i="5"/>
  <c r="N726" i="5"/>
  <c r="N727" i="5"/>
  <c r="N728" i="5"/>
  <c r="N729" i="5"/>
  <c r="N730" i="5"/>
  <c r="N731" i="5"/>
  <c r="N732" i="5"/>
  <c r="N733" i="5"/>
  <c r="N734" i="5"/>
  <c r="N735" i="5"/>
  <c r="N736" i="5"/>
  <c r="N737" i="5"/>
  <c r="N738" i="5"/>
  <c r="N739" i="5"/>
  <c r="N740" i="5"/>
  <c r="N741" i="5"/>
  <c r="N742" i="5"/>
  <c r="N743" i="5"/>
  <c r="N744" i="5"/>
  <c r="N745" i="5"/>
  <c r="N746" i="5"/>
  <c r="N747" i="5"/>
  <c r="N748" i="5"/>
  <c r="N749" i="5"/>
  <c r="N750" i="5"/>
  <c r="N751" i="5"/>
  <c r="N752" i="5"/>
  <c r="N753" i="5"/>
  <c r="N754" i="5"/>
  <c r="N755" i="5"/>
  <c r="N756" i="5"/>
  <c r="N757" i="5"/>
  <c r="N758" i="5"/>
  <c r="N759" i="5"/>
  <c r="N760" i="5"/>
  <c r="N761" i="5"/>
  <c r="N762" i="5"/>
  <c r="N763" i="5"/>
  <c r="N764" i="5"/>
  <c r="N765" i="5"/>
  <c r="N766" i="5"/>
  <c r="N767" i="5"/>
  <c r="N768" i="5"/>
  <c r="N769" i="5"/>
  <c r="N770" i="5"/>
  <c r="N771" i="5"/>
  <c r="N772" i="5"/>
  <c r="N773" i="5"/>
  <c r="N774" i="5"/>
  <c r="N775" i="5"/>
  <c r="N776" i="5"/>
  <c r="N777" i="5"/>
  <c r="N778" i="5"/>
  <c r="N779" i="5"/>
  <c r="N780" i="5"/>
  <c r="N781" i="5"/>
  <c r="N782" i="5"/>
  <c r="N783" i="5"/>
  <c r="N784" i="5"/>
  <c r="N785" i="5"/>
  <c r="N786" i="5"/>
  <c r="N787" i="5"/>
  <c r="N788" i="5"/>
  <c r="N789" i="5"/>
  <c r="N790" i="5"/>
  <c r="N791" i="5"/>
  <c r="N792" i="5"/>
  <c r="N793" i="5"/>
  <c r="N794" i="5"/>
  <c r="N795" i="5"/>
  <c r="N796" i="5"/>
  <c r="N797" i="5"/>
  <c r="N798" i="5"/>
  <c r="N799" i="5"/>
  <c r="N800" i="5"/>
  <c r="N801" i="5"/>
  <c r="N802" i="5"/>
  <c r="N803" i="5"/>
  <c r="N804" i="5"/>
  <c r="N805" i="5"/>
  <c r="N806" i="5"/>
  <c r="N807" i="5"/>
  <c r="N808" i="5"/>
  <c r="N809" i="5"/>
  <c r="N810" i="5"/>
  <c r="N811" i="5"/>
  <c r="N812" i="5"/>
  <c r="N813" i="5"/>
  <c r="N814" i="5"/>
  <c r="N815" i="5"/>
  <c r="N816" i="5"/>
  <c r="N817" i="5"/>
  <c r="N818" i="5"/>
  <c r="N819" i="5"/>
  <c r="N820" i="5"/>
  <c r="N821" i="5"/>
  <c r="N822" i="5"/>
  <c r="N823" i="5"/>
  <c r="N824" i="5"/>
  <c r="N825" i="5"/>
  <c r="N826" i="5"/>
  <c r="N827" i="5"/>
  <c r="N828" i="5"/>
  <c r="N829" i="5"/>
  <c r="N830" i="5"/>
  <c r="N831" i="5"/>
  <c r="N832" i="5"/>
  <c r="N833" i="5"/>
  <c r="N834" i="5"/>
  <c r="N835" i="5"/>
  <c r="N836" i="5"/>
  <c r="N837" i="5"/>
  <c r="N838" i="5"/>
  <c r="N839" i="5"/>
  <c r="N840" i="5"/>
  <c r="N841" i="5"/>
  <c r="N842" i="5"/>
  <c r="N843" i="5"/>
  <c r="N844" i="5"/>
  <c r="N845" i="5"/>
  <c r="N846" i="5"/>
  <c r="N847" i="5"/>
  <c r="N848" i="5"/>
  <c r="N849" i="5"/>
  <c r="N850" i="5"/>
  <c r="N851" i="5"/>
  <c r="N852" i="5"/>
  <c r="N853" i="5"/>
  <c r="N854" i="5"/>
  <c r="N855" i="5"/>
  <c r="N856" i="5"/>
  <c r="N857" i="5"/>
  <c r="N858" i="5"/>
  <c r="N859" i="5"/>
  <c r="N860" i="5"/>
  <c r="N861" i="5"/>
  <c r="N862" i="5"/>
  <c r="N863" i="5"/>
  <c r="N864" i="5"/>
  <c r="N865" i="5"/>
  <c r="N866" i="5"/>
  <c r="N867" i="5"/>
  <c r="N868" i="5"/>
  <c r="N869" i="5"/>
  <c r="N870" i="5"/>
  <c r="N871" i="5"/>
  <c r="N872" i="5"/>
  <c r="N873" i="5"/>
  <c r="N874" i="5"/>
  <c r="N875" i="5"/>
  <c r="N876" i="5"/>
  <c r="N877" i="5"/>
  <c r="N878" i="5"/>
  <c r="N879" i="5"/>
  <c r="N880" i="5"/>
  <c r="N881" i="5"/>
  <c r="N882" i="5"/>
  <c r="N883" i="5"/>
  <c r="N884" i="5"/>
  <c r="N885" i="5"/>
  <c r="N886" i="5"/>
  <c r="N887" i="5"/>
  <c r="N888" i="5"/>
  <c r="N889" i="5"/>
  <c r="N890" i="5"/>
  <c r="N891" i="5"/>
  <c r="N892" i="5"/>
  <c r="N893" i="5"/>
  <c r="N894" i="5"/>
  <c r="N895" i="5"/>
  <c r="N896" i="5"/>
  <c r="N897" i="5"/>
  <c r="N898" i="5"/>
  <c r="N899" i="5"/>
  <c r="N900" i="5"/>
  <c r="N901" i="5"/>
  <c r="N902" i="5"/>
  <c r="N903" i="5"/>
  <c r="N904" i="5"/>
  <c r="N905" i="5"/>
  <c r="N906" i="5"/>
  <c r="N907" i="5"/>
  <c r="N908" i="5"/>
  <c r="N909" i="5"/>
  <c r="N910" i="5"/>
  <c r="N911" i="5"/>
  <c r="N912" i="5"/>
  <c r="N913" i="5"/>
  <c r="N914" i="5"/>
  <c r="N915" i="5"/>
  <c r="N916" i="5"/>
  <c r="N917" i="5"/>
  <c r="N918" i="5"/>
  <c r="N919" i="5"/>
  <c r="N920" i="5"/>
  <c r="N921" i="5"/>
  <c r="N922" i="5"/>
  <c r="N923" i="5"/>
  <c r="N924" i="5"/>
  <c r="N925" i="5"/>
  <c r="N926" i="5"/>
  <c r="N927" i="5"/>
  <c r="N928" i="5"/>
  <c r="N929" i="5"/>
  <c r="N930" i="5"/>
  <c r="N931" i="5"/>
  <c r="N932" i="5"/>
  <c r="N933" i="5"/>
  <c r="N934" i="5"/>
  <c r="N935" i="5"/>
  <c r="N936" i="5"/>
  <c r="N937" i="5"/>
  <c r="N938" i="5"/>
  <c r="N939" i="5"/>
  <c r="N940" i="5"/>
  <c r="N941" i="5"/>
  <c r="N942" i="5"/>
  <c r="N943" i="5"/>
  <c r="N944" i="5"/>
  <c r="N945" i="5"/>
  <c r="N946" i="5"/>
  <c r="N947" i="5"/>
  <c r="N948" i="5"/>
  <c r="N949" i="5"/>
  <c r="N950" i="5"/>
  <c r="N951" i="5"/>
  <c r="N952" i="5"/>
  <c r="N953" i="5"/>
  <c r="N954" i="5"/>
  <c r="N955" i="5"/>
  <c r="N956" i="5"/>
  <c r="N957" i="5"/>
  <c r="N958" i="5"/>
  <c r="N959" i="5"/>
  <c r="N960" i="5"/>
  <c r="N961" i="5"/>
  <c r="N962" i="5"/>
  <c r="N963" i="5"/>
  <c r="N964" i="5"/>
  <c r="N965" i="5"/>
  <c r="N966" i="5"/>
  <c r="N967" i="5"/>
  <c r="N968" i="5"/>
  <c r="N969" i="5"/>
  <c r="N970" i="5"/>
  <c r="N971" i="5"/>
  <c r="N972" i="5"/>
  <c r="N973" i="5"/>
  <c r="N974" i="5"/>
  <c r="N975" i="5"/>
  <c r="N976" i="5"/>
  <c r="N977" i="5"/>
  <c r="N978" i="5"/>
  <c r="N979" i="5"/>
  <c r="N980" i="5"/>
  <c r="N981" i="5"/>
  <c r="N982" i="5"/>
  <c r="N983" i="5"/>
  <c r="N984" i="5"/>
  <c r="N985" i="5"/>
  <c r="N986" i="5"/>
  <c r="N987" i="5"/>
  <c r="N988" i="5"/>
  <c r="N989" i="5"/>
  <c r="N990" i="5"/>
  <c r="N991" i="5"/>
  <c r="N992" i="5"/>
  <c r="N993" i="5"/>
  <c r="N994" i="5"/>
  <c r="N995" i="5"/>
  <c r="N996" i="5"/>
  <c r="N997" i="5"/>
  <c r="N998" i="5"/>
  <c r="N999" i="5"/>
  <c r="N1000" i="5"/>
  <c r="N1001" i="5"/>
  <c r="N1002" i="5"/>
  <c r="N1003" i="5"/>
  <c r="N1004" i="5"/>
  <c r="N7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O326" i="5"/>
  <c r="O327" i="5"/>
  <c r="O328" i="5"/>
  <c r="O329" i="5"/>
  <c r="O330" i="5"/>
  <c r="O331" i="5"/>
  <c r="O332" i="5"/>
  <c r="O333" i="5"/>
  <c r="O334" i="5"/>
  <c r="O335" i="5"/>
  <c r="O336" i="5"/>
  <c r="O337" i="5"/>
  <c r="O338" i="5"/>
  <c r="O339" i="5"/>
  <c r="O340" i="5"/>
  <c r="O341" i="5"/>
  <c r="O342" i="5"/>
  <c r="O343" i="5"/>
  <c r="O344" i="5"/>
  <c r="O345" i="5"/>
  <c r="O346" i="5"/>
  <c r="O347" i="5"/>
  <c r="O348" i="5"/>
  <c r="O349" i="5"/>
  <c r="O350" i="5"/>
  <c r="O351" i="5"/>
  <c r="O352" i="5"/>
  <c r="O353" i="5"/>
  <c r="O354" i="5"/>
  <c r="O355" i="5"/>
  <c r="O356" i="5"/>
  <c r="O357" i="5"/>
  <c r="O358" i="5"/>
  <c r="O359" i="5"/>
  <c r="O360" i="5"/>
  <c r="O361" i="5"/>
  <c r="O362" i="5"/>
  <c r="O363" i="5"/>
  <c r="O364" i="5"/>
  <c r="O365" i="5"/>
  <c r="O366" i="5"/>
  <c r="O367" i="5"/>
  <c r="O368" i="5"/>
  <c r="O369" i="5"/>
  <c r="O370" i="5"/>
  <c r="O371" i="5"/>
  <c r="O372" i="5"/>
  <c r="O373" i="5"/>
  <c r="O374" i="5"/>
  <c r="O375" i="5"/>
  <c r="O376" i="5"/>
  <c r="O377" i="5"/>
  <c r="O378" i="5"/>
  <c r="O379" i="5"/>
  <c r="O380" i="5"/>
  <c r="O381" i="5"/>
  <c r="O382" i="5"/>
  <c r="O383" i="5"/>
  <c r="O384" i="5"/>
  <c r="O385" i="5"/>
  <c r="O386" i="5"/>
  <c r="O387" i="5"/>
  <c r="O388" i="5"/>
  <c r="O389" i="5"/>
  <c r="O390" i="5"/>
  <c r="O391" i="5"/>
  <c r="O392" i="5"/>
  <c r="O393" i="5"/>
  <c r="O394" i="5"/>
  <c r="O395" i="5"/>
  <c r="O396" i="5"/>
  <c r="O397" i="5"/>
  <c r="O398" i="5"/>
  <c r="O399" i="5"/>
  <c r="O400" i="5"/>
  <c r="O401" i="5"/>
  <c r="O402" i="5"/>
  <c r="O403" i="5"/>
  <c r="O404" i="5"/>
  <c r="O405" i="5"/>
  <c r="O406" i="5"/>
  <c r="O407" i="5"/>
  <c r="O408" i="5"/>
  <c r="O409" i="5"/>
  <c r="O410" i="5"/>
  <c r="O411" i="5"/>
  <c r="O412" i="5"/>
  <c r="O413" i="5"/>
  <c r="O414" i="5"/>
  <c r="O415" i="5"/>
  <c r="O416" i="5"/>
  <c r="O417" i="5"/>
  <c r="O418" i="5"/>
  <c r="O419" i="5"/>
  <c r="O420" i="5"/>
  <c r="O421" i="5"/>
  <c r="O422" i="5"/>
  <c r="O423" i="5"/>
  <c r="O424" i="5"/>
  <c r="O425" i="5"/>
  <c r="O426" i="5"/>
  <c r="O427" i="5"/>
  <c r="O428" i="5"/>
  <c r="O429" i="5"/>
  <c r="O430" i="5"/>
  <c r="O431" i="5"/>
  <c r="O432" i="5"/>
  <c r="O433" i="5"/>
  <c r="O434" i="5"/>
  <c r="O435" i="5"/>
  <c r="O436" i="5"/>
  <c r="O437" i="5"/>
  <c r="O438" i="5"/>
  <c r="O439" i="5"/>
  <c r="O440" i="5"/>
  <c r="O441" i="5"/>
  <c r="O442" i="5"/>
  <c r="O443" i="5"/>
  <c r="O444" i="5"/>
  <c r="O445" i="5"/>
  <c r="O446" i="5"/>
  <c r="O447" i="5"/>
  <c r="O448" i="5"/>
  <c r="O449" i="5"/>
  <c r="O450" i="5"/>
  <c r="O451" i="5"/>
  <c r="O452" i="5"/>
  <c r="O453" i="5"/>
  <c r="O454" i="5"/>
  <c r="O455" i="5"/>
  <c r="O456" i="5"/>
  <c r="O457" i="5"/>
  <c r="O458" i="5"/>
  <c r="O459" i="5"/>
  <c r="O460" i="5"/>
  <c r="O461" i="5"/>
  <c r="O462" i="5"/>
  <c r="O463" i="5"/>
  <c r="O464" i="5"/>
  <c r="O465" i="5"/>
  <c r="O466" i="5"/>
  <c r="O467" i="5"/>
  <c r="O468" i="5"/>
  <c r="O469" i="5"/>
  <c r="O470" i="5"/>
  <c r="O471" i="5"/>
  <c r="O472" i="5"/>
  <c r="O473" i="5"/>
  <c r="O474" i="5"/>
  <c r="O475" i="5"/>
  <c r="O476" i="5"/>
  <c r="O477" i="5"/>
  <c r="O478" i="5"/>
  <c r="O479" i="5"/>
  <c r="O480" i="5"/>
  <c r="O481" i="5"/>
  <c r="O482" i="5"/>
  <c r="O483" i="5"/>
  <c r="O484" i="5"/>
  <c r="O485" i="5"/>
  <c r="O486" i="5"/>
  <c r="O487" i="5"/>
  <c r="O488" i="5"/>
  <c r="O489" i="5"/>
  <c r="O490" i="5"/>
  <c r="O491" i="5"/>
  <c r="O492" i="5"/>
  <c r="O493" i="5"/>
  <c r="O494" i="5"/>
  <c r="O495" i="5"/>
  <c r="O496" i="5"/>
  <c r="O497" i="5"/>
  <c r="O498" i="5"/>
  <c r="O499" i="5"/>
  <c r="O500" i="5"/>
  <c r="O501" i="5"/>
  <c r="O502" i="5"/>
  <c r="O503" i="5"/>
  <c r="O504" i="5"/>
  <c r="O505" i="5"/>
  <c r="O506" i="5"/>
  <c r="O507" i="5"/>
  <c r="O508" i="5"/>
  <c r="O509" i="5"/>
  <c r="O510" i="5"/>
  <c r="O511" i="5"/>
  <c r="O512" i="5"/>
  <c r="O513" i="5"/>
  <c r="O514" i="5"/>
  <c r="O515" i="5"/>
  <c r="O516" i="5"/>
  <c r="O517" i="5"/>
  <c r="O518" i="5"/>
  <c r="O519" i="5"/>
  <c r="O520" i="5"/>
  <c r="O521" i="5"/>
  <c r="O522" i="5"/>
  <c r="O523" i="5"/>
  <c r="O524" i="5"/>
  <c r="O525" i="5"/>
  <c r="O526" i="5"/>
  <c r="O527" i="5"/>
  <c r="O528" i="5"/>
  <c r="O529" i="5"/>
  <c r="O530" i="5"/>
  <c r="O531" i="5"/>
  <c r="O532" i="5"/>
  <c r="O533" i="5"/>
  <c r="O534" i="5"/>
  <c r="O535" i="5"/>
  <c r="O536" i="5"/>
  <c r="O537" i="5"/>
  <c r="O538" i="5"/>
  <c r="O539" i="5"/>
  <c r="O540" i="5"/>
  <c r="O541" i="5"/>
  <c r="O542" i="5"/>
  <c r="O543" i="5"/>
  <c r="O544" i="5"/>
  <c r="O545" i="5"/>
  <c r="O546" i="5"/>
  <c r="O547" i="5"/>
  <c r="O548" i="5"/>
  <c r="O549" i="5"/>
  <c r="O550" i="5"/>
  <c r="O551" i="5"/>
  <c r="O552" i="5"/>
  <c r="O553" i="5"/>
  <c r="O554" i="5"/>
  <c r="O555" i="5"/>
  <c r="O556" i="5"/>
  <c r="O557" i="5"/>
  <c r="O558" i="5"/>
  <c r="O559" i="5"/>
  <c r="O560" i="5"/>
  <c r="O561" i="5"/>
  <c r="O562" i="5"/>
  <c r="O563" i="5"/>
  <c r="O564" i="5"/>
  <c r="O565" i="5"/>
  <c r="O566" i="5"/>
  <c r="O567" i="5"/>
  <c r="O568" i="5"/>
  <c r="O569" i="5"/>
  <c r="O570" i="5"/>
  <c r="O571" i="5"/>
  <c r="O572" i="5"/>
  <c r="O573" i="5"/>
  <c r="O574" i="5"/>
  <c r="O575" i="5"/>
  <c r="O576" i="5"/>
  <c r="O577" i="5"/>
  <c r="O578" i="5"/>
  <c r="O579" i="5"/>
  <c r="O580" i="5"/>
  <c r="O581" i="5"/>
  <c r="O582" i="5"/>
  <c r="O583" i="5"/>
  <c r="O584" i="5"/>
  <c r="O585" i="5"/>
  <c r="O586" i="5"/>
  <c r="O587" i="5"/>
  <c r="O588" i="5"/>
  <c r="O589" i="5"/>
  <c r="O590" i="5"/>
  <c r="O591" i="5"/>
  <c r="O592" i="5"/>
  <c r="O593" i="5"/>
  <c r="O594" i="5"/>
  <c r="O595" i="5"/>
  <c r="O596" i="5"/>
  <c r="O597" i="5"/>
  <c r="O598" i="5"/>
  <c r="O599" i="5"/>
  <c r="O600" i="5"/>
  <c r="O601" i="5"/>
  <c r="O602" i="5"/>
  <c r="O603" i="5"/>
  <c r="O604" i="5"/>
  <c r="O605" i="5"/>
  <c r="O606" i="5"/>
  <c r="O607" i="5"/>
  <c r="O608" i="5"/>
  <c r="O609" i="5"/>
  <c r="O610" i="5"/>
  <c r="O611" i="5"/>
  <c r="O612" i="5"/>
  <c r="O613" i="5"/>
  <c r="O614" i="5"/>
  <c r="O615" i="5"/>
  <c r="O616" i="5"/>
  <c r="O617" i="5"/>
  <c r="O618" i="5"/>
  <c r="O619" i="5"/>
  <c r="O620" i="5"/>
  <c r="O621" i="5"/>
  <c r="O622" i="5"/>
  <c r="O623" i="5"/>
  <c r="O624" i="5"/>
  <c r="O625" i="5"/>
  <c r="O626" i="5"/>
  <c r="O627" i="5"/>
  <c r="O628" i="5"/>
  <c r="O629" i="5"/>
  <c r="O630" i="5"/>
  <c r="O631" i="5"/>
  <c r="O632" i="5"/>
  <c r="O633" i="5"/>
  <c r="O634" i="5"/>
  <c r="O635" i="5"/>
  <c r="O636" i="5"/>
  <c r="O637" i="5"/>
  <c r="O638" i="5"/>
  <c r="O639" i="5"/>
  <c r="O640" i="5"/>
  <c r="O641" i="5"/>
  <c r="O642" i="5"/>
  <c r="O643" i="5"/>
  <c r="O644" i="5"/>
  <c r="O645" i="5"/>
  <c r="O646" i="5"/>
  <c r="O647" i="5"/>
  <c r="O648" i="5"/>
  <c r="O649" i="5"/>
  <c r="O650" i="5"/>
  <c r="O651" i="5"/>
  <c r="O652" i="5"/>
  <c r="O653" i="5"/>
  <c r="O654" i="5"/>
  <c r="O655" i="5"/>
  <c r="O656" i="5"/>
  <c r="O657" i="5"/>
  <c r="O658" i="5"/>
  <c r="O659" i="5"/>
  <c r="O660" i="5"/>
  <c r="O661" i="5"/>
  <c r="O662" i="5"/>
  <c r="O663" i="5"/>
  <c r="O664" i="5"/>
  <c r="O665" i="5"/>
  <c r="O666" i="5"/>
  <c r="O667" i="5"/>
  <c r="O668" i="5"/>
  <c r="O669" i="5"/>
  <c r="O670" i="5"/>
  <c r="O671" i="5"/>
  <c r="O672" i="5"/>
  <c r="O673" i="5"/>
  <c r="O674" i="5"/>
  <c r="O675" i="5"/>
  <c r="O676" i="5"/>
  <c r="O677" i="5"/>
  <c r="O678" i="5"/>
  <c r="O679" i="5"/>
  <c r="O680" i="5"/>
  <c r="O681" i="5"/>
  <c r="O682" i="5"/>
  <c r="O683" i="5"/>
  <c r="O684" i="5"/>
  <c r="O685" i="5"/>
  <c r="O686" i="5"/>
  <c r="O687" i="5"/>
  <c r="O688" i="5"/>
  <c r="O689" i="5"/>
  <c r="O690" i="5"/>
  <c r="O691" i="5"/>
  <c r="O692" i="5"/>
  <c r="O693" i="5"/>
  <c r="O694" i="5"/>
  <c r="O695" i="5"/>
  <c r="O696" i="5"/>
  <c r="O697" i="5"/>
  <c r="O698" i="5"/>
  <c r="O699" i="5"/>
  <c r="O700" i="5"/>
  <c r="O701" i="5"/>
  <c r="O702" i="5"/>
  <c r="O703" i="5"/>
  <c r="O704" i="5"/>
  <c r="O705" i="5"/>
  <c r="O706" i="5"/>
  <c r="O707" i="5"/>
  <c r="O708" i="5"/>
  <c r="O709" i="5"/>
  <c r="O710" i="5"/>
  <c r="O711" i="5"/>
  <c r="O712" i="5"/>
  <c r="O713" i="5"/>
  <c r="O714" i="5"/>
  <c r="O715" i="5"/>
  <c r="O716" i="5"/>
  <c r="O717" i="5"/>
  <c r="O718" i="5"/>
  <c r="O719" i="5"/>
  <c r="O720" i="5"/>
  <c r="O721" i="5"/>
  <c r="O722" i="5"/>
  <c r="O723" i="5"/>
  <c r="O724" i="5"/>
  <c r="O725" i="5"/>
  <c r="O726" i="5"/>
  <c r="O727" i="5"/>
  <c r="O728" i="5"/>
  <c r="O729" i="5"/>
  <c r="O730" i="5"/>
  <c r="O731" i="5"/>
  <c r="O732" i="5"/>
  <c r="O733" i="5"/>
  <c r="O734" i="5"/>
  <c r="O735" i="5"/>
  <c r="O736" i="5"/>
  <c r="O737" i="5"/>
  <c r="O738" i="5"/>
  <c r="O739" i="5"/>
  <c r="O740" i="5"/>
  <c r="O741" i="5"/>
  <c r="O742" i="5"/>
  <c r="O743" i="5"/>
  <c r="O744" i="5"/>
  <c r="O745" i="5"/>
  <c r="O746" i="5"/>
  <c r="O747" i="5"/>
  <c r="O748" i="5"/>
  <c r="O749" i="5"/>
  <c r="O750" i="5"/>
  <c r="O751" i="5"/>
  <c r="O752" i="5"/>
  <c r="O753" i="5"/>
  <c r="O754" i="5"/>
  <c r="O755" i="5"/>
  <c r="O756" i="5"/>
  <c r="O757" i="5"/>
  <c r="O758" i="5"/>
  <c r="O759" i="5"/>
  <c r="O760" i="5"/>
  <c r="O761" i="5"/>
  <c r="O762" i="5"/>
  <c r="O763" i="5"/>
  <c r="O764" i="5"/>
  <c r="O765" i="5"/>
  <c r="O766" i="5"/>
  <c r="O767" i="5"/>
  <c r="O768" i="5"/>
  <c r="O769" i="5"/>
  <c r="O770" i="5"/>
  <c r="O771" i="5"/>
  <c r="O772" i="5"/>
  <c r="O773" i="5"/>
  <c r="O774" i="5"/>
  <c r="O775" i="5"/>
  <c r="O776" i="5"/>
  <c r="O777" i="5"/>
  <c r="O778" i="5"/>
  <c r="O779" i="5"/>
  <c r="O780" i="5"/>
  <c r="O781" i="5"/>
  <c r="O782" i="5"/>
  <c r="O783" i="5"/>
  <c r="O784" i="5"/>
  <c r="O785" i="5"/>
  <c r="O786" i="5"/>
  <c r="O787" i="5"/>
  <c r="O788" i="5"/>
  <c r="O789" i="5"/>
  <c r="O790" i="5"/>
  <c r="O791" i="5"/>
  <c r="O792" i="5"/>
  <c r="O793" i="5"/>
  <c r="O794" i="5"/>
  <c r="O795" i="5"/>
  <c r="O796" i="5"/>
  <c r="O797" i="5"/>
  <c r="O798" i="5"/>
  <c r="O799" i="5"/>
  <c r="O800" i="5"/>
  <c r="O801" i="5"/>
  <c r="O802" i="5"/>
  <c r="O803" i="5"/>
  <c r="O804" i="5"/>
  <c r="O805" i="5"/>
  <c r="O806" i="5"/>
  <c r="O807" i="5"/>
  <c r="O808" i="5"/>
  <c r="O809" i="5"/>
  <c r="O810" i="5"/>
  <c r="O811" i="5"/>
  <c r="O812" i="5"/>
  <c r="O813" i="5"/>
  <c r="O814" i="5"/>
  <c r="O815" i="5"/>
  <c r="O816" i="5"/>
  <c r="O817" i="5"/>
  <c r="O818" i="5"/>
  <c r="O819" i="5"/>
  <c r="O820" i="5"/>
  <c r="O821" i="5"/>
  <c r="O822" i="5"/>
  <c r="O823" i="5"/>
  <c r="O824" i="5"/>
  <c r="O825" i="5"/>
  <c r="O826" i="5"/>
  <c r="O827" i="5"/>
  <c r="O828" i="5"/>
  <c r="O829" i="5"/>
  <c r="O830" i="5"/>
  <c r="O831" i="5"/>
  <c r="O832" i="5"/>
  <c r="O833" i="5"/>
  <c r="O834" i="5"/>
  <c r="O835" i="5"/>
  <c r="O836" i="5"/>
  <c r="O837" i="5"/>
  <c r="O838" i="5"/>
  <c r="O839" i="5"/>
  <c r="O840" i="5"/>
  <c r="O841" i="5"/>
  <c r="O842" i="5"/>
  <c r="O843" i="5"/>
  <c r="O844" i="5"/>
  <c r="O845" i="5"/>
  <c r="O846" i="5"/>
  <c r="O847" i="5"/>
  <c r="O848" i="5"/>
  <c r="O849" i="5"/>
  <c r="O850" i="5"/>
  <c r="O851" i="5"/>
  <c r="O852" i="5"/>
  <c r="O853" i="5"/>
  <c r="O854" i="5"/>
  <c r="O855" i="5"/>
  <c r="O856" i="5"/>
  <c r="O857" i="5"/>
  <c r="O858" i="5"/>
  <c r="O859" i="5"/>
  <c r="O860" i="5"/>
  <c r="O861" i="5"/>
  <c r="O862" i="5"/>
  <c r="O863" i="5"/>
  <c r="O864" i="5"/>
  <c r="O865" i="5"/>
  <c r="O866" i="5"/>
  <c r="O867" i="5"/>
  <c r="O868" i="5"/>
  <c r="O869" i="5"/>
  <c r="O870" i="5"/>
  <c r="O871" i="5"/>
  <c r="O872" i="5"/>
  <c r="O873" i="5"/>
  <c r="O874" i="5"/>
  <c r="O875" i="5"/>
  <c r="O876" i="5"/>
  <c r="O877" i="5"/>
  <c r="O878" i="5"/>
  <c r="O879" i="5"/>
  <c r="O880" i="5"/>
  <c r="O881" i="5"/>
  <c r="O882" i="5"/>
  <c r="O883" i="5"/>
  <c r="O884" i="5"/>
  <c r="O885" i="5"/>
  <c r="O886" i="5"/>
  <c r="O887" i="5"/>
  <c r="O888" i="5"/>
  <c r="O889" i="5"/>
  <c r="O890" i="5"/>
  <c r="O891" i="5"/>
  <c r="O892" i="5"/>
  <c r="O893" i="5"/>
  <c r="O894" i="5"/>
  <c r="O895" i="5"/>
  <c r="O896" i="5"/>
  <c r="O897" i="5"/>
  <c r="O898" i="5"/>
  <c r="O899" i="5"/>
  <c r="O900" i="5"/>
  <c r="O901" i="5"/>
  <c r="O902" i="5"/>
  <c r="O903" i="5"/>
  <c r="O904" i="5"/>
  <c r="O905" i="5"/>
  <c r="O906" i="5"/>
  <c r="O907" i="5"/>
  <c r="O908" i="5"/>
  <c r="O909" i="5"/>
  <c r="O910" i="5"/>
  <c r="O911" i="5"/>
  <c r="O912" i="5"/>
  <c r="O913" i="5"/>
  <c r="O914" i="5"/>
  <c r="O915" i="5"/>
  <c r="O916" i="5"/>
  <c r="O917" i="5"/>
  <c r="O918" i="5"/>
  <c r="O919" i="5"/>
  <c r="O920" i="5"/>
  <c r="O921" i="5"/>
  <c r="O922" i="5"/>
  <c r="O923" i="5"/>
  <c r="O924" i="5"/>
  <c r="O925" i="5"/>
  <c r="O926" i="5"/>
  <c r="O927" i="5"/>
  <c r="O928" i="5"/>
  <c r="O929" i="5"/>
  <c r="O930" i="5"/>
  <c r="O931" i="5"/>
  <c r="O932" i="5"/>
  <c r="O933" i="5"/>
  <c r="O934" i="5"/>
  <c r="O935" i="5"/>
  <c r="O936" i="5"/>
  <c r="O937" i="5"/>
  <c r="O938" i="5"/>
  <c r="O939" i="5"/>
  <c r="O940" i="5"/>
  <c r="O941" i="5"/>
  <c r="O942" i="5"/>
  <c r="O943" i="5"/>
  <c r="O944" i="5"/>
  <c r="O945" i="5"/>
  <c r="O946" i="5"/>
  <c r="O947" i="5"/>
  <c r="O948" i="5"/>
  <c r="O949" i="5"/>
  <c r="O950" i="5"/>
  <c r="O951" i="5"/>
  <c r="O952" i="5"/>
  <c r="O953" i="5"/>
  <c r="O954" i="5"/>
  <c r="O955" i="5"/>
  <c r="O956" i="5"/>
  <c r="O957" i="5"/>
  <c r="O958" i="5"/>
  <c r="O959" i="5"/>
  <c r="O960" i="5"/>
  <c r="O961" i="5"/>
  <c r="O962" i="5"/>
  <c r="O963" i="5"/>
  <c r="O964" i="5"/>
  <c r="O965" i="5"/>
  <c r="O966" i="5"/>
  <c r="O967" i="5"/>
  <c r="O968" i="5"/>
  <c r="O969" i="5"/>
  <c r="O970" i="5"/>
  <c r="O971" i="5"/>
  <c r="O972" i="5"/>
  <c r="O973" i="5"/>
  <c r="O974" i="5"/>
  <c r="O975" i="5"/>
  <c r="O976" i="5"/>
  <c r="O977" i="5"/>
  <c r="O978" i="5"/>
  <c r="O979" i="5"/>
  <c r="O980" i="5"/>
  <c r="O981" i="5"/>
  <c r="O982" i="5"/>
  <c r="O983" i="5"/>
  <c r="O984" i="5"/>
  <c r="O985" i="5"/>
  <c r="O986" i="5"/>
  <c r="O987" i="5"/>
  <c r="O988" i="5"/>
  <c r="O989" i="5"/>
  <c r="O990" i="5"/>
  <c r="O991" i="5"/>
  <c r="O992" i="5"/>
  <c r="O993" i="5"/>
  <c r="O994" i="5"/>
  <c r="O995" i="5"/>
  <c r="O996" i="5"/>
  <c r="O997" i="5"/>
  <c r="O998" i="5"/>
  <c r="O999" i="5"/>
  <c r="O1000" i="5"/>
  <c r="O1001" i="5"/>
  <c r="O1002" i="5"/>
  <c r="O1003" i="5"/>
  <c r="O1004" i="5"/>
  <c r="O4" i="5"/>
  <c r="AB1004" i="5"/>
  <c r="M1004" i="5"/>
  <c r="Z8" i="5"/>
  <c r="Z9" i="5"/>
  <c r="Z16" i="5"/>
  <c r="Z17" i="5"/>
  <c r="Z24" i="5"/>
  <c r="Z25" i="5"/>
  <c r="Z32" i="5"/>
  <c r="Z33" i="5"/>
  <c r="Z40" i="5"/>
  <c r="Z41" i="5"/>
  <c r="Z48" i="5"/>
  <c r="Z49" i="5"/>
  <c r="Z56" i="5"/>
  <c r="Z57" i="5"/>
  <c r="Z64" i="5"/>
  <c r="Z65" i="5"/>
  <c r="Z72" i="5"/>
  <c r="Z73" i="5"/>
  <c r="Z80" i="5"/>
  <c r="Z81" i="5"/>
  <c r="Z88" i="5"/>
  <c r="Z89" i="5"/>
  <c r="Z96" i="5"/>
  <c r="Z97" i="5"/>
  <c r="Z104" i="5"/>
  <c r="Z105" i="5"/>
  <c r="Z112" i="5"/>
  <c r="Z113" i="5"/>
  <c r="Z120" i="5"/>
  <c r="Z121" i="5"/>
  <c r="Z128" i="5"/>
  <c r="Z129" i="5"/>
  <c r="Z136" i="5"/>
  <c r="Z137" i="5"/>
  <c r="Z144" i="5"/>
  <c r="Z145" i="5"/>
  <c r="Z152" i="5"/>
  <c r="Z153" i="5"/>
  <c r="Z160" i="5"/>
  <c r="Z161" i="5"/>
  <c r="Z168" i="5"/>
  <c r="Z169" i="5"/>
  <c r="Z176" i="5"/>
  <c r="Z177" i="5"/>
  <c r="Z184" i="5"/>
  <c r="Z185" i="5"/>
  <c r="Z192" i="5"/>
  <c r="Z193" i="5"/>
  <c r="Z200" i="5"/>
  <c r="Z201" i="5"/>
  <c r="Z208" i="5"/>
  <c r="Z209" i="5"/>
  <c r="Z216" i="5"/>
  <c r="Z217" i="5"/>
  <c r="Z224" i="5"/>
  <c r="Z225" i="5"/>
  <c r="Z232" i="5"/>
  <c r="Z233" i="5"/>
  <c r="Z240" i="5"/>
  <c r="Z241" i="5"/>
  <c r="Z248" i="5"/>
  <c r="Z249" i="5"/>
  <c r="Z256" i="5"/>
  <c r="Z257" i="5"/>
  <c r="Z264" i="5"/>
  <c r="Z265" i="5"/>
  <c r="Z272" i="5"/>
  <c r="Z273" i="5"/>
  <c r="Z280" i="5"/>
  <c r="Z281" i="5"/>
  <c r="Z288" i="5"/>
  <c r="Z289" i="5"/>
  <c r="Z296" i="5"/>
  <c r="Z297" i="5"/>
  <c r="Z304" i="5"/>
  <c r="Z305" i="5"/>
  <c r="Z312" i="5"/>
  <c r="Z313" i="5"/>
  <c r="Z320" i="5"/>
  <c r="Z321" i="5"/>
  <c r="Z328" i="5"/>
  <c r="Z329" i="5"/>
  <c r="Z336" i="5"/>
  <c r="Z337" i="5"/>
  <c r="Z344" i="5"/>
  <c r="Z345" i="5"/>
  <c r="Z352" i="5"/>
  <c r="Z353" i="5"/>
  <c r="Z360" i="5"/>
  <c r="Z361" i="5"/>
  <c r="Z368" i="5"/>
  <c r="Z369" i="5"/>
  <c r="Z376" i="5"/>
  <c r="Z377" i="5"/>
  <c r="Z384" i="5"/>
  <c r="Z385" i="5"/>
  <c r="Z392" i="5"/>
  <c r="Z393" i="5"/>
  <c r="Z400" i="5"/>
  <c r="Z401" i="5"/>
  <c r="Z408" i="5"/>
  <c r="Z409" i="5"/>
  <c r="Z416" i="5"/>
  <c r="Z417" i="5"/>
  <c r="Z424" i="5"/>
  <c r="Z425" i="5"/>
  <c r="Z432" i="5"/>
  <c r="Z433" i="5"/>
  <c r="Z440" i="5"/>
  <c r="Z441" i="5"/>
  <c r="Z448" i="5"/>
  <c r="Z449" i="5"/>
  <c r="Z456" i="5"/>
  <c r="Z457" i="5"/>
  <c r="Z464" i="5"/>
  <c r="Z465" i="5"/>
  <c r="Z472" i="5"/>
  <c r="Z473" i="5"/>
  <c r="Z480" i="5"/>
  <c r="Z481" i="5"/>
  <c r="Z488" i="5"/>
  <c r="Z489" i="5"/>
  <c r="Z496" i="5"/>
  <c r="Z497" i="5"/>
  <c r="Z504" i="5"/>
  <c r="Z505" i="5"/>
  <c r="Z512" i="5"/>
  <c r="Z513" i="5"/>
  <c r="Z520" i="5"/>
  <c r="Z521" i="5"/>
  <c r="Z528" i="5"/>
  <c r="Z529" i="5"/>
  <c r="Z536" i="5"/>
  <c r="Z537" i="5"/>
  <c r="Z544" i="5"/>
  <c r="Z545" i="5"/>
  <c r="Z552" i="5"/>
  <c r="Z553" i="5"/>
  <c r="Z560" i="5"/>
  <c r="Z561" i="5"/>
  <c r="Z568" i="5"/>
  <c r="Z569" i="5"/>
  <c r="Z576" i="5"/>
  <c r="Z577" i="5"/>
  <c r="Z584" i="5"/>
  <c r="Z585" i="5"/>
  <c r="Z592" i="5"/>
  <c r="Z593" i="5"/>
  <c r="Z600" i="5"/>
  <c r="Z601" i="5"/>
  <c r="Z608" i="5"/>
  <c r="Z609" i="5"/>
  <c r="Z616" i="5"/>
  <c r="Z617" i="5"/>
  <c r="Z624" i="5"/>
  <c r="Z625" i="5"/>
  <c r="Z632" i="5"/>
  <c r="Z633" i="5"/>
  <c r="Z640" i="5"/>
  <c r="Z641" i="5"/>
  <c r="Z648" i="5"/>
  <c r="Z649" i="5"/>
  <c r="Z656" i="5"/>
  <c r="Z657" i="5"/>
  <c r="Z664" i="5"/>
  <c r="Z665" i="5"/>
  <c r="Z672" i="5"/>
  <c r="Z673" i="5"/>
  <c r="Z680" i="5"/>
  <c r="Z681" i="5"/>
  <c r="Z688" i="5"/>
  <c r="Z689" i="5"/>
  <c r="Z696" i="5"/>
  <c r="Z697" i="5"/>
  <c r="Z704" i="5"/>
  <c r="Z705" i="5"/>
  <c r="Z712" i="5"/>
  <c r="Z713" i="5"/>
  <c r="Z720" i="5"/>
  <c r="Z721" i="5"/>
  <c r="Z728" i="5"/>
  <c r="Z729" i="5"/>
  <c r="Z736" i="5"/>
  <c r="Z737" i="5"/>
  <c r="Z744" i="5"/>
  <c r="Z745" i="5"/>
  <c r="Z752" i="5"/>
  <c r="Z753" i="5"/>
  <c r="Z760" i="5"/>
  <c r="Z761" i="5"/>
  <c r="Z768" i="5"/>
  <c r="Z769" i="5"/>
  <c r="Z776" i="5"/>
  <c r="Z777" i="5"/>
  <c r="Z784" i="5"/>
  <c r="Z785" i="5"/>
  <c r="Z792" i="5"/>
  <c r="Z793" i="5"/>
  <c r="Z800" i="5"/>
  <c r="Z801" i="5"/>
  <c r="Z808" i="5"/>
  <c r="Z809" i="5"/>
  <c r="Z816" i="5"/>
  <c r="Z817" i="5"/>
  <c r="Z824" i="5"/>
  <c r="Z825" i="5"/>
  <c r="Z832" i="5"/>
  <c r="Z833" i="5"/>
  <c r="Z840" i="5"/>
  <c r="Z841" i="5"/>
  <c r="Z848" i="5"/>
  <c r="Z849" i="5"/>
  <c r="Z856" i="5"/>
  <c r="Z857" i="5"/>
  <c r="Z864" i="5"/>
  <c r="Z865" i="5"/>
  <c r="Z872" i="5"/>
  <c r="Z873" i="5"/>
  <c r="Z880" i="5"/>
  <c r="Z881" i="5"/>
  <c r="Z888" i="5"/>
  <c r="Z889" i="5"/>
  <c r="Z896" i="5"/>
  <c r="Z897" i="5"/>
  <c r="Z904" i="5"/>
  <c r="Z905" i="5"/>
  <c r="Z912" i="5"/>
  <c r="Z913" i="5"/>
  <c r="Z920" i="5"/>
  <c r="Z921" i="5"/>
  <c r="Z928" i="5"/>
  <c r="Z929" i="5"/>
  <c r="Z936" i="5"/>
  <c r="Z937" i="5"/>
  <c r="Z944" i="5"/>
  <c r="Z945" i="5"/>
  <c r="Z952" i="5"/>
  <c r="Z953" i="5"/>
  <c r="Z960" i="5"/>
  <c r="Z961" i="5"/>
  <c r="Z967" i="5"/>
  <c r="Z971" i="5"/>
  <c r="Z975" i="5"/>
  <c r="Z979" i="5"/>
  <c r="Z983" i="5"/>
  <c r="Z987" i="5"/>
  <c r="Z991" i="5"/>
  <c r="Z995" i="5"/>
  <c r="Z999" i="5"/>
  <c r="Z1003" i="5"/>
  <c r="Y5" i="5"/>
  <c r="Z5" i="5" s="1"/>
  <c r="Y6" i="5"/>
  <c r="Z6" i="5" s="1"/>
  <c r="Y7" i="5"/>
  <c r="Z7" i="5" s="1"/>
  <c r="Y8" i="5"/>
  <c r="Y9" i="5"/>
  <c r="Y10" i="5"/>
  <c r="Z10" i="5" s="1"/>
  <c r="Y11" i="5"/>
  <c r="Z11" i="5" s="1"/>
  <c r="Y12" i="5"/>
  <c r="Z12" i="5" s="1"/>
  <c r="Y13" i="5"/>
  <c r="Z13" i="5" s="1"/>
  <c r="Y14" i="5"/>
  <c r="Z14" i="5" s="1"/>
  <c r="Y15" i="5"/>
  <c r="Z15" i="5" s="1"/>
  <c r="Y16" i="5"/>
  <c r="Y17" i="5"/>
  <c r="Y18" i="5"/>
  <c r="Z18" i="5" s="1"/>
  <c r="Y19" i="5"/>
  <c r="Z19" i="5" s="1"/>
  <c r="Y20" i="5"/>
  <c r="Z20" i="5" s="1"/>
  <c r="Y21" i="5"/>
  <c r="Z21" i="5" s="1"/>
  <c r="Y22" i="5"/>
  <c r="Z22" i="5" s="1"/>
  <c r="Y23" i="5"/>
  <c r="Z23" i="5" s="1"/>
  <c r="Y24" i="5"/>
  <c r="Y25" i="5"/>
  <c r="Y26" i="5"/>
  <c r="Z26" i="5" s="1"/>
  <c r="Y27" i="5"/>
  <c r="Z27" i="5" s="1"/>
  <c r="Y28" i="5"/>
  <c r="Z28" i="5" s="1"/>
  <c r="Y29" i="5"/>
  <c r="Z29" i="5" s="1"/>
  <c r="Y30" i="5"/>
  <c r="Z30" i="5" s="1"/>
  <c r="Y31" i="5"/>
  <c r="Z31" i="5" s="1"/>
  <c r="Y32" i="5"/>
  <c r="Y33" i="5"/>
  <c r="Y34" i="5"/>
  <c r="Z34" i="5" s="1"/>
  <c r="Y35" i="5"/>
  <c r="Z35" i="5" s="1"/>
  <c r="Y36" i="5"/>
  <c r="Z36" i="5" s="1"/>
  <c r="Y37" i="5"/>
  <c r="Z37" i="5" s="1"/>
  <c r="Y38" i="5"/>
  <c r="Z38" i="5" s="1"/>
  <c r="Y39" i="5"/>
  <c r="Z39" i="5" s="1"/>
  <c r="Y40" i="5"/>
  <c r="Y41" i="5"/>
  <c r="Y42" i="5"/>
  <c r="Z42" i="5" s="1"/>
  <c r="Y43" i="5"/>
  <c r="Z43" i="5" s="1"/>
  <c r="Y44" i="5"/>
  <c r="Z44" i="5" s="1"/>
  <c r="Y45" i="5"/>
  <c r="Z45" i="5" s="1"/>
  <c r="Y46" i="5"/>
  <c r="Z46" i="5" s="1"/>
  <c r="Y47" i="5"/>
  <c r="Z47" i="5" s="1"/>
  <c r="Y48" i="5"/>
  <c r="Y49" i="5"/>
  <c r="Y50" i="5"/>
  <c r="Z50" i="5" s="1"/>
  <c r="Y51" i="5"/>
  <c r="Z51" i="5" s="1"/>
  <c r="Y52" i="5"/>
  <c r="Z52" i="5" s="1"/>
  <c r="Y53" i="5"/>
  <c r="Z53" i="5" s="1"/>
  <c r="Y54" i="5"/>
  <c r="Z54" i="5" s="1"/>
  <c r="Y55" i="5"/>
  <c r="Z55" i="5" s="1"/>
  <c r="Y56" i="5"/>
  <c r="Y57" i="5"/>
  <c r="Y58" i="5"/>
  <c r="Z58" i="5" s="1"/>
  <c r="Y59" i="5"/>
  <c r="Z59" i="5" s="1"/>
  <c r="Y60" i="5"/>
  <c r="Z60" i="5" s="1"/>
  <c r="Y61" i="5"/>
  <c r="Z61" i="5" s="1"/>
  <c r="Y62" i="5"/>
  <c r="Z62" i="5" s="1"/>
  <c r="Y63" i="5"/>
  <c r="Z63" i="5" s="1"/>
  <c r="Y64" i="5"/>
  <c r="Y65" i="5"/>
  <c r="Y66" i="5"/>
  <c r="Z66" i="5" s="1"/>
  <c r="Y67" i="5"/>
  <c r="Z67" i="5" s="1"/>
  <c r="Y68" i="5"/>
  <c r="Z68" i="5" s="1"/>
  <c r="Y69" i="5"/>
  <c r="Z69" i="5" s="1"/>
  <c r="Y70" i="5"/>
  <c r="Z70" i="5" s="1"/>
  <c r="Y71" i="5"/>
  <c r="Z71" i="5" s="1"/>
  <c r="Y72" i="5"/>
  <c r="Y73" i="5"/>
  <c r="Y74" i="5"/>
  <c r="Z74" i="5" s="1"/>
  <c r="Y75" i="5"/>
  <c r="Z75" i="5" s="1"/>
  <c r="Y76" i="5"/>
  <c r="Z76" i="5" s="1"/>
  <c r="Y77" i="5"/>
  <c r="Z77" i="5" s="1"/>
  <c r="Y78" i="5"/>
  <c r="Z78" i="5" s="1"/>
  <c r="Y79" i="5"/>
  <c r="Z79" i="5" s="1"/>
  <c r="Y80" i="5"/>
  <c r="Y81" i="5"/>
  <c r="Y82" i="5"/>
  <c r="Z82" i="5" s="1"/>
  <c r="Y83" i="5"/>
  <c r="Z83" i="5" s="1"/>
  <c r="Y84" i="5"/>
  <c r="Z84" i="5" s="1"/>
  <c r="Y85" i="5"/>
  <c r="Z85" i="5" s="1"/>
  <c r="Y86" i="5"/>
  <c r="Z86" i="5" s="1"/>
  <c r="Y87" i="5"/>
  <c r="Z87" i="5" s="1"/>
  <c r="Y88" i="5"/>
  <c r="Y89" i="5"/>
  <c r="Y90" i="5"/>
  <c r="Z90" i="5" s="1"/>
  <c r="Y91" i="5"/>
  <c r="Z91" i="5" s="1"/>
  <c r="Y92" i="5"/>
  <c r="Z92" i="5" s="1"/>
  <c r="Y93" i="5"/>
  <c r="Z93" i="5" s="1"/>
  <c r="Y94" i="5"/>
  <c r="Z94" i="5" s="1"/>
  <c r="Y95" i="5"/>
  <c r="Z95" i="5" s="1"/>
  <c r="Y96" i="5"/>
  <c r="Y97" i="5"/>
  <c r="Y98" i="5"/>
  <c r="Z98" i="5" s="1"/>
  <c r="Y99" i="5"/>
  <c r="Z99" i="5" s="1"/>
  <c r="Y100" i="5"/>
  <c r="Z100" i="5" s="1"/>
  <c r="Y101" i="5"/>
  <c r="Z101" i="5" s="1"/>
  <c r="Y102" i="5"/>
  <c r="Z102" i="5" s="1"/>
  <c r="Y103" i="5"/>
  <c r="Z103" i="5" s="1"/>
  <c r="Y104" i="5"/>
  <c r="Y105" i="5"/>
  <c r="Y106" i="5"/>
  <c r="Z106" i="5" s="1"/>
  <c r="Y107" i="5"/>
  <c r="Z107" i="5" s="1"/>
  <c r="Y108" i="5"/>
  <c r="Z108" i="5" s="1"/>
  <c r="Y109" i="5"/>
  <c r="Z109" i="5" s="1"/>
  <c r="Y110" i="5"/>
  <c r="Z110" i="5" s="1"/>
  <c r="Y111" i="5"/>
  <c r="Z111" i="5" s="1"/>
  <c r="Y112" i="5"/>
  <c r="Y113" i="5"/>
  <c r="Y114" i="5"/>
  <c r="Z114" i="5" s="1"/>
  <c r="Y115" i="5"/>
  <c r="Z115" i="5" s="1"/>
  <c r="Y116" i="5"/>
  <c r="Z116" i="5" s="1"/>
  <c r="Y117" i="5"/>
  <c r="Z117" i="5" s="1"/>
  <c r="Y118" i="5"/>
  <c r="Z118" i="5" s="1"/>
  <c r="Y119" i="5"/>
  <c r="Z119" i="5" s="1"/>
  <c r="Y120" i="5"/>
  <c r="Y121" i="5"/>
  <c r="Y122" i="5"/>
  <c r="Z122" i="5" s="1"/>
  <c r="Y123" i="5"/>
  <c r="Z123" i="5" s="1"/>
  <c r="Y124" i="5"/>
  <c r="Z124" i="5" s="1"/>
  <c r="Y125" i="5"/>
  <c r="Z125" i="5" s="1"/>
  <c r="Y126" i="5"/>
  <c r="Z126" i="5" s="1"/>
  <c r="Y127" i="5"/>
  <c r="Z127" i="5" s="1"/>
  <c r="Y128" i="5"/>
  <c r="Y129" i="5"/>
  <c r="Y130" i="5"/>
  <c r="Z130" i="5" s="1"/>
  <c r="Y131" i="5"/>
  <c r="Z131" i="5" s="1"/>
  <c r="Y132" i="5"/>
  <c r="Z132" i="5" s="1"/>
  <c r="Y133" i="5"/>
  <c r="Z133" i="5" s="1"/>
  <c r="Y134" i="5"/>
  <c r="Z134" i="5" s="1"/>
  <c r="Y135" i="5"/>
  <c r="Z135" i="5" s="1"/>
  <c r="Y136" i="5"/>
  <c r="Y137" i="5"/>
  <c r="Y138" i="5"/>
  <c r="Z138" i="5" s="1"/>
  <c r="Y139" i="5"/>
  <c r="Z139" i="5" s="1"/>
  <c r="Y140" i="5"/>
  <c r="Z140" i="5" s="1"/>
  <c r="Y141" i="5"/>
  <c r="Z141" i="5" s="1"/>
  <c r="Y142" i="5"/>
  <c r="Z142" i="5" s="1"/>
  <c r="Y143" i="5"/>
  <c r="Z143" i="5" s="1"/>
  <c r="Y144" i="5"/>
  <c r="Y145" i="5"/>
  <c r="Y146" i="5"/>
  <c r="Z146" i="5" s="1"/>
  <c r="Y147" i="5"/>
  <c r="Z147" i="5" s="1"/>
  <c r="Y148" i="5"/>
  <c r="Z148" i="5" s="1"/>
  <c r="Y149" i="5"/>
  <c r="Z149" i="5" s="1"/>
  <c r="Y150" i="5"/>
  <c r="Z150" i="5" s="1"/>
  <c r="Y151" i="5"/>
  <c r="Z151" i="5" s="1"/>
  <c r="Y152" i="5"/>
  <c r="Y153" i="5"/>
  <c r="Y154" i="5"/>
  <c r="Z154" i="5" s="1"/>
  <c r="Y155" i="5"/>
  <c r="Z155" i="5" s="1"/>
  <c r="Y156" i="5"/>
  <c r="Z156" i="5" s="1"/>
  <c r="Y157" i="5"/>
  <c r="Z157" i="5" s="1"/>
  <c r="Y158" i="5"/>
  <c r="Z158" i="5" s="1"/>
  <c r="Y159" i="5"/>
  <c r="Z159" i="5" s="1"/>
  <c r="Y160" i="5"/>
  <c r="Y161" i="5"/>
  <c r="Y162" i="5"/>
  <c r="Z162" i="5" s="1"/>
  <c r="Y163" i="5"/>
  <c r="Z163" i="5" s="1"/>
  <c r="Y164" i="5"/>
  <c r="Z164" i="5" s="1"/>
  <c r="Y165" i="5"/>
  <c r="Z165" i="5" s="1"/>
  <c r="Y166" i="5"/>
  <c r="Z166" i="5" s="1"/>
  <c r="Y167" i="5"/>
  <c r="Z167" i="5" s="1"/>
  <c r="Y168" i="5"/>
  <c r="Y169" i="5"/>
  <c r="Y170" i="5"/>
  <c r="Z170" i="5" s="1"/>
  <c r="Y171" i="5"/>
  <c r="Z171" i="5" s="1"/>
  <c r="Y172" i="5"/>
  <c r="Z172" i="5" s="1"/>
  <c r="Y173" i="5"/>
  <c r="Z173" i="5" s="1"/>
  <c r="Y174" i="5"/>
  <c r="Z174" i="5" s="1"/>
  <c r="Y175" i="5"/>
  <c r="Z175" i="5" s="1"/>
  <c r="Y176" i="5"/>
  <c r="Y177" i="5"/>
  <c r="Y178" i="5"/>
  <c r="Z178" i="5" s="1"/>
  <c r="Y179" i="5"/>
  <c r="Z179" i="5" s="1"/>
  <c r="Y180" i="5"/>
  <c r="Z180" i="5" s="1"/>
  <c r="Y181" i="5"/>
  <c r="Z181" i="5" s="1"/>
  <c r="Y182" i="5"/>
  <c r="Z182" i="5" s="1"/>
  <c r="Y183" i="5"/>
  <c r="Z183" i="5" s="1"/>
  <c r="Y184" i="5"/>
  <c r="Y185" i="5"/>
  <c r="Y186" i="5"/>
  <c r="Z186" i="5" s="1"/>
  <c r="Y187" i="5"/>
  <c r="Z187" i="5" s="1"/>
  <c r="Y188" i="5"/>
  <c r="Z188" i="5" s="1"/>
  <c r="Y189" i="5"/>
  <c r="Z189" i="5" s="1"/>
  <c r="Y190" i="5"/>
  <c r="Z190" i="5" s="1"/>
  <c r="Y191" i="5"/>
  <c r="Z191" i="5" s="1"/>
  <c r="Y192" i="5"/>
  <c r="Y193" i="5"/>
  <c r="Y194" i="5"/>
  <c r="Z194" i="5" s="1"/>
  <c r="Y195" i="5"/>
  <c r="Z195" i="5" s="1"/>
  <c r="Y196" i="5"/>
  <c r="Z196" i="5" s="1"/>
  <c r="Y197" i="5"/>
  <c r="Z197" i="5" s="1"/>
  <c r="Y198" i="5"/>
  <c r="Z198" i="5" s="1"/>
  <c r="Y199" i="5"/>
  <c r="Z199" i="5" s="1"/>
  <c r="Y200" i="5"/>
  <c r="Y201" i="5"/>
  <c r="Y202" i="5"/>
  <c r="Z202" i="5" s="1"/>
  <c r="Y203" i="5"/>
  <c r="Z203" i="5" s="1"/>
  <c r="Y204" i="5"/>
  <c r="Z204" i="5" s="1"/>
  <c r="Y205" i="5"/>
  <c r="Z205" i="5" s="1"/>
  <c r="Y206" i="5"/>
  <c r="Z206" i="5" s="1"/>
  <c r="Y207" i="5"/>
  <c r="Z207" i="5" s="1"/>
  <c r="Y208" i="5"/>
  <c r="Y209" i="5"/>
  <c r="Y210" i="5"/>
  <c r="Z210" i="5" s="1"/>
  <c r="Y211" i="5"/>
  <c r="Z211" i="5" s="1"/>
  <c r="Y212" i="5"/>
  <c r="Z212" i="5" s="1"/>
  <c r="Y213" i="5"/>
  <c r="Z213" i="5" s="1"/>
  <c r="Y214" i="5"/>
  <c r="Z214" i="5" s="1"/>
  <c r="Y215" i="5"/>
  <c r="Z215" i="5" s="1"/>
  <c r="Y216" i="5"/>
  <c r="Y217" i="5"/>
  <c r="Y218" i="5"/>
  <c r="Z218" i="5" s="1"/>
  <c r="Y219" i="5"/>
  <c r="Z219" i="5" s="1"/>
  <c r="Y220" i="5"/>
  <c r="Z220" i="5" s="1"/>
  <c r="Y221" i="5"/>
  <c r="Z221" i="5" s="1"/>
  <c r="Y222" i="5"/>
  <c r="Z222" i="5" s="1"/>
  <c r="Y223" i="5"/>
  <c r="Z223" i="5" s="1"/>
  <c r="Y224" i="5"/>
  <c r="Y225" i="5"/>
  <c r="Y226" i="5"/>
  <c r="Z226" i="5" s="1"/>
  <c r="Y227" i="5"/>
  <c r="Z227" i="5" s="1"/>
  <c r="Y228" i="5"/>
  <c r="Z228" i="5" s="1"/>
  <c r="Y229" i="5"/>
  <c r="Z229" i="5" s="1"/>
  <c r="Y230" i="5"/>
  <c r="Z230" i="5" s="1"/>
  <c r="Y231" i="5"/>
  <c r="Z231" i="5" s="1"/>
  <c r="Y232" i="5"/>
  <c r="Y233" i="5"/>
  <c r="Y234" i="5"/>
  <c r="Z234" i="5" s="1"/>
  <c r="Y235" i="5"/>
  <c r="Z235" i="5" s="1"/>
  <c r="Y236" i="5"/>
  <c r="Z236" i="5" s="1"/>
  <c r="Y237" i="5"/>
  <c r="Z237" i="5" s="1"/>
  <c r="Y238" i="5"/>
  <c r="Z238" i="5" s="1"/>
  <c r="Y239" i="5"/>
  <c r="Z239" i="5" s="1"/>
  <c r="Y240" i="5"/>
  <c r="Y241" i="5"/>
  <c r="Y242" i="5"/>
  <c r="Z242" i="5" s="1"/>
  <c r="Y243" i="5"/>
  <c r="Z243" i="5" s="1"/>
  <c r="Y244" i="5"/>
  <c r="Z244" i="5" s="1"/>
  <c r="Y245" i="5"/>
  <c r="Z245" i="5" s="1"/>
  <c r="Y246" i="5"/>
  <c r="Z246" i="5" s="1"/>
  <c r="Y247" i="5"/>
  <c r="Z247" i="5" s="1"/>
  <c r="Y248" i="5"/>
  <c r="Y249" i="5"/>
  <c r="Y250" i="5"/>
  <c r="Z250" i="5" s="1"/>
  <c r="Y251" i="5"/>
  <c r="Z251" i="5" s="1"/>
  <c r="Y252" i="5"/>
  <c r="Z252" i="5" s="1"/>
  <c r="Y253" i="5"/>
  <c r="Z253" i="5" s="1"/>
  <c r="Y254" i="5"/>
  <c r="Z254" i="5" s="1"/>
  <c r="Y255" i="5"/>
  <c r="Z255" i="5" s="1"/>
  <c r="Y256" i="5"/>
  <c r="Y257" i="5"/>
  <c r="Y258" i="5"/>
  <c r="Z258" i="5" s="1"/>
  <c r="Y259" i="5"/>
  <c r="Z259" i="5" s="1"/>
  <c r="Y260" i="5"/>
  <c r="Z260" i="5" s="1"/>
  <c r="Y261" i="5"/>
  <c r="Z261" i="5" s="1"/>
  <c r="Y262" i="5"/>
  <c r="Z262" i="5" s="1"/>
  <c r="Y263" i="5"/>
  <c r="Z263" i="5" s="1"/>
  <c r="Y264" i="5"/>
  <c r="Y265" i="5"/>
  <c r="Y266" i="5"/>
  <c r="Z266" i="5" s="1"/>
  <c r="Y267" i="5"/>
  <c r="Z267" i="5" s="1"/>
  <c r="Y268" i="5"/>
  <c r="Z268" i="5" s="1"/>
  <c r="Y269" i="5"/>
  <c r="Z269" i="5" s="1"/>
  <c r="Y270" i="5"/>
  <c r="Z270" i="5" s="1"/>
  <c r="Y271" i="5"/>
  <c r="Z271" i="5" s="1"/>
  <c r="Y272" i="5"/>
  <c r="Y273" i="5"/>
  <c r="Y274" i="5"/>
  <c r="Z274" i="5" s="1"/>
  <c r="Y275" i="5"/>
  <c r="Z275" i="5" s="1"/>
  <c r="Y276" i="5"/>
  <c r="Z276" i="5" s="1"/>
  <c r="Y277" i="5"/>
  <c r="Z277" i="5" s="1"/>
  <c r="Y278" i="5"/>
  <c r="Z278" i="5" s="1"/>
  <c r="Y279" i="5"/>
  <c r="Z279" i="5" s="1"/>
  <c r="Y280" i="5"/>
  <c r="Y281" i="5"/>
  <c r="Y282" i="5"/>
  <c r="Z282" i="5" s="1"/>
  <c r="Y283" i="5"/>
  <c r="Z283" i="5" s="1"/>
  <c r="Y284" i="5"/>
  <c r="Z284" i="5" s="1"/>
  <c r="Y285" i="5"/>
  <c r="Z285" i="5" s="1"/>
  <c r="Y286" i="5"/>
  <c r="Z286" i="5" s="1"/>
  <c r="Y287" i="5"/>
  <c r="Z287" i="5" s="1"/>
  <c r="Y288" i="5"/>
  <c r="Y289" i="5"/>
  <c r="Y290" i="5"/>
  <c r="Z290" i="5" s="1"/>
  <c r="Y291" i="5"/>
  <c r="Z291" i="5" s="1"/>
  <c r="Y292" i="5"/>
  <c r="Z292" i="5" s="1"/>
  <c r="Y293" i="5"/>
  <c r="Z293" i="5" s="1"/>
  <c r="Y294" i="5"/>
  <c r="Z294" i="5" s="1"/>
  <c r="Y295" i="5"/>
  <c r="Z295" i="5" s="1"/>
  <c r="Y296" i="5"/>
  <c r="Y297" i="5"/>
  <c r="Y298" i="5"/>
  <c r="Z298" i="5" s="1"/>
  <c r="Y299" i="5"/>
  <c r="Z299" i="5" s="1"/>
  <c r="Y300" i="5"/>
  <c r="Z300" i="5" s="1"/>
  <c r="Y301" i="5"/>
  <c r="Z301" i="5" s="1"/>
  <c r="Y302" i="5"/>
  <c r="Z302" i="5" s="1"/>
  <c r="Y303" i="5"/>
  <c r="Z303" i="5" s="1"/>
  <c r="Y304" i="5"/>
  <c r="Y305" i="5"/>
  <c r="Y306" i="5"/>
  <c r="Z306" i="5" s="1"/>
  <c r="Y307" i="5"/>
  <c r="Z307" i="5" s="1"/>
  <c r="Y308" i="5"/>
  <c r="Z308" i="5" s="1"/>
  <c r="Y309" i="5"/>
  <c r="Z309" i="5" s="1"/>
  <c r="Y310" i="5"/>
  <c r="Z310" i="5" s="1"/>
  <c r="Y311" i="5"/>
  <c r="Z311" i="5" s="1"/>
  <c r="Y312" i="5"/>
  <c r="Y313" i="5"/>
  <c r="Y314" i="5"/>
  <c r="Z314" i="5" s="1"/>
  <c r="Y315" i="5"/>
  <c r="Z315" i="5" s="1"/>
  <c r="Y316" i="5"/>
  <c r="Z316" i="5" s="1"/>
  <c r="Y317" i="5"/>
  <c r="Z317" i="5" s="1"/>
  <c r="Y318" i="5"/>
  <c r="Z318" i="5" s="1"/>
  <c r="Y319" i="5"/>
  <c r="Z319" i="5" s="1"/>
  <c r="Y320" i="5"/>
  <c r="Y321" i="5"/>
  <c r="Y322" i="5"/>
  <c r="Z322" i="5" s="1"/>
  <c r="Y323" i="5"/>
  <c r="Z323" i="5" s="1"/>
  <c r="Y324" i="5"/>
  <c r="Z324" i="5" s="1"/>
  <c r="Y325" i="5"/>
  <c r="Z325" i="5" s="1"/>
  <c r="Y326" i="5"/>
  <c r="Z326" i="5" s="1"/>
  <c r="Y327" i="5"/>
  <c r="Z327" i="5" s="1"/>
  <c r="Y328" i="5"/>
  <c r="Y329" i="5"/>
  <c r="Y330" i="5"/>
  <c r="Z330" i="5" s="1"/>
  <c r="Y331" i="5"/>
  <c r="Z331" i="5" s="1"/>
  <c r="Y332" i="5"/>
  <c r="Z332" i="5" s="1"/>
  <c r="Y333" i="5"/>
  <c r="Z333" i="5" s="1"/>
  <c r="Y334" i="5"/>
  <c r="Z334" i="5" s="1"/>
  <c r="Y335" i="5"/>
  <c r="Z335" i="5" s="1"/>
  <c r="Y336" i="5"/>
  <c r="Y337" i="5"/>
  <c r="Y338" i="5"/>
  <c r="Z338" i="5" s="1"/>
  <c r="Y339" i="5"/>
  <c r="Z339" i="5" s="1"/>
  <c r="Y340" i="5"/>
  <c r="Z340" i="5" s="1"/>
  <c r="Y341" i="5"/>
  <c r="Z341" i="5" s="1"/>
  <c r="Y342" i="5"/>
  <c r="Z342" i="5" s="1"/>
  <c r="Y343" i="5"/>
  <c r="Z343" i="5" s="1"/>
  <c r="Y344" i="5"/>
  <c r="Y345" i="5"/>
  <c r="Y346" i="5"/>
  <c r="Z346" i="5" s="1"/>
  <c r="Y347" i="5"/>
  <c r="Z347" i="5" s="1"/>
  <c r="Y348" i="5"/>
  <c r="Z348" i="5" s="1"/>
  <c r="Y349" i="5"/>
  <c r="Z349" i="5" s="1"/>
  <c r="Y350" i="5"/>
  <c r="Z350" i="5" s="1"/>
  <c r="Y351" i="5"/>
  <c r="Z351" i="5" s="1"/>
  <c r="Y352" i="5"/>
  <c r="Y353" i="5"/>
  <c r="Y354" i="5"/>
  <c r="Z354" i="5" s="1"/>
  <c r="Y355" i="5"/>
  <c r="Z355" i="5" s="1"/>
  <c r="Y356" i="5"/>
  <c r="Z356" i="5" s="1"/>
  <c r="Y357" i="5"/>
  <c r="Z357" i="5" s="1"/>
  <c r="Y358" i="5"/>
  <c r="Z358" i="5" s="1"/>
  <c r="Y359" i="5"/>
  <c r="Z359" i="5" s="1"/>
  <c r="Y360" i="5"/>
  <c r="Y361" i="5"/>
  <c r="Y362" i="5"/>
  <c r="Z362" i="5" s="1"/>
  <c r="Y363" i="5"/>
  <c r="Z363" i="5" s="1"/>
  <c r="Y364" i="5"/>
  <c r="Z364" i="5" s="1"/>
  <c r="Y365" i="5"/>
  <c r="Z365" i="5" s="1"/>
  <c r="Y366" i="5"/>
  <c r="Z366" i="5" s="1"/>
  <c r="Y367" i="5"/>
  <c r="Z367" i="5" s="1"/>
  <c r="Y368" i="5"/>
  <c r="Y369" i="5"/>
  <c r="Y370" i="5"/>
  <c r="Z370" i="5" s="1"/>
  <c r="Y371" i="5"/>
  <c r="Z371" i="5" s="1"/>
  <c r="Y372" i="5"/>
  <c r="Z372" i="5" s="1"/>
  <c r="Y373" i="5"/>
  <c r="Z373" i="5" s="1"/>
  <c r="Y374" i="5"/>
  <c r="Z374" i="5" s="1"/>
  <c r="Y375" i="5"/>
  <c r="Z375" i="5" s="1"/>
  <c r="Y376" i="5"/>
  <c r="Y377" i="5"/>
  <c r="Y378" i="5"/>
  <c r="Z378" i="5" s="1"/>
  <c r="Y379" i="5"/>
  <c r="Z379" i="5" s="1"/>
  <c r="Y380" i="5"/>
  <c r="Z380" i="5" s="1"/>
  <c r="Y381" i="5"/>
  <c r="Z381" i="5" s="1"/>
  <c r="Y382" i="5"/>
  <c r="Z382" i="5" s="1"/>
  <c r="Y383" i="5"/>
  <c r="Z383" i="5" s="1"/>
  <c r="Y384" i="5"/>
  <c r="Y385" i="5"/>
  <c r="Y386" i="5"/>
  <c r="Z386" i="5" s="1"/>
  <c r="Y387" i="5"/>
  <c r="Z387" i="5" s="1"/>
  <c r="Y388" i="5"/>
  <c r="Z388" i="5" s="1"/>
  <c r="Y389" i="5"/>
  <c r="Z389" i="5" s="1"/>
  <c r="Y390" i="5"/>
  <c r="Z390" i="5" s="1"/>
  <c r="Y391" i="5"/>
  <c r="Z391" i="5" s="1"/>
  <c r="Y392" i="5"/>
  <c r="Y393" i="5"/>
  <c r="Y394" i="5"/>
  <c r="Z394" i="5" s="1"/>
  <c r="Y395" i="5"/>
  <c r="Z395" i="5" s="1"/>
  <c r="Y396" i="5"/>
  <c r="Z396" i="5" s="1"/>
  <c r="Y397" i="5"/>
  <c r="Z397" i="5" s="1"/>
  <c r="Y398" i="5"/>
  <c r="Z398" i="5" s="1"/>
  <c r="Y399" i="5"/>
  <c r="Z399" i="5" s="1"/>
  <c r="Y400" i="5"/>
  <c r="Y401" i="5"/>
  <c r="Y402" i="5"/>
  <c r="Z402" i="5" s="1"/>
  <c r="Y403" i="5"/>
  <c r="Z403" i="5" s="1"/>
  <c r="Y404" i="5"/>
  <c r="Z404" i="5" s="1"/>
  <c r="Y405" i="5"/>
  <c r="Z405" i="5" s="1"/>
  <c r="Y406" i="5"/>
  <c r="Z406" i="5" s="1"/>
  <c r="Y407" i="5"/>
  <c r="Z407" i="5" s="1"/>
  <c r="Y408" i="5"/>
  <c r="Y409" i="5"/>
  <c r="Y410" i="5"/>
  <c r="Z410" i="5" s="1"/>
  <c r="Y411" i="5"/>
  <c r="Z411" i="5" s="1"/>
  <c r="Y412" i="5"/>
  <c r="Z412" i="5" s="1"/>
  <c r="Y413" i="5"/>
  <c r="Z413" i="5" s="1"/>
  <c r="Y414" i="5"/>
  <c r="Z414" i="5" s="1"/>
  <c r="Y415" i="5"/>
  <c r="Z415" i="5" s="1"/>
  <c r="Y416" i="5"/>
  <c r="Y417" i="5"/>
  <c r="Y418" i="5"/>
  <c r="Z418" i="5" s="1"/>
  <c r="Y419" i="5"/>
  <c r="Z419" i="5" s="1"/>
  <c r="Y420" i="5"/>
  <c r="Z420" i="5" s="1"/>
  <c r="Y421" i="5"/>
  <c r="Z421" i="5" s="1"/>
  <c r="Y422" i="5"/>
  <c r="Z422" i="5" s="1"/>
  <c r="Y423" i="5"/>
  <c r="Z423" i="5" s="1"/>
  <c r="Y424" i="5"/>
  <c r="Y425" i="5"/>
  <c r="Y426" i="5"/>
  <c r="Z426" i="5" s="1"/>
  <c r="Y427" i="5"/>
  <c r="Z427" i="5" s="1"/>
  <c r="Y428" i="5"/>
  <c r="Z428" i="5" s="1"/>
  <c r="Y429" i="5"/>
  <c r="Z429" i="5" s="1"/>
  <c r="Y430" i="5"/>
  <c r="Z430" i="5" s="1"/>
  <c r="Y431" i="5"/>
  <c r="Z431" i="5" s="1"/>
  <c r="Y432" i="5"/>
  <c r="Y433" i="5"/>
  <c r="Y434" i="5"/>
  <c r="Z434" i="5" s="1"/>
  <c r="Y435" i="5"/>
  <c r="Z435" i="5" s="1"/>
  <c r="Y436" i="5"/>
  <c r="Z436" i="5" s="1"/>
  <c r="Y437" i="5"/>
  <c r="Z437" i="5" s="1"/>
  <c r="Y438" i="5"/>
  <c r="Z438" i="5" s="1"/>
  <c r="Y439" i="5"/>
  <c r="Z439" i="5" s="1"/>
  <c r="Y440" i="5"/>
  <c r="Y441" i="5"/>
  <c r="Y442" i="5"/>
  <c r="Z442" i="5" s="1"/>
  <c r="Y443" i="5"/>
  <c r="Z443" i="5" s="1"/>
  <c r="Y444" i="5"/>
  <c r="Z444" i="5" s="1"/>
  <c r="Y445" i="5"/>
  <c r="Z445" i="5" s="1"/>
  <c r="Y446" i="5"/>
  <c r="Z446" i="5" s="1"/>
  <c r="Y447" i="5"/>
  <c r="Z447" i="5" s="1"/>
  <c r="Y448" i="5"/>
  <c r="Y449" i="5"/>
  <c r="Y450" i="5"/>
  <c r="Z450" i="5" s="1"/>
  <c r="Y451" i="5"/>
  <c r="Z451" i="5" s="1"/>
  <c r="Y452" i="5"/>
  <c r="Z452" i="5" s="1"/>
  <c r="Y453" i="5"/>
  <c r="Z453" i="5" s="1"/>
  <c r="Y454" i="5"/>
  <c r="Z454" i="5" s="1"/>
  <c r="Y455" i="5"/>
  <c r="Z455" i="5" s="1"/>
  <c r="Y456" i="5"/>
  <c r="Y457" i="5"/>
  <c r="Y458" i="5"/>
  <c r="Z458" i="5" s="1"/>
  <c r="Y459" i="5"/>
  <c r="Z459" i="5" s="1"/>
  <c r="Y460" i="5"/>
  <c r="Z460" i="5" s="1"/>
  <c r="Y461" i="5"/>
  <c r="Z461" i="5" s="1"/>
  <c r="Y462" i="5"/>
  <c r="Z462" i="5" s="1"/>
  <c r="Y463" i="5"/>
  <c r="Z463" i="5" s="1"/>
  <c r="Y464" i="5"/>
  <c r="Y465" i="5"/>
  <c r="Y466" i="5"/>
  <c r="Z466" i="5" s="1"/>
  <c r="Y467" i="5"/>
  <c r="Z467" i="5" s="1"/>
  <c r="Y468" i="5"/>
  <c r="Z468" i="5" s="1"/>
  <c r="Y469" i="5"/>
  <c r="Z469" i="5" s="1"/>
  <c r="Y470" i="5"/>
  <c r="Z470" i="5" s="1"/>
  <c r="Y471" i="5"/>
  <c r="Z471" i="5" s="1"/>
  <c r="Y472" i="5"/>
  <c r="Y473" i="5"/>
  <c r="Y474" i="5"/>
  <c r="Z474" i="5" s="1"/>
  <c r="Y475" i="5"/>
  <c r="Z475" i="5" s="1"/>
  <c r="Y476" i="5"/>
  <c r="Z476" i="5" s="1"/>
  <c r="Y477" i="5"/>
  <c r="Z477" i="5" s="1"/>
  <c r="Y478" i="5"/>
  <c r="Z478" i="5" s="1"/>
  <c r="Y479" i="5"/>
  <c r="Z479" i="5" s="1"/>
  <c r="Y480" i="5"/>
  <c r="Y481" i="5"/>
  <c r="Y482" i="5"/>
  <c r="Z482" i="5" s="1"/>
  <c r="Y483" i="5"/>
  <c r="Z483" i="5" s="1"/>
  <c r="Y484" i="5"/>
  <c r="Z484" i="5" s="1"/>
  <c r="Y485" i="5"/>
  <c r="Z485" i="5" s="1"/>
  <c r="Y486" i="5"/>
  <c r="Z486" i="5" s="1"/>
  <c r="Y487" i="5"/>
  <c r="Z487" i="5" s="1"/>
  <c r="Y488" i="5"/>
  <c r="Y489" i="5"/>
  <c r="Y490" i="5"/>
  <c r="Z490" i="5" s="1"/>
  <c r="Y491" i="5"/>
  <c r="Z491" i="5" s="1"/>
  <c r="Y492" i="5"/>
  <c r="Z492" i="5" s="1"/>
  <c r="Y493" i="5"/>
  <c r="Z493" i="5" s="1"/>
  <c r="Y494" i="5"/>
  <c r="Z494" i="5" s="1"/>
  <c r="Y495" i="5"/>
  <c r="Z495" i="5" s="1"/>
  <c r="Y496" i="5"/>
  <c r="Y497" i="5"/>
  <c r="Y498" i="5"/>
  <c r="Z498" i="5" s="1"/>
  <c r="Y499" i="5"/>
  <c r="Z499" i="5" s="1"/>
  <c r="Y500" i="5"/>
  <c r="Z500" i="5" s="1"/>
  <c r="Y501" i="5"/>
  <c r="Z501" i="5" s="1"/>
  <c r="Y502" i="5"/>
  <c r="Z502" i="5" s="1"/>
  <c r="Y503" i="5"/>
  <c r="Z503" i="5" s="1"/>
  <c r="Y504" i="5"/>
  <c r="Y505" i="5"/>
  <c r="Y506" i="5"/>
  <c r="Z506" i="5" s="1"/>
  <c r="Y507" i="5"/>
  <c r="Z507" i="5" s="1"/>
  <c r="Y508" i="5"/>
  <c r="Z508" i="5" s="1"/>
  <c r="Y509" i="5"/>
  <c r="Z509" i="5" s="1"/>
  <c r="Y510" i="5"/>
  <c r="Z510" i="5" s="1"/>
  <c r="Y511" i="5"/>
  <c r="Z511" i="5" s="1"/>
  <c r="Y512" i="5"/>
  <c r="Y513" i="5"/>
  <c r="Y514" i="5"/>
  <c r="Z514" i="5" s="1"/>
  <c r="Y515" i="5"/>
  <c r="Z515" i="5" s="1"/>
  <c r="Y516" i="5"/>
  <c r="Z516" i="5" s="1"/>
  <c r="Y517" i="5"/>
  <c r="Z517" i="5" s="1"/>
  <c r="Y518" i="5"/>
  <c r="Z518" i="5" s="1"/>
  <c r="Y519" i="5"/>
  <c r="Z519" i="5" s="1"/>
  <c r="Y520" i="5"/>
  <c r="Y521" i="5"/>
  <c r="Y522" i="5"/>
  <c r="Z522" i="5" s="1"/>
  <c r="Y523" i="5"/>
  <c r="Z523" i="5" s="1"/>
  <c r="Y524" i="5"/>
  <c r="Z524" i="5" s="1"/>
  <c r="Y525" i="5"/>
  <c r="Z525" i="5" s="1"/>
  <c r="Y526" i="5"/>
  <c r="Z526" i="5" s="1"/>
  <c r="Y527" i="5"/>
  <c r="Z527" i="5" s="1"/>
  <c r="Y528" i="5"/>
  <c r="Y529" i="5"/>
  <c r="Y530" i="5"/>
  <c r="Z530" i="5" s="1"/>
  <c r="Y531" i="5"/>
  <c r="Z531" i="5" s="1"/>
  <c r="Y532" i="5"/>
  <c r="Z532" i="5" s="1"/>
  <c r="Y533" i="5"/>
  <c r="Z533" i="5" s="1"/>
  <c r="Y534" i="5"/>
  <c r="Z534" i="5" s="1"/>
  <c r="Y535" i="5"/>
  <c r="Z535" i="5" s="1"/>
  <c r="Y536" i="5"/>
  <c r="Y537" i="5"/>
  <c r="Y538" i="5"/>
  <c r="Z538" i="5" s="1"/>
  <c r="Y539" i="5"/>
  <c r="Z539" i="5" s="1"/>
  <c r="Y540" i="5"/>
  <c r="Z540" i="5" s="1"/>
  <c r="Y541" i="5"/>
  <c r="Z541" i="5" s="1"/>
  <c r="Y542" i="5"/>
  <c r="Z542" i="5" s="1"/>
  <c r="Y543" i="5"/>
  <c r="Z543" i="5" s="1"/>
  <c r="Y544" i="5"/>
  <c r="Y545" i="5"/>
  <c r="Y546" i="5"/>
  <c r="Z546" i="5" s="1"/>
  <c r="Y547" i="5"/>
  <c r="Z547" i="5" s="1"/>
  <c r="Y548" i="5"/>
  <c r="Z548" i="5" s="1"/>
  <c r="Y549" i="5"/>
  <c r="Z549" i="5" s="1"/>
  <c r="Y550" i="5"/>
  <c r="Z550" i="5" s="1"/>
  <c r="Y551" i="5"/>
  <c r="Z551" i="5" s="1"/>
  <c r="Y552" i="5"/>
  <c r="Y553" i="5"/>
  <c r="Y554" i="5"/>
  <c r="Z554" i="5" s="1"/>
  <c r="Y555" i="5"/>
  <c r="Z555" i="5" s="1"/>
  <c r="Y556" i="5"/>
  <c r="Z556" i="5" s="1"/>
  <c r="Y557" i="5"/>
  <c r="Z557" i="5" s="1"/>
  <c r="Y558" i="5"/>
  <c r="Z558" i="5" s="1"/>
  <c r="Y559" i="5"/>
  <c r="Z559" i="5" s="1"/>
  <c r="Y560" i="5"/>
  <c r="Y561" i="5"/>
  <c r="Y562" i="5"/>
  <c r="Z562" i="5" s="1"/>
  <c r="Y563" i="5"/>
  <c r="Z563" i="5" s="1"/>
  <c r="Y564" i="5"/>
  <c r="Z564" i="5" s="1"/>
  <c r="Y565" i="5"/>
  <c r="Z565" i="5" s="1"/>
  <c r="Y566" i="5"/>
  <c r="Z566" i="5" s="1"/>
  <c r="Y567" i="5"/>
  <c r="Z567" i="5" s="1"/>
  <c r="Y568" i="5"/>
  <c r="Y569" i="5"/>
  <c r="Y570" i="5"/>
  <c r="Z570" i="5" s="1"/>
  <c r="Y571" i="5"/>
  <c r="Z571" i="5" s="1"/>
  <c r="Y572" i="5"/>
  <c r="Z572" i="5" s="1"/>
  <c r="Y573" i="5"/>
  <c r="Z573" i="5" s="1"/>
  <c r="Y574" i="5"/>
  <c r="Z574" i="5" s="1"/>
  <c r="Y575" i="5"/>
  <c r="Z575" i="5" s="1"/>
  <c r="Y576" i="5"/>
  <c r="Y577" i="5"/>
  <c r="Y578" i="5"/>
  <c r="Z578" i="5" s="1"/>
  <c r="Y579" i="5"/>
  <c r="Z579" i="5" s="1"/>
  <c r="Y580" i="5"/>
  <c r="Z580" i="5" s="1"/>
  <c r="Y581" i="5"/>
  <c r="Z581" i="5" s="1"/>
  <c r="Y582" i="5"/>
  <c r="Z582" i="5" s="1"/>
  <c r="Y583" i="5"/>
  <c r="Z583" i="5" s="1"/>
  <c r="Y584" i="5"/>
  <c r="Y585" i="5"/>
  <c r="Y586" i="5"/>
  <c r="Z586" i="5" s="1"/>
  <c r="Y587" i="5"/>
  <c r="Z587" i="5" s="1"/>
  <c r="Y588" i="5"/>
  <c r="Z588" i="5" s="1"/>
  <c r="Y589" i="5"/>
  <c r="Z589" i="5" s="1"/>
  <c r="Y590" i="5"/>
  <c r="Z590" i="5" s="1"/>
  <c r="Y591" i="5"/>
  <c r="Z591" i="5" s="1"/>
  <c r="Y592" i="5"/>
  <c r="Y593" i="5"/>
  <c r="Y594" i="5"/>
  <c r="Z594" i="5" s="1"/>
  <c r="Y595" i="5"/>
  <c r="Z595" i="5" s="1"/>
  <c r="Y596" i="5"/>
  <c r="Z596" i="5" s="1"/>
  <c r="Y597" i="5"/>
  <c r="Z597" i="5" s="1"/>
  <c r="Y598" i="5"/>
  <c r="Z598" i="5" s="1"/>
  <c r="Y599" i="5"/>
  <c r="Z599" i="5" s="1"/>
  <c r="Y600" i="5"/>
  <c r="Y601" i="5"/>
  <c r="Y602" i="5"/>
  <c r="Z602" i="5" s="1"/>
  <c r="Y603" i="5"/>
  <c r="Z603" i="5" s="1"/>
  <c r="Y604" i="5"/>
  <c r="Z604" i="5" s="1"/>
  <c r="Y605" i="5"/>
  <c r="Z605" i="5" s="1"/>
  <c r="Y606" i="5"/>
  <c r="Z606" i="5" s="1"/>
  <c r="Y607" i="5"/>
  <c r="Z607" i="5" s="1"/>
  <c r="Y608" i="5"/>
  <c r="Y609" i="5"/>
  <c r="Y610" i="5"/>
  <c r="Z610" i="5" s="1"/>
  <c r="Y611" i="5"/>
  <c r="Z611" i="5" s="1"/>
  <c r="Y612" i="5"/>
  <c r="Z612" i="5" s="1"/>
  <c r="Y613" i="5"/>
  <c r="Z613" i="5" s="1"/>
  <c r="Y614" i="5"/>
  <c r="Z614" i="5" s="1"/>
  <c r="Y615" i="5"/>
  <c r="Z615" i="5" s="1"/>
  <c r="Y616" i="5"/>
  <c r="Y617" i="5"/>
  <c r="Y618" i="5"/>
  <c r="Z618" i="5" s="1"/>
  <c r="Y619" i="5"/>
  <c r="Z619" i="5" s="1"/>
  <c r="Y620" i="5"/>
  <c r="Z620" i="5" s="1"/>
  <c r="Y621" i="5"/>
  <c r="Z621" i="5" s="1"/>
  <c r="Y622" i="5"/>
  <c r="Z622" i="5" s="1"/>
  <c r="Y623" i="5"/>
  <c r="Z623" i="5" s="1"/>
  <c r="Y624" i="5"/>
  <c r="Y625" i="5"/>
  <c r="Y626" i="5"/>
  <c r="Z626" i="5" s="1"/>
  <c r="Y627" i="5"/>
  <c r="Z627" i="5" s="1"/>
  <c r="Y628" i="5"/>
  <c r="Z628" i="5" s="1"/>
  <c r="Y629" i="5"/>
  <c r="Z629" i="5" s="1"/>
  <c r="Y630" i="5"/>
  <c r="Z630" i="5" s="1"/>
  <c r="Y631" i="5"/>
  <c r="Z631" i="5" s="1"/>
  <c r="Y632" i="5"/>
  <c r="Y633" i="5"/>
  <c r="Y634" i="5"/>
  <c r="Z634" i="5" s="1"/>
  <c r="Y635" i="5"/>
  <c r="Z635" i="5" s="1"/>
  <c r="Y636" i="5"/>
  <c r="Z636" i="5" s="1"/>
  <c r="Y637" i="5"/>
  <c r="Z637" i="5" s="1"/>
  <c r="Y638" i="5"/>
  <c r="Z638" i="5" s="1"/>
  <c r="Y639" i="5"/>
  <c r="Z639" i="5" s="1"/>
  <c r="Y640" i="5"/>
  <c r="Y641" i="5"/>
  <c r="Y642" i="5"/>
  <c r="Z642" i="5" s="1"/>
  <c r="Y643" i="5"/>
  <c r="Z643" i="5" s="1"/>
  <c r="Y644" i="5"/>
  <c r="Z644" i="5" s="1"/>
  <c r="Y645" i="5"/>
  <c r="Z645" i="5" s="1"/>
  <c r="Y646" i="5"/>
  <c r="Z646" i="5" s="1"/>
  <c r="Y647" i="5"/>
  <c r="Z647" i="5" s="1"/>
  <c r="Y648" i="5"/>
  <c r="Y649" i="5"/>
  <c r="Y650" i="5"/>
  <c r="Z650" i="5" s="1"/>
  <c r="Y651" i="5"/>
  <c r="Z651" i="5" s="1"/>
  <c r="Y652" i="5"/>
  <c r="Z652" i="5" s="1"/>
  <c r="Y653" i="5"/>
  <c r="Z653" i="5" s="1"/>
  <c r="Y654" i="5"/>
  <c r="Z654" i="5" s="1"/>
  <c r="Y655" i="5"/>
  <c r="Z655" i="5" s="1"/>
  <c r="Y656" i="5"/>
  <c r="Y657" i="5"/>
  <c r="Y658" i="5"/>
  <c r="Z658" i="5" s="1"/>
  <c r="Y659" i="5"/>
  <c r="Z659" i="5" s="1"/>
  <c r="Y660" i="5"/>
  <c r="Z660" i="5" s="1"/>
  <c r="Y661" i="5"/>
  <c r="Z661" i="5" s="1"/>
  <c r="Y662" i="5"/>
  <c r="Z662" i="5" s="1"/>
  <c r="Y663" i="5"/>
  <c r="Z663" i="5" s="1"/>
  <c r="Y664" i="5"/>
  <c r="Y665" i="5"/>
  <c r="Y666" i="5"/>
  <c r="Z666" i="5" s="1"/>
  <c r="Y667" i="5"/>
  <c r="Z667" i="5" s="1"/>
  <c r="Y668" i="5"/>
  <c r="Z668" i="5" s="1"/>
  <c r="Y669" i="5"/>
  <c r="Z669" i="5" s="1"/>
  <c r="Y670" i="5"/>
  <c r="Z670" i="5" s="1"/>
  <c r="Y671" i="5"/>
  <c r="Z671" i="5" s="1"/>
  <c r="Y672" i="5"/>
  <c r="Y673" i="5"/>
  <c r="Y674" i="5"/>
  <c r="Z674" i="5" s="1"/>
  <c r="Y675" i="5"/>
  <c r="Z675" i="5" s="1"/>
  <c r="Y676" i="5"/>
  <c r="Z676" i="5" s="1"/>
  <c r="Y677" i="5"/>
  <c r="Z677" i="5" s="1"/>
  <c r="Y678" i="5"/>
  <c r="Z678" i="5" s="1"/>
  <c r="Y679" i="5"/>
  <c r="Z679" i="5" s="1"/>
  <c r="Y680" i="5"/>
  <c r="Y681" i="5"/>
  <c r="Y682" i="5"/>
  <c r="Z682" i="5" s="1"/>
  <c r="Y683" i="5"/>
  <c r="Z683" i="5" s="1"/>
  <c r="Y684" i="5"/>
  <c r="Z684" i="5" s="1"/>
  <c r="Y685" i="5"/>
  <c r="Z685" i="5" s="1"/>
  <c r="Y686" i="5"/>
  <c r="Z686" i="5" s="1"/>
  <c r="Y687" i="5"/>
  <c r="Z687" i="5" s="1"/>
  <c r="Y688" i="5"/>
  <c r="Y689" i="5"/>
  <c r="Y690" i="5"/>
  <c r="Z690" i="5" s="1"/>
  <c r="Y691" i="5"/>
  <c r="Z691" i="5" s="1"/>
  <c r="Y692" i="5"/>
  <c r="Z692" i="5" s="1"/>
  <c r="Y693" i="5"/>
  <c r="Z693" i="5" s="1"/>
  <c r="Y694" i="5"/>
  <c r="Z694" i="5" s="1"/>
  <c r="Y695" i="5"/>
  <c r="Z695" i="5" s="1"/>
  <c r="Y696" i="5"/>
  <c r="Y697" i="5"/>
  <c r="Y698" i="5"/>
  <c r="Z698" i="5" s="1"/>
  <c r="Y699" i="5"/>
  <c r="Z699" i="5" s="1"/>
  <c r="Y700" i="5"/>
  <c r="Z700" i="5" s="1"/>
  <c r="Y701" i="5"/>
  <c r="Z701" i="5" s="1"/>
  <c r="Y702" i="5"/>
  <c r="Z702" i="5" s="1"/>
  <c r="Y703" i="5"/>
  <c r="Z703" i="5" s="1"/>
  <c r="Y704" i="5"/>
  <c r="Y705" i="5"/>
  <c r="Y706" i="5"/>
  <c r="Z706" i="5" s="1"/>
  <c r="Y707" i="5"/>
  <c r="Z707" i="5" s="1"/>
  <c r="Y708" i="5"/>
  <c r="Z708" i="5" s="1"/>
  <c r="Y709" i="5"/>
  <c r="Z709" i="5" s="1"/>
  <c r="Y710" i="5"/>
  <c r="Z710" i="5" s="1"/>
  <c r="Y711" i="5"/>
  <c r="Z711" i="5" s="1"/>
  <c r="Y712" i="5"/>
  <c r="Y713" i="5"/>
  <c r="Y714" i="5"/>
  <c r="Z714" i="5" s="1"/>
  <c r="Y715" i="5"/>
  <c r="Z715" i="5" s="1"/>
  <c r="Y716" i="5"/>
  <c r="Z716" i="5" s="1"/>
  <c r="Y717" i="5"/>
  <c r="Z717" i="5" s="1"/>
  <c r="Y718" i="5"/>
  <c r="Z718" i="5" s="1"/>
  <c r="Y719" i="5"/>
  <c r="Z719" i="5" s="1"/>
  <c r="Y720" i="5"/>
  <c r="Y721" i="5"/>
  <c r="Y722" i="5"/>
  <c r="Z722" i="5" s="1"/>
  <c r="Y723" i="5"/>
  <c r="Z723" i="5" s="1"/>
  <c r="Y724" i="5"/>
  <c r="Z724" i="5" s="1"/>
  <c r="Y725" i="5"/>
  <c r="Z725" i="5" s="1"/>
  <c r="Y726" i="5"/>
  <c r="Z726" i="5" s="1"/>
  <c r="Y727" i="5"/>
  <c r="Z727" i="5" s="1"/>
  <c r="Y728" i="5"/>
  <c r="Y729" i="5"/>
  <c r="Y730" i="5"/>
  <c r="Z730" i="5" s="1"/>
  <c r="Y731" i="5"/>
  <c r="Z731" i="5" s="1"/>
  <c r="Y732" i="5"/>
  <c r="Z732" i="5" s="1"/>
  <c r="Y733" i="5"/>
  <c r="Z733" i="5" s="1"/>
  <c r="Y734" i="5"/>
  <c r="Z734" i="5" s="1"/>
  <c r="Y735" i="5"/>
  <c r="Z735" i="5" s="1"/>
  <c r="Y736" i="5"/>
  <c r="Y737" i="5"/>
  <c r="Y738" i="5"/>
  <c r="Z738" i="5" s="1"/>
  <c r="Y739" i="5"/>
  <c r="Z739" i="5" s="1"/>
  <c r="Y740" i="5"/>
  <c r="Z740" i="5" s="1"/>
  <c r="Y741" i="5"/>
  <c r="Z741" i="5" s="1"/>
  <c r="Y742" i="5"/>
  <c r="Z742" i="5" s="1"/>
  <c r="Y743" i="5"/>
  <c r="Z743" i="5" s="1"/>
  <c r="Y744" i="5"/>
  <c r="Y745" i="5"/>
  <c r="Y746" i="5"/>
  <c r="Z746" i="5" s="1"/>
  <c r="Y747" i="5"/>
  <c r="Z747" i="5" s="1"/>
  <c r="Y748" i="5"/>
  <c r="Z748" i="5" s="1"/>
  <c r="Y749" i="5"/>
  <c r="Z749" i="5" s="1"/>
  <c r="Y750" i="5"/>
  <c r="Z750" i="5" s="1"/>
  <c r="Y751" i="5"/>
  <c r="Z751" i="5" s="1"/>
  <c r="Y752" i="5"/>
  <c r="Y753" i="5"/>
  <c r="Y754" i="5"/>
  <c r="Z754" i="5" s="1"/>
  <c r="Y755" i="5"/>
  <c r="Z755" i="5" s="1"/>
  <c r="Y756" i="5"/>
  <c r="Z756" i="5" s="1"/>
  <c r="Y757" i="5"/>
  <c r="Z757" i="5" s="1"/>
  <c r="Y758" i="5"/>
  <c r="Z758" i="5" s="1"/>
  <c r="Y759" i="5"/>
  <c r="Z759" i="5" s="1"/>
  <c r="Y760" i="5"/>
  <c r="Y761" i="5"/>
  <c r="Y762" i="5"/>
  <c r="Z762" i="5" s="1"/>
  <c r="Y763" i="5"/>
  <c r="Z763" i="5" s="1"/>
  <c r="Y764" i="5"/>
  <c r="Z764" i="5" s="1"/>
  <c r="Y765" i="5"/>
  <c r="Z765" i="5" s="1"/>
  <c r="Y766" i="5"/>
  <c r="Z766" i="5" s="1"/>
  <c r="Y767" i="5"/>
  <c r="Z767" i="5" s="1"/>
  <c r="Y768" i="5"/>
  <c r="Y769" i="5"/>
  <c r="Y770" i="5"/>
  <c r="Z770" i="5" s="1"/>
  <c r="Y771" i="5"/>
  <c r="Z771" i="5" s="1"/>
  <c r="Y772" i="5"/>
  <c r="Z772" i="5" s="1"/>
  <c r="Y773" i="5"/>
  <c r="Z773" i="5" s="1"/>
  <c r="Y774" i="5"/>
  <c r="Z774" i="5" s="1"/>
  <c r="Y775" i="5"/>
  <c r="Z775" i="5" s="1"/>
  <c r="Y776" i="5"/>
  <c r="Y777" i="5"/>
  <c r="Y778" i="5"/>
  <c r="Z778" i="5" s="1"/>
  <c r="Y779" i="5"/>
  <c r="Z779" i="5" s="1"/>
  <c r="Y780" i="5"/>
  <c r="Z780" i="5" s="1"/>
  <c r="Y781" i="5"/>
  <c r="Z781" i="5" s="1"/>
  <c r="Y782" i="5"/>
  <c r="Z782" i="5" s="1"/>
  <c r="Y783" i="5"/>
  <c r="Z783" i="5" s="1"/>
  <c r="Y784" i="5"/>
  <c r="Y785" i="5"/>
  <c r="Y786" i="5"/>
  <c r="Z786" i="5" s="1"/>
  <c r="Y787" i="5"/>
  <c r="Z787" i="5" s="1"/>
  <c r="Y788" i="5"/>
  <c r="Z788" i="5" s="1"/>
  <c r="Y789" i="5"/>
  <c r="Z789" i="5" s="1"/>
  <c r="Y790" i="5"/>
  <c r="Z790" i="5" s="1"/>
  <c r="Y791" i="5"/>
  <c r="Z791" i="5" s="1"/>
  <c r="Y792" i="5"/>
  <c r="Y793" i="5"/>
  <c r="Y794" i="5"/>
  <c r="Z794" i="5" s="1"/>
  <c r="Y795" i="5"/>
  <c r="Z795" i="5" s="1"/>
  <c r="Y796" i="5"/>
  <c r="Z796" i="5" s="1"/>
  <c r="Y797" i="5"/>
  <c r="Z797" i="5" s="1"/>
  <c r="Y798" i="5"/>
  <c r="Z798" i="5" s="1"/>
  <c r="Y799" i="5"/>
  <c r="Z799" i="5" s="1"/>
  <c r="Y800" i="5"/>
  <c r="Y801" i="5"/>
  <c r="Y802" i="5"/>
  <c r="Z802" i="5" s="1"/>
  <c r="Y803" i="5"/>
  <c r="Z803" i="5" s="1"/>
  <c r="Y804" i="5"/>
  <c r="Z804" i="5" s="1"/>
  <c r="Y805" i="5"/>
  <c r="Z805" i="5" s="1"/>
  <c r="Y806" i="5"/>
  <c r="Z806" i="5" s="1"/>
  <c r="Y807" i="5"/>
  <c r="Z807" i="5" s="1"/>
  <c r="Y808" i="5"/>
  <c r="Y809" i="5"/>
  <c r="Y810" i="5"/>
  <c r="Z810" i="5" s="1"/>
  <c r="Y811" i="5"/>
  <c r="Z811" i="5" s="1"/>
  <c r="Y812" i="5"/>
  <c r="Z812" i="5" s="1"/>
  <c r="Y813" i="5"/>
  <c r="Z813" i="5" s="1"/>
  <c r="Y814" i="5"/>
  <c r="Z814" i="5" s="1"/>
  <c r="Y815" i="5"/>
  <c r="Z815" i="5" s="1"/>
  <c r="Y816" i="5"/>
  <c r="Y817" i="5"/>
  <c r="Y818" i="5"/>
  <c r="Z818" i="5" s="1"/>
  <c r="Y819" i="5"/>
  <c r="Z819" i="5" s="1"/>
  <c r="Y820" i="5"/>
  <c r="Z820" i="5" s="1"/>
  <c r="Y821" i="5"/>
  <c r="Z821" i="5" s="1"/>
  <c r="Y822" i="5"/>
  <c r="Z822" i="5" s="1"/>
  <c r="Y823" i="5"/>
  <c r="Z823" i="5" s="1"/>
  <c r="Y824" i="5"/>
  <c r="Y825" i="5"/>
  <c r="Y826" i="5"/>
  <c r="Z826" i="5" s="1"/>
  <c r="Y827" i="5"/>
  <c r="Z827" i="5" s="1"/>
  <c r="Y828" i="5"/>
  <c r="Z828" i="5" s="1"/>
  <c r="Y829" i="5"/>
  <c r="Z829" i="5" s="1"/>
  <c r="Y830" i="5"/>
  <c r="Z830" i="5" s="1"/>
  <c r="Y831" i="5"/>
  <c r="Z831" i="5" s="1"/>
  <c r="Y832" i="5"/>
  <c r="Y833" i="5"/>
  <c r="Y834" i="5"/>
  <c r="Z834" i="5" s="1"/>
  <c r="Y835" i="5"/>
  <c r="Z835" i="5" s="1"/>
  <c r="Y836" i="5"/>
  <c r="Z836" i="5" s="1"/>
  <c r="Y837" i="5"/>
  <c r="Z837" i="5" s="1"/>
  <c r="Y838" i="5"/>
  <c r="Z838" i="5" s="1"/>
  <c r="Y839" i="5"/>
  <c r="Z839" i="5" s="1"/>
  <c r="Y840" i="5"/>
  <c r="Y841" i="5"/>
  <c r="Y842" i="5"/>
  <c r="Z842" i="5" s="1"/>
  <c r="Y843" i="5"/>
  <c r="Z843" i="5" s="1"/>
  <c r="Y844" i="5"/>
  <c r="Z844" i="5" s="1"/>
  <c r="Y845" i="5"/>
  <c r="Z845" i="5" s="1"/>
  <c r="Y846" i="5"/>
  <c r="Z846" i="5" s="1"/>
  <c r="Y847" i="5"/>
  <c r="Z847" i="5" s="1"/>
  <c r="Y848" i="5"/>
  <c r="Y849" i="5"/>
  <c r="Y850" i="5"/>
  <c r="Z850" i="5" s="1"/>
  <c r="Y851" i="5"/>
  <c r="Z851" i="5" s="1"/>
  <c r="Y852" i="5"/>
  <c r="Z852" i="5" s="1"/>
  <c r="Y853" i="5"/>
  <c r="Z853" i="5" s="1"/>
  <c r="Y854" i="5"/>
  <c r="Z854" i="5" s="1"/>
  <c r="Y855" i="5"/>
  <c r="Z855" i="5" s="1"/>
  <c r="Y856" i="5"/>
  <c r="Y857" i="5"/>
  <c r="Y858" i="5"/>
  <c r="Z858" i="5" s="1"/>
  <c r="Y859" i="5"/>
  <c r="Z859" i="5" s="1"/>
  <c r="Y860" i="5"/>
  <c r="Z860" i="5" s="1"/>
  <c r="Y861" i="5"/>
  <c r="Z861" i="5" s="1"/>
  <c r="Y862" i="5"/>
  <c r="Z862" i="5" s="1"/>
  <c r="Y863" i="5"/>
  <c r="Z863" i="5" s="1"/>
  <c r="Y864" i="5"/>
  <c r="Y865" i="5"/>
  <c r="Y866" i="5"/>
  <c r="Z866" i="5" s="1"/>
  <c r="Y867" i="5"/>
  <c r="Z867" i="5" s="1"/>
  <c r="Y868" i="5"/>
  <c r="Z868" i="5" s="1"/>
  <c r="Y869" i="5"/>
  <c r="Z869" i="5" s="1"/>
  <c r="Y870" i="5"/>
  <c r="Z870" i="5" s="1"/>
  <c r="Y871" i="5"/>
  <c r="Z871" i="5" s="1"/>
  <c r="Y872" i="5"/>
  <c r="Y873" i="5"/>
  <c r="Y874" i="5"/>
  <c r="Z874" i="5" s="1"/>
  <c r="Y875" i="5"/>
  <c r="Z875" i="5" s="1"/>
  <c r="Y876" i="5"/>
  <c r="Z876" i="5" s="1"/>
  <c r="Y877" i="5"/>
  <c r="Z877" i="5" s="1"/>
  <c r="Y878" i="5"/>
  <c r="Z878" i="5" s="1"/>
  <c r="Y879" i="5"/>
  <c r="Z879" i="5" s="1"/>
  <c r="Y880" i="5"/>
  <c r="Y881" i="5"/>
  <c r="Y882" i="5"/>
  <c r="Z882" i="5" s="1"/>
  <c r="Y883" i="5"/>
  <c r="Z883" i="5" s="1"/>
  <c r="Y884" i="5"/>
  <c r="Z884" i="5" s="1"/>
  <c r="Y885" i="5"/>
  <c r="Z885" i="5" s="1"/>
  <c r="Y886" i="5"/>
  <c r="Z886" i="5" s="1"/>
  <c r="Y887" i="5"/>
  <c r="Z887" i="5" s="1"/>
  <c r="Y888" i="5"/>
  <c r="Y889" i="5"/>
  <c r="Y890" i="5"/>
  <c r="Z890" i="5" s="1"/>
  <c r="Y891" i="5"/>
  <c r="Z891" i="5" s="1"/>
  <c r="Y892" i="5"/>
  <c r="Z892" i="5" s="1"/>
  <c r="Y893" i="5"/>
  <c r="Z893" i="5" s="1"/>
  <c r="Y894" i="5"/>
  <c r="Z894" i="5" s="1"/>
  <c r="Y895" i="5"/>
  <c r="Z895" i="5" s="1"/>
  <c r="Y896" i="5"/>
  <c r="Y897" i="5"/>
  <c r="Y898" i="5"/>
  <c r="Z898" i="5" s="1"/>
  <c r="Y899" i="5"/>
  <c r="Z899" i="5" s="1"/>
  <c r="Y900" i="5"/>
  <c r="Z900" i="5" s="1"/>
  <c r="Y901" i="5"/>
  <c r="Z901" i="5" s="1"/>
  <c r="Y902" i="5"/>
  <c r="Z902" i="5" s="1"/>
  <c r="Y903" i="5"/>
  <c r="Z903" i="5" s="1"/>
  <c r="Y904" i="5"/>
  <c r="Y905" i="5"/>
  <c r="Y906" i="5"/>
  <c r="Z906" i="5" s="1"/>
  <c r="Y907" i="5"/>
  <c r="Z907" i="5" s="1"/>
  <c r="Y908" i="5"/>
  <c r="Z908" i="5" s="1"/>
  <c r="Y909" i="5"/>
  <c r="Z909" i="5" s="1"/>
  <c r="Y910" i="5"/>
  <c r="Z910" i="5" s="1"/>
  <c r="Y911" i="5"/>
  <c r="Z911" i="5" s="1"/>
  <c r="Y912" i="5"/>
  <c r="Y913" i="5"/>
  <c r="Y914" i="5"/>
  <c r="Z914" i="5" s="1"/>
  <c r="Y915" i="5"/>
  <c r="Z915" i="5" s="1"/>
  <c r="Y916" i="5"/>
  <c r="Z916" i="5" s="1"/>
  <c r="Y917" i="5"/>
  <c r="Z917" i="5" s="1"/>
  <c r="Y918" i="5"/>
  <c r="Z918" i="5" s="1"/>
  <c r="Y919" i="5"/>
  <c r="Z919" i="5" s="1"/>
  <c r="Y920" i="5"/>
  <c r="Y921" i="5"/>
  <c r="Y922" i="5"/>
  <c r="Z922" i="5" s="1"/>
  <c r="Y923" i="5"/>
  <c r="Z923" i="5" s="1"/>
  <c r="Y924" i="5"/>
  <c r="Z924" i="5" s="1"/>
  <c r="Y925" i="5"/>
  <c r="Z925" i="5" s="1"/>
  <c r="Y926" i="5"/>
  <c r="Z926" i="5" s="1"/>
  <c r="Y927" i="5"/>
  <c r="Z927" i="5" s="1"/>
  <c r="Y928" i="5"/>
  <c r="Y929" i="5"/>
  <c r="Y930" i="5"/>
  <c r="Z930" i="5" s="1"/>
  <c r="Y931" i="5"/>
  <c r="Z931" i="5" s="1"/>
  <c r="Y932" i="5"/>
  <c r="Z932" i="5" s="1"/>
  <c r="Y933" i="5"/>
  <c r="Z933" i="5" s="1"/>
  <c r="Y934" i="5"/>
  <c r="Z934" i="5" s="1"/>
  <c r="Y935" i="5"/>
  <c r="Z935" i="5" s="1"/>
  <c r="Y936" i="5"/>
  <c r="Y937" i="5"/>
  <c r="Y938" i="5"/>
  <c r="Z938" i="5" s="1"/>
  <c r="Y939" i="5"/>
  <c r="Z939" i="5" s="1"/>
  <c r="Y940" i="5"/>
  <c r="Z940" i="5" s="1"/>
  <c r="Y941" i="5"/>
  <c r="Z941" i="5" s="1"/>
  <c r="Y942" i="5"/>
  <c r="Z942" i="5" s="1"/>
  <c r="Y943" i="5"/>
  <c r="Z943" i="5" s="1"/>
  <c r="Y944" i="5"/>
  <c r="Y945" i="5"/>
  <c r="Y946" i="5"/>
  <c r="Z946" i="5" s="1"/>
  <c r="Y947" i="5"/>
  <c r="Z947" i="5" s="1"/>
  <c r="Y948" i="5"/>
  <c r="Z948" i="5" s="1"/>
  <c r="Y949" i="5"/>
  <c r="Z949" i="5" s="1"/>
  <c r="Y950" i="5"/>
  <c r="Z950" i="5" s="1"/>
  <c r="Y951" i="5"/>
  <c r="Z951" i="5" s="1"/>
  <c r="Y952" i="5"/>
  <c r="Y953" i="5"/>
  <c r="Y954" i="5"/>
  <c r="Z954" i="5" s="1"/>
  <c r="Y955" i="5"/>
  <c r="Z955" i="5" s="1"/>
  <c r="Y956" i="5"/>
  <c r="Z956" i="5" s="1"/>
  <c r="Y957" i="5"/>
  <c r="Z957" i="5" s="1"/>
  <c r="Y958" i="5"/>
  <c r="Z958" i="5" s="1"/>
  <c r="Y959" i="5"/>
  <c r="Z959" i="5" s="1"/>
  <c r="Y960" i="5"/>
  <c r="Y961" i="5"/>
  <c r="Y962" i="5"/>
  <c r="Z962" i="5" s="1"/>
  <c r="Y963" i="5"/>
  <c r="Z963" i="5" s="1"/>
  <c r="Y964" i="5"/>
  <c r="Z964" i="5" s="1"/>
  <c r="Y965" i="5"/>
  <c r="Z965" i="5" s="1"/>
  <c r="Y966" i="5"/>
  <c r="Z966" i="5" s="1"/>
  <c r="Y967" i="5"/>
  <c r="Y968" i="5"/>
  <c r="Z968" i="5" s="1"/>
  <c r="Y969" i="5"/>
  <c r="Z969" i="5" s="1"/>
  <c r="Y970" i="5"/>
  <c r="Z970" i="5" s="1"/>
  <c r="Y971" i="5"/>
  <c r="Y972" i="5"/>
  <c r="Z972" i="5" s="1"/>
  <c r="Y973" i="5"/>
  <c r="Z973" i="5" s="1"/>
  <c r="Y974" i="5"/>
  <c r="Z974" i="5" s="1"/>
  <c r="Y975" i="5"/>
  <c r="Y976" i="5"/>
  <c r="Z976" i="5" s="1"/>
  <c r="Y977" i="5"/>
  <c r="Z977" i="5" s="1"/>
  <c r="Y978" i="5"/>
  <c r="Z978" i="5" s="1"/>
  <c r="Y979" i="5"/>
  <c r="Y980" i="5"/>
  <c r="Z980" i="5" s="1"/>
  <c r="Y981" i="5"/>
  <c r="Z981" i="5" s="1"/>
  <c r="Y982" i="5"/>
  <c r="Z982" i="5" s="1"/>
  <c r="Y983" i="5"/>
  <c r="Y984" i="5"/>
  <c r="Z984" i="5" s="1"/>
  <c r="Y985" i="5"/>
  <c r="Z985" i="5" s="1"/>
  <c r="Y986" i="5"/>
  <c r="Z986" i="5" s="1"/>
  <c r="Y987" i="5"/>
  <c r="Y988" i="5"/>
  <c r="Z988" i="5" s="1"/>
  <c r="Y989" i="5"/>
  <c r="Z989" i="5" s="1"/>
  <c r="Y990" i="5"/>
  <c r="Z990" i="5" s="1"/>
  <c r="Y991" i="5"/>
  <c r="Y992" i="5"/>
  <c r="Z992" i="5" s="1"/>
  <c r="Y993" i="5"/>
  <c r="Z993" i="5" s="1"/>
  <c r="Y994" i="5"/>
  <c r="Z994" i="5" s="1"/>
  <c r="Y995" i="5"/>
  <c r="Y996" i="5"/>
  <c r="Z996" i="5" s="1"/>
  <c r="Y997" i="5"/>
  <c r="Z997" i="5" s="1"/>
  <c r="Y998" i="5"/>
  <c r="Z998" i="5" s="1"/>
  <c r="Y999" i="5"/>
  <c r="Y1000" i="5"/>
  <c r="Z1000" i="5" s="1"/>
  <c r="Y1001" i="5"/>
  <c r="Z1001" i="5" s="1"/>
  <c r="Y1002" i="5"/>
  <c r="Z1002" i="5" s="1"/>
  <c r="Y1003" i="5"/>
  <c r="Y1004" i="5"/>
  <c r="Z1004" i="5" s="1"/>
  <c r="Y4" i="5"/>
  <c r="Z4" i="5" s="1"/>
  <c r="J938" i="5"/>
  <c r="J986" i="5"/>
  <c r="H704" i="5"/>
  <c r="I704" i="5" s="1"/>
  <c r="F5" i="5"/>
  <c r="J5" i="5" s="1"/>
  <c r="F6" i="5"/>
  <c r="H6" i="5" s="1"/>
  <c r="I6" i="5" s="1"/>
  <c r="F7" i="5"/>
  <c r="H7" i="5" s="1"/>
  <c r="I7" i="5" s="1"/>
  <c r="F8" i="5"/>
  <c r="F9" i="5"/>
  <c r="J9" i="5" s="1"/>
  <c r="F10" i="5"/>
  <c r="F11" i="5"/>
  <c r="F12" i="5"/>
  <c r="F13" i="5"/>
  <c r="J13" i="5" s="1"/>
  <c r="F14" i="5"/>
  <c r="H14" i="5" s="1"/>
  <c r="I14" i="5" s="1"/>
  <c r="F15" i="5"/>
  <c r="H15" i="5" s="1"/>
  <c r="I15" i="5" s="1"/>
  <c r="F16" i="5"/>
  <c r="F17" i="5"/>
  <c r="J17" i="5" s="1"/>
  <c r="F18" i="5"/>
  <c r="F19" i="5"/>
  <c r="F20" i="5"/>
  <c r="F21" i="5"/>
  <c r="J21" i="5" s="1"/>
  <c r="F22" i="5"/>
  <c r="H22" i="5" s="1"/>
  <c r="I22" i="5" s="1"/>
  <c r="F23" i="5"/>
  <c r="H23" i="5" s="1"/>
  <c r="I23" i="5" s="1"/>
  <c r="F24" i="5"/>
  <c r="F25" i="5"/>
  <c r="J25" i="5" s="1"/>
  <c r="F26" i="5"/>
  <c r="F27" i="5"/>
  <c r="F28" i="5"/>
  <c r="F29" i="5"/>
  <c r="J29" i="5" s="1"/>
  <c r="F30" i="5"/>
  <c r="H30" i="5" s="1"/>
  <c r="I30" i="5" s="1"/>
  <c r="F31" i="5"/>
  <c r="H31" i="5" s="1"/>
  <c r="I31" i="5" s="1"/>
  <c r="F32" i="5"/>
  <c r="F33" i="5"/>
  <c r="J33" i="5" s="1"/>
  <c r="F34" i="5"/>
  <c r="F35" i="5"/>
  <c r="F36" i="5"/>
  <c r="F37" i="5"/>
  <c r="J37" i="5" s="1"/>
  <c r="F38" i="5"/>
  <c r="H38" i="5" s="1"/>
  <c r="I38" i="5" s="1"/>
  <c r="F39" i="5"/>
  <c r="H39" i="5" s="1"/>
  <c r="I39" i="5" s="1"/>
  <c r="F40" i="5"/>
  <c r="F41" i="5"/>
  <c r="J41" i="5" s="1"/>
  <c r="F42" i="5"/>
  <c r="F43" i="5"/>
  <c r="F44" i="5"/>
  <c r="F45" i="5"/>
  <c r="J45" i="5" s="1"/>
  <c r="F46" i="5"/>
  <c r="H46" i="5" s="1"/>
  <c r="I46" i="5" s="1"/>
  <c r="F47" i="5"/>
  <c r="H47" i="5" s="1"/>
  <c r="I47" i="5" s="1"/>
  <c r="F48" i="5"/>
  <c r="F49" i="5"/>
  <c r="J49" i="5" s="1"/>
  <c r="F50" i="5"/>
  <c r="F51" i="5"/>
  <c r="F52" i="5"/>
  <c r="F53" i="5"/>
  <c r="J53" i="5" s="1"/>
  <c r="F54" i="5"/>
  <c r="H54" i="5" s="1"/>
  <c r="I54" i="5" s="1"/>
  <c r="F55" i="5"/>
  <c r="H55" i="5" s="1"/>
  <c r="I55" i="5" s="1"/>
  <c r="F56" i="5"/>
  <c r="F57" i="5"/>
  <c r="J57" i="5" s="1"/>
  <c r="F58" i="5"/>
  <c r="F59" i="5"/>
  <c r="F60" i="5"/>
  <c r="F61" i="5"/>
  <c r="J61" i="5" s="1"/>
  <c r="F62" i="5"/>
  <c r="H62" i="5" s="1"/>
  <c r="I62" i="5" s="1"/>
  <c r="F63" i="5"/>
  <c r="F64" i="5"/>
  <c r="F65" i="5"/>
  <c r="J65" i="5" s="1"/>
  <c r="F66" i="5"/>
  <c r="F67" i="5"/>
  <c r="F68" i="5"/>
  <c r="F69" i="5"/>
  <c r="J69" i="5" s="1"/>
  <c r="F70" i="5"/>
  <c r="H70" i="5" s="1"/>
  <c r="I70" i="5" s="1"/>
  <c r="F71" i="5"/>
  <c r="H71" i="5" s="1"/>
  <c r="I71" i="5" s="1"/>
  <c r="F72" i="5"/>
  <c r="F73" i="5"/>
  <c r="J73" i="5" s="1"/>
  <c r="F74" i="5"/>
  <c r="F75" i="5"/>
  <c r="F76" i="5"/>
  <c r="F77" i="5"/>
  <c r="J77" i="5" s="1"/>
  <c r="F78" i="5"/>
  <c r="H78" i="5" s="1"/>
  <c r="I78" i="5" s="1"/>
  <c r="F79" i="5"/>
  <c r="H79" i="5" s="1"/>
  <c r="I79" i="5" s="1"/>
  <c r="F80" i="5"/>
  <c r="F81" i="5"/>
  <c r="J81" i="5" s="1"/>
  <c r="F82" i="5"/>
  <c r="F83" i="5"/>
  <c r="H83" i="5" s="1"/>
  <c r="I83" i="5" s="1"/>
  <c r="F84" i="5"/>
  <c r="F85" i="5"/>
  <c r="J85" i="5" s="1"/>
  <c r="F86" i="5"/>
  <c r="H86" i="5" s="1"/>
  <c r="I86" i="5" s="1"/>
  <c r="F87" i="5"/>
  <c r="F88" i="5"/>
  <c r="F89" i="5"/>
  <c r="J89" i="5" s="1"/>
  <c r="F90" i="5"/>
  <c r="F91" i="5"/>
  <c r="H91" i="5" s="1"/>
  <c r="I91" i="5" s="1"/>
  <c r="F92" i="5"/>
  <c r="F93" i="5"/>
  <c r="J93" i="5" s="1"/>
  <c r="F94" i="5"/>
  <c r="H94" i="5" s="1"/>
  <c r="I94" i="5" s="1"/>
  <c r="F95" i="5"/>
  <c r="F96" i="5"/>
  <c r="F97" i="5"/>
  <c r="J97" i="5" s="1"/>
  <c r="F98" i="5"/>
  <c r="F99" i="5"/>
  <c r="H99" i="5" s="1"/>
  <c r="I99" i="5" s="1"/>
  <c r="F100" i="5"/>
  <c r="F101" i="5"/>
  <c r="J101" i="5" s="1"/>
  <c r="F102" i="5"/>
  <c r="H102" i="5" s="1"/>
  <c r="I102" i="5" s="1"/>
  <c r="F103" i="5"/>
  <c r="F104" i="5"/>
  <c r="F105" i="5"/>
  <c r="J105" i="5" s="1"/>
  <c r="F106" i="5"/>
  <c r="F107" i="5"/>
  <c r="H107" i="5" s="1"/>
  <c r="I107" i="5" s="1"/>
  <c r="F108" i="5"/>
  <c r="F109" i="5"/>
  <c r="J109" i="5" s="1"/>
  <c r="F110" i="5"/>
  <c r="H110" i="5" s="1"/>
  <c r="I110" i="5" s="1"/>
  <c r="F111" i="5"/>
  <c r="F112" i="5"/>
  <c r="F113" i="5"/>
  <c r="J113" i="5" s="1"/>
  <c r="F114" i="5"/>
  <c r="F115" i="5"/>
  <c r="H115" i="5" s="1"/>
  <c r="I115" i="5" s="1"/>
  <c r="F116" i="5"/>
  <c r="F117" i="5"/>
  <c r="J117" i="5" s="1"/>
  <c r="F118" i="5"/>
  <c r="H118" i="5" s="1"/>
  <c r="I118" i="5" s="1"/>
  <c r="F119" i="5"/>
  <c r="F120" i="5"/>
  <c r="F121" i="5"/>
  <c r="J121" i="5" s="1"/>
  <c r="F122" i="5"/>
  <c r="F123" i="5"/>
  <c r="H123" i="5" s="1"/>
  <c r="I123" i="5" s="1"/>
  <c r="F124" i="5"/>
  <c r="F125" i="5"/>
  <c r="J125" i="5" s="1"/>
  <c r="F126" i="5"/>
  <c r="H126" i="5" s="1"/>
  <c r="I126" i="5" s="1"/>
  <c r="F127" i="5"/>
  <c r="F128" i="5"/>
  <c r="F129" i="5"/>
  <c r="J129" i="5" s="1"/>
  <c r="F130" i="5"/>
  <c r="F131" i="5"/>
  <c r="H131" i="5" s="1"/>
  <c r="I131" i="5" s="1"/>
  <c r="F132" i="5"/>
  <c r="F133" i="5"/>
  <c r="J133" i="5" s="1"/>
  <c r="F134" i="5"/>
  <c r="H134" i="5" s="1"/>
  <c r="I134" i="5" s="1"/>
  <c r="F135" i="5"/>
  <c r="F136" i="5"/>
  <c r="F137" i="5"/>
  <c r="J137" i="5" s="1"/>
  <c r="F138" i="5"/>
  <c r="F139" i="5"/>
  <c r="H139" i="5" s="1"/>
  <c r="I139" i="5" s="1"/>
  <c r="F140" i="5"/>
  <c r="F141" i="5"/>
  <c r="J141" i="5" s="1"/>
  <c r="F142" i="5"/>
  <c r="H142" i="5" s="1"/>
  <c r="I142" i="5" s="1"/>
  <c r="F143" i="5"/>
  <c r="F144" i="5"/>
  <c r="F145" i="5"/>
  <c r="J145" i="5" s="1"/>
  <c r="F146" i="5"/>
  <c r="F147" i="5"/>
  <c r="H147" i="5" s="1"/>
  <c r="I147" i="5" s="1"/>
  <c r="F148" i="5"/>
  <c r="F149" i="5"/>
  <c r="J149" i="5" s="1"/>
  <c r="F150" i="5"/>
  <c r="H150" i="5" s="1"/>
  <c r="I150" i="5" s="1"/>
  <c r="F151" i="5"/>
  <c r="F152" i="5"/>
  <c r="F153" i="5"/>
  <c r="J153" i="5" s="1"/>
  <c r="F154" i="5"/>
  <c r="F155" i="5"/>
  <c r="H155" i="5" s="1"/>
  <c r="I155" i="5" s="1"/>
  <c r="F156" i="5"/>
  <c r="F157" i="5"/>
  <c r="J157" i="5" s="1"/>
  <c r="F158" i="5"/>
  <c r="H158" i="5" s="1"/>
  <c r="I158" i="5" s="1"/>
  <c r="F159" i="5"/>
  <c r="F160" i="5"/>
  <c r="F161" i="5"/>
  <c r="J161" i="5" s="1"/>
  <c r="F162" i="5"/>
  <c r="F163" i="5"/>
  <c r="H163" i="5" s="1"/>
  <c r="I163" i="5" s="1"/>
  <c r="F164" i="5"/>
  <c r="F165" i="5"/>
  <c r="J165" i="5" s="1"/>
  <c r="F166" i="5"/>
  <c r="H166" i="5" s="1"/>
  <c r="I166" i="5" s="1"/>
  <c r="F167" i="5"/>
  <c r="F168" i="5"/>
  <c r="F169" i="5"/>
  <c r="J169" i="5" s="1"/>
  <c r="F170" i="5"/>
  <c r="F171" i="5"/>
  <c r="H171" i="5" s="1"/>
  <c r="I171" i="5" s="1"/>
  <c r="F172" i="5"/>
  <c r="F173" i="5"/>
  <c r="J173" i="5" s="1"/>
  <c r="F174" i="5"/>
  <c r="H174" i="5" s="1"/>
  <c r="I174" i="5" s="1"/>
  <c r="F175" i="5"/>
  <c r="F176" i="5"/>
  <c r="F177" i="5"/>
  <c r="J177" i="5" s="1"/>
  <c r="F178" i="5"/>
  <c r="F179" i="5"/>
  <c r="H179" i="5" s="1"/>
  <c r="I179" i="5" s="1"/>
  <c r="F180" i="5"/>
  <c r="F181" i="5"/>
  <c r="J181" i="5" s="1"/>
  <c r="F182" i="5"/>
  <c r="H182" i="5" s="1"/>
  <c r="I182" i="5" s="1"/>
  <c r="F183" i="5"/>
  <c r="F184" i="5"/>
  <c r="F185" i="5"/>
  <c r="J185" i="5" s="1"/>
  <c r="F186" i="5"/>
  <c r="F187" i="5"/>
  <c r="H187" i="5" s="1"/>
  <c r="I187" i="5" s="1"/>
  <c r="F188" i="5"/>
  <c r="F189" i="5"/>
  <c r="J189" i="5" s="1"/>
  <c r="F190" i="5"/>
  <c r="H190" i="5" s="1"/>
  <c r="I190" i="5" s="1"/>
  <c r="F191" i="5"/>
  <c r="F192" i="5"/>
  <c r="F193" i="5"/>
  <c r="J193" i="5" s="1"/>
  <c r="F194" i="5"/>
  <c r="F195" i="5"/>
  <c r="H195" i="5" s="1"/>
  <c r="I195" i="5" s="1"/>
  <c r="F196" i="5"/>
  <c r="F197" i="5"/>
  <c r="J197" i="5" s="1"/>
  <c r="F198" i="5"/>
  <c r="H198" i="5" s="1"/>
  <c r="I198" i="5" s="1"/>
  <c r="F199" i="5"/>
  <c r="F200" i="5"/>
  <c r="F201" i="5"/>
  <c r="J201" i="5" s="1"/>
  <c r="F202" i="5"/>
  <c r="F203" i="5"/>
  <c r="H203" i="5" s="1"/>
  <c r="I203" i="5" s="1"/>
  <c r="F204" i="5"/>
  <c r="F205" i="5"/>
  <c r="J205" i="5" s="1"/>
  <c r="F206" i="5"/>
  <c r="H206" i="5" s="1"/>
  <c r="I206" i="5" s="1"/>
  <c r="F207" i="5"/>
  <c r="F208" i="5"/>
  <c r="F209" i="5"/>
  <c r="J209" i="5" s="1"/>
  <c r="F210" i="5"/>
  <c r="F211" i="5"/>
  <c r="H211" i="5" s="1"/>
  <c r="I211" i="5" s="1"/>
  <c r="F212" i="5"/>
  <c r="F213" i="5"/>
  <c r="J213" i="5" s="1"/>
  <c r="F214" i="5"/>
  <c r="H214" i="5" s="1"/>
  <c r="I214" i="5" s="1"/>
  <c r="F215" i="5"/>
  <c r="F216" i="5"/>
  <c r="F217" i="5"/>
  <c r="J217" i="5" s="1"/>
  <c r="F218" i="5"/>
  <c r="F219" i="5"/>
  <c r="H219" i="5" s="1"/>
  <c r="I219" i="5" s="1"/>
  <c r="F220" i="5"/>
  <c r="F221" i="5"/>
  <c r="J221" i="5" s="1"/>
  <c r="F222" i="5"/>
  <c r="H222" i="5" s="1"/>
  <c r="I222" i="5" s="1"/>
  <c r="F223" i="5"/>
  <c r="F224" i="5"/>
  <c r="F225" i="5"/>
  <c r="J225" i="5" s="1"/>
  <c r="F226" i="5"/>
  <c r="F227" i="5"/>
  <c r="H227" i="5" s="1"/>
  <c r="I227" i="5" s="1"/>
  <c r="F228" i="5"/>
  <c r="F229" i="5"/>
  <c r="J229" i="5" s="1"/>
  <c r="F230" i="5"/>
  <c r="H230" i="5" s="1"/>
  <c r="I230" i="5" s="1"/>
  <c r="F231" i="5"/>
  <c r="F232" i="5"/>
  <c r="F233" i="5"/>
  <c r="J233" i="5" s="1"/>
  <c r="F234" i="5"/>
  <c r="F235" i="5"/>
  <c r="H235" i="5" s="1"/>
  <c r="I235" i="5" s="1"/>
  <c r="F236" i="5"/>
  <c r="F237" i="5"/>
  <c r="J237" i="5" s="1"/>
  <c r="F238" i="5"/>
  <c r="H238" i="5" s="1"/>
  <c r="I238" i="5" s="1"/>
  <c r="F239" i="5"/>
  <c r="F240" i="5"/>
  <c r="F241" i="5"/>
  <c r="J241" i="5" s="1"/>
  <c r="F242" i="5"/>
  <c r="F243" i="5"/>
  <c r="H243" i="5" s="1"/>
  <c r="I243" i="5" s="1"/>
  <c r="F244" i="5"/>
  <c r="F245" i="5"/>
  <c r="J245" i="5" s="1"/>
  <c r="F246" i="5"/>
  <c r="H246" i="5" s="1"/>
  <c r="I246" i="5" s="1"/>
  <c r="F247" i="5"/>
  <c r="F248" i="5"/>
  <c r="F249" i="5"/>
  <c r="F250" i="5"/>
  <c r="F251" i="5"/>
  <c r="H251" i="5" s="1"/>
  <c r="I251" i="5" s="1"/>
  <c r="F252" i="5"/>
  <c r="F253" i="5"/>
  <c r="J253" i="5" s="1"/>
  <c r="F254" i="5"/>
  <c r="H254" i="5" s="1"/>
  <c r="I254" i="5" s="1"/>
  <c r="F255" i="5"/>
  <c r="F256" i="5"/>
  <c r="F257" i="5"/>
  <c r="F258" i="5"/>
  <c r="F259" i="5"/>
  <c r="H259" i="5" s="1"/>
  <c r="I259" i="5" s="1"/>
  <c r="F260" i="5"/>
  <c r="F261" i="5"/>
  <c r="F262" i="5"/>
  <c r="H262" i="5" s="1"/>
  <c r="I262" i="5" s="1"/>
  <c r="F263" i="5"/>
  <c r="F264" i="5"/>
  <c r="F265" i="5"/>
  <c r="F266" i="5"/>
  <c r="F267" i="5"/>
  <c r="H267" i="5" s="1"/>
  <c r="I267" i="5" s="1"/>
  <c r="F268" i="5"/>
  <c r="F269" i="5"/>
  <c r="F270" i="5"/>
  <c r="H270" i="5" s="1"/>
  <c r="I270" i="5" s="1"/>
  <c r="F271" i="5"/>
  <c r="F272" i="5"/>
  <c r="F273" i="5"/>
  <c r="F274" i="5"/>
  <c r="F275" i="5"/>
  <c r="H275" i="5" s="1"/>
  <c r="I275" i="5" s="1"/>
  <c r="F276" i="5"/>
  <c r="F277" i="5"/>
  <c r="F278" i="5"/>
  <c r="H278" i="5" s="1"/>
  <c r="I278" i="5" s="1"/>
  <c r="F279" i="5"/>
  <c r="F280" i="5"/>
  <c r="F281" i="5"/>
  <c r="F282" i="5"/>
  <c r="F283" i="5"/>
  <c r="H283" i="5" s="1"/>
  <c r="I283" i="5" s="1"/>
  <c r="F284" i="5"/>
  <c r="F285" i="5"/>
  <c r="F286" i="5"/>
  <c r="H286" i="5" s="1"/>
  <c r="I286" i="5" s="1"/>
  <c r="F287" i="5"/>
  <c r="F288" i="5"/>
  <c r="F289" i="5"/>
  <c r="F290" i="5"/>
  <c r="F291" i="5"/>
  <c r="H291" i="5" s="1"/>
  <c r="I291" i="5" s="1"/>
  <c r="F292" i="5"/>
  <c r="F293" i="5"/>
  <c r="F294" i="5"/>
  <c r="H294" i="5" s="1"/>
  <c r="I294" i="5" s="1"/>
  <c r="F295" i="5"/>
  <c r="F296" i="5"/>
  <c r="F297" i="5"/>
  <c r="F298" i="5"/>
  <c r="F299" i="5"/>
  <c r="H299" i="5" s="1"/>
  <c r="I299" i="5" s="1"/>
  <c r="F300" i="5"/>
  <c r="F301" i="5"/>
  <c r="F302" i="5"/>
  <c r="H302" i="5" s="1"/>
  <c r="I302" i="5" s="1"/>
  <c r="F303" i="5"/>
  <c r="F304" i="5"/>
  <c r="F305" i="5"/>
  <c r="F306" i="5"/>
  <c r="F307" i="5"/>
  <c r="H307" i="5" s="1"/>
  <c r="I307" i="5" s="1"/>
  <c r="F308" i="5"/>
  <c r="F309" i="5"/>
  <c r="F310" i="5"/>
  <c r="H310" i="5" s="1"/>
  <c r="I310" i="5" s="1"/>
  <c r="F311" i="5"/>
  <c r="F312" i="5"/>
  <c r="F313" i="5"/>
  <c r="F314" i="5"/>
  <c r="F315" i="5"/>
  <c r="H315" i="5" s="1"/>
  <c r="I315" i="5" s="1"/>
  <c r="F316" i="5"/>
  <c r="F317" i="5"/>
  <c r="F318" i="5"/>
  <c r="H318" i="5" s="1"/>
  <c r="I318" i="5" s="1"/>
  <c r="F319" i="5"/>
  <c r="F320" i="5"/>
  <c r="F321" i="5"/>
  <c r="F322" i="5"/>
  <c r="F323" i="5"/>
  <c r="H323" i="5" s="1"/>
  <c r="I323" i="5" s="1"/>
  <c r="F324" i="5"/>
  <c r="F325" i="5"/>
  <c r="F326" i="5"/>
  <c r="H326" i="5" s="1"/>
  <c r="I326" i="5" s="1"/>
  <c r="F327" i="5"/>
  <c r="F328" i="5"/>
  <c r="F329" i="5"/>
  <c r="F330" i="5"/>
  <c r="F331" i="5"/>
  <c r="H331" i="5" s="1"/>
  <c r="I331" i="5" s="1"/>
  <c r="F332" i="5"/>
  <c r="F333" i="5"/>
  <c r="F334" i="5"/>
  <c r="H334" i="5" s="1"/>
  <c r="I334" i="5" s="1"/>
  <c r="F335" i="5"/>
  <c r="F336" i="5"/>
  <c r="F337" i="5"/>
  <c r="F338" i="5"/>
  <c r="F339" i="5"/>
  <c r="H339" i="5" s="1"/>
  <c r="I339" i="5" s="1"/>
  <c r="F340" i="5"/>
  <c r="F341" i="5"/>
  <c r="F342" i="5"/>
  <c r="H342" i="5" s="1"/>
  <c r="I342" i="5" s="1"/>
  <c r="F343" i="5"/>
  <c r="F344" i="5"/>
  <c r="F345" i="5"/>
  <c r="F346" i="5"/>
  <c r="F347" i="5"/>
  <c r="H347" i="5" s="1"/>
  <c r="I347" i="5" s="1"/>
  <c r="F348" i="5"/>
  <c r="F349" i="5"/>
  <c r="F350" i="5"/>
  <c r="H350" i="5" s="1"/>
  <c r="I350" i="5" s="1"/>
  <c r="F351" i="5"/>
  <c r="F352" i="5"/>
  <c r="F353" i="5"/>
  <c r="F354" i="5"/>
  <c r="F355" i="5"/>
  <c r="H355" i="5" s="1"/>
  <c r="I355" i="5" s="1"/>
  <c r="F356" i="5"/>
  <c r="F357" i="5"/>
  <c r="F358" i="5"/>
  <c r="H358" i="5" s="1"/>
  <c r="I358" i="5" s="1"/>
  <c r="F359" i="5"/>
  <c r="F360" i="5"/>
  <c r="F361" i="5"/>
  <c r="F362" i="5"/>
  <c r="F363" i="5"/>
  <c r="H363" i="5" s="1"/>
  <c r="I363" i="5" s="1"/>
  <c r="F364" i="5"/>
  <c r="F365" i="5"/>
  <c r="F366" i="5"/>
  <c r="H366" i="5" s="1"/>
  <c r="I366" i="5" s="1"/>
  <c r="F367" i="5"/>
  <c r="F368" i="5"/>
  <c r="F369" i="5"/>
  <c r="F370" i="5"/>
  <c r="F371" i="5"/>
  <c r="H371" i="5" s="1"/>
  <c r="I371" i="5" s="1"/>
  <c r="F372" i="5"/>
  <c r="F373" i="5"/>
  <c r="F374" i="5"/>
  <c r="H374" i="5" s="1"/>
  <c r="I374" i="5" s="1"/>
  <c r="F375" i="5"/>
  <c r="F376" i="5"/>
  <c r="F377" i="5"/>
  <c r="F378" i="5"/>
  <c r="F379" i="5"/>
  <c r="H379" i="5" s="1"/>
  <c r="I379" i="5" s="1"/>
  <c r="F380" i="5"/>
  <c r="F381" i="5"/>
  <c r="F382" i="5"/>
  <c r="H382" i="5" s="1"/>
  <c r="I382" i="5" s="1"/>
  <c r="F383" i="5"/>
  <c r="F384" i="5"/>
  <c r="F385" i="5"/>
  <c r="F386" i="5"/>
  <c r="F387" i="5"/>
  <c r="H387" i="5" s="1"/>
  <c r="I387" i="5" s="1"/>
  <c r="F388" i="5"/>
  <c r="F389" i="5"/>
  <c r="F390" i="5"/>
  <c r="H390" i="5" s="1"/>
  <c r="I390" i="5" s="1"/>
  <c r="F391" i="5"/>
  <c r="F392" i="5"/>
  <c r="F393" i="5"/>
  <c r="F394" i="5"/>
  <c r="F395" i="5"/>
  <c r="H395" i="5" s="1"/>
  <c r="I395" i="5" s="1"/>
  <c r="F396" i="5"/>
  <c r="F397" i="5"/>
  <c r="F398" i="5"/>
  <c r="H398" i="5" s="1"/>
  <c r="I398" i="5" s="1"/>
  <c r="F399" i="5"/>
  <c r="F400" i="5"/>
  <c r="F401" i="5"/>
  <c r="F402" i="5"/>
  <c r="F403" i="5"/>
  <c r="H403" i="5" s="1"/>
  <c r="I403" i="5" s="1"/>
  <c r="F404" i="5"/>
  <c r="F405" i="5"/>
  <c r="F406" i="5"/>
  <c r="H406" i="5" s="1"/>
  <c r="I406" i="5" s="1"/>
  <c r="F407" i="5"/>
  <c r="F408" i="5"/>
  <c r="F409" i="5"/>
  <c r="F410" i="5"/>
  <c r="F411" i="5"/>
  <c r="H411" i="5" s="1"/>
  <c r="I411" i="5" s="1"/>
  <c r="F412" i="5"/>
  <c r="F413" i="5"/>
  <c r="F414" i="5"/>
  <c r="H414" i="5" s="1"/>
  <c r="I414" i="5" s="1"/>
  <c r="F415" i="5"/>
  <c r="F416" i="5"/>
  <c r="F417" i="5"/>
  <c r="F418" i="5"/>
  <c r="F419" i="5"/>
  <c r="H419" i="5" s="1"/>
  <c r="I419" i="5" s="1"/>
  <c r="F420" i="5"/>
  <c r="F421" i="5"/>
  <c r="F422" i="5"/>
  <c r="H422" i="5" s="1"/>
  <c r="I422" i="5" s="1"/>
  <c r="F423" i="5"/>
  <c r="F424" i="5"/>
  <c r="F425" i="5"/>
  <c r="F426" i="5"/>
  <c r="F427" i="5"/>
  <c r="H427" i="5" s="1"/>
  <c r="I427" i="5" s="1"/>
  <c r="F428" i="5"/>
  <c r="F429" i="5"/>
  <c r="F430" i="5"/>
  <c r="H430" i="5" s="1"/>
  <c r="I430" i="5" s="1"/>
  <c r="F431" i="5"/>
  <c r="F432" i="5"/>
  <c r="F433" i="5"/>
  <c r="F434" i="5"/>
  <c r="F435" i="5"/>
  <c r="H435" i="5" s="1"/>
  <c r="I435" i="5" s="1"/>
  <c r="F436" i="5"/>
  <c r="F437" i="5"/>
  <c r="F438" i="5"/>
  <c r="H438" i="5" s="1"/>
  <c r="I438" i="5" s="1"/>
  <c r="F439" i="5"/>
  <c r="H439" i="5" s="1"/>
  <c r="I439" i="5" s="1"/>
  <c r="F440" i="5"/>
  <c r="F441" i="5"/>
  <c r="F442" i="5"/>
  <c r="F443" i="5"/>
  <c r="F444" i="5"/>
  <c r="F445" i="5"/>
  <c r="F446" i="5"/>
  <c r="H446" i="5" s="1"/>
  <c r="I446" i="5" s="1"/>
  <c r="F447" i="5"/>
  <c r="F448" i="5"/>
  <c r="F449" i="5"/>
  <c r="F450" i="5"/>
  <c r="F451" i="5"/>
  <c r="F452" i="5"/>
  <c r="F453" i="5"/>
  <c r="F454" i="5"/>
  <c r="H454" i="5" s="1"/>
  <c r="I454" i="5" s="1"/>
  <c r="F455" i="5"/>
  <c r="H455" i="5" s="1"/>
  <c r="I455" i="5" s="1"/>
  <c r="F456" i="5"/>
  <c r="F457" i="5"/>
  <c r="F458" i="5"/>
  <c r="F459" i="5"/>
  <c r="F460" i="5"/>
  <c r="F461" i="5"/>
  <c r="F462" i="5"/>
  <c r="H462" i="5" s="1"/>
  <c r="I462" i="5" s="1"/>
  <c r="F463" i="5"/>
  <c r="F464" i="5"/>
  <c r="F465" i="5"/>
  <c r="F466" i="5"/>
  <c r="F467" i="5"/>
  <c r="F468" i="5"/>
  <c r="F469" i="5"/>
  <c r="F470" i="5"/>
  <c r="H470" i="5" s="1"/>
  <c r="I470" i="5" s="1"/>
  <c r="F471" i="5"/>
  <c r="H471" i="5" s="1"/>
  <c r="I471" i="5" s="1"/>
  <c r="F472" i="5"/>
  <c r="F473" i="5"/>
  <c r="F474" i="5"/>
  <c r="F475" i="5"/>
  <c r="F476" i="5"/>
  <c r="F477" i="5"/>
  <c r="F478" i="5"/>
  <c r="H478" i="5" s="1"/>
  <c r="I478" i="5" s="1"/>
  <c r="F479" i="5"/>
  <c r="F480" i="5"/>
  <c r="F481" i="5"/>
  <c r="F482" i="5"/>
  <c r="F483" i="5"/>
  <c r="F484" i="5"/>
  <c r="F485" i="5"/>
  <c r="F486" i="5"/>
  <c r="H486" i="5" s="1"/>
  <c r="I486" i="5" s="1"/>
  <c r="F487" i="5"/>
  <c r="H487" i="5" s="1"/>
  <c r="I487" i="5" s="1"/>
  <c r="F488" i="5"/>
  <c r="F489" i="5"/>
  <c r="J489" i="5" s="1"/>
  <c r="F490" i="5"/>
  <c r="F491" i="5"/>
  <c r="F492" i="5"/>
  <c r="F493" i="5"/>
  <c r="J493" i="5" s="1"/>
  <c r="F494" i="5"/>
  <c r="H494" i="5" s="1"/>
  <c r="I494" i="5" s="1"/>
  <c r="F495" i="5"/>
  <c r="F496" i="5"/>
  <c r="F497" i="5"/>
  <c r="J497" i="5" s="1"/>
  <c r="F498" i="5"/>
  <c r="F499" i="5"/>
  <c r="F500" i="5"/>
  <c r="F501" i="5"/>
  <c r="J501" i="5" s="1"/>
  <c r="F502" i="5"/>
  <c r="H502" i="5" s="1"/>
  <c r="I502" i="5" s="1"/>
  <c r="F503" i="5"/>
  <c r="H503" i="5" s="1"/>
  <c r="I503" i="5" s="1"/>
  <c r="F504" i="5"/>
  <c r="F505" i="5"/>
  <c r="J505" i="5" s="1"/>
  <c r="F506" i="5"/>
  <c r="F507" i="5"/>
  <c r="F508" i="5"/>
  <c r="F509" i="5"/>
  <c r="J509" i="5" s="1"/>
  <c r="F510" i="5"/>
  <c r="H510" i="5" s="1"/>
  <c r="I510" i="5" s="1"/>
  <c r="F511" i="5"/>
  <c r="F512" i="5"/>
  <c r="F513" i="5"/>
  <c r="J513" i="5" s="1"/>
  <c r="F514" i="5"/>
  <c r="F515" i="5"/>
  <c r="H515" i="5" s="1"/>
  <c r="I515" i="5" s="1"/>
  <c r="F516" i="5"/>
  <c r="F517" i="5"/>
  <c r="J517" i="5" s="1"/>
  <c r="F518" i="5"/>
  <c r="H518" i="5" s="1"/>
  <c r="I518" i="5" s="1"/>
  <c r="F519" i="5"/>
  <c r="F520" i="5"/>
  <c r="F521" i="5"/>
  <c r="J521" i="5" s="1"/>
  <c r="F522" i="5"/>
  <c r="F523" i="5"/>
  <c r="H523" i="5" s="1"/>
  <c r="I523" i="5" s="1"/>
  <c r="F524" i="5"/>
  <c r="F525" i="5"/>
  <c r="J525" i="5" s="1"/>
  <c r="F526" i="5"/>
  <c r="H526" i="5" s="1"/>
  <c r="I526" i="5" s="1"/>
  <c r="F527" i="5"/>
  <c r="F528" i="5"/>
  <c r="F529" i="5"/>
  <c r="J529" i="5" s="1"/>
  <c r="F530" i="5"/>
  <c r="F531" i="5"/>
  <c r="H531" i="5" s="1"/>
  <c r="I531" i="5" s="1"/>
  <c r="F532" i="5"/>
  <c r="F533" i="5"/>
  <c r="J533" i="5" s="1"/>
  <c r="F534" i="5"/>
  <c r="H534" i="5" s="1"/>
  <c r="I534" i="5" s="1"/>
  <c r="F535" i="5"/>
  <c r="F536" i="5"/>
  <c r="F537" i="5"/>
  <c r="J537" i="5" s="1"/>
  <c r="F538" i="5"/>
  <c r="F539" i="5"/>
  <c r="H539" i="5" s="1"/>
  <c r="I539" i="5" s="1"/>
  <c r="F540" i="5"/>
  <c r="F541" i="5"/>
  <c r="J541" i="5" s="1"/>
  <c r="F542" i="5"/>
  <c r="H542" i="5" s="1"/>
  <c r="I542" i="5" s="1"/>
  <c r="F543" i="5"/>
  <c r="F544" i="5"/>
  <c r="F545" i="5"/>
  <c r="J545" i="5" s="1"/>
  <c r="F546" i="5"/>
  <c r="F547" i="5"/>
  <c r="H547" i="5" s="1"/>
  <c r="I547" i="5" s="1"/>
  <c r="F548" i="5"/>
  <c r="F549" i="5"/>
  <c r="J549" i="5" s="1"/>
  <c r="F550" i="5"/>
  <c r="H550" i="5" s="1"/>
  <c r="I550" i="5" s="1"/>
  <c r="F551" i="5"/>
  <c r="F552" i="5"/>
  <c r="F553" i="5"/>
  <c r="J553" i="5" s="1"/>
  <c r="F554" i="5"/>
  <c r="F555" i="5"/>
  <c r="H555" i="5" s="1"/>
  <c r="I555" i="5" s="1"/>
  <c r="F556" i="5"/>
  <c r="F557" i="5"/>
  <c r="J557" i="5" s="1"/>
  <c r="F558" i="5"/>
  <c r="H558" i="5" s="1"/>
  <c r="I558" i="5" s="1"/>
  <c r="F559" i="5"/>
  <c r="F560" i="5"/>
  <c r="H560" i="5" s="1"/>
  <c r="I560" i="5" s="1"/>
  <c r="F561" i="5"/>
  <c r="J561" i="5" s="1"/>
  <c r="F562" i="5"/>
  <c r="F563" i="5"/>
  <c r="H563" i="5" s="1"/>
  <c r="I563" i="5" s="1"/>
  <c r="F564" i="5"/>
  <c r="F565" i="5"/>
  <c r="J565" i="5" s="1"/>
  <c r="F566" i="5"/>
  <c r="H566" i="5" s="1"/>
  <c r="I566" i="5" s="1"/>
  <c r="F567" i="5"/>
  <c r="F568" i="5"/>
  <c r="F569" i="5"/>
  <c r="J569" i="5" s="1"/>
  <c r="F570" i="5"/>
  <c r="F571" i="5"/>
  <c r="H571" i="5" s="1"/>
  <c r="I571" i="5" s="1"/>
  <c r="F572" i="5"/>
  <c r="F573" i="5"/>
  <c r="J573" i="5" s="1"/>
  <c r="F574" i="5"/>
  <c r="H574" i="5" s="1"/>
  <c r="I574" i="5" s="1"/>
  <c r="F575" i="5"/>
  <c r="F576" i="5"/>
  <c r="H576" i="5" s="1"/>
  <c r="I576" i="5" s="1"/>
  <c r="F577" i="5"/>
  <c r="J577" i="5" s="1"/>
  <c r="F578" i="5"/>
  <c r="F579" i="5"/>
  <c r="H579" i="5" s="1"/>
  <c r="I579" i="5" s="1"/>
  <c r="F580" i="5"/>
  <c r="F581" i="5"/>
  <c r="J581" i="5" s="1"/>
  <c r="F582" i="5"/>
  <c r="H582" i="5" s="1"/>
  <c r="I582" i="5" s="1"/>
  <c r="F583" i="5"/>
  <c r="F584" i="5"/>
  <c r="F585" i="5"/>
  <c r="J585" i="5" s="1"/>
  <c r="F586" i="5"/>
  <c r="F587" i="5"/>
  <c r="H587" i="5" s="1"/>
  <c r="I587" i="5" s="1"/>
  <c r="F588" i="5"/>
  <c r="F589" i="5"/>
  <c r="J589" i="5" s="1"/>
  <c r="F590" i="5"/>
  <c r="H590" i="5" s="1"/>
  <c r="I590" i="5" s="1"/>
  <c r="F591" i="5"/>
  <c r="F592" i="5"/>
  <c r="H592" i="5" s="1"/>
  <c r="I592" i="5" s="1"/>
  <c r="F593" i="5"/>
  <c r="J593" i="5" s="1"/>
  <c r="F594" i="5"/>
  <c r="F595" i="5"/>
  <c r="H595" i="5" s="1"/>
  <c r="I595" i="5" s="1"/>
  <c r="F596" i="5"/>
  <c r="F597" i="5"/>
  <c r="J597" i="5" s="1"/>
  <c r="F598" i="5"/>
  <c r="H598" i="5" s="1"/>
  <c r="I598" i="5" s="1"/>
  <c r="F599" i="5"/>
  <c r="F600" i="5"/>
  <c r="F601" i="5"/>
  <c r="J601" i="5" s="1"/>
  <c r="F602" i="5"/>
  <c r="F603" i="5"/>
  <c r="H603" i="5" s="1"/>
  <c r="I603" i="5" s="1"/>
  <c r="F604" i="5"/>
  <c r="F605" i="5"/>
  <c r="J605" i="5" s="1"/>
  <c r="F606" i="5"/>
  <c r="H606" i="5" s="1"/>
  <c r="I606" i="5" s="1"/>
  <c r="F607" i="5"/>
  <c r="F608" i="5"/>
  <c r="H608" i="5" s="1"/>
  <c r="I608" i="5" s="1"/>
  <c r="F609" i="5"/>
  <c r="J609" i="5" s="1"/>
  <c r="F610" i="5"/>
  <c r="F611" i="5"/>
  <c r="H611" i="5" s="1"/>
  <c r="I611" i="5" s="1"/>
  <c r="F612" i="5"/>
  <c r="F613" i="5"/>
  <c r="J613" i="5" s="1"/>
  <c r="F614" i="5"/>
  <c r="H614" i="5" s="1"/>
  <c r="I614" i="5" s="1"/>
  <c r="F615" i="5"/>
  <c r="F616" i="5"/>
  <c r="F617" i="5"/>
  <c r="J617" i="5" s="1"/>
  <c r="F618" i="5"/>
  <c r="F619" i="5"/>
  <c r="H619" i="5" s="1"/>
  <c r="I619" i="5" s="1"/>
  <c r="F620" i="5"/>
  <c r="F621" i="5"/>
  <c r="J621" i="5" s="1"/>
  <c r="F622" i="5"/>
  <c r="H622" i="5" s="1"/>
  <c r="I622" i="5" s="1"/>
  <c r="F623" i="5"/>
  <c r="F624" i="5"/>
  <c r="H624" i="5" s="1"/>
  <c r="I624" i="5" s="1"/>
  <c r="F625" i="5"/>
  <c r="J625" i="5" s="1"/>
  <c r="F626" i="5"/>
  <c r="F627" i="5"/>
  <c r="H627" i="5" s="1"/>
  <c r="I627" i="5" s="1"/>
  <c r="F628" i="5"/>
  <c r="F629" i="5"/>
  <c r="J629" i="5" s="1"/>
  <c r="F630" i="5"/>
  <c r="H630" i="5" s="1"/>
  <c r="I630" i="5" s="1"/>
  <c r="F631" i="5"/>
  <c r="F632" i="5"/>
  <c r="F633" i="5"/>
  <c r="J633" i="5" s="1"/>
  <c r="F634" i="5"/>
  <c r="F635" i="5"/>
  <c r="H635" i="5" s="1"/>
  <c r="I635" i="5" s="1"/>
  <c r="F636" i="5"/>
  <c r="F637" i="5"/>
  <c r="J637" i="5" s="1"/>
  <c r="F638" i="5"/>
  <c r="H638" i="5" s="1"/>
  <c r="I638" i="5" s="1"/>
  <c r="F639" i="5"/>
  <c r="F640" i="5"/>
  <c r="H640" i="5" s="1"/>
  <c r="I640" i="5" s="1"/>
  <c r="F641" i="5"/>
  <c r="J641" i="5" s="1"/>
  <c r="F642" i="5"/>
  <c r="F643" i="5"/>
  <c r="H643" i="5" s="1"/>
  <c r="I643" i="5" s="1"/>
  <c r="F644" i="5"/>
  <c r="F645" i="5"/>
  <c r="J645" i="5" s="1"/>
  <c r="F646" i="5"/>
  <c r="H646" i="5" s="1"/>
  <c r="I646" i="5" s="1"/>
  <c r="F647" i="5"/>
  <c r="F648" i="5"/>
  <c r="F649" i="5"/>
  <c r="J649" i="5" s="1"/>
  <c r="F650" i="5"/>
  <c r="F651" i="5"/>
  <c r="H651" i="5" s="1"/>
  <c r="I651" i="5" s="1"/>
  <c r="F652" i="5"/>
  <c r="F653" i="5"/>
  <c r="J653" i="5" s="1"/>
  <c r="F654" i="5"/>
  <c r="H654" i="5" s="1"/>
  <c r="I654" i="5" s="1"/>
  <c r="F655" i="5"/>
  <c r="F656" i="5"/>
  <c r="H656" i="5" s="1"/>
  <c r="I656" i="5" s="1"/>
  <c r="F657" i="5"/>
  <c r="J657" i="5" s="1"/>
  <c r="F658" i="5"/>
  <c r="F659" i="5"/>
  <c r="H659" i="5" s="1"/>
  <c r="I659" i="5" s="1"/>
  <c r="F660" i="5"/>
  <c r="F661" i="5"/>
  <c r="J661" i="5" s="1"/>
  <c r="F662" i="5"/>
  <c r="H662" i="5" s="1"/>
  <c r="I662" i="5" s="1"/>
  <c r="F663" i="5"/>
  <c r="F664" i="5"/>
  <c r="F665" i="5"/>
  <c r="J665" i="5" s="1"/>
  <c r="F666" i="5"/>
  <c r="F667" i="5"/>
  <c r="H667" i="5" s="1"/>
  <c r="I667" i="5" s="1"/>
  <c r="F668" i="5"/>
  <c r="F669" i="5"/>
  <c r="J669" i="5" s="1"/>
  <c r="F670" i="5"/>
  <c r="H670" i="5" s="1"/>
  <c r="I670" i="5" s="1"/>
  <c r="F671" i="5"/>
  <c r="F672" i="5"/>
  <c r="H672" i="5" s="1"/>
  <c r="I672" i="5" s="1"/>
  <c r="F673" i="5"/>
  <c r="J673" i="5" s="1"/>
  <c r="F674" i="5"/>
  <c r="F675" i="5"/>
  <c r="H675" i="5" s="1"/>
  <c r="I675" i="5" s="1"/>
  <c r="F676" i="5"/>
  <c r="F677" i="5"/>
  <c r="J677" i="5" s="1"/>
  <c r="F678" i="5"/>
  <c r="H678" i="5" s="1"/>
  <c r="I678" i="5" s="1"/>
  <c r="F679" i="5"/>
  <c r="H679" i="5" s="1"/>
  <c r="I679" i="5" s="1"/>
  <c r="F680" i="5"/>
  <c r="F681" i="5"/>
  <c r="J681" i="5" s="1"/>
  <c r="F682" i="5"/>
  <c r="F683" i="5"/>
  <c r="F684" i="5"/>
  <c r="F685" i="5"/>
  <c r="J685" i="5" s="1"/>
  <c r="F686" i="5"/>
  <c r="H686" i="5" s="1"/>
  <c r="I686" i="5" s="1"/>
  <c r="F687" i="5"/>
  <c r="F688" i="5"/>
  <c r="H688" i="5" s="1"/>
  <c r="I688" i="5" s="1"/>
  <c r="F689" i="5"/>
  <c r="J689" i="5" s="1"/>
  <c r="F690" i="5"/>
  <c r="F691" i="5"/>
  <c r="F692" i="5"/>
  <c r="F693" i="5"/>
  <c r="J693" i="5" s="1"/>
  <c r="F694" i="5"/>
  <c r="H694" i="5" s="1"/>
  <c r="I694" i="5" s="1"/>
  <c r="F695" i="5"/>
  <c r="H695" i="5" s="1"/>
  <c r="I695" i="5" s="1"/>
  <c r="F696" i="5"/>
  <c r="F697" i="5"/>
  <c r="J697" i="5" s="1"/>
  <c r="F698" i="5"/>
  <c r="F699" i="5"/>
  <c r="F700" i="5"/>
  <c r="F701" i="5"/>
  <c r="J701" i="5" s="1"/>
  <c r="F702" i="5"/>
  <c r="H702" i="5" s="1"/>
  <c r="I702" i="5" s="1"/>
  <c r="F703" i="5"/>
  <c r="F704" i="5"/>
  <c r="F705" i="5"/>
  <c r="J705" i="5" s="1"/>
  <c r="F706" i="5"/>
  <c r="F707" i="5"/>
  <c r="F708" i="5"/>
  <c r="F709" i="5"/>
  <c r="J709" i="5" s="1"/>
  <c r="F710" i="5"/>
  <c r="H710" i="5" s="1"/>
  <c r="I710" i="5" s="1"/>
  <c r="F711" i="5"/>
  <c r="H711" i="5" s="1"/>
  <c r="I711" i="5" s="1"/>
  <c r="F712" i="5"/>
  <c r="F713" i="5"/>
  <c r="J713" i="5" s="1"/>
  <c r="F714" i="5"/>
  <c r="F715" i="5"/>
  <c r="F716" i="5"/>
  <c r="F717" i="5"/>
  <c r="J717" i="5" s="1"/>
  <c r="F718" i="5"/>
  <c r="H718" i="5" s="1"/>
  <c r="I718" i="5" s="1"/>
  <c r="F719" i="5"/>
  <c r="F720" i="5"/>
  <c r="H720" i="5" s="1"/>
  <c r="I720" i="5" s="1"/>
  <c r="F721" i="5"/>
  <c r="J721" i="5" s="1"/>
  <c r="F722" i="5"/>
  <c r="F723" i="5"/>
  <c r="F724" i="5"/>
  <c r="F725" i="5"/>
  <c r="J725" i="5" s="1"/>
  <c r="F726" i="5"/>
  <c r="H726" i="5" s="1"/>
  <c r="I726" i="5" s="1"/>
  <c r="F727" i="5"/>
  <c r="F728" i="5"/>
  <c r="F729" i="5"/>
  <c r="J729" i="5" s="1"/>
  <c r="F730" i="5"/>
  <c r="F731" i="5"/>
  <c r="F732" i="5"/>
  <c r="F733" i="5"/>
  <c r="J733" i="5" s="1"/>
  <c r="F734" i="5"/>
  <c r="H734" i="5" s="1"/>
  <c r="I734" i="5" s="1"/>
  <c r="F735" i="5"/>
  <c r="H735" i="5" s="1"/>
  <c r="I735" i="5" s="1"/>
  <c r="F736" i="5"/>
  <c r="H736" i="5" s="1"/>
  <c r="I736" i="5" s="1"/>
  <c r="F737" i="5"/>
  <c r="J737" i="5" s="1"/>
  <c r="F738" i="5"/>
  <c r="F739" i="5"/>
  <c r="F740" i="5"/>
  <c r="F741" i="5"/>
  <c r="J741" i="5" s="1"/>
  <c r="F742" i="5"/>
  <c r="H742" i="5" s="1"/>
  <c r="I742" i="5" s="1"/>
  <c r="F743" i="5"/>
  <c r="F744" i="5"/>
  <c r="F745" i="5"/>
  <c r="J745" i="5" s="1"/>
  <c r="F746" i="5"/>
  <c r="F747" i="5"/>
  <c r="F748" i="5"/>
  <c r="F749" i="5"/>
  <c r="J749" i="5" s="1"/>
  <c r="F750" i="5"/>
  <c r="H750" i="5" s="1"/>
  <c r="I750" i="5" s="1"/>
  <c r="F751" i="5"/>
  <c r="H751" i="5" s="1"/>
  <c r="I751" i="5" s="1"/>
  <c r="F752" i="5"/>
  <c r="H752" i="5" s="1"/>
  <c r="I752" i="5" s="1"/>
  <c r="F753" i="5"/>
  <c r="J753" i="5" s="1"/>
  <c r="F754" i="5"/>
  <c r="F755" i="5"/>
  <c r="F756" i="5"/>
  <c r="F757" i="5"/>
  <c r="J757" i="5" s="1"/>
  <c r="F758" i="5"/>
  <c r="H758" i="5" s="1"/>
  <c r="I758" i="5" s="1"/>
  <c r="F759" i="5"/>
  <c r="F760" i="5"/>
  <c r="F761" i="5"/>
  <c r="J761" i="5" s="1"/>
  <c r="F762" i="5"/>
  <c r="F763" i="5"/>
  <c r="F764" i="5"/>
  <c r="F765" i="5"/>
  <c r="J765" i="5" s="1"/>
  <c r="F766" i="5"/>
  <c r="H766" i="5" s="1"/>
  <c r="I766" i="5" s="1"/>
  <c r="F767" i="5"/>
  <c r="H767" i="5" s="1"/>
  <c r="I767" i="5" s="1"/>
  <c r="F768" i="5"/>
  <c r="H768" i="5" s="1"/>
  <c r="I768" i="5" s="1"/>
  <c r="F769" i="5"/>
  <c r="J769" i="5" s="1"/>
  <c r="F770" i="5"/>
  <c r="F771" i="5"/>
  <c r="F772" i="5"/>
  <c r="F773" i="5"/>
  <c r="J773" i="5" s="1"/>
  <c r="F774" i="5"/>
  <c r="H774" i="5" s="1"/>
  <c r="I774" i="5" s="1"/>
  <c r="F775" i="5"/>
  <c r="F776" i="5"/>
  <c r="F777" i="5"/>
  <c r="J777" i="5" s="1"/>
  <c r="F778" i="5"/>
  <c r="F779" i="5"/>
  <c r="F780" i="5"/>
  <c r="F781" i="5"/>
  <c r="J781" i="5" s="1"/>
  <c r="F782" i="5"/>
  <c r="H782" i="5" s="1"/>
  <c r="I782" i="5" s="1"/>
  <c r="F783" i="5"/>
  <c r="H783" i="5" s="1"/>
  <c r="I783" i="5" s="1"/>
  <c r="F784" i="5"/>
  <c r="H784" i="5" s="1"/>
  <c r="I784" i="5" s="1"/>
  <c r="F785" i="5"/>
  <c r="J785" i="5" s="1"/>
  <c r="F786" i="5"/>
  <c r="F787" i="5"/>
  <c r="F788" i="5"/>
  <c r="F789" i="5"/>
  <c r="J789" i="5" s="1"/>
  <c r="F790" i="5"/>
  <c r="H790" i="5" s="1"/>
  <c r="I790" i="5" s="1"/>
  <c r="F791" i="5"/>
  <c r="F792" i="5"/>
  <c r="F793" i="5"/>
  <c r="J793" i="5" s="1"/>
  <c r="F794" i="5"/>
  <c r="F795" i="5"/>
  <c r="H795" i="5" s="1"/>
  <c r="I795" i="5" s="1"/>
  <c r="F796" i="5"/>
  <c r="F797" i="5"/>
  <c r="J797" i="5" s="1"/>
  <c r="F798" i="5"/>
  <c r="H798" i="5" s="1"/>
  <c r="I798" i="5" s="1"/>
  <c r="F799" i="5"/>
  <c r="F800" i="5"/>
  <c r="H800" i="5" s="1"/>
  <c r="I800" i="5" s="1"/>
  <c r="F801" i="5"/>
  <c r="J801" i="5" s="1"/>
  <c r="F802" i="5"/>
  <c r="F803" i="5"/>
  <c r="H803" i="5" s="1"/>
  <c r="I803" i="5" s="1"/>
  <c r="F804" i="5"/>
  <c r="F805" i="5"/>
  <c r="J805" i="5" s="1"/>
  <c r="F806" i="5"/>
  <c r="H806" i="5" s="1"/>
  <c r="I806" i="5" s="1"/>
  <c r="F807" i="5"/>
  <c r="F808" i="5"/>
  <c r="F809" i="5"/>
  <c r="J809" i="5" s="1"/>
  <c r="F810" i="5"/>
  <c r="F811" i="5"/>
  <c r="H811" i="5" s="1"/>
  <c r="I811" i="5" s="1"/>
  <c r="F812" i="5"/>
  <c r="F813" i="5"/>
  <c r="J813" i="5" s="1"/>
  <c r="F814" i="5"/>
  <c r="H814" i="5" s="1"/>
  <c r="I814" i="5" s="1"/>
  <c r="F815" i="5"/>
  <c r="F816" i="5"/>
  <c r="H816" i="5" s="1"/>
  <c r="I816" i="5" s="1"/>
  <c r="F817" i="5"/>
  <c r="J817" i="5" s="1"/>
  <c r="F818" i="5"/>
  <c r="F819" i="5"/>
  <c r="H819" i="5" s="1"/>
  <c r="I819" i="5" s="1"/>
  <c r="F820" i="5"/>
  <c r="F821" i="5"/>
  <c r="J821" i="5" s="1"/>
  <c r="F822" i="5"/>
  <c r="H822" i="5" s="1"/>
  <c r="I822" i="5" s="1"/>
  <c r="F823" i="5"/>
  <c r="F824" i="5"/>
  <c r="F825" i="5"/>
  <c r="J825" i="5" s="1"/>
  <c r="F826" i="5"/>
  <c r="F827" i="5"/>
  <c r="H827" i="5" s="1"/>
  <c r="I827" i="5" s="1"/>
  <c r="F828" i="5"/>
  <c r="F829" i="5"/>
  <c r="J829" i="5" s="1"/>
  <c r="F830" i="5"/>
  <c r="H830" i="5" s="1"/>
  <c r="I830" i="5" s="1"/>
  <c r="F831" i="5"/>
  <c r="F832" i="5"/>
  <c r="H832" i="5" s="1"/>
  <c r="I832" i="5" s="1"/>
  <c r="F833" i="5"/>
  <c r="J833" i="5" s="1"/>
  <c r="F834" i="5"/>
  <c r="F835" i="5"/>
  <c r="H835" i="5" s="1"/>
  <c r="I835" i="5" s="1"/>
  <c r="F836" i="5"/>
  <c r="F837" i="5"/>
  <c r="J837" i="5" s="1"/>
  <c r="F838" i="5"/>
  <c r="H838" i="5" s="1"/>
  <c r="I838" i="5" s="1"/>
  <c r="F839" i="5"/>
  <c r="F840" i="5"/>
  <c r="F841" i="5"/>
  <c r="J841" i="5" s="1"/>
  <c r="F842" i="5"/>
  <c r="F843" i="5"/>
  <c r="H843" i="5" s="1"/>
  <c r="I843" i="5" s="1"/>
  <c r="F844" i="5"/>
  <c r="F845" i="5"/>
  <c r="J845" i="5" s="1"/>
  <c r="F846" i="5"/>
  <c r="H846" i="5" s="1"/>
  <c r="I846" i="5" s="1"/>
  <c r="F847" i="5"/>
  <c r="F848" i="5"/>
  <c r="H848" i="5" s="1"/>
  <c r="I848" i="5" s="1"/>
  <c r="F849" i="5"/>
  <c r="J849" i="5" s="1"/>
  <c r="F850" i="5"/>
  <c r="F851" i="5"/>
  <c r="H851" i="5" s="1"/>
  <c r="I851" i="5" s="1"/>
  <c r="F852" i="5"/>
  <c r="F853" i="5"/>
  <c r="J853" i="5" s="1"/>
  <c r="F854" i="5"/>
  <c r="H854" i="5" s="1"/>
  <c r="I854" i="5" s="1"/>
  <c r="F855" i="5"/>
  <c r="F856" i="5"/>
  <c r="F857" i="5"/>
  <c r="J857" i="5" s="1"/>
  <c r="F858" i="5"/>
  <c r="F859" i="5"/>
  <c r="H859" i="5" s="1"/>
  <c r="I859" i="5" s="1"/>
  <c r="F860" i="5"/>
  <c r="F861" i="5"/>
  <c r="F862" i="5"/>
  <c r="F863" i="5"/>
  <c r="F864" i="5"/>
  <c r="F865" i="5"/>
  <c r="F866" i="5"/>
  <c r="H866" i="5" s="1"/>
  <c r="I866" i="5" s="1"/>
  <c r="F867" i="5"/>
  <c r="F868" i="5"/>
  <c r="F869" i="5"/>
  <c r="H869" i="5" s="1"/>
  <c r="I869" i="5" s="1"/>
  <c r="F870" i="5"/>
  <c r="H870" i="5" s="1"/>
  <c r="I870" i="5" s="1"/>
  <c r="F871" i="5"/>
  <c r="F872" i="5"/>
  <c r="F873" i="5"/>
  <c r="J873" i="5" s="1"/>
  <c r="F874" i="5"/>
  <c r="F875" i="5"/>
  <c r="H875" i="5" s="1"/>
  <c r="I875" i="5" s="1"/>
  <c r="F876" i="5"/>
  <c r="F877" i="5"/>
  <c r="F878" i="5"/>
  <c r="F879" i="5"/>
  <c r="F880" i="5"/>
  <c r="F881" i="5"/>
  <c r="F882" i="5"/>
  <c r="H882" i="5" s="1"/>
  <c r="I882" i="5" s="1"/>
  <c r="F883" i="5"/>
  <c r="F884" i="5"/>
  <c r="F885" i="5"/>
  <c r="H885" i="5" s="1"/>
  <c r="I885" i="5" s="1"/>
  <c r="F886" i="5"/>
  <c r="H886" i="5" s="1"/>
  <c r="I886" i="5" s="1"/>
  <c r="F887" i="5"/>
  <c r="F888" i="5"/>
  <c r="F889" i="5"/>
  <c r="J889" i="5" s="1"/>
  <c r="F890" i="5"/>
  <c r="F891" i="5"/>
  <c r="F892" i="5"/>
  <c r="F893" i="5"/>
  <c r="F894" i="5"/>
  <c r="F895" i="5"/>
  <c r="F896" i="5"/>
  <c r="H896" i="5" s="1"/>
  <c r="I896" i="5" s="1"/>
  <c r="F897" i="5"/>
  <c r="F898" i="5"/>
  <c r="F899" i="5"/>
  <c r="F900" i="5"/>
  <c r="F901" i="5"/>
  <c r="H901" i="5" s="1"/>
  <c r="I901" i="5" s="1"/>
  <c r="F902" i="5"/>
  <c r="H902" i="5" s="1"/>
  <c r="I902" i="5" s="1"/>
  <c r="F903" i="5"/>
  <c r="F904" i="5"/>
  <c r="F905" i="5"/>
  <c r="J905" i="5" s="1"/>
  <c r="F906" i="5"/>
  <c r="F907" i="5"/>
  <c r="F908" i="5"/>
  <c r="F909" i="5"/>
  <c r="F910" i="5"/>
  <c r="F911" i="5"/>
  <c r="F912" i="5"/>
  <c r="F913" i="5"/>
  <c r="F914" i="5"/>
  <c r="F915" i="5"/>
  <c r="F916" i="5"/>
  <c r="F917" i="5"/>
  <c r="H917" i="5" s="1"/>
  <c r="I917" i="5" s="1"/>
  <c r="F918" i="5"/>
  <c r="H918" i="5" s="1"/>
  <c r="I918" i="5" s="1"/>
  <c r="F919" i="5"/>
  <c r="F920" i="5"/>
  <c r="F921" i="5"/>
  <c r="J921" i="5" s="1"/>
  <c r="F922" i="5"/>
  <c r="F923" i="5"/>
  <c r="H923" i="5" s="1"/>
  <c r="I923" i="5" s="1"/>
  <c r="F924" i="5"/>
  <c r="F925" i="5"/>
  <c r="F926" i="5"/>
  <c r="F927" i="5"/>
  <c r="H927" i="5" s="1"/>
  <c r="I927" i="5" s="1"/>
  <c r="F928" i="5"/>
  <c r="F929" i="5"/>
  <c r="H929" i="5" s="1"/>
  <c r="I929" i="5" s="1"/>
  <c r="F930" i="5"/>
  <c r="H930" i="5" s="1"/>
  <c r="I930" i="5" s="1"/>
  <c r="F931" i="5"/>
  <c r="F932" i="5"/>
  <c r="F933" i="5"/>
  <c r="F934" i="5"/>
  <c r="F935" i="5"/>
  <c r="F936" i="5"/>
  <c r="F937" i="5"/>
  <c r="F938" i="5"/>
  <c r="H938" i="5" s="1"/>
  <c r="I938" i="5" s="1"/>
  <c r="F939" i="5"/>
  <c r="F940" i="5"/>
  <c r="F941" i="5"/>
  <c r="F942" i="5"/>
  <c r="F943" i="5"/>
  <c r="F944" i="5"/>
  <c r="F945" i="5"/>
  <c r="H945" i="5" s="1"/>
  <c r="I945" i="5" s="1"/>
  <c r="F946" i="5"/>
  <c r="H946" i="5" s="1"/>
  <c r="I946" i="5" s="1"/>
  <c r="F947" i="5"/>
  <c r="F948" i="5"/>
  <c r="F949" i="5"/>
  <c r="F950" i="5"/>
  <c r="F951" i="5"/>
  <c r="F952" i="5"/>
  <c r="F953" i="5"/>
  <c r="F954" i="5"/>
  <c r="H954" i="5" s="1"/>
  <c r="I954" i="5" s="1"/>
  <c r="F955" i="5"/>
  <c r="F956" i="5"/>
  <c r="F957" i="5"/>
  <c r="F958" i="5"/>
  <c r="F959" i="5"/>
  <c r="F960" i="5"/>
  <c r="F961" i="5"/>
  <c r="H961" i="5" s="1"/>
  <c r="I961" i="5" s="1"/>
  <c r="F962" i="5"/>
  <c r="H962" i="5" s="1"/>
  <c r="I962" i="5" s="1"/>
  <c r="F963" i="5"/>
  <c r="F964" i="5"/>
  <c r="F965" i="5"/>
  <c r="F966" i="5"/>
  <c r="F967" i="5"/>
  <c r="F968" i="5"/>
  <c r="F969" i="5"/>
  <c r="F970" i="5"/>
  <c r="H970" i="5" s="1"/>
  <c r="I970" i="5" s="1"/>
  <c r="F971" i="5"/>
  <c r="F972" i="5"/>
  <c r="F973" i="5"/>
  <c r="F974" i="5"/>
  <c r="F975" i="5"/>
  <c r="F976" i="5"/>
  <c r="F977" i="5"/>
  <c r="H977" i="5" s="1"/>
  <c r="I977" i="5" s="1"/>
  <c r="F978" i="5"/>
  <c r="H978" i="5" s="1"/>
  <c r="I978" i="5" s="1"/>
  <c r="F979" i="5"/>
  <c r="F980" i="5"/>
  <c r="F981" i="5"/>
  <c r="F982" i="5"/>
  <c r="F983" i="5"/>
  <c r="F984" i="5"/>
  <c r="F985" i="5"/>
  <c r="F986" i="5"/>
  <c r="H986" i="5" s="1"/>
  <c r="I986" i="5" s="1"/>
  <c r="F987" i="5"/>
  <c r="F988" i="5"/>
  <c r="F989" i="5"/>
  <c r="F990" i="5"/>
  <c r="F991" i="5"/>
  <c r="F992" i="5"/>
  <c r="F993" i="5"/>
  <c r="H993" i="5" s="1"/>
  <c r="I993" i="5" s="1"/>
  <c r="F994" i="5"/>
  <c r="H994" i="5" s="1"/>
  <c r="I994" i="5" s="1"/>
  <c r="F995" i="5"/>
  <c r="F996" i="5"/>
  <c r="F997" i="5"/>
  <c r="F998" i="5"/>
  <c r="F999" i="5"/>
  <c r="F1000" i="5"/>
  <c r="F1001" i="5"/>
  <c r="F1002" i="5"/>
  <c r="H1002" i="5" s="1"/>
  <c r="I1002" i="5" s="1"/>
  <c r="F1003" i="5"/>
  <c r="J1003" i="5" s="1"/>
  <c r="F4" i="5"/>
  <c r="J945" i="5" l="1"/>
  <c r="K945" i="5" s="1"/>
  <c r="L945" i="5" s="1"/>
  <c r="J977" i="5"/>
  <c r="J918" i="5"/>
  <c r="J902" i="5"/>
  <c r="J886" i="5"/>
  <c r="J870" i="5"/>
  <c r="J854" i="5"/>
  <c r="J846" i="5"/>
  <c r="J838" i="5"/>
  <c r="J830" i="5"/>
  <c r="J822" i="5"/>
  <c r="J814" i="5"/>
  <c r="J806" i="5"/>
  <c r="J798" i="5"/>
  <c r="J790" i="5"/>
  <c r="J774" i="5"/>
  <c r="J758" i="5"/>
  <c r="J742" i="5"/>
  <c r="J726" i="5"/>
  <c r="J718" i="5"/>
  <c r="J702" i="5"/>
  <c r="J686" i="5"/>
  <c r="J670" i="5"/>
  <c r="J662" i="5"/>
  <c r="J654" i="5"/>
  <c r="K654" i="5" s="1"/>
  <c r="L654" i="5" s="1"/>
  <c r="J646" i="5"/>
  <c r="J638" i="5"/>
  <c r="J630" i="5"/>
  <c r="J622" i="5"/>
  <c r="K622" i="5" s="1"/>
  <c r="L622" i="5" s="1"/>
  <c r="J614" i="5"/>
  <c r="J606" i="5"/>
  <c r="J598" i="5"/>
  <c r="J590" i="5"/>
  <c r="K590" i="5" s="1"/>
  <c r="L590" i="5" s="1"/>
  <c r="J582" i="5"/>
  <c r="J574" i="5"/>
  <c r="J566" i="5"/>
  <c r="J558" i="5"/>
  <c r="K558" i="5" s="1"/>
  <c r="L558" i="5" s="1"/>
  <c r="J550" i="5"/>
  <c r="J542" i="5"/>
  <c r="J534" i="5"/>
  <c r="J526" i="5"/>
  <c r="K526" i="5" s="1"/>
  <c r="L526" i="5" s="1"/>
  <c r="J518" i="5"/>
  <c r="J510" i="5"/>
  <c r="J494" i="5"/>
  <c r="J478" i="5"/>
  <c r="K478" i="5" s="1"/>
  <c r="L478" i="5" s="1"/>
  <c r="J462" i="5"/>
  <c r="J446" i="5"/>
  <c r="J430" i="5"/>
  <c r="K430" i="5" s="1"/>
  <c r="L430" i="5" s="1"/>
  <c r="J422" i="5"/>
  <c r="K422" i="5" s="1"/>
  <c r="L422" i="5" s="1"/>
  <c r="J414" i="5"/>
  <c r="J406" i="5"/>
  <c r="J398" i="5"/>
  <c r="K398" i="5" s="1"/>
  <c r="L398" i="5" s="1"/>
  <c r="J390" i="5"/>
  <c r="K390" i="5" s="1"/>
  <c r="L390" i="5" s="1"/>
  <c r="J382" i="5"/>
  <c r="J374" i="5"/>
  <c r="J366" i="5"/>
  <c r="K366" i="5" s="1"/>
  <c r="L366" i="5" s="1"/>
  <c r="J358" i="5"/>
  <c r="K358" i="5" s="1"/>
  <c r="L358" i="5" s="1"/>
  <c r="J350" i="5"/>
  <c r="J342" i="5"/>
  <c r="J334" i="5"/>
  <c r="K334" i="5" s="1"/>
  <c r="L334" i="5" s="1"/>
  <c r="J326" i="5"/>
  <c r="K326" i="5" s="1"/>
  <c r="L326" i="5" s="1"/>
  <c r="J318" i="5"/>
  <c r="J310" i="5"/>
  <c r="J302" i="5"/>
  <c r="K302" i="5" s="1"/>
  <c r="L302" i="5" s="1"/>
  <c r="J294" i="5"/>
  <c r="K294" i="5" s="1"/>
  <c r="L294" i="5" s="1"/>
  <c r="J286" i="5"/>
  <c r="J278" i="5"/>
  <c r="J270" i="5"/>
  <c r="K270" i="5" s="1"/>
  <c r="L270" i="5" s="1"/>
  <c r="J262" i="5"/>
  <c r="K262" i="5" s="1"/>
  <c r="L262" i="5" s="1"/>
  <c r="J254" i="5"/>
  <c r="J246" i="5"/>
  <c r="J238" i="5"/>
  <c r="K238" i="5" s="1"/>
  <c r="L238" i="5" s="1"/>
  <c r="J230" i="5"/>
  <c r="K230" i="5" s="1"/>
  <c r="L230" i="5" s="1"/>
  <c r="J222" i="5"/>
  <c r="J214" i="5"/>
  <c r="J206" i="5"/>
  <c r="K206" i="5" s="1"/>
  <c r="L206" i="5" s="1"/>
  <c r="J198" i="5"/>
  <c r="K198" i="5" s="1"/>
  <c r="L198" i="5" s="1"/>
  <c r="J190" i="5"/>
  <c r="J182" i="5"/>
  <c r="J174" i="5"/>
  <c r="K174" i="5" s="1"/>
  <c r="L174" i="5" s="1"/>
  <c r="J166" i="5"/>
  <c r="K166" i="5" s="1"/>
  <c r="L166" i="5" s="1"/>
  <c r="J158" i="5"/>
  <c r="J150" i="5"/>
  <c r="J142" i="5"/>
  <c r="K142" i="5" s="1"/>
  <c r="L142" i="5" s="1"/>
  <c r="J134" i="5"/>
  <c r="K134" i="5" s="1"/>
  <c r="L134" i="5" s="1"/>
  <c r="J126" i="5"/>
  <c r="J118" i="5"/>
  <c r="J110" i="5"/>
  <c r="K110" i="5" s="1"/>
  <c r="L110" i="5" s="1"/>
  <c r="J102" i="5"/>
  <c r="K102" i="5" s="1"/>
  <c r="L102" i="5" s="1"/>
  <c r="J94" i="5"/>
  <c r="J86" i="5"/>
  <c r="J62" i="5"/>
  <c r="K62" i="5" s="1"/>
  <c r="L62" i="5" s="1"/>
  <c r="J970" i="5"/>
  <c r="K970" i="5" s="1"/>
  <c r="L970" i="5" s="1"/>
  <c r="J882" i="5"/>
  <c r="J4" i="5"/>
  <c r="J1002" i="5"/>
  <c r="K1002" i="5" s="1"/>
  <c r="L1002" i="5" s="1"/>
  <c r="J954" i="5"/>
  <c r="J866" i="5"/>
  <c r="H957" i="5"/>
  <c r="I957" i="5" s="1"/>
  <c r="J957" i="5"/>
  <c r="H953" i="5"/>
  <c r="I953" i="5" s="1"/>
  <c r="K953" i="5" s="1"/>
  <c r="L953" i="5" s="1"/>
  <c r="J953" i="5"/>
  <c r="H949" i="5"/>
  <c r="I949" i="5" s="1"/>
  <c r="J949" i="5"/>
  <c r="K949" i="5" s="1"/>
  <c r="L949" i="5" s="1"/>
  <c r="H941" i="5"/>
  <c r="I941" i="5" s="1"/>
  <c r="K941" i="5" s="1"/>
  <c r="L941" i="5" s="1"/>
  <c r="J941" i="5"/>
  <c r="H925" i="5"/>
  <c r="I925" i="5" s="1"/>
  <c r="J925" i="5"/>
  <c r="K925" i="5" s="1"/>
  <c r="L925" i="5" s="1"/>
  <c r="H913" i="5"/>
  <c r="I913" i="5" s="1"/>
  <c r="K913" i="5" s="1"/>
  <c r="L913" i="5" s="1"/>
  <c r="J913" i="5"/>
  <c r="H909" i="5"/>
  <c r="I909" i="5" s="1"/>
  <c r="J909" i="5"/>
  <c r="K909" i="5" s="1"/>
  <c r="L909" i="5" s="1"/>
  <c r="H897" i="5"/>
  <c r="I897" i="5" s="1"/>
  <c r="K897" i="5" s="1"/>
  <c r="L897" i="5" s="1"/>
  <c r="J897" i="5"/>
  <c r="H881" i="5"/>
  <c r="I881" i="5" s="1"/>
  <c r="J881" i="5"/>
  <c r="H877" i="5"/>
  <c r="I877" i="5" s="1"/>
  <c r="K877" i="5" s="1"/>
  <c r="L877" i="5" s="1"/>
  <c r="J877" i="5"/>
  <c r="H865" i="5"/>
  <c r="I865" i="5" s="1"/>
  <c r="J865" i="5"/>
  <c r="K865" i="5" s="1"/>
  <c r="L865" i="5" s="1"/>
  <c r="J1000" i="5"/>
  <c r="J996" i="5"/>
  <c r="H996" i="5"/>
  <c r="I996" i="5" s="1"/>
  <c r="J992" i="5"/>
  <c r="H992" i="5"/>
  <c r="I992" i="5" s="1"/>
  <c r="K992" i="5" s="1"/>
  <c r="L992" i="5" s="1"/>
  <c r="J988" i="5"/>
  <c r="J984" i="5"/>
  <c r="J980" i="5"/>
  <c r="H980" i="5"/>
  <c r="I980" i="5" s="1"/>
  <c r="K980" i="5" s="1"/>
  <c r="L980" i="5" s="1"/>
  <c r="J976" i="5"/>
  <c r="H976" i="5"/>
  <c r="I976" i="5" s="1"/>
  <c r="K976" i="5" s="1"/>
  <c r="L976" i="5" s="1"/>
  <c r="J972" i="5"/>
  <c r="J968" i="5"/>
  <c r="J964" i="5"/>
  <c r="H964" i="5"/>
  <c r="I964" i="5" s="1"/>
  <c r="J960" i="5"/>
  <c r="J956" i="5"/>
  <c r="J952" i="5"/>
  <c r="J948" i="5"/>
  <c r="H948" i="5"/>
  <c r="I948" i="5" s="1"/>
  <c r="J944" i="5"/>
  <c r="K944" i="5" s="1"/>
  <c r="L944" i="5" s="1"/>
  <c r="H944" i="5"/>
  <c r="I944" i="5" s="1"/>
  <c r="J940" i="5"/>
  <c r="J936" i="5"/>
  <c r="J932" i="5"/>
  <c r="K932" i="5" s="1"/>
  <c r="L932" i="5" s="1"/>
  <c r="H932" i="5"/>
  <c r="I932" i="5" s="1"/>
  <c r="J928" i="5"/>
  <c r="K928" i="5" s="1"/>
  <c r="L928" i="5" s="1"/>
  <c r="H928" i="5"/>
  <c r="I928" i="5" s="1"/>
  <c r="J924" i="5"/>
  <c r="J916" i="5"/>
  <c r="H916" i="5"/>
  <c r="I916" i="5" s="1"/>
  <c r="J912" i="5"/>
  <c r="H912" i="5"/>
  <c r="I912" i="5" s="1"/>
  <c r="K912" i="5" s="1"/>
  <c r="L912" i="5" s="1"/>
  <c r="J908" i="5"/>
  <c r="J900" i="5"/>
  <c r="H900" i="5"/>
  <c r="I900" i="5" s="1"/>
  <c r="K900" i="5" s="1"/>
  <c r="L900" i="5" s="1"/>
  <c r="J896" i="5"/>
  <c r="K896" i="5" s="1"/>
  <c r="L896" i="5" s="1"/>
  <c r="J892" i="5"/>
  <c r="J884" i="5"/>
  <c r="H884" i="5"/>
  <c r="I884" i="5" s="1"/>
  <c r="K884" i="5" s="1"/>
  <c r="L884" i="5" s="1"/>
  <c r="J880" i="5"/>
  <c r="K880" i="5" s="1"/>
  <c r="L880" i="5" s="1"/>
  <c r="H880" i="5"/>
  <c r="I880" i="5" s="1"/>
  <c r="J876" i="5"/>
  <c r="J868" i="5"/>
  <c r="H868" i="5"/>
  <c r="I868" i="5" s="1"/>
  <c r="J864" i="5"/>
  <c r="H864" i="5"/>
  <c r="I864" i="5" s="1"/>
  <c r="J860" i="5"/>
  <c r="J852" i="5"/>
  <c r="K852" i="5" s="1"/>
  <c r="L852" i="5" s="1"/>
  <c r="H852" i="5"/>
  <c r="I852" i="5" s="1"/>
  <c r="J844" i="5"/>
  <c r="J836" i="5"/>
  <c r="H836" i="5"/>
  <c r="I836" i="5" s="1"/>
  <c r="K836" i="5" s="1"/>
  <c r="L836" i="5" s="1"/>
  <c r="J828" i="5"/>
  <c r="J820" i="5"/>
  <c r="H820" i="5"/>
  <c r="I820" i="5" s="1"/>
  <c r="K820" i="5" s="1"/>
  <c r="L820" i="5" s="1"/>
  <c r="J812" i="5"/>
  <c r="K812" i="5" s="1"/>
  <c r="L812" i="5" s="1"/>
  <c r="J804" i="5"/>
  <c r="H804" i="5"/>
  <c r="I804" i="5" s="1"/>
  <c r="H960" i="5"/>
  <c r="I960" i="5" s="1"/>
  <c r="J993" i="5"/>
  <c r="K993" i="5" s="1"/>
  <c r="L993" i="5" s="1"/>
  <c r="J961" i="5"/>
  <c r="J929" i="5"/>
  <c r="H1001" i="5"/>
  <c r="I1001" i="5" s="1"/>
  <c r="J1001" i="5"/>
  <c r="K1001" i="5" s="1"/>
  <c r="L1001" i="5" s="1"/>
  <c r="H997" i="5"/>
  <c r="I997" i="5" s="1"/>
  <c r="J997" i="5"/>
  <c r="H989" i="5"/>
  <c r="I989" i="5" s="1"/>
  <c r="J989" i="5"/>
  <c r="K989" i="5" s="1"/>
  <c r="L989" i="5" s="1"/>
  <c r="H985" i="5"/>
  <c r="I985" i="5" s="1"/>
  <c r="J985" i="5"/>
  <c r="H981" i="5"/>
  <c r="I981" i="5" s="1"/>
  <c r="J981" i="5"/>
  <c r="K981" i="5" s="1"/>
  <c r="L981" i="5" s="1"/>
  <c r="H973" i="5"/>
  <c r="I973" i="5" s="1"/>
  <c r="J973" i="5"/>
  <c r="K973" i="5" s="1"/>
  <c r="L973" i="5" s="1"/>
  <c r="H969" i="5"/>
  <c r="I969" i="5" s="1"/>
  <c r="J969" i="5"/>
  <c r="K969" i="5" s="1"/>
  <c r="L969" i="5" s="1"/>
  <c r="H965" i="5"/>
  <c r="I965" i="5" s="1"/>
  <c r="J965" i="5"/>
  <c r="H937" i="5"/>
  <c r="I937" i="5" s="1"/>
  <c r="J937" i="5"/>
  <c r="K937" i="5" s="1"/>
  <c r="L937" i="5" s="1"/>
  <c r="H933" i="5"/>
  <c r="I933" i="5" s="1"/>
  <c r="J933" i="5"/>
  <c r="H893" i="5"/>
  <c r="I893" i="5" s="1"/>
  <c r="J893" i="5"/>
  <c r="K893" i="5" s="1"/>
  <c r="L893" i="5" s="1"/>
  <c r="H861" i="5"/>
  <c r="I861" i="5" s="1"/>
  <c r="J861" i="5"/>
  <c r="K861" i="5" s="1"/>
  <c r="L861" i="5" s="1"/>
  <c r="J796" i="5"/>
  <c r="J788" i="5"/>
  <c r="K788" i="5" s="1"/>
  <c r="L788" i="5" s="1"/>
  <c r="H788" i="5"/>
  <c r="I788" i="5" s="1"/>
  <c r="J780" i="5"/>
  <c r="J772" i="5"/>
  <c r="J756" i="5"/>
  <c r="K756" i="5" s="1"/>
  <c r="L756" i="5" s="1"/>
  <c r="H756" i="5"/>
  <c r="I756" i="5" s="1"/>
  <c r="J748" i="5"/>
  <c r="J740" i="5"/>
  <c r="J732" i="5"/>
  <c r="J724" i="5"/>
  <c r="H724" i="5"/>
  <c r="I724" i="5" s="1"/>
  <c r="J716" i="5"/>
  <c r="J708" i="5"/>
  <c r="J700" i="5"/>
  <c r="J692" i="5"/>
  <c r="H692" i="5"/>
  <c r="I692" i="5" s="1"/>
  <c r="K692" i="5" s="1"/>
  <c r="L692" i="5" s="1"/>
  <c r="J684" i="5"/>
  <c r="K684" i="5" s="1"/>
  <c r="L684" i="5" s="1"/>
  <c r="J676" i="5"/>
  <c r="J668" i="5"/>
  <c r="J660" i="5"/>
  <c r="H660" i="5"/>
  <c r="I660" i="5" s="1"/>
  <c r="J652" i="5"/>
  <c r="J644" i="5"/>
  <c r="J636" i="5"/>
  <c r="J628" i="5"/>
  <c r="K628" i="5" s="1"/>
  <c r="L628" i="5" s="1"/>
  <c r="H628" i="5"/>
  <c r="I628" i="5" s="1"/>
  <c r="J620" i="5"/>
  <c r="J612" i="5"/>
  <c r="K612" i="5" s="1"/>
  <c r="L612" i="5" s="1"/>
  <c r="J604" i="5"/>
  <c r="J596" i="5"/>
  <c r="H596" i="5"/>
  <c r="I596" i="5" s="1"/>
  <c r="J588" i="5"/>
  <c r="H740" i="5"/>
  <c r="I740" i="5" s="1"/>
  <c r="K740" i="5" s="1"/>
  <c r="L740" i="5" s="1"/>
  <c r="H676" i="5"/>
  <c r="I676" i="5" s="1"/>
  <c r="H612" i="5"/>
  <c r="I612" i="5" s="1"/>
  <c r="J999" i="5"/>
  <c r="J991" i="5"/>
  <c r="J983" i="5"/>
  <c r="J975" i="5"/>
  <c r="J967" i="5"/>
  <c r="J959" i="5"/>
  <c r="J951" i="5"/>
  <c r="J939" i="5"/>
  <c r="J931" i="5"/>
  <c r="J915" i="5"/>
  <c r="J907" i="5"/>
  <c r="J899" i="5"/>
  <c r="J891" i="5"/>
  <c r="J867" i="5"/>
  <c r="J863" i="5"/>
  <c r="J787" i="5"/>
  <c r="J779" i="5"/>
  <c r="K779" i="5" s="1"/>
  <c r="L779" i="5" s="1"/>
  <c r="J731" i="5"/>
  <c r="J723" i="5"/>
  <c r="J715" i="5"/>
  <c r="J707" i="5"/>
  <c r="J699" i="5"/>
  <c r="J691" i="5"/>
  <c r="J683" i="5"/>
  <c r="J507" i="5"/>
  <c r="K507" i="5" s="1"/>
  <c r="L507" i="5" s="1"/>
  <c r="J499" i="5"/>
  <c r="J491" i="5"/>
  <c r="J483" i="5"/>
  <c r="J475" i="5"/>
  <c r="J467" i="5"/>
  <c r="J459" i="5"/>
  <c r="J451" i="5"/>
  <c r="J443" i="5"/>
  <c r="K443" i="5" s="1"/>
  <c r="L443" i="5" s="1"/>
  <c r="J75" i="5"/>
  <c r="J67" i="5"/>
  <c r="J59" i="5"/>
  <c r="J51" i="5"/>
  <c r="J43" i="5"/>
  <c r="J35" i="5"/>
  <c r="J27" i="5"/>
  <c r="J19" i="5"/>
  <c r="J11" i="5"/>
  <c r="J764" i="5"/>
  <c r="J580" i="5"/>
  <c r="J572" i="5"/>
  <c r="J564" i="5"/>
  <c r="K564" i="5" s="1"/>
  <c r="L564" i="5" s="1"/>
  <c r="H564" i="5"/>
  <c r="I564" i="5" s="1"/>
  <c r="J556" i="5"/>
  <c r="J995" i="5"/>
  <c r="J987" i="5"/>
  <c r="J979" i="5"/>
  <c r="J971" i="5"/>
  <c r="J963" i="5"/>
  <c r="J955" i="5"/>
  <c r="J947" i="5"/>
  <c r="J943" i="5"/>
  <c r="K943" i="5" s="1"/>
  <c r="L943" i="5" s="1"/>
  <c r="J935" i="5"/>
  <c r="J911" i="5"/>
  <c r="K911" i="5" s="1"/>
  <c r="L911" i="5" s="1"/>
  <c r="J895" i="5"/>
  <c r="J883" i="5"/>
  <c r="J879" i="5"/>
  <c r="K879" i="5" s="1"/>
  <c r="L879" i="5" s="1"/>
  <c r="J771" i="5"/>
  <c r="J763" i="5"/>
  <c r="J755" i="5"/>
  <c r="J747" i="5"/>
  <c r="K747" i="5" s="1"/>
  <c r="L747" i="5" s="1"/>
  <c r="J739" i="5"/>
  <c r="H998" i="5"/>
  <c r="I998" i="5" s="1"/>
  <c r="J998" i="5"/>
  <c r="H990" i="5"/>
  <c r="I990" i="5" s="1"/>
  <c r="J990" i="5"/>
  <c r="K990" i="5" s="1"/>
  <c r="L990" i="5" s="1"/>
  <c r="H982" i="5"/>
  <c r="I982" i="5" s="1"/>
  <c r="J982" i="5"/>
  <c r="H974" i="5"/>
  <c r="I974" i="5" s="1"/>
  <c r="J974" i="5"/>
  <c r="K974" i="5" s="1"/>
  <c r="L974" i="5" s="1"/>
  <c r="H966" i="5"/>
  <c r="I966" i="5" s="1"/>
  <c r="J966" i="5"/>
  <c r="K966" i="5" s="1"/>
  <c r="L966" i="5" s="1"/>
  <c r="H958" i="5"/>
  <c r="I958" i="5" s="1"/>
  <c r="J958" i="5"/>
  <c r="K958" i="5" s="1"/>
  <c r="L958" i="5" s="1"/>
  <c r="H950" i="5"/>
  <c r="I950" i="5" s="1"/>
  <c r="J950" i="5"/>
  <c r="H942" i="5"/>
  <c r="I942" i="5" s="1"/>
  <c r="J942" i="5"/>
  <c r="K942" i="5" s="1"/>
  <c r="L942" i="5" s="1"/>
  <c r="H934" i="5"/>
  <c r="I934" i="5" s="1"/>
  <c r="J934" i="5"/>
  <c r="J926" i="5"/>
  <c r="J922" i="5"/>
  <c r="H914" i="5"/>
  <c r="I914" i="5" s="1"/>
  <c r="J914" i="5"/>
  <c r="J910" i="5"/>
  <c r="J906" i="5"/>
  <c r="H898" i="5"/>
  <c r="I898" i="5" s="1"/>
  <c r="J898" i="5"/>
  <c r="K898" i="5" s="1"/>
  <c r="L898" i="5" s="1"/>
  <c r="J894" i="5"/>
  <c r="J890" i="5"/>
  <c r="J878" i="5"/>
  <c r="J874" i="5"/>
  <c r="J862" i="5"/>
  <c r="J858" i="5"/>
  <c r="J850" i="5"/>
  <c r="J842" i="5"/>
  <c r="J834" i="5"/>
  <c r="J826" i="5"/>
  <c r="J818" i="5"/>
  <c r="J810" i="5"/>
  <c r="J802" i="5"/>
  <c r="J794" i="5"/>
  <c r="J786" i="5"/>
  <c r="J778" i="5"/>
  <c r="J770" i="5"/>
  <c r="J762" i="5"/>
  <c r="J754" i="5"/>
  <c r="J746" i="5"/>
  <c r="J738" i="5"/>
  <c r="J730" i="5"/>
  <c r="J722" i="5"/>
  <c r="J714" i="5"/>
  <c r="J706" i="5"/>
  <c r="J698" i="5"/>
  <c r="J690" i="5"/>
  <c r="J682" i="5"/>
  <c r="J674" i="5"/>
  <c r="J666" i="5"/>
  <c r="J658" i="5"/>
  <c r="J650" i="5"/>
  <c r="J642" i="5"/>
  <c r="J634" i="5"/>
  <c r="J626" i="5"/>
  <c r="J618" i="5"/>
  <c r="J610" i="5"/>
  <c r="J602" i="5"/>
  <c r="J594" i="5"/>
  <c r="J586" i="5"/>
  <c r="J578" i="5"/>
  <c r="J570" i="5"/>
  <c r="J562" i="5"/>
  <c r="J554" i="5"/>
  <c r="J546" i="5"/>
  <c r="J538" i="5"/>
  <c r="J530" i="5"/>
  <c r="J522" i="5"/>
  <c r="J514" i="5"/>
  <c r="J506" i="5"/>
  <c r="J498" i="5"/>
  <c r="J490" i="5"/>
  <c r="J482" i="5"/>
  <c r="J474" i="5"/>
  <c r="J466" i="5"/>
  <c r="J458" i="5"/>
  <c r="J450" i="5"/>
  <c r="J442" i="5"/>
  <c r="J434" i="5"/>
  <c r="J426" i="5"/>
  <c r="J418" i="5"/>
  <c r="J410" i="5"/>
  <c r="J402" i="5"/>
  <c r="J394" i="5"/>
  <c r="H772" i="5"/>
  <c r="I772" i="5" s="1"/>
  <c r="H708" i="5"/>
  <c r="I708" i="5" s="1"/>
  <c r="H644" i="5"/>
  <c r="I644" i="5" s="1"/>
  <c r="H580" i="5"/>
  <c r="I580" i="5" s="1"/>
  <c r="J994" i="5"/>
  <c r="K994" i="5" s="1"/>
  <c r="L994" i="5" s="1"/>
  <c r="J978" i="5"/>
  <c r="K978" i="5" s="1"/>
  <c r="L978" i="5" s="1"/>
  <c r="J962" i="5"/>
  <c r="J946" i="5"/>
  <c r="K946" i="5" s="1"/>
  <c r="L946" i="5" s="1"/>
  <c r="J930" i="5"/>
  <c r="K930" i="5" s="1"/>
  <c r="L930" i="5" s="1"/>
  <c r="J386" i="5"/>
  <c r="J378" i="5"/>
  <c r="J370" i="5"/>
  <c r="J362" i="5"/>
  <c r="J354" i="5"/>
  <c r="K354" i="5" s="1"/>
  <c r="L354" i="5" s="1"/>
  <c r="J346" i="5"/>
  <c r="J338" i="5"/>
  <c r="J330" i="5"/>
  <c r="J322" i="5"/>
  <c r="J314" i="5"/>
  <c r="J306" i="5"/>
  <c r="J298" i="5"/>
  <c r="J290" i="5"/>
  <c r="J282" i="5"/>
  <c r="J274" i="5"/>
  <c r="J266" i="5"/>
  <c r="J258" i="5"/>
  <c r="J250" i="5"/>
  <c r="J242" i="5"/>
  <c r="K242" i="5" s="1"/>
  <c r="L242" i="5" s="1"/>
  <c r="J234" i="5"/>
  <c r="J226" i="5"/>
  <c r="J218" i="5"/>
  <c r="J210" i="5"/>
  <c r="J202" i="5"/>
  <c r="J194" i="5"/>
  <c r="J186" i="5"/>
  <c r="J178" i="5"/>
  <c r="J170" i="5"/>
  <c r="J162" i="5"/>
  <c r="J154" i="5"/>
  <c r="J146" i="5"/>
  <c r="J138" i="5"/>
  <c r="J130" i="5"/>
  <c r="J122" i="5"/>
  <c r="J114" i="5"/>
  <c r="J106" i="5"/>
  <c r="J98" i="5"/>
  <c r="J90" i="5"/>
  <c r="J82" i="5"/>
  <c r="J74" i="5"/>
  <c r="J66" i="5"/>
  <c r="J58" i="5"/>
  <c r="J50" i="5"/>
  <c r="J42" i="5"/>
  <c r="J34" i="5"/>
  <c r="J26" i="5"/>
  <c r="J18" i="5"/>
  <c r="J10" i="5"/>
  <c r="J485" i="5"/>
  <c r="J481" i="5"/>
  <c r="J477" i="5"/>
  <c r="J473" i="5"/>
  <c r="J469" i="5"/>
  <c r="J465" i="5"/>
  <c r="J461" i="5"/>
  <c r="J457" i="5"/>
  <c r="J453" i="5"/>
  <c r="K453" i="5" s="1"/>
  <c r="L453" i="5" s="1"/>
  <c r="J449" i="5"/>
  <c r="J445" i="5"/>
  <c r="J441" i="5"/>
  <c r="J437" i="5"/>
  <c r="J433" i="5"/>
  <c r="J429" i="5"/>
  <c r="J425" i="5"/>
  <c r="J421" i="5"/>
  <c r="J417" i="5"/>
  <c r="J413" i="5"/>
  <c r="J409" i="5"/>
  <c r="J405" i="5"/>
  <c r="J401" i="5"/>
  <c r="J397" i="5"/>
  <c r="J393" i="5"/>
  <c r="J389" i="5"/>
  <c r="J385" i="5"/>
  <c r="J381" i="5"/>
  <c r="J377" i="5"/>
  <c r="J373" i="5"/>
  <c r="J369" i="5"/>
  <c r="J365" i="5"/>
  <c r="J361" i="5"/>
  <c r="J357" i="5"/>
  <c r="J353" i="5"/>
  <c r="J349" i="5"/>
  <c r="J345" i="5"/>
  <c r="J341" i="5"/>
  <c r="J337" i="5"/>
  <c r="J333" i="5"/>
  <c r="J329" i="5"/>
  <c r="J325" i="5"/>
  <c r="K325" i="5" s="1"/>
  <c r="L325" i="5" s="1"/>
  <c r="J321" i="5"/>
  <c r="J317" i="5"/>
  <c r="J313" i="5"/>
  <c r="J309" i="5"/>
  <c r="J305" i="5"/>
  <c r="J301" i="5"/>
  <c r="J297" i="5"/>
  <c r="J293" i="5"/>
  <c r="J289" i="5"/>
  <c r="J285" i="5"/>
  <c r="J281" i="5"/>
  <c r="J277" i="5"/>
  <c r="J273" i="5"/>
  <c r="J269" i="5"/>
  <c r="J265" i="5"/>
  <c r="J261" i="5"/>
  <c r="K261" i="5" s="1"/>
  <c r="L261" i="5" s="1"/>
  <c r="J257" i="5"/>
  <c r="J249" i="5"/>
  <c r="K490" i="5"/>
  <c r="L490" i="5" s="1"/>
  <c r="K362" i="5"/>
  <c r="L362" i="5" s="1"/>
  <c r="K986" i="5"/>
  <c r="L986" i="5" s="1"/>
  <c r="K954" i="5"/>
  <c r="L954" i="5" s="1"/>
  <c r="K938" i="5"/>
  <c r="L938" i="5" s="1"/>
  <c r="K866" i="5"/>
  <c r="L866" i="5" s="1"/>
  <c r="K882" i="5"/>
  <c r="L882" i="5" s="1"/>
  <c r="K996" i="5"/>
  <c r="L996" i="5" s="1"/>
  <c r="K964" i="5"/>
  <c r="L964" i="5" s="1"/>
  <c r="K960" i="5"/>
  <c r="L960" i="5" s="1"/>
  <c r="K948" i="5"/>
  <c r="L948" i="5" s="1"/>
  <c r="J920" i="5"/>
  <c r="J919" i="5"/>
  <c r="K916" i="5"/>
  <c r="L916" i="5" s="1"/>
  <c r="J904" i="5"/>
  <c r="J903" i="5"/>
  <c r="J888" i="5"/>
  <c r="K888" i="5" s="1"/>
  <c r="L888" i="5" s="1"/>
  <c r="J887" i="5"/>
  <c r="J872" i="5"/>
  <c r="J871" i="5"/>
  <c r="K864" i="5"/>
  <c r="L864" i="5" s="1"/>
  <c r="J856" i="5"/>
  <c r="J855" i="5"/>
  <c r="J848" i="5"/>
  <c r="K848" i="5" s="1"/>
  <c r="L848" i="5" s="1"/>
  <c r="J847" i="5"/>
  <c r="J840" i="5"/>
  <c r="J839" i="5"/>
  <c r="J832" i="5"/>
  <c r="K832" i="5" s="1"/>
  <c r="L832" i="5" s="1"/>
  <c r="J831" i="5"/>
  <c r="J824" i="5"/>
  <c r="J823" i="5"/>
  <c r="J816" i="5"/>
  <c r="K816" i="5" s="1"/>
  <c r="L816" i="5" s="1"/>
  <c r="J815" i="5"/>
  <c r="J808" i="5"/>
  <c r="J807" i="5"/>
  <c r="K804" i="5"/>
  <c r="L804" i="5" s="1"/>
  <c r="J800" i="5"/>
  <c r="K800" i="5" s="1"/>
  <c r="L800" i="5" s="1"/>
  <c r="J799" i="5"/>
  <c r="J792" i="5"/>
  <c r="J791" i="5"/>
  <c r="J784" i="5"/>
  <c r="K784" i="5" s="1"/>
  <c r="L784" i="5" s="1"/>
  <c r="J783" i="5"/>
  <c r="K783" i="5" s="1"/>
  <c r="L783" i="5" s="1"/>
  <c r="J776" i="5"/>
  <c r="J775" i="5"/>
  <c r="J768" i="5"/>
  <c r="K768" i="5" s="1"/>
  <c r="L768" i="5" s="1"/>
  <c r="J767" i="5"/>
  <c r="K767" i="5" s="1"/>
  <c r="L767" i="5" s="1"/>
  <c r="J760" i="5"/>
  <c r="J759" i="5"/>
  <c r="J752" i="5"/>
  <c r="K752" i="5" s="1"/>
  <c r="L752" i="5" s="1"/>
  <c r="J751" i="5"/>
  <c r="K751" i="5" s="1"/>
  <c r="L751" i="5" s="1"/>
  <c r="J744" i="5"/>
  <c r="J743" i="5"/>
  <c r="J736" i="5"/>
  <c r="K736" i="5" s="1"/>
  <c r="L736" i="5" s="1"/>
  <c r="J735" i="5"/>
  <c r="K735" i="5" s="1"/>
  <c r="L735" i="5" s="1"/>
  <c r="J728" i="5"/>
  <c r="J727" i="5"/>
  <c r="K724" i="5"/>
  <c r="L724" i="5" s="1"/>
  <c r="J720" i="5"/>
  <c r="K720" i="5" s="1"/>
  <c r="L720" i="5" s="1"/>
  <c r="J719" i="5"/>
  <c r="J712" i="5"/>
  <c r="J711" i="5"/>
  <c r="K711" i="5" s="1"/>
  <c r="L711" i="5" s="1"/>
  <c r="J704" i="5"/>
  <c r="K704" i="5" s="1"/>
  <c r="L704" i="5" s="1"/>
  <c r="J703" i="5"/>
  <c r="J696" i="5"/>
  <c r="J695" i="5"/>
  <c r="K695" i="5" s="1"/>
  <c r="L695" i="5" s="1"/>
  <c r="J688" i="5"/>
  <c r="K688" i="5" s="1"/>
  <c r="L688" i="5" s="1"/>
  <c r="J687" i="5"/>
  <c r="J680" i="5"/>
  <c r="J679" i="5"/>
  <c r="K679" i="5" s="1"/>
  <c r="L679" i="5" s="1"/>
  <c r="K676" i="5"/>
  <c r="L676" i="5" s="1"/>
  <c r="J672" i="5"/>
  <c r="K672" i="5" s="1"/>
  <c r="L672" i="5" s="1"/>
  <c r="J671" i="5"/>
  <c r="J664" i="5"/>
  <c r="J663" i="5"/>
  <c r="J656" i="5"/>
  <c r="K656" i="5" s="1"/>
  <c r="L656" i="5" s="1"/>
  <c r="J655" i="5"/>
  <c r="J648" i="5"/>
  <c r="J647" i="5"/>
  <c r="K644" i="5"/>
  <c r="L644" i="5" s="1"/>
  <c r="J640" i="5"/>
  <c r="K640" i="5" s="1"/>
  <c r="L640" i="5" s="1"/>
  <c r="J639" i="5"/>
  <c r="J632" i="5"/>
  <c r="J631" i="5"/>
  <c r="J624" i="5"/>
  <c r="K624" i="5" s="1"/>
  <c r="L624" i="5" s="1"/>
  <c r="J623" i="5"/>
  <c r="J616" i="5"/>
  <c r="J615" i="5"/>
  <c r="J608" i="5"/>
  <c r="K608" i="5" s="1"/>
  <c r="L608" i="5" s="1"/>
  <c r="J607" i="5"/>
  <c r="J600" i="5"/>
  <c r="J599" i="5"/>
  <c r="K596" i="5"/>
  <c r="L596" i="5" s="1"/>
  <c r="J592" i="5"/>
  <c r="K592" i="5" s="1"/>
  <c r="L592" i="5" s="1"/>
  <c r="J591" i="5"/>
  <c r="J584" i="5"/>
  <c r="J583" i="5"/>
  <c r="K580" i="5"/>
  <c r="L580" i="5" s="1"/>
  <c r="J576" i="5"/>
  <c r="K576" i="5" s="1"/>
  <c r="L576" i="5" s="1"/>
  <c r="J575" i="5"/>
  <c r="J568" i="5"/>
  <c r="J567" i="5"/>
  <c r="J560" i="5"/>
  <c r="K560" i="5" s="1"/>
  <c r="L560" i="5" s="1"/>
  <c r="J559" i="5"/>
  <c r="K556" i="5"/>
  <c r="L556" i="5" s="1"/>
  <c r="J552" i="5"/>
  <c r="J551" i="5"/>
  <c r="J548" i="5"/>
  <c r="H548" i="5"/>
  <c r="I548" i="5" s="1"/>
  <c r="J544" i="5"/>
  <c r="K544" i="5" s="1"/>
  <c r="L544" i="5" s="1"/>
  <c r="H544" i="5"/>
  <c r="I544" i="5" s="1"/>
  <c r="J543" i="5"/>
  <c r="J540" i="5"/>
  <c r="H540" i="5"/>
  <c r="I540" i="5" s="1"/>
  <c r="J536" i="5"/>
  <c r="J535" i="5"/>
  <c r="H536" i="5"/>
  <c r="I536" i="5" s="1"/>
  <c r="J532" i="5"/>
  <c r="K532" i="5" s="1"/>
  <c r="L532" i="5" s="1"/>
  <c r="H532" i="5"/>
  <c r="I532" i="5" s="1"/>
  <c r="J528" i="5"/>
  <c r="J527" i="5"/>
  <c r="H528" i="5"/>
  <c r="I528" i="5" s="1"/>
  <c r="J524" i="5"/>
  <c r="H524" i="5"/>
  <c r="I524" i="5" s="1"/>
  <c r="J520" i="5"/>
  <c r="K520" i="5" s="1"/>
  <c r="L520" i="5" s="1"/>
  <c r="J519" i="5"/>
  <c r="H520" i="5"/>
  <c r="I520" i="5" s="1"/>
  <c r="J516" i="5"/>
  <c r="H516" i="5"/>
  <c r="I516" i="5" s="1"/>
  <c r="J512" i="5"/>
  <c r="K512" i="5" s="1"/>
  <c r="L512" i="5" s="1"/>
  <c r="J511" i="5"/>
  <c r="H512" i="5"/>
  <c r="I512" i="5" s="1"/>
  <c r="J508" i="5"/>
  <c r="H508" i="5"/>
  <c r="I508" i="5" s="1"/>
  <c r="J504" i="5"/>
  <c r="J503" i="5"/>
  <c r="K503" i="5" s="1"/>
  <c r="L503" i="5" s="1"/>
  <c r="H504" i="5"/>
  <c r="I504" i="5" s="1"/>
  <c r="J500" i="5"/>
  <c r="K500" i="5" s="1"/>
  <c r="L500" i="5" s="1"/>
  <c r="H500" i="5"/>
  <c r="I500" i="5" s="1"/>
  <c r="J496" i="5"/>
  <c r="J495" i="5"/>
  <c r="H496" i="5"/>
  <c r="I496" i="5" s="1"/>
  <c r="J492" i="5"/>
  <c r="H492" i="5"/>
  <c r="I492" i="5" s="1"/>
  <c r="J488" i="5"/>
  <c r="K488" i="5" s="1"/>
  <c r="L488" i="5" s="1"/>
  <c r="J487" i="5"/>
  <c r="K487" i="5" s="1"/>
  <c r="L487" i="5" s="1"/>
  <c r="H488" i="5"/>
  <c r="I488" i="5" s="1"/>
  <c r="J484" i="5"/>
  <c r="H484" i="5"/>
  <c r="I484" i="5" s="1"/>
  <c r="J480" i="5"/>
  <c r="K480" i="5" s="1"/>
  <c r="L480" i="5" s="1"/>
  <c r="J479" i="5"/>
  <c r="H480" i="5"/>
  <c r="I480" i="5" s="1"/>
  <c r="J476" i="5"/>
  <c r="H476" i="5"/>
  <c r="I476" i="5" s="1"/>
  <c r="J472" i="5"/>
  <c r="J471" i="5"/>
  <c r="K471" i="5" s="1"/>
  <c r="L471" i="5" s="1"/>
  <c r="H472" i="5"/>
  <c r="I472" i="5" s="1"/>
  <c r="J468" i="5"/>
  <c r="K468" i="5" s="1"/>
  <c r="L468" i="5" s="1"/>
  <c r="H468" i="5"/>
  <c r="I468" i="5" s="1"/>
  <c r="J464" i="5"/>
  <c r="J463" i="5"/>
  <c r="H464" i="5"/>
  <c r="I464" i="5" s="1"/>
  <c r="J460" i="5"/>
  <c r="H460" i="5"/>
  <c r="I460" i="5" s="1"/>
  <c r="J456" i="5"/>
  <c r="K456" i="5" s="1"/>
  <c r="L456" i="5" s="1"/>
  <c r="J455" i="5"/>
  <c r="K455" i="5" s="1"/>
  <c r="L455" i="5" s="1"/>
  <c r="H456" i="5"/>
  <c r="I456" i="5" s="1"/>
  <c r="J452" i="5"/>
  <c r="H452" i="5"/>
  <c r="I452" i="5" s="1"/>
  <c r="J448" i="5"/>
  <c r="K448" i="5" s="1"/>
  <c r="L448" i="5" s="1"/>
  <c r="J447" i="5"/>
  <c r="H448" i="5"/>
  <c r="I448" i="5" s="1"/>
  <c r="J444" i="5"/>
  <c r="H444" i="5"/>
  <c r="I444" i="5" s="1"/>
  <c r="J440" i="5"/>
  <c r="J439" i="5"/>
  <c r="K439" i="5" s="1"/>
  <c r="L439" i="5" s="1"/>
  <c r="H440" i="5"/>
  <c r="I440" i="5" s="1"/>
  <c r="J436" i="5"/>
  <c r="K436" i="5" s="1"/>
  <c r="L436" i="5" s="1"/>
  <c r="H436" i="5"/>
  <c r="I436" i="5" s="1"/>
  <c r="J432" i="5"/>
  <c r="J431" i="5"/>
  <c r="H432" i="5"/>
  <c r="I432" i="5" s="1"/>
  <c r="J428" i="5"/>
  <c r="H428" i="5"/>
  <c r="I428" i="5" s="1"/>
  <c r="J424" i="5"/>
  <c r="K424" i="5" s="1"/>
  <c r="L424" i="5" s="1"/>
  <c r="J423" i="5"/>
  <c r="H424" i="5"/>
  <c r="I424" i="5" s="1"/>
  <c r="J420" i="5"/>
  <c r="H420" i="5"/>
  <c r="I420" i="5" s="1"/>
  <c r="J416" i="5"/>
  <c r="K416" i="5" s="1"/>
  <c r="L416" i="5" s="1"/>
  <c r="J415" i="5"/>
  <c r="H416" i="5"/>
  <c r="I416" i="5" s="1"/>
  <c r="J412" i="5"/>
  <c r="H412" i="5"/>
  <c r="I412" i="5" s="1"/>
  <c r="J408" i="5"/>
  <c r="J407" i="5"/>
  <c r="H408" i="5"/>
  <c r="I408" i="5" s="1"/>
  <c r="J404" i="5"/>
  <c r="K404" i="5" s="1"/>
  <c r="L404" i="5" s="1"/>
  <c r="H404" i="5"/>
  <c r="I404" i="5" s="1"/>
  <c r="J400" i="5"/>
  <c r="J399" i="5"/>
  <c r="H400" i="5"/>
  <c r="I400" i="5" s="1"/>
  <c r="J396" i="5"/>
  <c r="H396" i="5"/>
  <c r="I396" i="5" s="1"/>
  <c r="J392" i="5"/>
  <c r="K392" i="5" s="1"/>
  <c r="L392" i="5" s="1"/>
  <c r="J391" i="5"/>
  <c r="H392" i="5"/>
  <c r="I392" i="5" s="1"/>
  <c r="J388" i="5"/>
  <c r="H388" i="5"/>
  <c r="I388" i="5" s="1"/>
  <c r="J384" i="5"/>
  <c r="K384" i="5" s="1"/>
  <c r="L384" i="5" s="1"/>
  <c r="J383" i="5"/>
  <c r="H384" i="5"/>
  <c r="I384" i="5" s="1"/>
  <c r="J380" i="5"/>
  <c r="H380" i="5"/>
  <c r="I380" i="5" s="1"/>
  <c r="J376" i="5"/>
  <c r="J375" i="5"/>
  <c r="H376" i="5"/>
  <c r="I376" i="5" s="1"/>
  <c r="J372" i="5"/>
  <c r="K372" i="5" s="1"/>
  <c r="L372" i="5" s="1"/>
  <c r="H372" i="5"/>
  <c r="I372" i="5" s="1"/>
  <c r="J368" i="5"/>
  <c r="J367" i="5"/>
  <c r="H368" i="5"/>
  <c r="I368" i="5" s="1"/>
  <c r="J364" i="5"/>
  <c r="H364" i="5"/>
  <c r="I364" i="5" s="1"/>
  <c r="J360" i="5"/>
  <c r="K360" i="5" s="1"/>
  <c r="L360" i="5" s="1"/>
  <c r="J359" i="5"/>
  <c r="H360" i="5"/>
  <c r="I360" i="5" s="1"/>
  <c r="J356" i="5"/>
  <c r="H356" i="5"/>
  <c r="I356" i="5" s="1"/>
  <c r="J352" i="5"/>
  <c r="K352" i="5" s="1"/>
  <c r="L352" i="5" s="1"/>
  <c r="J351" i="5"/>
  <c r="H352" i="5"/>
  <c r="I352" i="5" s="1"/>
  <c r="J348" i="5"/>
  <c r="H348" i="5"/>
  <c r="I348" i="5" s="1"/>
  <c r="J344" i="5"/>
  <c r="J343" i="5"/>
  <c r="H344" i="5"/>
  <c r="I344" i="5" s="1"/>
  <c r="J340" i="5"/>
  <c r="K340" i="5" s="1"/>
  <c r="L340" i="5" s="1"/>
  <c r="H340" i="5"/>
  <c r="I340" i="5" s="1"/>
  <c r="J336" i="5"/>
  <c r="H336" i="5"/>
  <c r="I336" i="5" s="1"/>
  <c r="J335" i="5"/>
  <c r="J332" i="5"/>
  <c r="H332" i="5"/>
  <c r="I332" i="5" s="1"/>
  <c r="J328" i="5"/>
  <c r="K328" i="5" s="1"/>
  <c r="L328" i="5" s="1"/>
  <c r="J327" i="5"/>
  <c r="H328" i="5"/>
  <c r="I328" i="5" s="1"/>
  <c r="J324" i="5"/>
  <c r="H324" i="5"/>
  <c r="I324" i="5" s="1"/>
  <c r="J320" i="5"/>
  <c r="K320" i="5" s="1"/>
  <c r="L320" i="5" s="1"/>
  <c r="H320" i="5"/>
  <c r="I320" i="5" s="1"/>
  <c r="J319" i="5"/>
  <c r="J316" i="5"/>
  <c r="H316" i="5"/>
  <c r="I316" i="5" s="1"/>
  <c r="J312" i="5"/>
  <c r="J311" i="5"/>
  <c r="H312" i="5"/>
  <c r="I312" i="5" s="1"/>
  <c r="J308" i="5"/>
  <c r="K308" i="5" s="1"/>
  <c r="L308" i="5" s="1"/>
  <c r="H308" i="5"/>
  <c r="I308" i="5" s="1"/>
  <c r="J304" i="5"/>
  <c r="H304" i="5"/>
  <c r="I304" i="5" s="1"/>
  <c r="J303" i="5"/>
  <c r="J300" i="5"/>
  <c r="H300" i="5"/>
  <c r="I300" i="5" s="1"/>
  <c r="J296" i="5"/>
  <c r="K296" i="5" s="1"/>
  <c r="L296" i="5" s="1"/>
  <c r="J295" i="5"/>
  <c r="H296" i="5"/>
  <c r="I296" i="5" s="1"/>
  <c r="J292" i="5"/>
  <c r="H292" i="5"/>
  <c r="I292" i="5" s="1"/>
  <c r="J288" i="5"/>
  <c r="K288" i="5" s="1"/>
  <c r="L288" i="5" s="1"/>
  <c r="H288" i="5"/>
  <c r="I288" i="5" s="1"/>
  <c r="J287" i="5"/>
  <c r="J284" i="5"/>
  <c r="H284" i="5"/>
  <c r="I284" i="5" s="1"/>
  <c r="J280" i="5"/>
  <c r="J279" i="5"/>
  <c r="H280" i="5"/>
  <c r="I280" i="5" s="1"/>
  <c r="J276" i="5"/>
  <c r="K276" i="5" s="1"/>
  <c r="L276" i="5" s="1"/>
  <c r="H276" i="5"/>
  <c r="I276" i="5" s="1"/>
  <c r="J272" i="5"/>
  <c r="J271" i="5"/>
  <c r="H272" i="5"/>
  <c r="I272" i="5" s="1"/>
  <c r="J268" i="5"/>
  <c r="H268" i="5"/>
  <c r="I268" i="5" s="1"/>
  <c r="J264" i="5"/>
  <c r="K264" i="5" s="1"/>
  <c r="L264" i="5" s="1"/>
  <c r="J263" i="5"/>
  <c r="H264" i="5"/>
  <c r="I264" i="5" s="1"/>
  <c r="J260" i="5"/>
  <c r="H260" i="5"/>
  <c r="I260" i="5" s="1"/>
  <c r="J256" i="5"/>
  <c r="K256" i="5" s="1"/>
  <c r="L256" i="5" s="1"/>
  <c r="H256" i="5"/>
  <c r="I256" i="5" s="1"/>
  <c r="J255" i="5"/>
  <c r="J252" i="5"/>
  <c r="H252" i="5"/>
  <c r="I252" i="5" s="1"/>
  <c r="J248" i="5"/>
  <c r="J247" i="5"/>
  <c r="H248" i="5"/>
  <c r="I248" i="5" s="1"/>
  <c r="J244" i="5"/>
  <c r="K244" i="5" s="1"/>
  <c r="L244" i="5" s="1"/>
  <c r="H244" i="5"/>
  <c r="I244" i="5" s="1"/>
  <c r="J240" i="5"/>
  <c r="J239" i="5"/>
  <c r="H240" i="5"/>
  <c r="I240" i="5" s="1"/>
  <c r="J236" i="5"/>
  <c r="H236" i="5"/>
  <c r="I236" i="5" s="1"/>
  <c r="J232" i="5"/>
  <c r="H232" i="5"/>
  <c r="I232" i="5" s="1"/>
  <c r="J231" i="5"/>
  <c r="J228" i="5"/>
  <c r="H228" i="5"/>
  <c r="I228" i="5" s="1"/>
  <c r="J224" i="5"/>
  <c r="K224" i="5" s="1"/>
  <c r="L224" i="5" s="1"/>
  <c r="J223" i="5"/>
  <c r="H224" i="5"/>
  <c r="I224" i="5" s="1"/>
  <c r="J220" i="5"/>
  <c r="H220" i="5"/>
  <c r="I220" i="5" s="1"/>
  <c r="J216" i="5"/>
  <c r="H216" i="5"/>
  <c r="I216" i="5" s="1"/>
  <c r="J215" i="5"/>
  <c r="K215" i="5" s="1"/>
  <c r="L215" i="5" s="1"/>
  <c r="J212" i="5"/>
  <c r="K212" i="5" s="1"/>
  <c r="L212" i="5" s="1"/>
  <c r="H212" i="5"/>
  <c r="I212" i="5" s="1"/>
  <c r="J208" i="5"/>
  <c r="H208" i="5"/>
  <c r="I208" i="5" s="1"/>
  <c r="J207" i="5"/>
  <c r="J204" i="5"/>
  <c r="H204" i="5"/>
  <c r="I204" i="5" s="1"/>
  <c r="J200" i="5"/>
  <c r="K200" i="5" s="1"/>
  <c r="L200" i="5" s="1"/>
  <c r="J199" i="5"/>
  <c r="H200" i="5"/>
  <c r="I200" i="5" s="1"/>
  <c r="J196" i="5"/>
  <c r="H196" i="5"/>
  <c r="I196" i="5" s="1"/>
  <c r="J192" i="5"/>
  <c r="K192" i="5" s="1"/>
  <c r="L192" i="5" s="1"/>
  <c r="H192" i="5"/>
  <c r="I192" i="5" s="1"/>
  <c r="J191" i="5"/>
  <c r="J188" i="5"/>
  <c r="H188" i="5"/>
  <c r="I188" i="5" s="1"/>
  <c r="J184" i="5"/>
  <c r="J183" i="5"/>
  <c r="H184" i="5"/>
  <c r="I184" i="5" s="1"/>
  <c r="J180" i="5"/>
  <c r="K180" i="5" s="1"/>
  <c r="L180" i="5" s="1"/>
  <c r="H180" i="5"/>
  <c r="I180" i="5" s="1"/>
  <c r="J176" i="5"/>
  <c r="H176" i="5"/>
  <c r="I176" i="5" s="1"/>
  <c r="J175" i="5"/>
  <c r="J172" i="5"/>
  <c r="H172" i="5"/>
  <c r="I172" i="5" s="1"/>
  <c r="J168" i="5"/>
  <c r="K168" i="5" s="1"/>
  <c r="L168" i="5" s="1"/>
  <c r="J167" i="5"/>
  <c r="H168" i="5"/>
  <c r="I168" i="5" s="1"/>
  <c r="J164" i="5"/>
  <c r="H164" i="5"/>
  <c r="I164" i="5" s="1"/>
  <c r="J160" i="5"/>
  <c r="K160" i="5" s="1"/>
  <c r="L160" i="5" s="1"/>
  <c r="H160" i="5"/>
  <c r="I160" i="5" s="1"/>
  <c r="J159" i="5"/>
  <c r="J156" i="5"/>
  <c r="H156" i="5"/>
  <c r="I156" i="5" s="1"/>
  <c r="J152" i="5"/>
  <c r="J151" i="5"/>
  <c r="H152" i="5"/>
  <c r="I152" i="5" s="1"/>
  <c r="J148" i="5"/>
  <c r="K148" i="5" s="1"/>
  <c r="L148" i="5" s="1"/>
  <c r="H148" i="5"/>
  <c r="I148" i="5" s="1"/>
  <c r="J144" i="5"/>
  <c r="H144" i="5"/>
  <c r="I144" i="5" s="1"/>
  <c r="J143" i="5"/>
  <c r="J140" i="5"/>
  <c r="H140" i="5"/>
  <c r="I140" i="5" s="1"/>
  <c r="J136" i="5"/>
  <c r="K136" i="5" s="1"/>
  <c r="L136" i="5" s="1"/>
  <c r="J135" i="5"/>
  <c r="H136" i="5"/>
  <c r="I136" i="5" s="1"/>
  <c r="J132" i="5"/>
  <c r="H132" i="5"/>
  <c r="I132" i="5" s="1"/>
  <c r="J128" i="5"/>
  <c r="K128" i="5" s="1"/>
  <c r="L128" i="5" s="1"/>
  <c r="H128" i="5"/>
  <c r="I128" i="5" s="1"/>
  <c r="J127" i="5"/>
  <c r="J124" i="5"/>
  <c r="H124" i="5"/>
  <c r="I124" i="5" s="1"/>
  <c r="J120" i="5"/>
  <c r="J119" i="5"/>
  <c r="H120" i="5"/>
  <c r="I120" i="5" s="1"/>
  <c r="J116" i="5"/>
  <c r="K116" i="5" s="1"/>
  <c r="L116" i="5" s="1"/>
  <c r="H116" i="5"/>
  <c r="I116" i="5" s="1"/>
  <c r="J112" i="5"/>
  <c r="J111" i="5"/>
  <c r="H112" i="5"/>
  <c r="I112" i="5" s="1"/>
  <c r="J108" i="5"/>
  <c r="H108" i="5"/>
  <c r="I108" i="5" s="1"/>
  <c r="J104" i="5"/>
  <c r="H104" i="5"/>
  <c r="I104" i="5" s="1"/>
  <c r="J103" i="5"/>
  <c r="J100" i="5"/>
  <c r="H100" i="5"/>
  <c r="I100" i="5" s="1"/>
  <c r="J96" i="5"/>
  <c r="J95" i="5"/>
  <c r="H96" i="5"/>
  <c r="I96" i="5" s="1"/>
  <c r="J92" i="5"/>
  <c r="H92" i="5"/>
  <c r="I92" i="5" s="1"/>
  <c r="J88" i="5"/>
  <c r="H88" i="5"/>
  <c r="I88" i="5" s="1"/>
  <c r="J87" i="5"/>
  <c r="K87" i="5" s="1"/>
  <c r="L87" i="5" s="1"/>
  <c r="J84" i="5"/>
  <c r="K84" i="5" s="1"/>
  <c r="L84" i="5" s="1"/>
  <c r="H84" i="5"/>
  <c r="I84" i="5" s="1"/>
  <c r="J80" i="5"/>
  <c r="J79" i="5"/>
  <c r="K79" i="5" s="1"/>
  <c r="L79" i="5" s="1"/>
  <c r="H80" i="5"/>
  <c r="I80" i="5" s="1"/>
  <c r="J76" i="5"/>
  <c r="H76" i="5"/>
  <c r="I76" i="5" s="1"/>
  <c r="J72" i="5"/>
  <c r="H72" i="5"/>
  <c r="I72" i="5" s="1"/>
  <c r="J71" i="5"/>
  <c r="K71" i="5" s="1"/>
  <c r="L71" i="5" s="1"/>
  <c r="J68" i="5"/>
  <c r="H68" i="5"/>
  <c r="I68" i="5" s="1"/>
  <c r="J64" i="5"/>
  <c r="K64" i="5" s="1"/>
  <c r="L64" i="5" s="1"/>
  <c r="H64" i="5"/>
  <c r="I64" i="5" s="1"/>
  <c r="J63" i="5"/>
  <c r="J60" i="5"/>
  <c r="H60" i="5"/>
  <c r="I60" i="5" s="1"/>
  <c r="J56" i="5"/>
  <c r="J55" i="5"/>
  <c r="K55" i="5" s="1"/>
  <c r="L55" i="5" s="1"/>
  <c r="H56" i="5"/>
  <c r="I56" i="5" s="1"/>
  <c r="J52" i="5"/>
  <c r="K52" i="5" s="1"/>
  <c r="L52" i="5" s="1"/>
  <c r="H52" i="5"/>
  <c r="I52" i="5" s="1"/>
  <c r="J48" i="5"/>
  <c r="H48" i="5"/>
  <c r="I48" i="5" s="1"/>
  <c r="J47" i="5"/>
  <c r="K47" i="5" s="1"/>
  <c r="L47" i="5" s="1"/>
  <c r="J44" i="5"/>
  <c r="H44" i="5"/>
  <c r="I44" i="5" s="1"/>
  <c r="J40" i="5"/>
  <c r="K40" i="5" s="1"/>
  <c r="L40" i="5" s="1"/>
  <c r="J39" i="5"/>
  <c r="K39" i="5" s="1"/>
  <c r="L39" i="5" s="1"/>
  <c r="H40" i="5"/>
  <c r="I40" i="5" s="1"/>
  <c r="J36" i="5"/>
  <c r="H36" i="5"/>
  <c r="I36" i="5" s="1"/>
  <c r="J32" i="5"/>
  <c r="K32" i="5" s="1"/>
  <c r="L32" i="5" s="1"/>
  <c r="H32" i="5"/>
  <c r="I32" i="5" s="1"/>
  <c r="J31" i="5"/>
  <c r="K31" i="5" s="1"/>
  <c r="L31" i="5" s="1"/>
  <c r="J28" i="5"/>
  <c r="H28" i="5"/>
  <c r="I28" i="5" s="1"/>
  <c r="J24" i="5"/>
  <c r="J23" i="5"/>
  <c r="K23" i="5" s="1"/>
  <c r="L23" i="5" s="1"/>
  <c r="H24" i="5"/>
  <c r="I24" i="5" s="1"/>
  <c r="J20" i="5"/>
  <c r="K20" i="5" s="1"/>
  <c r="L20" i="5" s="1"/>
  <c r="H20" i="5"/>
  <c r="I20" i="5" s="1"/>
  <c r="J16" i="5"/>
  <c r="J15" i="5"/>
  <c r="K15" i="5" s="1"/>
  <c r="L15" i="5" s="1"/>
  <c r="H16" i="5"/>
  <c r="I16" i="5" s="1"/>
  <c r="J12" i="5"/>
  <c r="H12" i="5"/>
  <c r="I12" i="5" s="1"/>
  <c r="J8" i="5"/>
  <c r="K8" i="5" s="1"/>
  <c r="L8" i="5" s="1"/>
  <c r="J7" i="5"/>
  <c r="K7" i="5" s="1"/>
  <c r="L7" i="5" s="1"/>
  <c r="H8" i="5"/>
  <c r="I8" i="5" s="1"/>
  <c r="H4" i="5"/>
  <c r="I4" i="5" s="1"/>
  <c r="K4" i="5" s="1"/>
  <c r="L4" i="5" s="1"/>
  <c r="H988" i="5"/>
  <c r="I988" i="5" s="1"/>
  <c r="K988" i="5" s="1"/>
  <c r="L988" i="5" s="1"/>
  <c r="H972" i="5"/>
  <c r="I972" i="5" s="1"/>
  <c r="K972" i="5" s="1"/>
  <c r="L972" i="5" s="1"/>
  <c r="H956" i="5"/>
  <c r="I956" i="5" s="1"/>
  <c r="H940" i="5"/>
  <c r="I940" i="5" s="1"/>
  <c r="K940" i="5" s="1"/>
  <c r="L940" i="5" s="1"/>
  <c r="H924" i="5"/>
  <c r="I924" i="5" s="1"/>
  <c r="H908" i="5"/>
  <c r="I908" i="5" s="1"/>
  <c r="K908" i="5" s="1"/>
  <c r="L908" i="5" s="1"/>
  <c r="H892" i="5"/>
  <c r="I892" i="5" s="1"/>
  <c r="K892" i="5" s="1"/>
  <c r="L892" i="5" s="1"/>
  <c r="H876" i="5"/>
  <c r="I876" i="5" s="1"/>
  <c r="K876" i="5" s="1"/>
  <c r="L876" i="5" s="1"/>
  <c r="H860" i="5"/>
  <c r="I860" i="5" s="1"/>
  <c r="K860" i="5" s="1"/>
  <c r="L860" i="5" s="1"/>
  <c r="H844" i="5"/>
  <c r="I844" i="5" s="1"/>
  <c r="K844" i="5" s="1"/>
  <c r="L844" i="5" s="1"/>
  <c r="H828" i="5"/>
  <c r="I828" i="5" s="1"/>
  <c r="K828" i="5" s="1"/>
  <c r="L828" i="5" s="1"/>
  <c r="H812" i="5"/>
  <c r="I812" i="5" s="1"/>
  <c r="H796" i="5"/>
  <c r="I796" i="5" s="1"/>
  <c r="K796" i="5" s="1"/>
  <c r="L796" i="5" s="1"/>
  <c r="H780" i="5"/>
  <c r="I780" i="5" s="1"/>
  <c r="K780" i="5" s="1"/>
  <c r="L780" i="5" s="1"/>
  <c r="H764" i="5"/>
  <c r="I764" i="5" s="1"/>
  <c r="K764" i="5" s="1"/>
  <c r="L764" i="5" s="1"/>
  <c r="H748" i="5"/>
  <c r="I748" i="5" s="1"/>
  <c r="K748" i="5" s="1"/>
  <c r="L748" i="5" s="1"/>
  <c r="H732" i="5"/>
  <c r="I732" i="5" s="1"/>
  <c r="H716" i="5"/>
  <c r="I716" i="5" s="1"/>
  <c r="K716" i="5" s="1"/>
  <c r="L716" i="5" s="1"/>
  <c r="H700" i="5"/>
  <c r="I700" i="5" s="1"/>
  <c r="K700" i="5" s="1"/>
  <c r="L700" i="5" s="1"/>
  <c r="H684" i="5"/>
  <c r="I684" i="5" s="1"/>
  <c r="H668" i="5"/>
  <c r="I668" i="5" s="1"/>
  <c r="K668" i="5" s="1"/>
  <c r="L668" i="5" s="1"/>
  <c r="H652" i="5"/>
  <c r="I652" i="5" s="1"/>
  <c r="K652" i="5" s="1"/>
  <c r="L652" i="5" s="1"/>
  <c r="H636" i="5"/>
  <c r="I636" i="5" s="1"/>
  <c r="H620" i="5"/>
  <c r="I620" i="5" s="1"/>
  <c r="K620" i="5" s="1"/>
  <c r="L620" i="5" s="1"/>
  <c r="H604" i="5"/>
  <c r="I604" i="5" s="1"/>
  <c r="H588" i="5"/>
  <c r="I588" i="5" s="1"/>
  <c r="K588" i="5" s="1"/>
  <c r="L588" i="5" s="1"/>
  <c r="H572" i="5"/>
  <c r="I572" i="5" s="1"/>
  <c r="H556" i="5"/>
  <c r="I556" i="5" s="1"/>
  <c r="K998" i="5"/>
  <c r="L998" i="5" s="1"/>
  <c r="K982" i="5"/>
  <c r="L982" i="5" s="1"/>
  <c r="K950" i="5"/>
  <c r="L950" i="5" s="1"/>
  <c r="K934" i="5"/>
  <c r="L934" i="5" s="1"/>
  <c r="K754" i="5"/>
  <c r="L754" i="5" s="1"/>
  <c r="K690" i="5"/>
  <c r="L690" i="5" s="1"/>
  <c r="K466" i="5"/>
  <c r="L466" i="5" s="1"/>
  <c r="K18" i="5"/>
  <c r="L18" i="5" s="1"/>
  <c r="K962" i="5"/>
  <c r="L962" i="5" s="1"/>
  <c r="K967" i="5"/>
  <c r="L967" i="5" s="1"/>
  <c r="K918" i="5"/>
  <c r="L918" i="5" s="1"/>
  <c r="K902" i="5"/>
  <c r="L902" i="5" s="1"/>
  <c r="K886" i="5"/>
  <c r="L886" i="5" s="1"/>
  <c r="K870" i="5"/>
  <c r="L870" i="5" s="1"/>
  <c r="K854" i="5"/>
  <c r="L854" i="5" s="1"/>
  <c r="K846" i="5"/>
  <c r="L846" i="5" s="1"/>
  <c r="K838" i="5"/>
  <c r="L838" i="5" s="1"/>
  <c r="K830" i="5"/>
  <c r="L830" i="5" s="1"/>
  <c r="K822" i="5"/>
  <c r="L822" i="5" s="1"/>
  <c r="K814" i="5"/>
  <c r="L814" i="5" s="1"/>
  <c r="K806" i="5"/>
  <c r="L806" i="5" s="1"/>
  <c r="K798" i="5"/>
  <c r="L798" i="5" s="1"/>
  <c r="K790" i="5"/>
  <c r="L790" i="5" s="1"/>
  <c r="K774" i="5"/>
  <c r="L774" i="5" s="1"/>
  <c r="K758" i="5"/>
  <c r="L758" i="5" s="1"/>
  <c r="K742" i="5"/>
  <c r="L742" i="5" s="1"/>
  <c r="K726" i="5"/>
  <c r="L726" i="5" s="1"/>
  <c r="K718" i="5"/>
  <c r="L718" i="5" s="1"/>
  <c r="K702" i="5"/>
  <c r="L702" i="5" s="1"/>
  <c r="K686" i="5"/>
  <c r="L686" i="5" s="1"/>
  <c r="K670" i="5"/>
  <c r="L670" i="5" s="1"/>
  <c r="K662" i="5"/>
  <c r="L662" i="5" s="1"/>
  <c r="K646" i="5"/>
  <c r="L646" i="5" s="1"/>
  <c r="K638" i="5"/>
  <c r="L638" i="5" s="1"/>
  <c r="K630" i="5"/>
  <c r="L630" i="5" s="1"/>
  <c r="K614" i="5"/>
  <c r="L614" i="5" s="1"/>
  <c r="K606" i="5"/>
  <c r="L606" i="5" s="1"/>
  <c r="K598" i="5"/>
  <c r="L598" i="5" s="1"/>
  <c r="K582" i="5"/>
  <c r="L582" i="5" s="1"/>
  <c r="K574" i="5"/>
  <c r="L574" i="5" s="1"/>
  <c r="K566" i="5"/>
  <c r="L566" i="5" s="1"/>
  <c r="K550" i="5"/>
  <c r="L550" i="5" s="1"/>
  <c r="K542" i="5"/>
  <c r="L542" i="5" s="1"/>
  <c r="K534" i="5"/>
  <c r="L534" i="5" s="1"/>
  <c r="K518" i="5"/>
  <c r="L518" i="5" s="1"/>
  <c r="K510" i="5"/>
  <c r="L510" i="5" s="1"/>
  <c r="K494" i="5"/>
  <c r="L494" i="5" s="1"/>
  <c r="K462" i="5"/>
  <c r="L462" i="5" s="1"/>
  <c r="K446" i="5"/>
  <c r="L446" i="5" s="1"/>
  <c r="K414" i="5"/>
  <c r="L414" i="5" s="1"/>
  <c r="K406" i="5"/>
  <c r="L406" i="5" s="1"/>
  <c r="K382" i="5"/>
  <c r="L382" i="5" s="1"/>
  <c r="K374" i="5"/>
  <c r="L374" i="5" s="1"/>
  <c r="K350" i="5"/>
  <c r="L350" i="5" s="1"/>
  <c r="K342" i="5"/>
  <c r="L342" i="5" s="1"/>
  <c r="K318" i="5"/>
  <c r="L318" i="5" s="1"/>
  <c r="K310" i="5"/>
  <c r="L310" i="5" s="1"/>
  <c r="K286" i="5"/>
  <c r="L286" i="5" s="1"/>
  <c r="K278" i="5"/>
  <c r="L278" i="5" s="1"/>
  <c r="K254" i="5"/>
  <c r="L254" i="5" s="1"/>
  <c r="K246" i="5"/>
  <c r="L246" i="5" s="1"/>
  <c r="K222" i="5"/>
  <c r="L222" i="5" s="1"/>
  <c r="K214" i="5"/>
  <c r="L214" i="5" s="1"/>
  <c r="K190" i="5"/>
  <c r="L190" i="5" s="1"/>
  <c r="K182" i="5"/>
  <c r="L182" i="5" s="1"/>
  <c r="K158" i="5"/>
  <c r="L158" i="5" s="1"/>
  <c r="K150" i="5"/>
  <c r="L150" i="5" s="1"/>
  <c r="K126" i="5"/>
  <c r="L126" i="5" s="1"/>
  <c r="K118" i="5"/>
  <c r="L118" i="5" s="1"/>
  <c r="K94" i="5"/>
  <c r="L94" i="5" s="1"/>
  <c r="K86" i="5"/>
  <c r="L86" i="5" s="1"/>
  <c r="K59" i="5"/>
  <c r="L59" i="5" s="1"/>
  <c r="H1000" i="5"/>
  <c r="I1000" i="5" s="1"/>
  <c r="H984" i="5"/>
  <c r="I984" i="5" s="1"/>
  <c r="K984" i="5" s="1"/>
  <c r="L984" i="5" s="1"/>
  <c r="H968" i="5"/>
  <c r="I968" i="5" s="1"/>
  <c r="H952" i="5"/>
  <c r="I952" i="5" s="1"/>
  <c r="K952" i="5" s="1"/>
  <c r="L952" i="5" s="1"/>
  <c r="H936" i="5"/>
  <c r="I936" i="5" s="1"/>
  <c r="H920" i="5"/>
  <c r="I920" i="5" s="1"/>
  <c r="H904" i="5"/>
  <c r="I904" i="5" s="1"/>
  <c r="H888" i="5"/>
  <c r="I888" i="5" s="1"/>
  <c r="H872" i="5"/>
  <c r="I872" i="5" s="1"/>
  <c r="H856" i="5"/>
  <c r="I856" i="5" s="1"/>
  <c r="H840" i="5"/>
  <c r="I840" i="5" s="1"/>
  <c r="H824" i="5"/>
  <c r="I824" i="5" s="1"/>
  <c r="H808" i="5"/>
  <c r="I808" i="5" s="1"/>
  <c r="H792" i="5"/>
  <c r="I792" i="5" s="1"/>
  <c r="H776" i="5"/>
  <c r="I776" i="5" s="1"/>
  <c r="H760" i="5"/>
  <c r="I760" i="5" s="1"/>
  <c r="H744" i="5"/>
  <c r="I744" i="5" s="1"/>
  <c r="H728" i="5"/>
  <c r="I728" i="5" s="1"/>
  <c r="H712" i="5"/>
  <c r="I712" i="5" s="1"/>
  <c r="H696" i="5"/>
  <c r="I696" i="5" s="1"/>
  <c r="H680" i="5"/>
  <c r="I680" i="5" s="1"/>
  <c r="H664" i="5"/>
  <c r="I664" i="5" s="1"/>
  <c r="H648" i="5"/>
  <c r="I648" i="5" s="1"/>
  <c r="H632" i="5"/>
  <c r="I632" i="5" s="1"/>
  <c r="H616" i="5"/>
  <c r="I616" i="5" s="1"/>
  <c r="H600" i="5"/>
  <c r="I600" i="5" s="1"/>
  <c r="H584" i="5"/>
  <c r="I584" i="5" s="1"/>
  <c r="H568" i="5"/>
  <c r="I568" i="5" s="1"/>
  <c r="H552" i="5"/>
  <c r="I552" i="5" s="1"/>
  <c r="K914" i="5"/>
  <c r="L914" i="5" s="1"/>
  <c r="H1003" i="5"/>
  <c r="I1003" i="5" s="1"/>
  <c r="K1003" i="5" s="1"/>
  <c r="L1003" i="5" s="1"/>
  <c r="H995" i="5"/>
  <c r="I995" i="5" s="1"/>
  <c r="K995" i="5" s="1"/>
  <c r="L995" i="5" s="1"/>
  <c r="H987" i="5"/>
  <c r="I987" i="5" s="1"/>
  <c r="H979" i="5"/>
  <c r="I979" i="5" s="1"/>
  <c r="K979" i="5" s="1"/>
  <c r="L979" i="5" s="1"/>
  <c r="H971" i="5"/>
  <c r="I971" i="5" s="1"/>
  <c r="K971" i="5" s="1"/>
  <c r="L971" i="5" s="1"/>
  <c r="H963" i="5"/>
  <c r="I963" i="5" s="1"/>
  <c r="K963" i="5" s="1"/>
  <c r="L963" i="5" s="1"/>
  <c r="H951" i="5"/>
  <c r="I951" i="5" s="1"/>
  <c r="K951" i="5" s="1"/>
  <c r="L951" i="5" s="1"/>
  <c r="H943" i="5"/>
  <c r="I943" i="5" s="1"/>
  <c r="H939" i="5"/>
  <c r="I939" i="5" s="1"/>
  <c r="K939" i="5" s="1"/>
  <c r="L939" i="5" s="1"/>
  <c r="H931" i="5"/>
  <c r="I931" i="5" s="1"/>
  <c r="K931" i="5" s="1"/>
  <c r="L931" i="5" s="1"/>
  <c r="H919" i="5"/>
  <c r="I919" i="5" s="1"/>
  <c r="H911" i="5"/>
  <c r="I911" i="5" s="1"/>
  <c r="H903" i="5"/>
  <c r="I903" i="5" s="1"/>
  <c r="H895" i="5"/>
  <c r="I895" i="5" s="1"/>
  <c r="K895" i="5" s="1"/>
  <c r="L895" i="5" s="1"/>
  <c r="H887" i="5"/>
  <c r="I887" i="5" s="1"/>
  <c r="H879" i="5"/>
  <c r="I879" i="5" s="1"/>
  <c r="H871" i="5"/>
  <c r="I871" i="5" s="1"/>
  <c r="H863" i="5"/>
  <c r="I863" i="5" s="1"/>
  <c r="K863" i="5" s="1"/>
  <c r="L863" i="5" s="1"/>
  <c r="H855" i="5"/>
  <c r="I855" i="5" s="1"/>
  <c r="H847" i="5"/>
  <c r="I847" i="5" s="1"/>
  <c r="H839" i="5"/>
  <c r="I839" i="5" s="1"/>
  <c r="H831" i="5"/>
  <c r="I831" i="5" s="1"/>
  <c r="H823" i="5"/>
  <c r="I823" i="5" s="1"/>
  <c r="H815" i="5"/>
  <c r="I815" i="5" s="1"/>
  <c r="H807" i="5"/>
  <c r="I807" i="5" s="1"/>
  <c r="H799" i="5"/>
  <c r="I799" i="5" s="1"/>
  <c r="H787" i="5"/>
  <c r="I787" i="5" s="1"/>
  <c r="K787" i="5" s="1"/>
  <c r="L787" i="5" s="1"/>
  <c r="H779" i="5"/>
  <c r="I779" i="5" s="1"/>
  <c r="H771" i="5"/>
  <c r="I771" i="5" s="1"/>
  <c r="H763" i="5"/>
  <c r="I763" i="5" s="1"/>
  <c r="K763" i="5" s="1"/>
  <c r="L763" i="5" s="1"/>
  <c r="H755" i="5"/>
  <c r="I755" i="5" s="1"/>
  <c r="K755" i="5" s="1"/>
  <c r="L755" i="5" s="1"/>
  <c r="H747" i="5"/>
  <c r="I747" i="5" s="1"/>
  <c r="H739" i="5"/>
  <c r="I739" i="5" s="1"/>
  <c r="H731" i="5"/>
  <c r="I731" i="5" s="1"/>
  <c r="H723" i="5"/>
  <c r="I723" i="5" s="1"/>
  <c r="K723" i="5" s="1"/>
  <c r="L723" i="5" s="1"/>
  <c r="H715" i="5"/>
  <c r="I715" i="5" s="1"/>
  <c r="H707" i="5"/>
  <c r="I707" i="5" s="1"/>
  <c r="H699" i="5"/>
  <c r="I699" i="5" s="1"/>
  <c r="H691" i="5"/>
  <c r="I691" i="5" s="1"/>
  <c r="K691" i="5" s="1"/>
  <c r="L691" i="5" s="1"/>
  <c r="H683" i="5"/>
  <c r="I683" i="5" s="1"/>
  <c r="H671" i="5"/>
  <c r="I671" i="5" s="1"/>
  <c r="H663" i="5"/>
  <c r="I663" i="5" s="1"/>
  <c r="H655" i="5"/>
  <c r="I655" i="5" s="1"/>
  <c r="H647" i="5"/>
  <c r="I647" i="5" s="1"/>
  <c r="H639" i="5"/>
  <c r="I639" i="5" s="1"/>
  <c r="H631" i="5"/>
  <c r="I631" i="5" s="1"/>
  <c r="H623" i="5"/>
  <c r="I623" i="5" s="1"/>
  <c r="H615" i="5"/>
  <c r="I615" i="5" s="1"/>
  <c r="H607" i="5"/>
  <c r="I607" i="5" s="1"/>
  <c r="H599" i="5"/>
  <c r="I599" i="5" s="1"/>
  <c r="H591" i="5"/>
  <c r="I591" i="5" s="1"/>
  <c r="H583" i="5"/>
  <c r="I583" i="5" s="1"/>
  <c r="H575" i="5"/>
  <c r="I575" i="5" s="1"/>
  <c r="H567" i="5"/>
  <c r="I567" i="5" s="1"/>
  <c r="H559" i="5"/>
  <c r="I559" i="5" s="1"/>
  <c r="H551" i="5"/>
  <c r="I551" i="5" s="1"/>
  <c r="H543" i="5"/>
  <c r="I543" i="5" s="1"/>
  <c r="H535" i="5"/>
  <c r="I535" i="5" s="1"/>
  <c r="H527" i="5"/>
  <c r="I527" i="5" s="1"/>
  <c r="H519" i="5"/>
  <c r="I519" i="5" s="1"/>
  <c r="H507" i="5"/>
  <c r="I507" i="5" s="1"/>
  <c r="H499" i="5"/>
  <c r="I499" i="5" s="1"/>
  <c r="H491" i="5"/>
  <c r="I491" i="5" s="1"/>
  <c r="K491" i="5" s="1"/>
  <c r="L491" i="5" s="1"/>
  <c r="H483" i="5"/>
  <c r="I483" i="5" s="1"/>
  <c r="H475" i="5"/>
  <c r="I475" i="5" s="1"/>
  <c r="H467" i="5"/>
  <c r="I467" i="5" s="1"/>
  <c r="H459" i="5"/>
  <c r="I459" i="5" s="1"/>
  <c r="K459" i="5" s="1"/>
  <c r="L459" i="5" s="1"/>
  <c r="H451" i="5"/>
  <c r="I451" i="5" s="1"/>
  <c r="H443" i="5"/>
  <c r="I443" i="5" s="1"/>
  <c r="H431" i="5"/>
  <c r="I431" i="5" s="1"/>
  <c r="H423" i="5"/>
  <c r="I423" i="5" s="1"/>
  <c r="H415" i="5"/>
  <c r="I415" i="5" s="1"/>
  <c r="H407" i="5"/>
  <c r="I407" i="5" s="1"/>
  <c r="H399" i="5"/>
  <c r="I399" i="5" s="1"/>
  <c r="H391" i="5"/>
  <c r="I391" i="5" s="1"/>
  <c r="H383" i="5"/>
  <c r="I383" i="5" s="1"/>
  <c r="H375" i="5"/>
  <c r="I375" i="5" s="1"/>
  <c r="H367" i="5"/>
  <c r="I367" i="5" s="1"/>
  <c r="H359" i="5"/>
  <c r="I359" i="5" s="1"/>
  <c r="H351" i="5"/>
  <c r="I351" i="5" s="1"/>
  <c r="H343" i="5"/>
  <c r="I343" i="5" s="1"/>
  <c r="H335" i="5"/>
  <c r="I335" i="5" s="1"/>
  <c r="H327" i="5"/>
  <c r="I327" i="5" s="1"/>
  <c r="H319" i="5"/>
  <c r="I319" i="5" s="1"/>
  <c r="H311" i="5"/>
  <c r="I311" i="5" s="1"/>
  <c r="H303" i="5"/>
  <c r="I303" i="5" s="1"/>
  <c r="H295" i="5"/>
  <c r="I295" i="5" s="1"/>
  <c r="H287" i="5"/>
  <c r="I287" i="5" s="1"/>
  <c r="H279" i="5"/>
  <c r="I279" i="5" s="1"/>
  <c r="H271" i="5"/>
  <c r="I271" i="5" s="1"/>
  <c r="H263" i="5"/>
  <c r="I263" i="5" s="1"/>
  <c r="H255" i="5"/>
  <c r="I255" i="5" s="1"/>
  <c r="H247" i="5"/>
  <c r="I247" i="5" s="1"/>
  <c r="H239" i="5"/>
  <c r="I239" i="5" s="1"/>
  <c r="H231" i="5"/>
  <c r="I231" i="5" s="1"/>
  <c r="H223" i="5"/>
  <c r="I223" i="5" s="1"/>
  <c r="H215" i="5"/>
  <c r="I215" i="5" s="1"/>
  <c r="H207" i="5"/>
  <c r="I207" i="5" s="1"/>
  <c r="H199" i="5"/>
  <c r="I199" i="5" s="1"/>
  <c r="H191" i="5"/>
  <c r="I191" i="5" s="1"/>
  <c r="H183" i="5"/>
  <c r="I183" i="5" s="1"/>
  <c r="H175" i="5"/>
  <c r="I175" i="5" s="1"/>
  <c r="H167" i="5"/>
  <c r="I167" i="5" s="1"/>
  <c r="H159" i="5"/>
  <c r="I159" i="5" s="1"/>
  <c r="H151" i="5"/>
  <c r="I151" i="5" s="1"/>
  <c r="H143" i="5"/>
  <c r="I143" i="5" s="1"/>
  <c r="H135" i="5"/>
  <c r="I135" i="5" s="1"/>
  <c r="H127" i="5"/>
  <c r="I127" i="5" s="1"/>
  <c r="H119" i="5"/>
  <c r="I119" i="5" s="1"/>
  <c r="H111" i="5"/>
  <c r="I111" i="5" s="1"/>
  <c r="H103" i="5"/>
  <c r="I103" i="5" s="1"/>
  <c r="H95" i="5"/>
  <c r="I95" i="5" s="1"/>
  <c r="H87" i="5"/>
  <c r="I87" i="5" s="1"/>
  <c r="H75" i="5"/>
  <c r="I75" i="5" s="1"/>
  <c r="H67" i="5"/>
  <c r="I67" i="5" s="1"/>
  <c r="K67" i="5" s="1"/>
  <c r="L67" i="5" s="1"/>
  <c r="H59" i="5"/>
  <c r="I59" i="5" s="1"/>
  <c r="H51" i="5"/>
  <c r="I51" i="5" s="1"/>
  <c r="H43" i="5"/>
  <c r="I43" i="5" s="1"/>
  <c r="H35" i="5"/>
  <c r="I35" i="5" s="1"/>
  <c r="K35" i="5" s="1"/>
  <c r="L35" i="5" s="1"/>
  <c r="H27" i="5"/>
  <c r="I27" i="5" s="1"/>
  <c r="H19" i="5"/>
  <c r="I19" i="5" s="1"/>
  <c r="H11" i="5"/>
  <c r="I11" i="5" s="1"/>
  <c r="K997" i="5"/>
  <c r="L997" i="5" s="1"/>
  <c r="K977" i="5"/>
  <c r="L977" i="5" s="1"/>
  <c r="K933" i="5"/>
  <c r="L933" i="5" s="1"/>
  <c r="J923" i="5"/>
  <c r="K923" i="5" s="1"/>
  <c r="L923" i="5" s="1"/>
  <c r="J875" i="5"/>
  <c r="K875" i="5" s="1"/>
  <c r="L875" i="5" s="1"/>
  <c r="J859" i="5"/>
  <c r="K859" i="5" s="1"/>
  <c r="L859" i="5" s="1"/>
  <c r="J782" i="5"/>
  <c r="K782" i="5" s="1"/>
  <c r="L782" i="5" s="1"/>
  <c r="J766" i="5"/>
  <c r="K766" i="5" s="1"/>
  <c r="L766" i="5" s="1"/>
  <c r="J750" i="5"/>
  <c r="K750" i="5" s="1"/>
  <c r="L750" i="5" s="1"/>
  <c r="J734" i="5"/>
  <c r="K734" i="5" s="1"/>
  <c r="L734" i="5" s="1"/>
  <c r="J710" i="5"/>
  <c r="K710" i="5" s="1"/>
  <c r="L710" i="5" s="1"/>
  <c r="J694" i="5"/>
  <c r="K694" i="5" s="1"/>
  <c r="L694" i="5" s="1"/>
  <c r="J678" i="5"/>
  <c r="K678" i="5" s="1"/>
  <c r="L678" i="5" s="1"/>
  <c r="J502" i="5"/>
  <c r="K502" i="5" s="1"/>
  <c r="L502" i="5" s="1"/>
  <c r="J486" i="5"/>
  <c r="K486" i="5" s="1"/>
  <c r="L486" i="5" s="1"/>
  <c r="J470" i="5"/>
  <c r="K470" i="5" s="1"/>
  <c r="L470" i="5" s="1"/>
  <c r="J454" i="5"/>
  <c r="K454" i="5" s="1"/>
  <c r="L454" i="5" s="1"/>
  <c r="J438" i="5"/>
  <c r="K438" i="5" s="1"/>
  <c r="L438" i="5" s="1"/>
  <c r="J78" i="5"/>
  <c r="K78" i="5" s="1"/>
  <c r="L78" i="5" s="1"/>
  <c r="J70" i="5"/>
  <c r="K70" i="5" s="1"/>
  <c r="L70" i="5" s="1"/>
  <c r="J54" i="5"/>
  <c r="K54" i="5" s="1"/>
  <c r="L54" i="5" s="1"/>
  <c r="J46" i="5"/>
  <c r="K46" i="5" s="1"/>
  <c r="L46" i="5" s="1"/>
  <c r="J38" i="5"/>
  <c r="K38" i="5" s="1"/>
  <c r="L38" i="5" s="1"/>
  <c r="J30" i="5"/>
  <c r="K30" i="5" s="1"/>
  <c r="L30" i="5" s="1"/>
  <c r="J22" i="5"/>
  <c r="K22" i="5" s="1"/>
  <c r="L22" i="5" s="1"/>
  <c r="J14" i="5"/>
  <c r="K14" i="5" s="1"/>
  <c r="L14" i="5" s="1"/>
  <c r="J6" i="5"/>
  <c r="K6" i="5" s="1"/>
  <c r="L6" i="5" s="1"/>
  <c r="H926" i="5"/>
  <c r="I926" i="5" s="1"/>
  <c r="K926" i="5" s="1"/>
  <c r="L926" i="5" s="1"/>
  <c r="H922" i="5"/>
  <c r="I922" i="5" s="1"/>
  <c r="K922" i="5" s="1"/>
  <c r="L922" i="5" s="1"/>
  <c r="H910" i="5"/>
  <c r="I910" i="5" s="1"/>
  <c r="H906" i="5"/>
  <c r="I906" i="5" s="1"/>
  <c r="H894" i="5"/>
  <c r="I894" i="5" s="1"/>
  <c r="K894" i="5" s="1"/>
  <c r="L894" i="5" s="1"/>
  <c r="H890" i="5"/>
  <c r="I890" i="5" s="1"/>
  <c r="H878" i="5"/>
  <c r="I878" i="5" s="1"/>
  <c r="K878" i="5" s="1"/>
  <c r="L878" i="5" s="1"/>
  <c r="H874" i="5"/>
  <c r="I874" i="5" s="1"/>
  <c r="K874" i="5" s="1"/>
  <c r="L874" i="5" s="1"/>
  <c r="H862" i="5"/>
  <c r="I862" i="5" s="1"/>
  <c r="K862" i="5" s="1"/>
  <c r="L862" i="5" s="1"/>
  <c r="H858" i="5"/>
  <c r="I858" i="5" s="1"/>
  <c r="H850" i="5"/>
  <c r="I850" i="5" s="1"/>
  <c r="K850" i="5" s="1"/>
  <c r="L850" i="5" s="1"/>
  <c r="H842" i="5"/>
  <c r="I842" i="5" s="1"/>
  <c r="K842" i="5" s="1"/>
  <c r="L842" i="5" s="1"/>
  <c r="H834" i="5"/>
  <c r="I834" i="5" s="1"/>
  <c r="K834" i="5" s="1"/>
  <c r="L834" i="5" s="1"/>
  <c r="H826" i="5"/>
  <c r="I826" i="5" s="1"/>
  <c r="K826" i="5" s="1"/>
  <c r="L826" i="5" s="1"/>
  <c r="H818" i="5"/>
  <c r="I818" i="5" s="1"/>
  <c r="K818" i="5" s="1"/>
  <c r="L818" i="5" s="1"/>
  <c r="H810" i="5"/>
  <c r="I810" i="5" s="1"/>
  <c r="K810" i="5" s="1"/>
  <c r="L810" i="5" s="1"/>
  <c r="H802" i="5"/>
  <c r="I802" i="5" s="1"/>
  <c r="K802" i="5" s="1"/>
  <c r="L802" i="5" s="1"/>
  <c r="H794" i="5"/>
  <c r="I794" i="5" s="1"/>
  <c r="K794" i="5" s="1"/>
  <c r="L794" i="5" s="1"/>
  <c r="H786" i="5"/>
  <c r="I786" i="5" s="1"/>
  <c r="K786" i="5" s="1"/>
  <c r="L786" i="5" s="1"/>
  <c r="H778" i="5"/>
  <c r="I778" i="5" s="1"/>
  <c r="K778" i="5" s="1"/>
  <c r="L778" i="5" s="1"/>
  <c r="H770" i="5"/>
  <c r="I770" i="5" s="1"/>
  <c r="K770" i="5" s="1"/>
  <c r="L770" i="5" s="1"/>
  <c r="H762" i="5"/>
  <c r="I762" i="5" s="1"/>
  <c r="K762" i="5" s="1"/>
  <c r="L762" i="5" s="1"/>
  <c r="H754" i="5"/>
  <c r="I754" i="5" s="1"/>
  <c r="H746" i="5"/>
  <c r="I746" i="5" s="1"/>
  <c r="K746" i="5" s="1"/>
  <c r="L746" i="5" s="1"/>
  <c r="H738" i="5"/>
  <c r="I738" i="5" s="1"/>
  <c r="K738" i="5" s="1"/>
  <c r="L738" i="5" s="1"/>
  <c r="H730" i="5"/>
  <c r="I730" i="5" s="1"/>
  <c r="H722" i="5"/>
  <c r="I722" i="5" s="1"/>
  <c r="K722" i="5" s="1"/>
  <c r="L722" i="5" s="1"/>
  <c r="H714" i="5"/>
  <c r="I714" i="5" s="1"/>
  <c r="K714" i="5" s="1"/>
  <c r="L714" i="5" s="1"/>
  <c r="H706" i="5"/>
  <c r="I706" i="5" s="1"/>
  <c r="K706" i="5" s="1"/>
  <c r="L706" i="5" s="1"/>
  <c r="H698" i="5"/>
  <c r="I698" i="5" s="1"/>
  <c r="K698" i="5" s="1"/>
  <c r="L698" i="5" s="1"/>
  <c r="H690" i="5"/>
  <c r="I690" i="5" s="1"/>
  <c r="H682" i="5"/>
  <c r="I682" i="5" s="1"/>
  <c r="K682" i="5" s="1"/>
  <c r="L682" i="5" s="1"/>
  <c r="H674" i="5"/>
  <c r="I674" i="5" s="1"/>
  <c r="K674" i="5" s="1"/>
  <c r="L674" i="5" s="1"/>
  <c r="H666" i="5"/>
  <c r="I666" i="5" s="1"/>
  <c r="K666" i="5" s="1"/>
  <c r="L666" i="5" s="1"/>
  <c r="H658" i="5"/>
  <c r="I658" i="5" s="1"/>
  <c r="K658" i="5" s="1"/>
  <c r="L658" i="5" s="1"/>
  <c r="H650" i="5"/>
  <c r="I650" i="5" s="1"/>
  <c r="K650" i="5" s="1"/>
  <c r="L650" i="5" s="1"/>
  <c r="H642" i="5"/>
  <c r="I642" i="5" s="1"/>
  <c r="K642" i="5" s="1"/>
  <c r="L642" i="5" s="1"/>
  <c r="H634" i="5"/>
  <c r="I634" i="5" s="1"/>
  <c r="K634" i="5" s="1"/>
  <c r="L634" i="5" s="1"/>
  <c r="H626" i="5"/>
  <c r="I626" i="5" s="1"/>
  <c r="K626" i="5" s="1"/>
  <c r="L626" i="5" s="1"/>
  <c r="H618" i="5"/>
  <c r="I618" i="5" s="1"/>
  <c r="K618" i="5" s="1"/>
  <c r="L618" i="5" s="1"/>
  <c r="H610" i="5"/>
  <c r="I610" i="5" s="1"/>
  <c r="K610" i="5" s="1"/>
  <c r="L610" i="5" s="1"/>
  <c r="H602" i="5"/>
  <c r="I602" i="5" s="1"/>
  <c r="K602" i="5" s="1"/>
  <c r="L602" i="5" s="1"/>
  <c r="H594" i="5"/>
  <c r="I594" i="5" s="1"/>
  <c r="K594" i="5" s="1"/>
  <c r="L594" i="5" s="1"/>
  <c r="H586" i="5"/>
  <c r="I586" i="5" s="1"/>
  <c r="K586" i="5" s="1"/>
  <c r="L586" i="5" s="1"/>
  <c r="H578" i="5"/>
  <c r="I578" i="5" s="1"/>
  <c r="K578" i="5" s="1"/>
  <c r="L578" i="5" s="1"/>
  <c r="H570" i="5"/>
  <c r="I570" i="5" s="1"/>
  <c r="K570" i="5" s="1"/>
  <c r="L570" i="5" s="1"/>
  <c r="H562" i="5"/>
  <c r="I562" i="5" s="1"/>
  <c r="K562" i="5" s="1"/>
  <c r="L562" i="5" s="1"/>
  <c r="H554" i="5"/>
  <c r="I554" i="5" s="1"/>
  <c r="K554" i="5" s="1"/>
  <c r="L554" i="5" s="1"/>
  <c r="H546" i="5"/>
  <c r="I546" i="5" s="1"/>
  <c r="K546" i="5" s="1"/>
  <c r="L546" i="5" s="1"/>
  <c r="H538" i="5"/>
  <c r="I538" i="5" s="1"/>
  <c r="K538" i="5" s="1"/>
  <c r="L538" i="5" s="1"/>
  <c r="H530" i="5"/>
  <c r="I530" i="5" s="1"/>
  <c r="K530" i="5" s="1"/>
  <c r="L530" i="5" s="1"/>
  <c r="H522" i="5"/>
  <c r="I522" i="5" s="1"/>
  <c r="K522" i="5" s="1"/>
  <c r="L522" i="5" s="1"/>
  <c r="H514" i="5"/>
  <c r="I514" i="5" s="1"/>
  <c r="K514" i="5" s="1"/>
  <c r="L514" i="5" s="1"/>
  <c r="H506" i="5"/>
  <c r="I506" i="5" s="1"/>
  <c r="K506" i="5" s="1"/>
  <c r="L506" i="5" s="1"/>
  <c r="H498" i="5"/>
  <c r="I498" i="5" s="1"/>
  <c r="K498" i="5" s="1"/>
  <c r="L498" i="5" s="1"/>
  <c r="H490" i="5"/>
  <c r="I490" i="5" s="1"/>
  <c r="H482" i="5"/>
  <c r="I482" i="5" s="1"/>
  <c r="K482" i="5" s="1"/>
  <c r="L482" i="5" s="1"/>
  <c r="H474" i="5"/>
  <c r="I474" i="5" s="1"/>
  <c r="K474" i="5" s="1"/>
  <c r="L474" i="5" s="1"/>
  <c r="H466" i="5"/>
  <c r="I466" i="5" s="1"/>
  <c r="H458" i="5"/>
  <c r="I458" i="5" s="1"/>
  <c r="K458" i="5" s="1"/>
  <c r="L458" i="5" s="1"/>
  <c r="H450" i="5"/>
  <c r="I450" i="5" s="1"/>
  <c r="K450" i="5" s="1"/>
  <c r="L450" i="5" s="1"/>
  <c r="H442" i="5"/>
  <c r="I442" i="5" s="1"/>
  <c r="K442" i="5" s="1"/>
  <c r="L442" i="5" s="1"/>
  <c r="H434" i="5"/>
  <c r="I434" i="5" s="1"/>
  <c r="K434" i="5" s="1"/>
  <c r="L434" i="5" s="1"/>
  <c r="H426" i="5"/>
  <c r="I426" i="5" s="1"/>
  <c r="K426" i="5" s="1"/>
  <c r="L426" i="5" s="1"/>
  <c r="H418" i="5"/>
  <c r="I418" i="5" s="1"/>
  <c r="K418" i="5" s="1"/>
  <c r="L418" i="5" s="1"/>
  <c r="H410" i="5"/>
  <c r="I410" i="5" s="1"/>
  <c r="K410" i="5" s="1"/>
  <c r="L410" i="5" s="1"/>
  <c r="H402" i="5"/>
  <c r="I402" i="5" s="1"/>
  <c r="K402" i="5" s="1"/>
  <c r="L402" i="5" s="1"/>
  <c r="H394" i="5"/>
  <c r="I394" i="5" s="1"/>
  <c r="K394" i="5" s="1"/>
  <c r="L394" i="5" s="1"/>
  <c r="H386" i="5"/>
  <c r="I386" i="5" s="1"/>
  <c r="H378" i="5"/>
  <c r="I378" i="5" s="1"/>
  <c r="K378" i="5" s="1"/>
  <c r="L378" i="5" s="1"/>
  <c r="H370" i="5"/>
  <c r="I370" i="5" s="1"/>
  <c r="H362" i="5"/>
  <c r="I362" i="5" s="1"/>
  <c r="H354" i="5"/>
  <c r="I354" i="5" s="1"/>
  <c r="H346" i="5"/>
  <c r="I346" i="5" s="1"/>
  <c r="K346" i="5" s="1"/>
  <c r="L346" i="5" s="1"/>
  <c r="H338" i="5"/>
  <c r="I338" i="5" s="1"/>
  <c r="H330" i="5"/>
  <c r="I330" i="5" s="1"/>
  <c r="H322" i="5"/>
  <c r="I322" i="5" s="1"/>
  <c r="H314" i="5"/>
  <c r="I314" i="5" s="1"/>
  <c r="K314" i="5" s="1"/>
  <c r="L314" i="5" s="1"/>
  <c r="H306" i="5"/>
  <c r="I306" i="5" s="1"/>
  <c r="H298" i="5"/>
  <c r="I298" i="5" s="1"/>
  <c r="H290" i="5"/>
  <c r="I290" i="5" s="1"/>
  <c r="H282" i="5"/>
  <c r="I282" i="5" s="1"/>
  <c r="K282" i="5" s="1"/>
  <c r="L282" i="5" s="1"/>
  <c r="H274" i="5"/>
  <c r="I274" i="5" s="1"/>
  <c r="H266" i="5"/>
  <c r="I266" i="5" s="1"/>
  <c r="H258" i="5"/>
  <c r="I258" i="5" s="1"/>
  <c r="H250" i="5"/>
  <c r="I250" i="5" s="1"/>
  <c r="K250" i="5" s="1"/>
  <c r="L250" i="5" s="1"/>
  <c r="H242" i="5"/>
  <c r="I242" i="5" s="1"/>
  <c r="H234" i="5"/>
  <c r="I234" i="5" s="1"/>
  <c r="H226" i="5"/>
  <c r="I226" i="5" s="1"/>
  <c r="H218" i="5"/>
  <c r="I218" i="5" s="1"/>
  <c r="K218" i="5" s="1"/>
  <c r="L218" i="5" s="1"/>
  <c r="H210" i="5"/>
  <c r="I210" i="5" s="1"/>
  <c r="H202" i="5"/>
  <c r="I202" i="5" s="1"/>
  <c r="H194" i="5"/>
  <c r="I194" i="5" s="1"/>
  <c r="H186" i="5"/>
  <c r="I186" i="5" s="1"/>
  <c r="K186" i="5" s="1"/>
  <c r="L186" i="5" s="1"/>
  <c r="H178" i="5"/>
  <c r="I178" i="5" s="1"/>
  <c r="H170" i="5"/>
  <c r="I170" i="5" s="1"/>
  <c r="H162" i="5"/>
  <c r="I162" i="5" s="1"/>
  <c r="H154" i="5"/>
  <c r="I154" i="5" s="1"/>
  <c r="K154" i="5" s="1"/>
  <c r="L154" i="5" s="1"/>
  <c r="H146" i="5"/>
  <c r="I146" i="5" s="1"/>
  <c r="H138" i="5"/>
  <c r="I138" i="5" s="1"/>
  <c r="H130" i="5"/>
  <c r="I130" i="5" s="1"/>
  <c r="H122" i="5"/>
  <c r="I122" i="5" s="1"/>
  <c r="K122" i="5" s="1"/>
  <c r="L122" i="5" s="1"/>
  <c r="H114" i="5"/>
  <c r="I114" i="5" s="1"/>
  <c r="H106" i="5"/>
  <c r="I106" i="5" s="1"/>
  <c r="H98" i="5"/>
  <c r="I98" i="5" s="1"/>
  <c r="H90" i="5"/>
  <c r="I90" i="5" s="1"/>
  <c r="K90" i="5" s="1"/>
  <c r="L90" i="5" s="1"/>
  <c r="H82" i="5"/>
  <c r="I82" i="5" s="1"/>
  <c r="H74" i="5"/>
  <c r="I74" i="5" s="1"/>
  <c r="H66" i="5"/>
  <c r="I66" i="5" s="1"/>
  <c r="H58" i="5"/>
  <c r="I58" i="5" s="1"/>
  <c r="K58" i="5" s="1"/>
  <c r="L58" i="5" s="1"/>
  <c r="H50" i="5"/>
  <c r="I50" i="5" s="1"/>
  <c r="H42" i="5"/>
  <c r="I42" i="5" s="1"/>
  <c r="H34" i="5"/>
  <c r="I34" i="5" s="1"/>
  <c r="H26" i="5"/>
  <c r="I26" i="5" s="1"/>
  <c r="K26" i="5" s="1"/>
  <c r="L26" i="5" s="1"/>
  <c r="H18" i="5"/>
  <c r="I18" i="5" s="1"/>
  <c r="H10" i="5"/>
  <c r="I10" i="5" s="1"/>
  <c r="J927" i="5"/>
  <c r="K927" i="5" s="1"/>
  <c r="L927" i="5" s="1"/>
  <c r="J917" i="5"/>
  <c r="K917" i="5" s="1"/>
  <c r="L917" i="5" s="1"/>
  <c r="J901" i="5"/>
  <c r="K901" i="5" s="1"/>
  <c r="L901" i="5" s="1"/>
  <c r="J885" i="5"/>
  <c r="K885" i="5" s="1"/>
  <c r="L885" i="5" s="1"/>
  <c r="J869" i="5"/>
  <c r="K869" i="5" s="1"/>
  <c r="L869" i="5" s="1"/>
  <c r="J851" i="5"/>
  <c r="K851" i="5" s="1"/>
  <c r="L851" i="5" s="1"/>
  <c r="J843" i="5"/>
  <c r="K843" i="5" s="1"/>
  <c r="L843" i="5" s="1"/>
  <c r="J835" i="5"/>
  <c r="K835" i="5" s="1"/>
  <c r="L835" i="5" s="1"/>
  <c r="J827" i="5"/>
  <c r="K827" i="5" s="1"/>
  <c r="L827" i="5" s="1"/>
  <c r="J819" i="5"/>
  <c r="K819" i="5" s="1"/>
  <c r="L819" i="5" s="1"/>
  <c r="J811" i="5"/>
  <c r="K811" i="5" s="1"/>
  <c r="L811" i="5" s="1"/>
  <c r="J803" i="5"/>
  <c r="K803" i="5" s="1"/>
  <c r="L803" i="5" s="1"/>
  <c r="J795" i="5"/>
  <c r="K795" i="5" s="1"/>
  <c r="L795" i="5" s="1"/>
  <c r="J675" i="5"/>
  <c r="K675" i="5" s="1"/>
  <c r="L675" i="5" s="1"/>
  <c r="J667" i="5"/>
  <c r="K667" i="5" s="1"/>
  <c r="L667" i="5" s="1"/>
  <c r="J659" i="5"/>
  <c r="K659" i="5" s="1"/>
  <c r="L659" i="5" s="1"/>
  <c r="J651" i="5"/>
  <c r="K651" i="5" s="1"/>
  <c r="L651" i="5" s="1"/>
  <c r="J643" i="5"/>
  <c r="K643" i="5" s="1"/>
  <c r="L643" i="5" s="1"/>
  <c r="J635" i="5"/>
  <c r="K635" i="5" s="1"/>
  <c r="L635" i="5" s="1"/>
  <c r="J627" i="5"/>
  <c r="K627" i="5" s="1"/>
  <c r="L627" i="5" s="1"/>
  <c r="J619" i="5"/>
  <c r="K619" i="5" s="1"/>
  <c r="L619" i="5" s="1"/>
  <c r="J611" i="5"/>
  <c r="K611" i="5" s="1"/>
  <c r="L611" i="5" s="1"/>
  <c r="J603" i="5"/>
  <c r="K603" i="5" s="1"/>
  <c r="L603" i="5" s="1"/>
  <c r="J595" i="5"/>
  <c r="K595" i="5" s="1"/>
  <c r="L595" i="5" s="1"/>
  <c r="J587" i="5"/>
  <c r="K587" i="5" s="1"/>
  <c r="L587" i="5" s="1"/>
  <c r="J579" i="5"/>
  <c r="K579" i="5" s="1"/>
  <c r="L579" i="5" s="1"/>
  <c r="J571" i="5"/>
  <c r="K571" i="5" s="1"/>
  <c r="L571" i="5" s="1"/>
  <c r="J563" i="5"/>
  <c r="K563" i="5" s="1"/>
  <c r="L563" i="5" s="1"/>
  <c r="J555" i="5"/>
  <c r="K555" i="5" s="1"/>
  <c r="L555" i="5" s="1"/>
  <c r="J547" i="5"/>
  <c r="K547" i="5" s="1"/>
  <c r="L547" i="5" s="1"/>
  <c r="J539" i="5"/>
  <c r="K539" i="5" s="1"/>
  <c r="L539" i="5" s="1"/>
  <c r="J531" i="5"/>
  <c r="K531" i="5" s="1"/>
  <c r="L531" i="5" s="1"/>
  <c r="J523" i="5"/>
  <c r="K523" i="5" s="1"/>
  <c r="L523" i="5" s="1"/>
  <c r="J515" i="5"/>
  <c r="K515" i="5" s="1"/>
  <c r="L515" i="5" s="1"/>
  <c r="J435" i="5"/>
  <c r="K435" i="5" s="1"/>
  <c r="L435" i="5" s="1"/>
  <c r="J427" i="5"/>
  <c r="K427" i="5" s="1"/>
  <c r="L427" i="5" s="1"/>
  <c r="J419" i="5"/>
  <c r="K419" i="5" s="1"/>
  <c r="L419" i="5" s="1"/>
  <c r="J411" i="5"/>
  <c r="K411" i="5" s="1"/>
  <c r="L411" i="5" s="1"/>
  <c r="J403" i="5"/>
  <c r="K403" i="5" s="1"/>
  <c r="L403" i="5" s="1"/>
  <c r="J395" i="5"/>
  <c r="K395" i="5" s="1"/>
  <c r="L395" i="5" s="1"/>
  <c r="J387" i="5"/>
  <c r="K387" i="5" s="1"/>
  <c r="L387" i="5" s="1"/>
  <c r="J379" i="5"/>
  <c r="K379" i="5" s="1"/>
  <c r="L379" i="5" s="1"/>
  <c r="J371" i="5"/>
  <c r="K371" i="5" s="1"/>
  <c r="L371" i="5" s="1"/>
  <c r="J363" i="5"/>
  <c r="K363" i="5" s="1"/>
  <c r="L363" i="5" s="1"/>
  <c r="J355" i="5"/>
  <c r="K355" i="5" s="1"/>
  <c r="L355" i="5" s="1"/>
  <c r="J347" i="5"/>
  <c r="K347" i="5" s="1"/>
  <c r="L347" i="5" s="1"/>
  <c r="J339" i="5"/>
  <c r="K339" i="5" s="1"/>
  <c r="L339" i="5" s="1"/>
  <c r="J331" i="5"/>
  <c r="K331" i="5" s="1"/>
  <c r="L331" i="5" s="1"/>
  <c r="J323" i="5"/>
  <c r="K323" i="5" s="1"/>
  <c r="L323" i="5" s="1"/>
  <c r="J315" i="5"/>
  <c r="K315" i="5" s="1"/>
  <c r="L315" i="5" s="1"/>
  <c r="J307" i="5"/>
  <c r="K307" i="5" s="1"/>
  <c r="L307" i="5" s="1"/>
  <c r="J299" i="5"/>
  <c r="K299" i="5" s="1"/>
  <c r="L299" i="5" s="1"/>
  <c r="J291" i="5"/>
  <c r="K291" i="5" s="1"/>
  <c r="L291" i="5" s="1"/>
  <c r="J283" i="5"/>
  <c r="K283" i="5" s="1"/>
  <c r="L283" i="5" s="1"/>
  <c r="J275" i="5"/>
  <c r="K275" i="5" s="1"/>
  <c r="L275" i="5" s="1"/>
  <c r="J267" i="5"/>
  <c r="K267" i="5" s="1"/>
  <c r="L267" i="5" s="1"/>
  <c r="J259" i="5"/>
  <c r="K259" i="5" s="1"/>
  <c r="L259" i="5" s="1"/>
  <c r="J251" i="5"/>
  <c r="K251" i="5" s="1"/>
  <c r="L251" i="5" s="1"/>
  <c r="J243" i="5"/>
  <c r="K243" i="5" s="1"/>
  <c r="L243" i="5" s="1"/>
  <c r="J235" i="5"/>
  <c r="K235" i="5" s="1"/>
  <c r="L235" i="5" s="1"/>
  <c r="J227" i="5"/>
  <c r="K227" i="5" s="1"/>
  <c r="L227" i="5" s="1"/>
  <c r="J219" i="5"/>
  <c r="K219" i="5" s="1"/>
  <c r="L219" i="5" s="1"/>
  <c r="J211" i="5"/>
  <c r="K211" i="5" s="1"/>
  <c r="L211" i="5" s="1"/>
  <c r="J203" i="5"/>
  <c r="K203" i="5" s="1"/>
  <c r="L203" i="5" s="1"/>
  <c r="J195" i="5"/>
  <c r="K195" i="5" s="1"/>
  <c r="L195" i="5" s="1"/>
  <c r="J187" i="5"/>
  <c r="K187" i="5" s="1"/>
  <c r="L187" i="5" s="1"/>
  <c r="J179" i="5"/>
  <c r="K179" i="5" s="1"/>
  <c r="L179" i="5" s="1"/>
  <c r="J171" i="5"/>
  <c r="K171" i="5" s="1"/>
  <c r="L171" i="5" s="1"/>
  <c r="J163" i="5"/>
  <c r="K163" i="5" s="1"/>
  <c r="L163" i="5" s="1"/>
  <c r="J155" i="5"/>
  <c r="K155" i="5" s="1"/>
  <c r="L155" i="5" s="1"/>
  <c r="J147" i="5"/>
  <c r="K147" i="5" s="1"/>
  <c r="L147" i="5" s="1"/>
  <c r="J139" i="5"/>
  <c r="K139" i="5" s="1"/>
  <c r="L139" i="5" s="1"/>
  <c r="J131" i="5"/>
  <c r="K131" i="5" s="1"/>
  <c r="L131" i="5" s="1"/>
  <c r="J123" i="5"/>
  <c r="K123" i="5" s="1"/>
  <c r="L123" i="5" s="1"/>
  <c r="J115" i="5"/>
  <c r="K115" i="5" s="1"/>
  <c r="L115" i="5" s="1"/>
  <c r="J107" i="5"/>
  <c r="K107" i="5" s="1"/>
  <c r="L107" i="5" s="1"/>
  <c r="J99" i="5"/>
  <c r="K99" i="5" s="1"/>
  <c r="L99" i="5" s="1"/>
  <c r="J91" i="5"/>
  <c r="K91" i="5" s="1"/>
  <c r="L91" i="5" s="1"/>
  <c r="J83" i="5"/>
  <c r="K83" i="5" s="1"/>
  <c r="L83" i="5" s="1"/>
  <c r="H999" i="5"/>
  <c r="I999" i="5" s="1"/>
  <c r="K999" i="5" s="1"/>
  <c r="L999" i="5" s="1"/>
  <c r="H991" i="5"/>
  <c r="I991" i="5" s="1"/>
  <c r="H983" i="5"/>
  <c r="I983" i="5" s="1"/>
  <c r="K983" i="5" s="1"/>
  <c r="L983" i="5" s="1"/>
  <c r="H975" i="5"/>
  <c r="I975" i="5" s="1"/>
  <c r="K975" i="5" s="1"/>
  <c r="L975" i="5" s="1"/>
  <c r="H967" i="5"/>
  <c r="I967" i="5" s="1"/>
  <c r="H959" i="5"/>
  <c r="I959" i="5" s="1"/>
  <c r="H955" i="5"/>
  <c r="I955" i="5" s="1"/>
  <c r="H947" i="5"/>
  <c r="I947" i="5" s="1"/>
  <c r="K947" i="5" s="1"/>
  <c r="L947" i="5" s="1"/>
  <c r="H935" i="5"/>
  <c r="I935" i="5" s="1"/>
  <c r="H915" i="5"/>
  <c r="I915" i="5" s="1"/>
  <c r="H907" i="5"/>
  <c r="I907" i="5" s="1"/>
  <c r="K907" i="5" s="1"/>
  <c r="L907" i="5" s="1"/>
  <c r="H899" i="5"/>
  <c r="I899" i="5" s="1"/>
  <c r="K899" i="5" s="1"/>
  <c r="L899" i="5" s="1"/>
  <c r="H891" i="5"/>
  <c r="I891" i="5" s="1"/>
  <c r="H883" i="5"/>
  <c r="I883" i="5" s="1"/>
  <c r="K883" i="5" s="1"/>
  <c r="L883" i="5" s="1"/>
  <c r="H867" i="5"/>
  <c r="I867" i="5" s="1"/>
  <c r="H791" i="5"/>
  <c r="I791" i="5" s="1"/>
  <c r="H775" i="5"/>
  <c r="I775" i="5" s="1"/>
  <c r="H759" i="5"/>
  <c r="I759" i="5" s="1"/>
  <c r="H743" i="5"/>
  <c r="I743" i="5" s="1"/>
  <c r="H727" i="5"/>
  <c r="I727" i="5" s="1"/>
  <c r="H719" i="5"/>
  <c r="I719" i="5" s="1"/>
  <c r="H703" i="5"/>
  <c r="I703" i="5" s="1"/>
  <c r="H687" i="5"/>
  <c r="I687" i="5" s="1"/>
  <c r="H511" i="5"/>
  <c r="I511" i="5" s="1"/>
  <c r="H495" i="5"/>
  <c r="I495" i="5" s="1"/>
  <c r="H479" i="5"/>
  <c r="I479" i="5" s="1"/>
  <c r="H463" i="5"/>
  <c r="I463" i="5" s="1"/>
  <c r="H447" i="5"/>
  <c r="I447" i="5" s="1"/>
  <c r="H63" i="5"/>
  <c r="I63" i="5" s="1"/>
  <c r="K985" i="5"/>
  <c r="L985" i="5" s="1"/>
  <c r="K965" i="5"/>
  <c r="L965" i="5" s="1"/>
  <c r="K961" i="5"/>
  <c r="L961" i="5" s="1"/>
  <c r="K957" i="5"/>
  <c r="L957" i="5" s="1"/>
  <c r="K929" i="5"/>
  <c r="L929" i="5" s="1"/>
  <c r="K881" i="5"/>
  <c r="L881" i="5" s="1"/>
  <c r="H921" i="5"/>
  <c r="I921" i="5" s="1"/>
  <c r="K921" i="5" s="1"/>
  <c r="L921" i="5" s="1"/>
  <c r="H905" i="5"/>
  <c r="I905" i="5" s="1"/>
  <c r="K905" i="5" s="1"/>
  <c r="L905" i="5" s="1"/>
  <c r="H889" i="5"/>
  <c r="I889" i="5" s="1"/>
  <c r="K889" i="5" s="1"/>
  <c r="L889" i="5" s="1"/>
  <c r="H873" i="5"/>
  <c r="I873" i="5" s="1"/>
  <c r="K873" i="5" s="1"/>
  <c r="L873" i="5" s="1"/>
  <c r="H857" i="5"/>
  <c r="I857" i="5" s="1"/>
  <c r="K857" i="5" s="1"/>
  <c r="L857" i="5" s="1"/>
  <c r="H853" i="5"/>
  <c r="I853" i="5" s="1"/>
  <c r="K853" i="5" s="1"/>
  <c r="L853" i="5" s="1"/>
  <c r="H849" i="5"/>
  <c r="I849" i="5" s="1"/>
  <c r="K849" i="5" s="1"/>
  <c r="L849" i="5" s="1"/>
  <c r="H845" i="5"/>
  <c r="I845" i="5" s="1"/>
  <c r="K845" i="5" s="1"/>
  <c r="L845" i="5" s="1"/>
  <c r="H841" i="5"/>
  <c r="I841" i="5" s="1"/>
  <c r="K841" i="5" s="1"/>
  <c r="L841" i="5" s="1"/>
  <c r="H837" i="5"/>
  <c r="I837" i="5" s="1"/>
  <c r="K837" i="5" s="1"/>
  <c r="L837" i="5" s="1"/>
  <c r="H833" i="5"/>
  <c r="I833" i="5" s="1"/>
  <c r="K833" i="5" s="1"/>
  <c r="L833" i="5" s="1"/>
  <c r="H829" i="5"/>
  <c r="I829" i="5" s="1"/>
  <c r="K829" i="5" s="1"/>
  <c r="L829" i="5" s="1"/>
  <c r="H825" i="5"/>
  <c r="I825" i="5" s="1"/>
  <c r="K825" i="5" s="1"/>
  <c r="L825" i="5" s="1"/>
  <c r="H821" i="5"/>
  <c r="I821" i="5" s="1"/>
  <c r="K821" i="5" s="1"/>
  <c r="L821" i="5" s="1"/>
  <c r="H817" i="5"/>
  <c r="I817" i="5" s="1"/>
  <c r="K817" i="5" s="1"/>
  <c r="L817" i="5" s="1"/>
  <c r="H813" i="5"/>
  <c r="I813" i="5" s="1"/>
  <c r="K813" i="5" s="1"/>
  <c r="L813" i="5" s="1"/>
  <c r="H809" i="5"/>
  <c r="I809" i="5" s="1"/>
  <c r="K809" i="5" s="1"/>
  <c r="L809" i="5" s="1"/>
  <c r="H805" i="5"/>
  <c r="I805" i="5" s="1"/>
  <c r="K805" i="5" s="1"/>
  <c r="L805" i="5" s="1"/>
  <c r="H801" i="5"/>
  <c r="I801" i="5" s="1"/>
  <c r="K801" i="5" s="1"/>
  <c r="L801" i="5" s="1"/>
  <c r="H797" i="5"/>
  <c r="I797" i="5" s="1"/>
  <c r="K797" i="5" s="1"/>
  <c r="L797" i="5" s="1"/>
  <c r="H793" i="5"/>
  <c r="I793" i="5" s="1"/>
  <c r="K793" i="5" s="1"/>
  <c r="L793" i="5" s="1"/>
  <c r="H789" i="5"/>
  <c r="I789" i="5" s="1"/>
  <c r="K789" i="5" s="1"/>
  <c r="L789" i="5" s="1"/>
  <c r="H785" i="5"/>
  <c r="I785" i="5" s="1"/>
  <c r="K785" i="5" s="1"/>
  <c r="L785" i="5" s="1"/>
  <c r="H781" i="5"/>
  <c r="I781" i="5" s="1"/>
  <c r="K781" i="5" s="1"/>
  <c r="L781" i="5" s="1"/>
  <c r="H777" i="5"/>
  <c r="I777" i="5" s="1"/>
  <c r="K777" i="5" s="1"/>
  <c r="L777" i="5" s="1"/>
  <c r="H773" i="5"/>
  <c r="I773" i="5" s="1"/>
  <c r="K773" i="5" s="1"/>
  <c r="L773" i="5" s="1"/>
  <c r="H769" i="5"/>
  <c r="I769" i="5" s="1"/>
  <c r="K769" i="5" s="1"/>
  <c r="L769" i="5" s="1"/>
  <c r="H765" i="5"/>
  <c r="I765" i="5" s="1"/>
  <c r="K765" i="5" s="1"/>
  <c r="L765" i="5" s="1"/>
  <c r="H761" i="5"/>
  <c r="I761" i="5" s="1"/>
  <c r="K761" i="5" s="1"/>
  <c r="L761" i="5" s="1"/>
  <c r="H757" i="5"/>
  <c r="I757" i="5" s="1"/>
  <c r="K757" i="5" s="1"/>
  <c r="L757" i="5" s="1"/>
  <c r="H753" i="5"/>
  <c r="I753" i="5" s="1"/>
  <c r="K753" i="5" s="1"/>
  <c r="L753" i="5" s="1"/>
  <c r="H749" i="5"/>
  <c r="I749" i="5" s="1"/>
  <c r="K749" i="5" s="1"/>
  <c r="L749" i="5" s="1"/>
  <c r="H745" i="5"/>
  <c r="I745" i="5" s="1"/>
  <c r="K745" i="5" s="1"/>
  <c r="L745" i="5" s="1"/>
  <c r="H741" i="5"/>
  <c r="I741" i="5" s="1"/>
  <c r="K741" i="5" s="1"/>
  <c r="L741" i="5" s="1"/>
  <c r="H737" i="5"/>
  <c r="I737" i="5" s="1"/>
  <c r="K737" i="5" s="1"/>
  <c r="L737" i="5" s="1"/>
  <c r="H733" i="5"/>
  <c r="I733" i="5" s="1"/>
  <c r="K733" i="5" s="1"/>
  <c r="L733" i="5" s="1"/>
  <c r="H729" i="5"/>
  <c r="I729" i="5" s="1"/>
  <c r="K729" i="5" s="1"/>
  <c r="L729" i="5" s="1"/>
  <c r="H725" i="5"/>
  <c r="I725" i="5" s="1"/>
  <c r="K725" i="5" s="1"/>
  <c r="L725" i="5" s="1"/>
  <c r="H721" i="5"/>
  <c r="I721" i="5" s="1"/>
  <c r="K721" i="5" s="1"/>
  <c r="L721" i="5" s="1"/>
  <c r="H717" i="5"/>
  <c r="I717" i="5" s="1"/>
  <c r="K717" i="5" s="1"/>
  <c r="L717" i="5" s="1"/>
  <c r="H713" i="5"/>
  <c r="I713" i="5" s="1"/>
  <c r="K713" i="5" s="1"/>
  <c r="L713" i="5" s="1"/>
  <c r="H709" i="5"/>
  <c r="I709" i="5" s="1"/>
  <c r="K709" i="5" s="1"/>
  <c r="L709" i="5" s="1"/>
  <c r="H705" i="5"/>
  <c r="I705" i="5" s="1"/>
  <c r="K705" i="5" s="1"/>
  <c r="L705" i="5" s="1"/>
  <c r="H701" i="5"/>
  <c r="I701" i="5" s="1"/>
  <c r="K701" i="5" s="1"/>
  <c r="L701" i="5" s="1"/>
  <c r="H697" i="5"/>
  <c r="I697" i="5" s="1"/>
  <c r="K697" i="5" s="1"/>
  <c r="L697" i="5" s="1"/>
  <c r="H693" i="5"/>
  <c r="I693" i="5" s="1"/>
  <c r="K693" i="5" s="1"/>
  <c r="L693" i="5" s="1"/>
  <c r="H689" i="5"/>
  <c r="I689" i="5" s="1"/>
  <c r="K689" i="5" s="1"/>
  <c r="L689" i="5" s="1"/>
  <c r="H685" i="5"/>
  <c r="I685" i="5" s="1"/>
  <c r="K685" i="5" s="1"/>
  <c r="L685" i="5" s="1"/>
  <c r="H681" i="5"/>
  <c r="I681" i="5" s="1"/>
  <c r="K681" i="5" s="1"/>
  <c r="L681" i="5" s="1"/>
  <c r="H677" i="5"/>
  <c r="I677" i="5" s="1"/>
  <c r="K677" i="5" s="1"/>
  <c r="L677" i="5" s="1"/>
  <c r="H673" i="5"/>
  <c r="I673" i="5" s="1"/>
  <c r="K673" i="5" s="1"/>
  <c r="L673" i="5" s="1"/>
  <c r="H669" i="5"/>
  <c r="I669" i="5" s="1"/>
  <c r="K669" i="5" s="1"/>
  <c r="L669" i="5" s="1"/>
  <c r="H665" i="5"/>
  <c r="I665" i="5" s="1"/>
  <c r="K665" i="5" s="1"/>
  <c r="L665" i="5" s="1"/>
  <c r="H661" i="5"/>
  <c r="I661" i="5" s="1"/>
  <c r="K661" i="5" s="1"/>
  <c r="L661" i="5" s="1"/>
  <c r="H657" i="5"/>
  <c r="I657" i="5" s="1"/>
  <c r="K657" i="5" s="1"/>
  <c r="L657" i="5" s="1"/>
  <c r="H653" i="5"/>
  <c r="I653" i="5" s="1"/>
  <c r="K653" i="5" s="1"/>
  <c r="L653" i="5" s="1"/>
  <c r="H649" i="5"/>
  <c r="I649" i="5" s="1"/>
  <c r="K649" i="5" s="1"/>
  <c r="L649" i="5" s="1"/>
  <c r="H645" i="5"/>
  <c r="I645" i="5" s="1"/>
  <c r="K645" i="5" s="1"/>
  <c r="L645" i="5" s="1"/>
  <c r="H641" i="5"/>
  <c r="I641" i="5" s="1"/>
  <c r="K641" i="5" s="1"/>
  <c r="L641" i="5" s="1"/>
  <c r="H637" i="5"/>
  <c r="I637" i="5" s="1"/>
  <c r="K637" i="5" s="1"/>
  <c r="L637" i="5" s="1"/>
  <c r="H633" i="5"/>
  <c r="I633" i="5" s="1"/>
  <c r="K633" i="5" s="1"/>
  <c r="L633" i="5" s="1"/>
  <c r="H629" i="5"/>
  <c r="I629" i="5" s="1"/>
  <c r="K629" i="5" s="1"/>
  <c r="L629" i="5" s="1"/>
  <c r="H625" i="5"/>
  <c r="I625" i="5" s="1"/>
  <c r="K625" i="5" s="1"/>
  <c r="L625" i="5" s="1"/>
  <c r="H621" i="5"/>
  <c r="I621" i="5" s="1"/>
  <c r="K621" i="5" s="1"/>
  <c r="L621" i="5" s="1"/>
  <c r="H617" i="5"/>
  <c r="I617" i="5" s="1"/>
  <c r="K617" i="5" s="1"/>
  <c r="L617" i="5" s="1"/>
  <c r="H613" i="5"/>
  <c r="I613" i="5" s="1"/>
  <c r="K613" i="5" s="1"/>
  <c r="L613" i="5" s="1"/>
  <c r="H609" i="5"/>
  <c r="I609" i="5" s="1"/>
  <c r="K609" i="5" s="1"/>
  <c r="L609" i="5" s="1"/>
  <c r="H605" i="5"/>
  <c r="I605" i="5" s="1"/>
  <c r="K605" i="5" s="1"/>
  <c r="L605" i="5" s="1"/>
  <c r="H601" i="5"/>
  <c r="I601" i="5" s="1"/>
  <c r="K601" i="5" s="1"/>
  <c r="L601" i="5" s="1"/>
  <c r="H597" i="5"/>
  <c r="I597" i="5" s="1"/>
  <c r="K597" i="5" s="1"/>
  <c r="L597" i="5" s="1"/>
  <c r="H593" i="5"/>
  <c r="I593" i="5" s="1"/>
  <c r="K593" i="5" s="1"/>
  <c r="L593" i="5" s="1"/>
  <c r="H589" i="5"/>
  <c r="I589" i="5" s="1"/>
  <c r="K589" i="5" s="1"/>
  <c r="L589" i="5" s="1"/>
  <c r="H585" i="5"/>
  <c r="I585" i="5" s="1"/>
  <c r="K585" i="5" s="1"/>
  <c r="L585" i="5" s="1"/>
  <c r="H581" i="5"/>
  <c r="I581" i="5" s="1"/>
  <c r="K581" i="5" s="1"/>
  <c r="L581" i="5" s="1"/>
  <c r="H577" i="5"/>
  <c r="I577" i="5" s="1"/>
  <c r="K577" i="5" s="1"/>
  <c r="L577" i="5" s="1"/>
  <c r="H573" i="5"/>
  <c r="I573" i="5" s="1"/>
  <c r="K573" i="5" s="1"/>
  <c r="L573" i="5" s="1"/>
  <c r="H569" i="5"/>
  <c r="I569" i="5" s="1"/>
  <c r="K569" i="5" s="1"/>
  <c r="L569" i="5" s="1"/>
  <c r="H565" i="5"/>
  <c r="I565" i="5" s="1"/>
  <c r="K565" i="5" s="1"/>
  <c r="L565" i="5" s="1"/>
  <c r="H561" i="5"/>
  <c r="I561" i="5" s="1"/>
  <c r="K561" i="5" s="1"/>
  <c r="L561" i="5" s="1"/>
  <c r="H557" i="5"/>
  <c r="I557" i="5" s="1"/>
  <c r="K557" i="5" s="1"/>
  <c r="L557" i="5" s="1"/>
  <c r="H553" i="5"/>
  <c r="I553" i="5" s="1"/>
  <c r="K553" i="5" s="1"/>
  <c r="L553" i="5" s="1"/>
  <c r="H549" i="5"/>
  <c r="I549" i="5" s="1"/>
  <c r="K549" i="5" s="1"/>
  <c r="L549" i="5" s="1"/>
  <c r="H545" i="5"/>
  <c r="I545" i="5" s="1"/>
  <c r="K545" i="5" s="1"/>
  <c r="L545" i="5" s="1"/>
  <c r="H541" i="5"/>
  <c r="I541" i="5" s="1"/>
  <c r="K541" i="5" s="1"/>
  <c r="L541" i="5" s="1"/>
  <c r="H537" i="5"/>
  <c r="I537" i="5" s="1"/>
  <c r="K537" i="5" s="1"/>
  <c r="L537" i="5" s="1"/>
  <c r="H533" i="5"/>
  <c r="I533" i="5" s="1"/>
  <c r="K533" i="5" s="1"/>
  <c r="L533" i="5" s="1"/>
  <c r="H529" i="5"/>
  <c r="I529" i="5" s="1"/>
  <c r="K529" i="5" s="1"/>
  <c r="L529" i="5" s="1"/>
  <c r="H525" i="5"/>
  <c r="I525" i="5" s="1"/>
  <c r="K525" i="5" s="1"/>
  <c r="L525" i="5" s="1"/>
  <c r="H521" i="5"/>
  <c r="I521" i="5" s="1"/>
  <c r="K521" i="5" s="1"/>
  <c r="L521" i="5" s="1"/>
  <c r="H517" i="5"/>
  <c r="I517" i="5" s="1"/>
  <c r="K517" i="5" s="1"/>
  <c r="L517" i="5" s="1"/>
  <c r="H513" i="5"/>
  <c r="I513" i="5" s="1"/>
  <c r="K513" i="5" s="1"/>
  <c r="L513" i="5" s="1"/>
  <c r="H509" i="5"/>
  <c r="I509" i="5" s="1"/>
  <c r="K509" i="5" s="1"/>
  <c r="L509" i="5" s="1"/>
  <c r="H505" i="5"/>
  <c r="I505" i="5" s="1"/>
  <c r="K505" i="5" s="1"/>
  <c r="L505" i="5" s="1"/>
  <c r="H501" i="5"/>
  <c r="I501" i="5" s="1"/>
  <c r="K501" i="5" s="1"/>
  <c r="L501" i="5" s="1"/>
  <c r="H497" i="5"/>
  <c r="I497" i="5" s="1"/>
  <c r="K497" i="5" s="1"/>
  <c r="L497" i="5" s="1"/>
  <c r="H493" i="5"/>
  <c r="I493" i="5" s="1"/>
  <c r="K493" i="5" s="1"/>
  <c r="L493" i="5" s="1"/>
  <c r="H489" i="5"/>
  <c r="I489" i="5" s="1"/>
  <c r="K489" i="5" s="1"/>
  <c r="L489" i="5" s="1"/>
  <c r="H485" i="5"/>
  <c r="I485" i="5" s="1"/>
  <c r="H481" i="5"/>
  <c r="I481" i="5" s="1"/>
  <c r="K481" i="5" s="1"/>
  <c r="L481" i="5" s="1"/>
  <c r="H477" i="5"/>
  <c r="I477" i="5" s="1"/>
  <c r="K477" i="5" s="1"/>
  <c r="L477" i="5" s="1"/>
  <c r="H473" i="5"/>
  <c r="I473" i="5" s="1"/>
  <c r="H469" i="5"/>
  <c r="I469" i="5" s="1"/>
  <c r="H465" i="5"/>
  <c r="I465" i="5" s="1"/>
  <c r="K465" i="5" s="1"/>
  <c r="L465" i="5" s="1"/>
  <c r="H461" i="5"/>
  <c r="I461" i="5" s="1"/>
  <c r="K461" i="5" s="1"/>
  <c r="L461" i="5" s="1"/>
  <c r="H457" i="5"/>
  <c r="I457" i="5" s="1"/>
  <c r="H453" i="5"/>
  <c r="I453" i="5" s="1"/>
  <c r="H449" i="5"/>
  <c r="I449" i="5" s="1"/>
  <c r="K449" i="5" s="1"/>
  <c r="L449" i="5" s="1"/>
  <c r="H445" i="5"/>
  <c r="I445" i="5" s="1"/>
  <c r="K445" i="5" s="1"/>
  <c r="L445" i="5" s="1"/>
  <c r="H441" i="5"/>
  <c r="I441" i="5" s="1"/>
  <c r="H437" i="5"/>
  <c r="I437" i="5" s="1"/>
  <c r="H433" i="5"/>
  <c r="I433" i="5" s="1"/>
  <c r="K433" i="5" s="1"/>
  <c r="L433" i="5" s="1"/>
  <c r="H429" i="5"/>
  <c r="I429" i="5" s="1"/>
  <c r="K429" i="5" s="1"/>
  <c r="L429" i="5" s="1"/>
  <c r="H425" i="5"/>
  <c r="I425" i="5" s="1"/>
  <c r="H421" i="5"/>
  <c r="I421" i="5" s="1"/>
  <c r="H417" i="5"/>
  <c r="I417" i="5" s="1"/>
  <c r="K417" i="5" s="1"/>
  <c r="L417" i="5" s="1"/>
  <c r="H413" i="5"/>
  <c r="I413" i="5" s="1"/>
  <c r="K413" i="5" s="1"/>
  <c r="L413" i="5" s="1"/>
  <c r="H409" i="5"/>
  <c r="I409" i="5" s="1"/>
  <c r="H405" i="5"/>
  <c r="I405" i="5" s="1"/>
  <c r="H401" i="5"/>
  <c r="I401" i="5" s="1"/>
  <c r="K401" i="5" s="1"/>
  <c r="L401" i="5" s="1"/>
  <c r="H397" i="5"/>
  <c r="I397" i="5" s="1"/>
  <c r="K397" i="5" s="1"/>
  <c r="L397" i="5" s="1"/>
  <c r="H393" i="5"/>
  <c r="I393" i="5" s="1"/>
  <c r="H389" i="5"/>
  <c r="I389" i="5" s="1"/>
  <c r="K389" i="5" s="1"/>
  <c r="L389" i="5" s="1"/>
  <c r="H385" i="5"/>
  <c r="I385" i="5" s="1"/>
  <c r="K385" i="5" s="1"/>
  <c r="L385" i="5" s="1"/>
  <c r="H381" i="5"/>
  <c r="I381" i="5" s="1"/>
  <c r="K381" i="5" s="1"/>
  <c r="L381" i="5" s="1"/>
  <c r="H377" i="5"/>
  <c r="I377" i="5" s="1"/>
  <c r="H373" i="5"/>
  <c r="I373" i="5" s="1"/>
  <c r="H369" i="5"/>
  <c r="I369" i="5" s="1"/>
  <c r="K369" i="5" s="1"/>
  <c r="L369" i="5" s="1"/>
  <c r="H365" i="5"/>
  <c r="I365" i="5" s="1"/>
  <c r="K365" i="5" s="1"/>
  <c r="L365" i="5" s="1"/>
  <c r="H361" i="5"/>
  <c r="I361" i="5" s="1"/>
  <c r="H357" i="5"/>
  <c r="I357" i="5" s="1"/>
  <c r="H353" i="5"/>
  <c r="I353" i="5" s="1"/>
  <c r="K353" i="5" s="1"/>
  <c r="L353" i="5" s="1"/>
  <c r="H349" i="5"/>
  <c r="I349" i="5" s="1"/>
  <c r="K349" i="5" s="1"/>
  <c r="L349" i="5" s="1"/>
  <c r="H345" i="5"/>
  <c r="I345" i="5" s="1"/>
  <c r="H341" i="5"/>
  <c r="I341" i="5" s="1"/>
  <c r="H337" i="5"/>
  <c r="I337" i="5" s="1"/>
  <c r="K337" i="5" s="1"/>
  <c r="L337" i="5" s="1"/>
  <c r="H333" i="5"/>
  <c r="I333" i="5" s="1"/>
  <c r="K333" i="5" s="1"/>
  <c r="L333" i="5" s="1"/>
  <c r="H329" i="5"/>
  <c r="I329" i="5" s="1"/>
  <c r="H325" i="5"/>
  <c r="I325" i="5" s="1"/>
  <c r="H321" i="5"/>
  <c r="I321" i="5" s="1"/>
  <c r="K321" i="5" s="1"/>
  <c r="L321" i="5" s="1"/>
  <c r="H317" i="5"/>
  <c r="I317" i="5" s="1"/>
  <c r="K317" i="5" s="1"/>
  <c r="L317" i="5" s="1"/>
  <c r="H313" i="5"/>
  <c r="I313" i="5" s="1"/>
  <c r="H309" i="5"/>
  <c r="I309" i="5" s="1"/>
  <c r="H305" i="5"/>
  <c r="I305" i="5" s="1"/>
  <c r="K305" i="5" s="1"/>
  <c r="L305" i="5" s="1"/>
  <c r="H301" i="5"/>
  <c r="I301" i="5" s="1"/>
  <c r="K301" i="5" s="1"/>
  <c r="L301" i="5" s="1"/>
  <c r="H297" i="5"/>
  <c r="I297" i="5" s="1"/>
  <c r="H293" i="5"/>
  <c r="I293" i="5" s="1"/>
  <c r="H289" i="5"/>
  <c r="I289" i="5" s="1"/>
  <c r="K289" i="5" s="1"/>
  <c r="L289" i="5" s="1"/>
  <c r="H285" i="5"/>
  <c r="I285" i="5" s="1"/>
  <c r="K285" i="5" s="1"/>
  <c r="L285" i="5" s="1"/>
  <c r="H281" i="5"/>
  <c r="I281" i="5" s="1"/>
  <c r="H277" i="5"/>
  <c r="I277" i="5" s="1"/>
  <c r="H273" i="5"/>
  <c r="I273" i="5" s="1"/>
  <c r="K273" i="5" s="1"/>
  <c r="L273" i="5" s="1"/>
  <c r="H269" i="5"/>
  <c r="I269" i="5" s="1"/>
  <c r="K269" i="5" s="1"/>
  <c r="L269" i="5" s="1"/>
  <c r="H265" i="5"/>
  <c r="I265" i="5" s="1"/>
  <c r="H261" i="5"/>
  <c r="I261" i="5" s="1"/>
  <c r="H257" i="5"/>
  <c r="I257" i="5" s="1"/>
  <c r="K257" i="5" s="1"/>
  <c r="L257" i="5" s="1"/>
  <c r="H253" i="5"/>
  <c r="I253" i="5" s="1"/>
  <c r="K253" i="5" s="1"/>
  <c r="L253" i="5" s="1"/>
  <c r="H249" i="5"/>
  <c r="I249" i="5" s="1"/>
  <c r="K249" i="5" s="1"/>
  <c r="L249" i="5" s="1"/>
  <c r="H245" i="5"/>
  <c r="I245" i="5" s="1"/>
  <c r="K245" i="5" s="1"/>
  <c r="L245" i="5" s="1"/>
  <c r="H241" i="5"/>
  <c r="I241" i="5" s="1"/>
  <c r="K241" i="5" s="1"/>
  <c r="L241" i="5" s="1"/>
  <c r="H237" i="5"/>
  <c r="I237" i="5" s="1"/>
  <c r="K237" i="5" s="1"/>
  <c r="L237" i="5" s="1"/>
  <c r="H233" i="5"/>
  <c r="I233" i="5" s="1"/>
  <c r="K233" i="5" s="1"/>
  <c r="L233" i="5" s="1"/>
  <c r="H229" i="5"/>
  <c r="I229" i="5" s="1"/>
  <c r="K229" i="5" s="1"/>
  <c r="L229" i="5" s="1"/>
  <c r="H225" i="5"/>
  <c r="I225" i="5" s="1"/>
  <c r="K225" i="5" s="1"/>
  <c r="L225" i="5" s="1"/>
  <c r="H221" i="5"/>
  <c r="I221" i="5" s="1"/>
  <c r="K221" i="5" s="1"/>
  <c r="L221" i="5" s="1"/>
  <c r="H217" i="5"/>
  <c r="I217" i="5" s="1"/>
  <c r="K217" i="5" s="1"/>
  <c r="L217" i="5" s="1"/>
  <c r="H213" i="5"/>
  <c r="I213" i="5" s="1"/>
  <c r="K213" i="5" s="1"/>
  <c r="L213" i="5" s="1"/>
  <c r="H209" i="5"/>
  <c r="I209" i="5" s="1"/>
  <c r="K209" i="5" s="1"/>
  <c r="L209" i="5" s="1"/>
  <c r="H205" i="5"/>
  <c r="I205" i="5" s="1"/>
  <c r="K205" i="5" s="1"/>
  <c r="L205" i="5" s="1"/>
  <c r="H201" i="5"/>
  <c r="I201" i="5" s="1"/>
  <c r="K201" i="5" s="1"/>
  <c r="L201" i="5" s="1"/>
  <c r="H197" i="5"/>
  <c r="I197" i="5" s="1"/>
  <c r="K197" i="5" s="1"/>
  <c r="L197" i="5" s="1"/>
  <c r="H193" i="5"/>
  <c r="I193" i="5" s="1"/>
  <c r="K193" i="5" s="1"/>
  <c r="L193" i="5" s="1"/>
  <c r="H189" i="5"/>
  <c r="I189" i="5" s="1"/>
  <c r="K189" i="5" s="1"/>
  <c r="L189" i="5" s="1"/>
  <c r="H185" i="5"/>
  <c r="I185" i="5" s="1"/>
  <c r="K185" i="5" s="1"/>
  <c r="L185" i="5" s="1"/>
  <c r="H181" i="5"/>
  <c r="I181" i="5" s="1"/>
  <c r="K181" i="5" s="1"/>
  <c r="L181" i="5" s="1"/>
  <c r="H177" i="5"/>
  <c r="I177" i="5" s="1"/>
  <c r="K177" i="5" s="1"/>
  <c r="L177" i="5" s="1"/>
  <c r="H173" i="5"/>
  <c r="I173" i="5" s="1"/>
  <c r="K173" i="5" s="1"/>
  <c r="L173" i="5" s="1"/>
  <c r="H169" i="5"/>
  <c r="I169" i="5" s="1"/>
  <c r="K169" i="5" s="1"/>
  <c r="L169" i="5" s="1"/>
  <c r="H165" i="5"/>
  <c r="I165" i="5" s="1"/>
  <c r="K165" i="5" s="1"/>
  <c r="L165" i="5" s="1"/>
  <c r="H161" i="5"/>
  <c r="I161" i="5" s="1"/>
  <c r="K161" i="5" s="1"/>
  <c r="L161" i="5" s="1"/>
  <c r="H157" i="5"/>
  <c r="I157" i="5" s="1"/>
  <c r="K157" i="5" s="1"/>
  <c r="L157" i="5" s="1"/>
  <c r="H153" i="5"/>
  <c r="I153" i="5" s="1"/>
  <c r="K153" i="5" s="1"/>
  <c r="L153" i="5" s="1"/>
  <c r="H149" i="5"/>
  <c r="I149" i="5" s="1"/>
  <c r="K149" i="5" s="1"/>
  <c r="L149" i="5" s="1"/>
  <c r="H145" i="5"/>
  <c r="I145" i="5" s="1"/>
  <c r="K145" i="5" s="1"/>
  <c r="L145" i="5" s="1"/>
  <c r="H141" i="5"/>
  <c r="I141" i="5" s="1"/>
  <c r="K141" i="5" s="1"/>
  <c r="L141" i="5" s="1"/>
  <c r="H137" i="5"/>
  <c r="I137" i="5" s="1"/>
  <c r="K137" i="5" s="1"/>
  <c r="L137" i="5" s="1"/>
  <c r="H133" i="5"/>
  <c r="I133" i="5" s="1"/>
  <c r="K133" i="5" s="1"/>
  <c r="L133" i="5" s="1"/>
  <c r="H129" i="5"/>
  <c r="I129" i="5" s="1"/>
  <c r="K129" i="5" s="1"/>
  <c r="L129" i="5" s="1"/>
  <c r="H125" i="5"/>
  <c r="I125" i="5" s="1"/>
  <c r="K125" i="5" s="1"/>
  <c r="L125" i="5" s="1"/>
  <c r="H121" i="5"/>
  <c r="I121" i="5" s="1"/>
  <c r="K121" i="5" s="1"/>
  <c r="L121" i="5" s="1"/>
  <c r="H117" i="5"/>
  <c r="I117" i="5" s="1"/>
  <c r="K117" i="5" s="1"/>
  <c r="L117" i="5" s="1"/>
  <c r="H113" i="5"/>
  <c r="I113" i="5" s="1"/>
  <c r="K113" i="5" s="1"/>
  <c r="L113" i="5" s="1"/>
  <c r="H109" i="5"/>
  <c r="I109" i="5" s="1"/>
  <c r="K109" i="5" s="1"/>
  <c r="L109" i="5" s="1"/>
  <c r="H105" i="5"/>
  <c r="I105" i="5" s="1"/>
  <c r="K105" i="5" s="1"/>
  <c r="L105" i="5" s="1"/>
  <c r="H101" i="5"/>
  <c r="I101" i="5" s="1"/>
  <c r="K101" i="5" s="1"/>
  <c r="L101" i="5" s="1"/>
  <c r="H97" i="5"/>
  <c r="I97" i="5" s="1"/>
  <c r="K97" i="5" s="1"/>
  <c r="L97" i="5" s="1"/>
  <c r="H93" i="5"/>
  <c r="I93" i="5" s="1"/>
  <c r="K93" i="5" s="1"/>
  <c r="L93" i="5" s="1"/>
  <c r="H89" i="5"/>
  <c r="I89" i="5" s="1"/>
  <c r="K89" i="5" s="1"/>
  <c r="L89" i="5" s="1"/>
  <c r="H85" i="5"/>
  <c r="I85" i="5" s="1"/>
  <c r="K85" i="5" s="1"/>
  <c r="L85" i="5" s="1"/>
  <c r="H81" i="5"/>
  <c r="I81" i="5" s="1"/>
  <c r="K81" i="5" s="1"/>
  <c r="L81" i="5" s="1"/>
  <c r="H77" i="5"/>
  <c r="I77" i="5" s="1"/>
  <c r="K77" i="5" s="1"/>
  <c r="L77" i="5" s="1"/>
  <c r="H73" i="5"/>
  <c r="I73" i="5" s="1"/>
  <c r="K73" i="5" s="1"/>
  <c r="L73" i="5" s="1"/>
  <c r="H69" i="5"/>
  <c r="I69" i="5" s="1"/>
  <c r="K69" i="5" s="1"/>
  <c r="L69" i="5" s="1"/>
  <c r="H65" i="5"/>
  <c r="I65" i="5" s="1"/>
  <c r="K65" i="5" s="1"/>
  <c r="L65" i="5" s="1"/>
  <c r="H61" i="5"/>
  <c r="I61" i="5" s="1"/>
  <c r="K61" i="5" s="1"/>
  <c r="L61" i="5" s="1"/>
  <c r="H57" i="5"/>
  <c r="I57" i="5" s="1"/>
  <c r="K57" i="5" s="1"/>
  <c r="L57" i="5" s="1"/>
  <c r="H53" i="5"/>
  <c r="I53" i="5" s="1"/>
  <c r="K53" i="5" s="1"/>
  <c r="L53" i="5" s="1"/>
  <c r="H49" i="5"/>
  <c r="I49" i="5" s="1"/>
  <c r="K49" i="5" s="1"/>
  <c r="L49" i="5" s="1"/>
  <c r="H45" i="5"/>
  <c r="I45" i="5" s="1"/>
  <c r="K45" i="5" s="1"/>
  <c r="L45" i="5" s="1"/>
  <c r="H41" i="5"/>
  <c r="I41" i="5" s="1"/>
  <c r="K41" i="5" s="1"/>
  <c r="L41" i="5" s="1"/>
  <c r="H37" i="5"/>
  <c r="I37" i="5" s="1"/>
  <c r="K37" i="5" s="1"/>
  <c r="L37" i="5" s="1"/>
  <c r="H33" i="5"/>
  <c r="I33" i="5" s="1"/>
  <c r="K33" i="5" s="1"/>
  <c r="L33" i="5" s="1"/>
  <c r="H29" i="5"/>
  <c r="I29" i="5" s="1"/>
  <c r="K29" i="5" s="1"/>
  <c r="L29" i="5" s="1"/>
  <c r="H25" i="5"/>
  <c r="I25" i="5" s="1"/>
  <c r="K25" i="5" s="1"/>
  <c r="L25" i="5" s="1"/>
  <c r="H21" i="5"/>
  <c r="I21" i="5" s="1"/>
  <c r="K21" i="5" s="1"/>
  <c r="L21" i="5" s="1"/>
  <c r="H17" i="5"/>
  <c r="I17" i="5" s="1"/>
  <c r="K17" i="5" s="1"/>
  <c r="L17" i="5" s="1"/>
  <c r="H13" i="5"/>
  <c r="I13" i="5" s="1"/>
  <c r="K13" i="5" s="1"/>
  <c r="L13" i="5" s="1"/>
  <c r="H9" i="5"/>
  <c r="I9" i="5" s="1"/>
  <c r="K9" i="5" s="1"/>
  <c r="L9" i="5" s="1"/>
  <c r="H5" i="5"/>
  <c r="I5" i="5" s="1"/>
  <c r="K5" i="5" s="1"/>
  <c r="L5" i="5" s="1"/>
  <c r="K277" i="5" l="1"/>
  <c r="L277" i="5" s="1"/>
  <c r="K293" i="5"/>
  <c r="L293" i="5" s="1"/>
  <c r="K309" i="5"/>
  <c r="L309" i="5" s="1"/>
  <c r="M309" i="5" s="1"/>
  <c r="K341" i="5"/>
  <c r="L341" i="5" s="1"/>
  <c r="M341" i="5" s="1"/>
  <c r="K357" i="5"/>
  <c r="L357" i="5" s="1"/>
  <c r="K373" i="5"/>
  <c r="L373" i="5" s="1"/>
  <c r="K405" i="5"/>
  <c r="L405" i="5" s="1"/>
  <c r="K421" i="5"/>
  <c r="L421" i="5" s="1"/>
  <c r="M421" i="5" s="1"/>
  <c r="K437" i="5"/>
  <c r="L437" i="5" s="1"/>
  <c r="K469" i="5"/>
  <c r="L469" i="5" s="1"/>
  <c r="K485" i="5"/>
  <c r="L485" i="5" s="1"/>
  <c r="K730" i="5"/>
  <c r="L730" i="5" s="1"/>
  <c r="M730" i="5" s="1"/>
  <c r="K987" i="5"/>
  <c r="L987" i="5" s="1"/>
  <c r="K915" i="5"/>
  <c r="L915" i="5" s="1"/>
  <c r="K11" i="5"/>
  <c r="L11" i="5" s="1"/>
  <c r="K43" i="5"/>
  <c r="L43" i="5" s="1"/>
  <c r="M43" i="5" s="1"/>
  <c r="K75" i="5"/>
  <c r="L75" i="5" s="1"/>
  <c r="K467" i="5"/>
  <c r="L467" i="5" s="1"/>
  <c r="K499" i="5"/>
  <c r="L499" i="5" s="1"/>
  <c r="K699" i="5"/>
  <c r="L699" i="5" s="1"/>
  <c r="M699" i="5" s="1"/>
  <c r="K731" i="5"/>
  <c r="L731" i="5" s="1"/>
  <c r="K604" i="5"/>
  <c r="L604" i="5" s="1"/>
  <c r="K732" i="5"/>
  <c r="L732" i="5" s="1"/>
  <c r="M732" i="5" s="1"/>
  <c r="K924" i="5"/>
  <c r="L924" i="5" s="1"/>
  <c r="K28" i="5"/>
  <c r="L28" i="5" s="1"/>
  <c r="K60" i="5"/>
  <c r="L60" i="5" s="1"/>
  <c r="K72" i="5"/>
  <c r="L72" i="5" s="1"/>
  <c r="M72" i="5" s="1"/>
  <c r="K92" i="5"/>
  <c r="L92" i="5" s="1"/>
  <c r="K104" i="5"/>
  <c r="L104" i="5" s="1"/>
  <c r="K124" i="5"/>
  <c r="L124" i="5" s="1"/>
  <c r="K156" i="5"/>
  <c r="L156" i="5" s="1"/>
  <c r="M156" i="5" s="1"/>
  <c r="K188" i="5"/>
  <c r="L188" i="5" s="1"/>
  <c r="M188" i="5" s="1"/>
  <c r="K220" i="5"/>
  <c r="L220" i="5" s="1"/>
  <c r="K232" i="5"/>
  <c r="L232" i="5" s="1"/>
  <c r="K252" i="5"/>
  <c r="L252" i="5" s="1"/>
  <c r="K284" i="5"/>
  <c r="L284" i="5" s="1"/>
  <c r="M284" i="5" s="1"/>
  <c r="K316" i="5"/>
  <c r="L316" i="5" s="1"/>
  <c r="K495" i="5"/>
  <c r="L495" i="5" s="1"/>
  <c r="K935" i="5"/>
  <c r="L935" i="5" s="1"/>
  <c r="K772" i="5"/>
  <c r="L772" i="5" s="1"/>
  <c r="K50" i="5"/>
  <c r="L50" i="5" s="1"/>
  <c r="K82" i="5"/>
  <c r="L82" i="5" s="1"/>
  <c r="K114" i="5"/>
  <c r="L114" i="5" s="1"/>
  <c r="M114" i="5" s="1"/>
  <c r="K146" i="5"/>
  <c r="L146" i="5" s="1"/>
  <c r="M146" i="5" s="1"/>
  <c r="K178" i="5"/>
  <c r="L178" i="5" s="1"/>
  <c r="K210" i="5"/>
  <c r="L210" i="5" s="1"/>
  <c r="K274" i="5"/>
  <c r="L274" i="5" s="1"/>
  <c r="K306" i="5"/>
  <c r="L306" i="5" s="1"/>
  <c r="M306" i="5" s="1"/>
  <c r="K338" i="5"/>
  <c r="L338" i="5" s="1"/>
  <c r="K370" i="5"/>
  <c r="L370" i="5" s="1"/>
  <c r="K27" i="5"/>
  <c r="L27" i="5" s="1"/>
  <c r="M27" i="5" s="1"/>
  <c r="K451" i="5"/>
  <c r="L451" i="5" s="1"/>
  <c r="M451" i="5" s="1"/>
  <c r="K483" i="5"/>
  <c r="L483" i="5" s="1"/>
  <c r="K683" i="5"/>
  <c r="L683" i="5" s="1"/>
  <c r="K715" i="5"/>
  <c r="L715" i="5" s="1"/>
  <c r="M715" i="5" s="1"/>
  <c r="K858" i="5"/>
  <c r="L858" i="5" s="1"/>
  <c r="M858" i="5" s="1"/>
  <c r="K890" i="5"/>
  <c r="L890" i="5" s="1"/>
  <c r="K968" i="5"/>
  <c r="L968" i="5" s="1"/>
  <c r="K708" i="5"/>
  <c r="L708" i="5" s="1"/>
  <c r="M708" i="5" s="1"/>
  <c r="K34" i="5"/>
  <c r="L34" i="5" s="1"/>
  <c r="K66" i="5"/>
  <c r="L66" i="5" s="1"/>
  <c r="K98" i="5"/>
  <c r="L98" i="5" s="1"/>
  <c r="K130" i="5"/>
  <c r="L130" i="5" s="1"/>
  <c r="K162" i="5"/>
  <c r="L162" i="5" s="1"/>
  <c r="K194" i="5"/>
  <c r="L194" i="5" s="1"/>
  <c r="K226" i="5"/>
  <c r="L226" i="5" s="1"/>
  <c r="K258" i="5"/>
  <c r="L258" i="5" s="1"/>
  <c r="K290" i="5"/>
  <c r="L290" i="5" s="1"/>
  <c r="K322" i="5"/>
  <c r="L322" i="5" s="1"/>
  <c r="K386" i="5"/>
  <c r="L386" i="5" s="1"/>
  <c r="K660" i="5"/>
  <c r="L660" i="5" s="1"/>
  <c r="M660" i="5" s="1"/>
  <c r="K868" i="5"/>
  <c r="L868" i="5" s="1"/>
  <c r="M868" i="5" s="1"/>
  <c r="K867" i="5"/>
  <c r="L867" i="5" s="1"/>
  <c r="K955" i="5"/>
  <c r="L955" i="5" s="1"/>
  <c r="K348" i="5"/>
  <c r="L348" i="5" s="1"/>
  <c r="K380" i="5"/>
  <c r="L380" i="5" s="1"/>
  <c r="M380" i="5" s="1"/>
  <c r="K476" i="5"/>
  <c r="L476" i="5" s="1"/>
  <c r="K508" i="5"/>
  <c r="L508" i="5" s="1"/>
  <c r="M508" i="5" s="1"/>
  <c r="K527" i="5"/>
  <c r="L527" i="5" s="1"/>
  <c r="M527" i="5" s="1"/>
  <c r="K776" i="5"/>
  <c r="L776" i="5" s="1"/>
  <c r="M776" i="5" s="1"/>
  <c r="K265" i="5"/>
  <c r="L265" i="5" s="1"/>
  <c r="K281" i="5"/>
  <c r="L281" i="5" s="1"/>
  <c r="M281" i="5" s="1"/>
  <c r="K297" i="5"/>
  <c r="L297" i="5" s="1"/>
  <c r="M297" i="5" s="1"/>
  <c r="K313" i="5"/>
  <c r="L313" i="5" s="1"/>
  <c r="K329" i="5"/>
  <c r="L329" i="5" s="1"/>
  <c r="K345" i="5"/>
  <c r="L345" i="5" s="1"/>
  <c r="M345" i="5" s="1"/>
  <c r="K361" i="5"/>
  <c r="L361" i="5" s="1"/>
  <c r="M361" i="5" s="1"/>
  <c r="K377" i="5"/>
  <c r="L377" i="5" s="1"/>
  <c r="M377" i="5" s="1"/>
  <c r="K393" i="5"/>
  <c r="L393" i="5" s="1"/>
  <c r="K409" i="5"/>
  <c r="L409" i="5" s="1"/>
  <c r="M409" i="5" s="1"/>
  <c r="K425" i="5"/>
  <c r="L425" i="5" s="1"/>
  <c r="M425" i="5" s="1"/>
  <c r="K441" i="5"/>
  <c r="L441" i="5" s="1"/>
  <c r="K457" i="5"/>
  <c r="L457" i="5" s="1"/>
  <c r="K473" i="5"/>
  <c r="L473" i="5" s="1"/>
  <c r="M473" i="5" s="1"/>
  <c r="K891" i="5"/>
  <c r="L891" i="5" s="1"/>
  <c r="M891" i="5" s="1"/>
  <c r="K910" i="5"/>
  <c r="L910" i="5" s="1"/>
  <c r="K572" i="5"/>
  <c r="L572" i="5" s="1"/>
  <c r="K636" i="5"/>
  <c r="L636" i="5" s="1"/>
  <c r="M636" i="5" s="1"/>
  <c r="K956" i="5"/>
  <c r="L956" i="5" s="1"/>
  <c r="M956" i="5" s="1"/>
  <c r="K639" i="5"/>
  <c r="L639" i="5" s="1"/>
  <c r="M639" i="5" s="1"/>
  <c r="K648" i="5"/>
  <c r="L648" i="5" s="1"/>
  <c r="K412" i="5"/>
  <c r="L412" i="5" s="1"/>
  <c r="M412" i="5" s="1"/>
  <c r="K444" i="5"/>
  <c r="L444" i="5" s="1"/>
  <c r="M444" i="5" s="1"/>
  <c r="K540" i="5"/>
  <c r="L540" i="5" s="1"/>
  <c r="M540" i="5" s="1"/>
  <c r="K823" i="5"/>
  <c r="L823" i="5" s="1"/>
  <c r="K959" i="5"/>
  <c r="L959" i="5" s="1"/>
  <c r="M959" i="5" s="1"/>
  <c r="K991" i="5"/>
  <c r="L991" i="5" s="1"/>
  <c r="M991" i="5" s="1"/>
  <c r="K10" i="5"/>
  <c r="L10" i="5" s="1"/>
  <c r="M10" i="5" s="1"/>
  <c r="K42" i="5"/>
  <c r="L42" i="5" s="1"/>
  <c r="K74" i="5"/>
  <c r="L74" i="5" s="1"/>
  <c r="K106" i="5"/>
  <c r="L106" i="5" s="1"/>
  <c r="M106" i="5" s="1"/>
  <c r="K138" i="5"/>
  <c r="L138" i="5" s="1"/>
  <c r="K170" i="5"/>
  <c r="L170" i="5" s="1"/>
  <c r="K202" i="5"/>
  <c r="L202" i="5" s="1"/>
  <c r="K234" i="5"/>
  <c r="L234" i="5" s="1"/>
  <c r="M234" i="5" s="1"/>
  <c r="K266" i="5"/>
  <c r="L266" i="5" s="1"/>
  <c r="K298" i="5"/>
  <c r="L298" i="5" s="1"/>
  <c r="K330" i="5"/>
  <c r="L330" i="5" s="1"/>
  <c r="K906" i="5"/>
  <c r="L906" i="5" s="1"/>
  <c r="K19" i="5"/>
  <c r="L19" i="5" s="1"/>
  <c r="M19" i="5" s="1"/>
  <c r="K51" i="5"/>
  <c r="L51" i="5" s="1"/>
  <c r="K475" i="5"/>
  <c r="L475" i="5" s="1"/>
  <c r="K707" i="5"/>
  <c r="L707" i="5" s="1"/>
  <c r="M707" i="5" s="1"/>
  <c r="K739" i="5"/>
  <c r="L739" i="5" s="1"/>
  <c r="K771" i="5"/>
  <c r="L771" i="5" s="1"/>
  <c r="K936" i="5"/>
  <c r="L936" i="5" s="1"/>
  <c r="M936" i="5" s="1"/>
  <c r="K1000" i="5"/>
  <c r="L1000" i="5" s="1"/>
  <c r="M1000" i="5" s="1"/>
  <c r="K16" i="5"/>
  <c r="L16" i="5" s="1"/>
  <c r="M16" i="5" s="1"/>
  <c r="K63" i="5"/>
  <c r="L63" i="5" s="1"/>
  <c r="K80" i="5"/>
  <c r="L80" i="5" s="1"/>
  <c r="M80" i="5" s="1"/>
  <c r="K112" i="5"/>
  <c r="L112" i="5" s="1"/>
  <c r="M112" i="5" s="1"/>
  <c r="K127" i="5"/>
  <c r="L127" i="5" s="1"/>
  <c r="K159" i="5"/>
  <c r="L159" i="5" s="1"/>
  <c r="M955" i="5"/>
  <c r="M418" i="5"/>
  <c r="M482" i="5"/>
  <c r="M731" i="5"/>
  <c r="M863" i="5"/>
  <c r="M29" i="5"/>
  <c r="M61" i="5"/>
  <c r="M93" i="5"/>
  <c r="M125" i="5"/>
  <c r="M173" i="5"/>
  <c r="M205" i="5"/>
  <c r="M253" i="5"/>
  <c r="M285" i="5"/>
  <c r="M317" i="5"/>
  <c r="M349" i="5"/>
  <c r="M397" i="5"/>
  <c r="M445" i="5"/>
  <c r="M493" i="5"/>
  <c r="M525" i="5"/>
  <c r="M557" i="5"/>
  <c r="M605" i="5"/>
  <c r="M637" i="5"/>
  <c r="M685" i="5"/>
  <c r="M717" i="5"/>
  <c r="M765" i="5"/>
  <c r="M797" i="5"/>
  <c r="M829" i="5"/>
  <c r="M947" i="5"/>
  <c r="M186" i="5"/>
  <c r="M314" i="5"/>
  <c r="M410" i="5"/>
  <c r="M506" i="5"/>
  <c r="M570" i="5"/>
  <c r="M634" i="5"/>
  <c r="M794" i="5"/>
  <c r="M67" i="5"/>
  <c r="M459" i="5"/>
  <c r="M951" i="5"/>
  <c r="M354" i="5"/>
  <c r="M890" i="5"/>
  <c r="M892" i="5"/>
  <c r="M81" i="5"/>
  <c r="M145" i="5"/>
  <c r="M209" i="5"/>
  <c r="M273" i="5"/>
  <c r="M337" i="5"/>
  <c r="M433" i="5"/>
  <c r="M497" i="5"/>
  <c r="M561" i="5"/>
  <c r="M625" i="5"/>
  <c r="M689" i="5"/>
  <c r="M753" i="5"/>
  <c r="M817" i="5"/>
  <c r="M913" i="5"/>
  <c r="M907" i="5"/>
  <c r="M983" i="5"/>
  <c r="M163" i="5"/>
  <c r="M227" i="5"/>
  <c r="M259" i="5"/>
  <c r="M291" i="5"/>
  <c r="M523" i="5"/>
  <c r="M587" i="5"/>
  <c r="M651" i="5"/>
  <c r="M827" i="5"/>
  <c r="M927" i="5"/>
  <c r="M66" i="5"/>
  <c r="M194" i="5"/>
  <c r="M322" i="5"/>
  <c r="M546" i="5"/>
  <c r="M610" i="5"/>
  <c r="M674" i="5"/>
  <c r="M738" i="5"/>
  <c r="M802" i="5"/>
  <c r="M862" i="5"/>
  <c r="M926" i="5"/>
  <c r="M470" i="5"/>
  <c r="M766" i="5"/>
  <c r="M897" i="5"/>
  <c r="M981" i="5"/>
  <c r="M499" i="5"/>
  <c r="M763" i="5"/>
  <c r="M895" i="5"/>
  <c r="M963" i="5"/>
  <c r="M9" i="5"/>
  <c r="M25" i="5"/>
  <c r="M41" i="5"/>
  <c r="M57" i="5"/>
  <c r="M73" i="5"/>
  <c r="M89" i="5"/>
  <c r="M105" i="5"/>
  <c r="M121" i="5"/>
  <c r="M137" i="5"/>
  <c r="M153" i="5"/>
  <c r="M169" i="5"/>
  <c r="M185" i="5"/>
  <c r="M201" i="5"/>
  <c r="M217" i="5"/>
  <c r="M233" i="5"/>
  <c r="M249" i="5"/>
  <c r="M265" i="5"/>
  <c r="M313" i="5"/>
  <c r="M329" i="5"/>
  <c r="M393" i="5"/>
  <c r="M457" i="5"/>
  <c r="M489" i="5"/>
  <c r="M505" i="5"/>
  <c r="M521" i="5"/>
  <c r="M537" i="5"/>
  <c r="M553" i="5"/>
  <c r="M569" i="5"/>
  <c r="M585" i="5"/>
  <c r="M601" i="5"/>
  <c r="M617" i="5"/>
  <c r="M633" i="5"/>
  <c r="M649" i="5"/>
  <c r="M665" i="5"/>
  <c r="M681" i="5"/>
  <c r="M697" i="5"/>
  <c r="M713" i="5"/>
  <c r="M729" i="5"/>
  <c r="M745" i="5"/>
  <c r="M761" i="5"/>
  <c r="M777" i="5"/>
  <c r="M793" i="5"/>
  <c r="M809" i="5"/>
  <c r="M825" i="5"/>
  <c r="M841" i="5"/>
  <c r="M857" i="5"/>
  <c r="M921" i="5"/>
  <c r="M33" i="5"/>
  <c r="M65" i="5"/>
  <c r="M97" i="5"/>
  <c r="M129" i="5"/>
  <c r="M161" i="5"/>
  <c r="M193" i="5"/>
  <c r="M225" i="5"/>
  <c r="M257" i="5"/>
  <c r="M289" i="5"/>
  <c r="M321" i="5"/>
  <c r="M353" i="5"/>
  <c r="M385" i="5"/>
  <c r="M417" i="5"/>
  <c r="M449" i="5"/>
  <c r="M481" i="5"/>
  <c r="M513" i="5"/>
  <c r="M545" i="5"/>
  <c r="M577" i="5"/>
  <c r="M609" i="5"/>
  <c r="M641" i="5"/>
  <c r="M673" i="5"/>
  <c r="M705" i="5"/>
  <c r="M737" i="5"/>
  <c r="M769" i="5"/>
  <c r="M801" i="5"/>
  <c r="M833" i="5"/>
  <c r="M50" i="5"/>
  <c r="M178" i="5"/>
  <c r="M594" i="5"/>
  <c r="M722" i="5"/>
  <c r="M786" i="5"/>
  <c r="M850" i="5"/>
  <c r="M683" i="5"/>
  <c r="M979" i="5"/>
  <c r="M86" i="5"/>
  <c r="M118" i="5"/>
  <c r="M150" i="5"/>
  <c r="M182" i="5"/>
  <c r="M214" i="5"/>
  <c r="M246" i="5"/>
  <c r="M278" i="5"/>
  <c r="M310" i="5"/>
  <c r="M342" i="5"/>
  <c r="M374" i="5"/>
  <c r="M406" i="5"/>
  <c r="M443" i="5"/>
  <c r="M483" i="5"/>
  <c r="M774" i="5"/>
  <c r="M899" i="5"/>
  <c r="M946" i="5"/>
  <c r="M18" i="5"/>
  <c r="M282" i="5"/>
  <c r="M554" i="5"/>
  <c r="M818" i="5"/>
  <c r="M620" i="5"/>
  <c r="M748" i="5"/>
  <c r="M876" i="5"/>
  <c r="M13" i="5"/>
  <c r="M45" i="5"/>
  <c r="M77" i="5"/>
  <c r="M109" i="5"/>
  <c r="M141" i="5"/>
  <c r="M157" i="5"/>
  <c r="M189" i="5"/>
  <c r="M221" i="5"/>
  <c r="M237" i="5"/>
  <c r="M269" i="5"/>
  <c r="M301" i="5"/>
  <c r="M333" i="5"/>
  <c r="M365" i="5"/>
  <c r="M381" i="5"/>
  <c r="M413" i="5"/>
  <c r="M429" i="5"/>
  <c r="M461" i="5"/>
  <c r="M477" i="5"/>
  <c r="M509" i="5"/>
  <c r="M541" i="5"/>
  <c r="M573" i="5"/>
  <c r="M589" i="5"/>
  <c r="M621" i="5"/>
  <c r="M653" i="5"/>
  <c r="M669" i="5"/>
  <c r="M701" i="5"/>
  <c r="M733" i="5"/>
  <c r="M749" i="5"/>
  <c r="M781" i="5"/>
  <c r="M813" i="5"/>
  <c r="M845" i="5"/>
  <c r="M975" i="5"/>
  <c r="M58" i="5"/>
  <c r="M122" i="5"/>
  <c r="M250" i="5"/>
  <c r="M346" i="5"/>
  <c r="M474" i="5"/>
  <c r="M538" i="5"/>
  <c r="M602" i="5"/>
  <c r="M666" i="5"/>
  <c r="M922" i="5"/>
  <c r="M723" i="5"/>
  <c r="M787" i="5"/>
  <c r="M1003" i="5"/>
  <c r="M90" i="5"/>
  <c r="M618" i="5"/>
  <c r="M17" i="5"/>
  <c r="M49" i="5"/>
  <c r="M113" i="5"/>
  <c r="M177" i="5"/>
  <c r="M241" i="5"/>
  <c r="M305" i="5"/>
  <c r="M369" i="5"/>
  <c r="M401" i="5"/>
  <c r="M465" i="5"/>
  <c r="M529" i="5"/>
  <c r="M593" i="5"/>
  <c r="M657" i="5"/>
  <c r="M721" i="5"/>
  <c r="M785" i="5"/>
  <c r="M849" i="5"/>
  <c r="M945" i="5"/>
  <c r="M961" i="5"/>
  <c r="M985" i="5"/>
  <c r="M867" i="5"/>
  <c r="M909" i="5"/>
  <c r="M99" i="5"/>
  <c r="M131" i="5"/>
  <c r="M195" i="5"/>
  <c r="M323" i="5"/>
  <c r="M355" i="5"/>
  <c r="M387" i="5"/>
  <c r="M419" i="5"/>
  <c r="M555" i="5"/>
  <c r="M619" i="5"/>
  <c r="M795" i="5"/>
  <c r="M869" i="5"/>
  <c r="M98" i="5"/>
  <c r="M226" i="5"/>
  <c r="M386" i="5"/>
  <c r="M450" i="5"/>
  <c r="M514" i="5"/>
  <c r="M578" i="5"/>
  <c r="M642" i="5"/>
  <c r="M706" i="5"/>
  <c r="M770" i="5"/>
  <c r="M834" i="5"/>
  <c r="M894" i="5"/>
  <c r="M30" i="5"/>
  <c r="M70" i="5"/>
  <c r="M694" i="5"/>
  <c r="M11" i="5"/>
  <c r="M75" i="5"/>
  <c r="M467" i="5"/>
  <c r="M931" i="5"/>
  <c r="M995" i="5"/>
  <c r="M914" i="5"/>
  <c r="M984" i="5"/>
  <c r="M59" i="5"/>
  <c r="M462" i="5"/>
  <c r="M691" i="5"/>
  <c r="M755" i="5"/>
  <c r="M883" i="5"/>
  <c r="M939" i="5"/>
  <c r="M971" i="5"/>
  <c r="M154" i="5"/>
  <c r="M690" i="5"/>
  <c r="M588" i="5"/>
  <c r="M716" i="5"/>
  <c r="M844" i="5"/>
  <c r="M905" i="5"/>
  <c r="M42" i="5"/>
  <c r="M74" i="5"/>
  <c r="M170" i="5"/>
  <c r="M202" i="5"/>
  <c r="M266" i="5"/>
  <c r="M298" i="5"/>
  <c r="M330" i="5"/>
  <c r="M426" i="5"/>
  <c r="M522" i="5"/>
  <c r="M586" i="5"/>
  <c r="M650" i="5"/>
  <c r="M714" i="5"/>
  <c r="M778" i="5"/>
  <c r="M842" i="5"/>
  <c r="M874" i="5"/>
  <c r="M51" i="5"/>
  <c r="M475" i="5"/>
  <c r="M739" i="5"/>
  <c r="M771" i="5"/>
  <c r="M507" i="5"/>
  <c r="M534" i="5"/>
  <c r="M566" i="5"/>
  <c r="M598" i="5"/>
  <c r="M630" i="5"/>
  <c r="M662" i="5"/>
  <c r="M798" i="5"/>
  <c r="M830" i="5"/>
  <c r="M915" i="5"/>
  <c r="M987" i="5"/>
  <c r="M218" i="5"/>
  <c r="M754" i="5"/>
  <c r="M934" i="5"/>
  <c r="M966" i="5"/>
  <c r="M998" i="5"/>
  <c r="M604" i="5"/>
  <c r="M668" i="5"/>
  <c r="M796" i="5"/>
  <c r="M860" i="5"/>
  <c r="M924" i="5"/>
  <c r="M988" i="5"/>
  <c r="M8" i="5"/>
  <c r="M15" i="5"/>
  <c r="M28" i="5"/>
  <c r="M40" i="5"/>
  <c r="M60" i="5"/>
  <c r="M79" i="5"/>
  <c r="M87" i="5"/>
  <c r="M92" i="5"/>
  <c r="M104" i="5"/>
  <c r="K111" i="5"/>
  <c r="L111" i="5" s="1"/>
  <c r="M124" i="5"/>
  <c r="M136" i="5"/>
  <c r="M168" i="5"/>
  <c r="M200" i="5"/>
  <c r="M215" i="5"/>
  <c r="M220" i="5"/>
  <c r="M232" i="5"/>
  <c r="K239" i="5"/>
  <c r="L239" i="5" s="1"/>
  <c r="M252" i="5"/>
  <c r="M264" i="5"/>
  <c r="K271" i="5"/>
  <c r="L271" i="5" s="1"/>
  <c r="M296" i="5"/>
  <c r="M316" i="5"/>
  <c r="M328" i="5"/>
  <c r="M360" i="5"/>
  <c r="K367" i="5"/>
  <c r="L367" i="5" s="1"/>
  <c r="M392" i="5"/>
  <c r="K399" i="5"/>
  <c r="L399" i="5" s="1"/>
  <c r="M424" i="5"/>
  <c r="K431" i="5"/>
  <c r="L431" i="5" s="1"/>
  <c r="K463" i="5"/>
  <c r="L463" i="5" s="1"/>
  <c r="M476" i="5"/>
  <c r="M488" i="5"/>
  <c r="M495" i="5"/>
  <c r="K567" i="5"/>
  <c r="L567" i="5" s="1"/>
  <c r="M684" i="5"/>
  <c r="M767" i="5"/>
  <c r="M788" i="5"/>
  <c r="M800" i="5"/>
  <c r="M812" i="5"/>
  <c r="M916" i="5"/>
  <c r="M964" i="5"/>
  <c r="M938" i="5"/>
  <c r="M362" i="5"/>
  <c r="M873" i="5"/>
  <c r="M21" i="5"/>
  <c r="M53" i="5"/>
  <c r="M85" i="5"/>
  <c r="M117" i="5"/>
  <c r="M149" i="5"/>
  <c r="M181" i="5"/>
  <c r="M213" i="5"/>
  <c r="M229" i="5"/>
  <c r="M261" i="5"/>
  <c r="M293" i="5"/>
  <c r="M325" i="5"/>
  <c r="M373" i="5"/>
  <c r="M405" i="5"/>
  <c r="M437" i="5"/>
  <c r="M469" i="5"/>
  <c r="M501" i="5"/>
  <c r="M533" i="5"/>
  <c r="M565" i="5"/>
  <c r="M597" i="5"/>
  <c r="M629" i="5"/>
  <c r="M661" i="5"/>
  <c r="M709" i="5"/>
  <c r="M881" i="5"/>
  <c r="M941" i="5"/>
  <c r="M957" i="5"/>
  <c r="M973" i="5"/>
  <c r="M877" i="5"/>
  <c r="M91" i="5"/>
  <c r="M123" i="5"/>
  <c r="M155" i="5"/>
  <c r="M187" i="5"/>
  <c r="M219" i="5"/>
  <c r="M251" i="5"/>
  <c r="M283" i="5"/>
  <c r="M315" i="5"/>
  <c r="M347" i="5"/>
  <c r="M379" i="5"/>
  <c r="M411" i="5"/>
  <c r="M515" i="5"/>
  <c r="M547" i="5"/>
  <c r="M579" i="5"/>
  <c r="M611" i="5"/>
  <c r="M643" i="5"/>
  <c r="M675" i="5"/>
  <c r="M819" i="5"/>
  <c r="M851" i="5"/>
  <c r="M917" i="5"/>
  <c r="M26" i="5"/>
  <c r="M378" i="5"/>
  <c r="M442" i="5"/>
  <c r="M698" i="5"/>
  <c r="M762" i="5"/>
  <c r="M826" i="5"/>
  <c r="M22" i="5"/>
  <c r="M54" i="5"/>
  <c r="M454" i="5"/>
  <c r="M678" i="5"/>
  <c r="M750" i="5"/>
  <c r="M875" i="5"/>
  <c r="M977" i="5"/>
  <c r="M1001" i="5"/>
  <c r="M893" i="5"/>
  <c r="M968" i="5"/>
  <c r="M110" i="5"/>
  <c r="M142" i="5"/>
  <c r="M174" i="5"/>
  <c r="M206" i="5"/>
  <c r="M238" i="5"/>
  <c r="M270" i="5"/>
  <c r="M302" i="5"/>
  <c r="M334" i="5"/>
  <c r="M366" i="5"/>
  <c r="M398" i="5"/>
  <c r="M430" i="5"/>
  <c r="M478" i="5"/>
  <c r="M526" i="5"/>
  <c r="M558" i="5"/>
  <c r="M590" i="5"/>
  <c r="M622" i="5"/>
  <c r="M654" i="5"/>
  <c r="M686" i="5"/>
  <c r="M726" i="5"/>
  <c r="M747" i="5"/>
  <c r="M790" i="5"/>
  <c r="M822" i="5"/>
  <c r="M854" i="5"/>
  <c r="M879" i="5"/>
  <c r="M911" i="5"/>
  <c r="M935" i="5"/>
  <c r="M967" i="5"/>
  <c r="M999" i="5"/>
  <c r="M930" i="5"/>
  <c r="M994" i="5"/>
  <c r="M402" i="5"/>
  <c r="M466" i="5"/>
  <c r="M898" i="5"/>
  <c r="M958" i="5"/>
  <c r="M990" i="5"/>
  <c r="M908" i="5"/>
  <c r="M972" i="5"/>
  <c r="M7" i="5"/>
  <c r="M20" i="5"/>
  <c r="M32" i="5"/>
  <c r="M39" i="5"/>
  <c r="M47" i="5"/>
  <c r="M52" i="5"/>
  <c r="M64" i="5"/>
  <c r="M84" i="5"/>
  <c r="K96" i="5"/>
  <c r="L96" i="5" s="1"/>
  <c r="M116" i="5"/>
  <c r="M128" i="5"/>
  <c r="K135" i="5"/>
  <c r="L135" i="5" s="1"/>
  <c r="K143" i="5"/>
  <c r="L143" i="5" s="1"/>
  <c r="M148" i="5"/>
  <c r="M160" i="5"/>
  <c r="K167" i="5"/>
  <c r="L167" i="5" s="1"/>
  <c r="K175" i="5"/>
  <c r="L175" i="5" s="1"/>
  <c r="M180" i="5"/>
  <c r="M192" i="5"/>
  <c r="K199" i="5"/>
  <c r="L199" i="5" s="1"/>
  <c r="K207" i="5"/>
  <c r="L207" i="5" s="1"/>
  <c r="M212" i="5"/>
  <c r="M224" i="5"/>
  <c r="M244" i="5"/>
  <c r="M256" i="5"/>
  <c r="K263" i="5"/>
  <c r="L263" i="5" s="1"/>
  <c r="M276" i="5"/>
  <c r="M288" i="5"/>
  <c r="K295" i="5"/>
  <c r="L295" i="5" s="1"/>
  <c r="K303" i="5"/>
  <c r="L303" i="5" s="1"/>
  <c r="M308" i="5"/>
  <c r="M320" i="5"/>
  <c r="K327" i="5"/>
  <c r="L327" i="5" s="1"/>
  <c r="K335" i="5"/>
  <c r="L335" i="5" s="1"/>
  <c r="M340" i="5"/>
  <c r="M352" i="5"/>
  <c r="K359" i="5"/>
  <c r="L359" i="5" s="1"/>
  <c r="M372" i="5"/>
  <c r="M384" i="5"/>
  <c r="K391" i="5"/>
  <c r="L391" i="5" s="1"/>
  <c r="M404" i="5"/>
  <c r="M416" i="5"/>
  <c r="K423" i="5"/>
  <c r="L423" i="5" s="1"/>
  <c r="M436" i="5"/>
  <c r="M448" i="5"/>
  <c r="M455" i="5"/>
  <c r="M468" i="5"/>
  <c r="M480" i="5"/>
  <c r="M487" i="5"/>
  <c r="M500" i="5"/>
  <c r="M512" i="5"/>
  <c r="K519" i="5"/>
  <c r="L519" i="5" s="1"/>
  <c r="M532" i="5"/>
  <c r="M544" i="5"/>
  <c r="K552" i="5"/>
  <c r="L552" i="5" s="1"/>
  <c r="M564" i="5"/>
  <c r="M576" i="5"/>
  <c r="K599" i="5"/>
  <c r="L599" i="5" s="1"/>
  <c r="K671" i="5"/>
  <c r="L671" i="5" s="1"/>
  <c r="K680" i="5"/>
  <c r="L680" i="5" s="1"/>
  <c r="M692" i="5"/>
  <c r="M704" i="5"/>
  <c r="K727" i="5"/>
  <c r="L727" i="5" s="1"/>
  <c r="K799" i="5"/>
  <c r="L799" i="5" s="1"/>
  <c r="K808" i="5"/>
  <c r="L808" i="5" s="1"/>
  <c r="M820" i="5"/>
  <c r="M832" i="5"/>
  <c r="K855" i="5"/>
  <c r="L855" i="5" s="1"/>
  <c r="M928" i="5"/>
  <c r="M960" i="5"/>
  <c r="M992" i="5"/>
  <c r="M866" i="5"/>
  <c r="M986" i="5"/>
  <c r="M456" i="5"/>
  <c r="M520" i="5"/>
  <c r="M556" i="5"/>
  <c r="M648" i="5"/>
  <c r="M672" i="5"/>
  <c r="M695" i="5"/>
  <c r="M823" i="5"/>
  <c r="M932" i="5"/>
  <c r="M996" i="5"/>
  <c r="M1002" i="5"/>
  <c r="M242" i="5"/>
  <c r="M490" i="5"/>
  <c r="M5" i="5"/>
  <c r="M37" i="5"/>
  <c r="M69" i="5"/>
  <c r="M101" i="5"/>
  <c r="M133" i="5"/>
  <c r="M165" i="5"/>
  <c r="M197" i="5"/>
  <c r="M245" i="5"/>
  <c r="M277" i="5"/>
  <c r="M357" i="5"/>
  <c r="M389" i="5"/>
  <c r="M453" i="5"/>
  <c r="M485" i="5"/>
  <c r="M517" i="5"/>
  <c r="M549" i="5"/>
  <c r="M581" i="5"/>
  <c r="M613" i="5"/>
  <c r="M645" i="5"/>
  <c r="M677" i="5"/>
  <c r="M693" i="5"/>
  <c r="M725" i="5"/>
  <c r="M741" i="5"/>
  <c r="M757" i="5"/>
  <c r="M773" i="5"/>
  <c r="M789" i="5"/>
  <c r="M805" i="5"/>
  <c r="M821" i="5"/>
  <c r="M837" i="5"/>
  <c r="M853" i="5"/>
  <c r="M929" i="5"/>
  <c r="M949" i="5"/>
  <c r="M965" i="5"/>
  <c r="M993" i="5"/>
  <c r="M925" i="5"/>
  <c r="M107" i="5"/>
  <c r="M139" i="5"/>
  <c r="M171" i="5"/>
  <c r="M203" i="5"/>
  <c r="M235" i="5"/>
  <c r="M267" i="5"/>
  <c r="M299" i="5"/>
  <c r="M331" i="5"/>
  <c r="M363" i="5"/>
  <c r="M395" i="5"/>
  <c r="M427" i="5"/>
  <c r="M531" i="5"/>
  <c r="M563" i="5"/>
  <c r="M595" i="5"/>
  <c r="M627" i="5"/>
  <c r="M659" i="5"/>
  <c r="M803" i="5"/>
  <c r="M835" i="5"/>
  <c r="M885" i="5"/>
  <c r="M394" i="5"/>
  <c r="M458" i="5"/>
  <c r="M682" i="5"/>
  <c r="M746" i="5"/>
  <c r="M810" i="5"/>
  <c r="M6" i="5"/>
  <c r="M38" i="5"/>
  <c r="M78" i="5"/>
  <c r="M486" i="5"/>
  <c r="M710" i="5"/>
  <c r="M782" i="5"/>
  <c r="M923" i="5"/>
  <c r="M989" i="5"/>
  <c r="M35" i="5"/>
  <c r="M62" i="5"/>
  <c r="M94" i="5"/>
  <c r="M126" i="5"/>
  <c r="M158" i="5"/>
  <c r="M190" i="5"/>
  <c r="M222" i="5"/>
  <c r="M254" i="5"/>
  <c r="M286" i="5"/>
  <c r="M318" i="5"/>
  <c r="M350" i="5"/>
  <c r="M382" i="5"/>
  <c r="M414" i="5"/>
  <c r="M446" i="5"/>
  <c r="M491" i="5"/>
  <c r="M510" i="5"/>
  <c r="M542" i="5"/>
  <c r="M574" i="5"/>
  <c r="M606" i="5"/>
  <c r="M638" i="5"/>
  <c r="M670" i="5"/>
  <c r="M718" i="5"/>
  <c r="M758" i="5"/>
  <c r="M779" i="5"/>
  <c r="M806" i="5"/>
  <c r="M838" i="5"/>
  <c r="M886" i="5"/>
  <c r="M902" i="5"/>
  <c r="M918" i="5"/>
  <c r="M943" i="5"/>
  <c r="M889" i="5"/>
  <c r="M962" i="5"/>
  <c r="M370" i="5"/>
  <c r="M434" i="5"/>
  <c r="M942" i="5"/>
  <c r="M974" i="5"/>
  <c r="M940" i="5"/>
  <c r="M4" i="5"/>
  <c r="M23" i="5"/>
  <c r="M31" i="5"/>
  <c r="K36" i="5"/>
  <c r="L36" i="5" s="1"/>
  <c r="K48" i="5"/>
  <c r="L48" i="5" s="1"/>
  <c r="M55" i="5"/>
  <c r="M63" i="5"/>
  <c r="K68" i="5"/>
  <c r="L68" i="5" s="1"/>
  <c r="K100" i="5"/>
  <c r="L100" i="5" s="1"/>
  <c r="K119" i="5"/>
  <c r="L119" i="5" s="1"/>
  <c r="K132" i="5"/>
  <c r="L132" i="5" s="1"/>
  <c r="K144" i="5"/>
  <c r="L144" i="5" s="1"/>
  <c r="K151" i="5"/>
  <c r="L151" i="5" s="1"/>
  <c r="M159" i="5"/>
  <c r="K164" i="5"/>
  <c r="L164" i="5" s="1"/>
  <c r="K607" i="5"/>
  <c r="L607" i="5" s="1"/>
  <c r="K616" i="5"/>
  <c r="L616" i="5" s="1"/>
  <c r="M628" i="5"/>
  <c r="M640" i="5"/>
  <c r="M652" i="5"/>
  <c r="K663" i="5"/>
  <c r="L663" i="5" s="1"/>
  <c r="M735" i="5"/>
  <c r="K744" i="5"/>
  <c r="L744" i="5" s="1"/>
  <c r="M756" i="5"/>
  <c r="M768" i="5"/>
  <c r="M780" i="5"/>
  <c r="K791" i="5"/>
  <c r="L791" i="5" s="1"/>
  <c r="M864" i="5"/>
  <c r="M888" i="5"/>
  <c r="K903" i="5"/>
  <c r="L903" i="5" s="1"/>
  <c r="K919" i="5"/>
  <c r="L919" i="5" s="1"/>
  <c r="M944" i="5"/>
  <c r="M976" i="5"/>
  <c r="M882" i="5"/>
  <c r="M530" i="5"/>
  <c r="M658" i="5"/>
  <c r="M865" i="5"/>
  <c r="M937" i="5"/>
  <c r="M953" i="5"/>
  <c r="M969" i="5"/>
  <c r="M83" i="5"/>
  <c r="M115" i="5"/>
  <c r="M147" i="5"/>
  <c r="M179" i="5"/>
  <c r="M211" i="5"/>
  <c r="M243" i="5"/>
  <c r="M275" i="5"/>
  <c r="M307" i="5"/>
  <c r="M339" i="5"/>
  <c r="M371" i="5"/>
  <c r="M403" i="5"/>
  <c r="M435" i="5"/>
  <c r="M539" i="5"/>
  <c r="M571" i="5"/>
  <c r="M603" i="5"/>
  <c r="M635" i="5"/>
  <c r="M667" i="5"/>
  <c r="M811" i="5"/>
  <c r="M843" i="5"/>
  <c r="M901" i="5"/>
  <c r="M82" i="5"/>
  <c r="M210" i="5"/>
  <c r="M274" i="5"/>
  <c r="M338" i="5"/>
  <c r="M498" i="5"/>
  <c r="M562" i="5"/>
  <c r="M626" i="5"/>
  <c r="M878" i="5"/>
  <c r="M14" i="5"/>
  <c r="M46" i="5"/>
  <c r="M438" i="5"/>
  <c r="M502" i="5"/>
  <c r="M734" i="5"/>
  <c r="M859" i="5"/>
  <c r="M933" i="5"/>
  <c r="M997" i="5"/>
  <c r="M861" i="5"/>
  <c r="M952" i="5"/>
  <c r="M102" i="5"/>
  <c r="M134" i="5"/>
  <c r="M166" i="5"/>
  <c r="M198" i="5"/>
  <c r="M230" i="5"/>
  <c r="M262" i="5"/>
  <c r="M294" i="5"/>
  <c r="M326" i="5"/>
  <c r="M358" i="5"/>
  <c r="M390" i="5"/>
  <c r="M422" i="5"/>
  <c r="M494" i="5"/>
  <c r="M518" i="5"/>
  <c r="M550" i="5"/>
  <c r="M582" i="5"/>
  <c r="M614" i="5"/>
  <c r="M646" i="5"/>
  <c r="M702" i="5"/>
  <c r="M742" i="5"/>
  <c r="M814" i="5"/>
  <c r="M846" i="5"/>
  <c r="M870" i="5"/>
  <c r="M978" i="5"/>
  <c r="M950" i="5"/>
  <c r="M982" i="5"/>
  <c r="M572" i="5"/>
  <c r="M700" i="5"/>
  <c r="M764" i="5"/>
  <c r="M828" i="5"/>
  <c r="K12" i="5"/>
  <c r="L12" i="5" s="1"/>
  <c r="K24" i="5"/>
  <c r="L24" i="5" s="1"/>
  <c r="K44" i="5"/>
  <c r="L44" i="5" s="1"/>
  <c r="K56" i="5"/>
  <c r="L56" i="5" s="1"/>
  <c r="M71" i="5"/>
  <c r="K76" i="5"/>
  <c r="L76" i="5" s="1"/>
  <c r="K88" i="5"/>
  <c r="L88" i="5" s="1"/>
  <c r="K575" i="5"/>
  <c r="L575" i="5" s="1"/>
  <c r="K584" i="5"/>
  <c r="L584" i="5" s="1"/>
  <c r="M596" i="5"/>
  <c r="M608" i="5"/>
  <c r="K631" i="5"/>
  <c r="L631" i="5" s="1"/>
  <c r="K703" i="5"/>
  <c r="L703" i="5" s="1"/>
  <c r="K712" i="5"/>
  <c r="L712" i="5" s="1"/>
  <c r="M724" i="5"/>
  <c r="M736" i="5"/>
  <c r="K759" i="5"/>
  <c r="L759" i="5" s="1"/>
  <c r="K831" i="5"/>
  <c r="L831" i="5" s="1"/>
  <c r="K840" i="5"/>
  <c r="L840" i="5" s="1"/>
  <c r="M852" i="5"/>
  <c r="M880" i="5"/>
  <c r="K904" i="5"/>
  <c r="L904" i="5" s="1"/>
  <c r="M948" i="5"/>
  <c r="M980" i="5"/>
  <c r="K95" i="5"/>
  <c r="L95" i="5" s="1"/>
  <c r="K103" i="5"/>
  <c r="L103" i="5" s="1"/>
  <c r="K108" i="5"/>
  <c r="L108" i="5" s="1"/>
  <c r="K120" i="5"/>
  <c r="L120" i="5" s="1"/>
  <c r="K140" i="5"/>
  <c r="L140" i="5" s="1"/>
  <c r="K152" i="5"/>
  <c r="L152" i="5" s="1"/>
  <c r="K172" i="5"/>
  <c r="L172" i="5" s="1"/>
  <c r="K184" i="5"/>
  <c r="L184" i="5" s="1"/>
  <c r="K204" i="5"/>
  <c r="L204" i="5" s="1"/>
  <c r="K216" i="5"/>
  <c r="L216" i="5" s="1"/>
  <c r="K223" i="5"/>
  <c r="L223" i="5" s="1"/>
  <c r="K231" i="5"/>
  <c r="L231" i="5" s="1"/>
  <c r="K236" i="5"/>
  <c r="L236" i="5" s="1"/>
  <c r="K248" i="5"/>
  <c r="L248" i="5" s="1"/>
  <c r="K268" i="5"/>
  <c r="L268" i="5" s="1"/>
  <c r="K280" i="5"/>
  <c r="L280" i="5" s="1"/>
  <c r="K300" i="5"/>
  <c r="L300" i="5" s="1"/>
  <c r="K312" i="5"/>
  <c r="L312" i="5" s="1"/>
  <c r="K332" i="5"/>
  <c r="L332" i="5" s="1"/>
  <c r="K344" i="5"/>
  <c r="L344" i="5" s="1"/>
  <c r="K351" i="5"/>
  <c r="L351" i="5" s="1"/>
  <c r="K364" i="5"/>
  <c r="L364" i="5" s="1"/>
  <c r="K376" i="5"/>
  <c r="L376" i="5" s="1"/>
  <c r="K383" i="5"/>
  <c r="L383" i="5" s="1"/>
  <c r="K396" i="5"/>
  <c r="L396" i="5" s="1"/>
  <c r="K408" i="5"/>
  <c r="L408" i="5" s="1"/>
  <c r="K415" i="5"/>
  <c r="L415" i="5" s="1"/>
  <c r="K428" i="5"/>
  <c r="L428" i="5" s="1"/>
  <c r="K440" i="5"/>
  <c r="L440" i="5" s="1"/>
  <c r="K447" i="5"/>
  <c r="L447" i="5" s="1"/>
  <c r="K460" i="5"/>
  <c r="L460" i="5" s="1"/>
  <c r="K472" i="5"/>
  <c r="L472" i="5" s="1"/>
  <c r="K479" i="5"/>
  <c r="L479" i="5" s="1"/>
  <c r="K492" i="5"/>
  <c r="L492" i="5" s="1"/>
  <c r="K504" i="5"/>
  <c r="L504" i="5" s="1"/>
  <c r="K511" i="5"/>
  <c r="L511" i="5" s="1"/>
  <c r="K524" i="5"/>
  <c r="L524" i="5" s="1"/>
  <c r="K536" i="5"/>
  <c r="L536" i="5" s="1"/>
  <c r="K551" i="5"/>
  <c r="L551" i="5" s="1"/>
  <c r="M560" i="5"/>
  <c r="K583" i="5"/>
  <c r="L583" i="5" s="1"/>
  <c r="M592" i="5"/>
  <c r="K615" i="5"/>
  <c r="L615" i="5" s="1"/>
  <c r="M624" i="5"/>
  <c r="K647" i="5"/>
  <c r="L647" i="5" s="1"/>
  <c r="M656" i="5"/>
  <c r="M679" i="5"/>
  <c r="M688" i="5"/>
  <c r="M711" i="5"/>
  <c r="M720" i="5"/>
  <c r="K743" i="5"/>
  <c r="L743" i="5" s="1"/>
  <c r="M752" i="5"/>
  <c r="K775" i="5"/>
  <c r="L775" i="5" s="1"/>
  <c r="M784" i="5"/>
  <c r="K807" i="5"/>
  <c r="L807" i="5" s="1"/>
  <c r="M816" i="5"/>
  <c r="K839" i="5"/>
  <c r="L839" i="5" s="1"/>
  <c r="M848" i="5"/>
  <c r="K872" i="5"/>
  <c r="L872" i="5" s="1"/>
  <c r="K887" i="5"/>
  <c r="L887" i="5" s="1"/>
  <c r="M900" i="5"/>
  <c r="M912" i="5"/>
  <c r="M970" i="5"/>
  <c r="K176" i="5"/>
  <c r="L176" i="5" s="1"/>
  <c r="K183" i="5"/>
  <c r="L183" i="5" s="1"/>
  <c r="K191" i="5"/>
  <c r="L191" i="5" s="1"/>
  <c r="K196" i="5"/>
  <c r="L196" i="5" s="1"/>
  <c r="K208" i="5"/>
  <c r="L208" i="5" s="1"/>
  <c r="K228" i="5"/>
  <c r="L228" i="5" s="1"/>
  <c r="K240" i="5"/>
  <c r="L240" i="5" s="1"/>
  <c r="K247" i="5"/>
  <c r="L247" i="5" s="1"/>
  <c r="K255" i="5"/>
  <c r="L255" i="5" s="1"/>
  <c r="K260" i="5"/>
  <c r="L260" i="5" s="1"/>
  <c r="K272" i="5"/>
  <c r="L272" i="5" s="1"/>
  <c r="K279" i="5"/>
  <c r="L279" i="5" s="1"/>
  <c r="K287" i="5"/>
  <c r="L287" i="5" s="1"/>
  <c r="K292" i="5"/>
  <c r="L292" i="5" s="1"/>
  <c r="K304" i="5"/>
  <c r="L304" i="5" s="1"/>
  <c r="K311" i="5"/>
  <c r="L311" i="5" s="1"/>
  <c r="K319" i="5"/>
  <c r="L319" i="5" s="1"/>
  <c r="K324" i="5"/>
  <c r="L324" i="5" s="1"/>
  <c r="K336" i="5"/>
  <c r="L336" i="5" s="1"/>
  <c r="K343" i="5"/>
  <c r="L343" i="5" s="1"/>
  <c r="K356" i="5"/>
  <c r="L356" i="5" s="1"/>
  <c r="K368" i="5"/>
  <c r="L368" i="5" s="1"/>
  <c r="K375" i="5"/>
  <c r="L375" i="5" s="1"/>
  <c r="K388" i="5"/>
  <c r="L388" i="5" s="1"/>
  <c r="K400" i="5"/>
  <c r="L400" i="5" s="1"/>
  <c r="K407" i="5"/>
  <c r="L407" i="5" s="1"/>
  <c r="K420" i="5"/>
  <c r="L420" i="5" s="1"/>
  <c r="K432" i="5"/>
  <c r="L432" i="5" s="1"/>
  <c r="M439" i="5"/>
  <c r="K452" i="5"/>
  <c r="L452" i="5" s="1"/>
  <c r="K464" i="5"/>
  <c r="L464" i="5" s="1"/>
  <c r="M471" i="5"/>
  <c r="K484" i="5"/>
  <c r="L484" i="5" s="1"/>
  <c r="K496" i="5"/>
  <c r="L496" i="5" s="1"/>
  <c r="M503" i="5"/>
  <c r="K516" i="5"/>
  <c r="L516" i="5" s="1"/>
  <c r="K528" i="5"/>
  <c r="L528" i="5" s="1"/>
  <c r="K535" i="5"/>
  <c r="L535" i="5" s="1"/>
  <c r="K543" i="5"/>
  <c r="L543" i="5" s="1"/>
  <c r="K548" i="5"/>
  <c r="L548" i="5" s="1"/>
  <c r="K559" i="5"/>
  <c r="L559" i="5" s="1"/>
  <c r="K568" i="5"/>
  <c r="L568" i="5" s="1"/>
  <c r="M580" i="5"/>
  <c r="K591" i="5"/>
  <c r="L591" i="5" s="1"/>
  <c r="K600" i="5"/>
  <c r="L600" i="5" s="1"/>
  <c r="M612" i="5"/>
  <c r="K623" i="5"/>
  <c r="L623" i="5" s="1"/>
  <c r="K632" i="5"/>
  <c r="L632" i="5" s="1"/>
  <c r="M644" i="5"/>
  <c r="K655" i="5"/>
  <c r="L655" i="5" s="1"/>
  <c r="K664" i="5"/>
  <c r="L664" i="5" s="1"/>
  <c r="M676" i="5"/>
  <c r="K687" i="5"/>
  <c r="L687" i="5" s="1"/>
  <c r="K696" i="5"/>
  <c r="L696" i="5" s="1"/>
  <c r="K719" i="5"/>
  <c r="L719" i="5" s="1"/>
  <c r="K728" i="5"/>
  <c r="L728" i="5" s="1"/>
  <c r="M740" i="5"/>
  <c r="M751" i="5"/>
  <c r="K760" i="5"/>
  <c r="L760" i="5" s="1"/>
  <c r="M783" i="5"/>
  <c r="K792" i="5"/>
  <c r="L792" i="5" s="1"/>
  <c r="M804" i="5"/>
  <c r="K815" i="5"/>
  <c r="L815" i="5" s="1"/>
  <c r="K824" i="5"/>
  <c r="L824" i="5" s="1"/>
  <c r="M836" i="5"/>
  <c r="K847" i="5"/>
  <c r="L847" i="5" s="1"/>
  <c r="K856" i="5"/>
  <c r="L856" i="5" s="1"/>
  <c r="K871" i="5"/>
  <c r="L871" i="5" s="1"/>
  <c r="M884" i="5"/>
  <c r="M896" i="5"/>
  <c r="K920" i="5"/>
  <c r="L920" i="5" s="1"/>
  <c r="M954" i="5"/>
  <c r="P5" i="5" l="1"/>
  <c r="P9" i="5"/>
  <c r="P6" i="5"/>
  <c r="P10" i="5"/>
  <c r="P7" i="5"/>
  <c r="P8" i="5"/>
  <c r="AB4" i="5" s="1"/>
  <c r="P11" i="5"/>
  <c r="P4" i="5"/>
  <c r="M772" i="5"/>
  <c r="M127" i="5"/>
  <c r="M138" i="5"/>
  <c r="M290" i="5"/>
  <c r="M162" i="5"/>
  <c r="M34" i="5"/>
  <c r="M910" i="5"/>
  <c r="M441" i="5"/>
  <c r="M130" i="5"/>
  <c r="M348" i="5"/>
  <c r="M258" i="5"/>
  <c r="M906" i="5"/>
  <c r="M824" i="5"/>
  <c r="M792" i="5"/>
  <c r="M548" i="5"/>
  <c r="M484" i="5"/>
  <c r="M452" i="5"/>
  <c r="M375" i="5"/>
  <c r="M272" i="5"/>
  <c r="M191" i="5"/>
  <c r="M807" i="5"/>
  <c r="M615" i="5"/>
  <c r="M524" i="5"/>
  <c r="M440" i="5"/>
  <c r="M396" i="5"/>
  <c r="M300" i="5"/>
  <c r="M204" i="5"/>
  <c r="M95" i="5"/>
  <c r="M56" i="5"/>
  <c r="M132" i="5"/>
  <c r="M855" i="5"/>
  <c r="M519" i="5"/>
  <c r="M335" i="5"/>
  <c r="M167" i="5"/>
  <c r="M431" i="5"/>
  <c r="M239" i="5"/>
  <c r="M324" i="5"/>
  <c r="M260" i="5"/>
  <c r="M839" i="5"/>
  <c r="M511" i="5"/>
  <c r="M383" i="5"/>
  <c r="M280" i="5"/>
  <c r="M184" i="5"/>
  <c r="M904" i="5"/>
  <c r="M831" i="5"/>
  <c r="M76" i="5"/>
  <c r="M616" i="5"/>
  <c r="M207" i="5"/>
  <c r="M399" i="5"/>
  <c r="M920" i="5"/>
  <c r="M728" i="5"/>
  <c r="M696" i="5"/>
  <c r="M664" i="5"/>
  <c r="M632" i="5"/>
  <c r="M600" i="5"/>
  <c r="M568" i="5"/>
  <c r="M535" i="5"/>
  <c r="M400" i="5"/>
  <c r="M356" i="5"/>
  <c r="M319" i="5"/>
  <c r="M287" i="5"/>
  <c r="M255" i="5"/>
  <c r="M208" i="5"/>
  <c r="M176" i="5"/>
  <c r="M872" i="5"/>
  <c r="M743" i="5"/>
  <c r="M551" i="5"/>
  <c r="M504" i="5"/>
  <c r="M460" i="5"/>
  <c r="M415" i="5"/>
  <c r="M376" i="5"/>
  <c r="M332" i="5"/>
  <c r="M268" i="5"/>
  <c r="M223" i="5"/>
  <c r="M172" i="5"/>
  <c r="M108" i="5"/>
  <c r="M759" i="5"/>
  <c r="M584" i="5"/>
  <c r="M24" i="5"/>
  <c r="M919" i="5"/>
  <c r="M663" i="5"/>
  <c r="M607" i="5"/>
  <c r="M151" i="5"/>
  <c r="M100" i="5"/>
  <c r="M48" i="5"/>
  <c r="M799" i="5"/>
  <c r="M599" i="5"/>
  <c r="M391" i="5"/>
  <c r="M303" i="5"/>
  <c r="M199" i="5"/>
  <c r="M135" i="5"/>
  <c r="M567" i="5"/>
  <c r="M367" i="5"/>
  <c r="M856" i="5"/>
  <c r="M516" i="5"/>
  <c r="M420" i="5"/>
  <c r="M336" i="5"/>
  <c r="M304" i="5"/>
  <c r="M240" i="5"/>
  <c r="M479" i="5"/>
  <c r="M351" i="5"/>
  <c r="M236" i="5"/>
  <c r="M140" i="5"/>
  <c r="M840" i="5"/>
  <c r="M703" i="5"/>
  <c r="M88" i="5"/>
  <c r="M791" i="5"/>
  <c r="M680" i="5"/>
  <c r="M263" i="5"/>
  <c r="M847" i="5"/>
  <c r="M815" i="5"/>
  <c r="M760" i="5"/>
  <c r="M543" i="5"/>
  <c r="M407" i="5"/>
  <c r="M368" i="5"/>
  <c r="M292" i="5"/>
  <c r="M228" i="5"/>
  <c r="M183" i="5"/>
  <c r="M887" i="5"/>
  <c r="M647" i="5"/>
  <c r="M472" i="5"/>
  <c r="M428" i="5"/>
  <c r="M344" i="5"/>
  <c r="M231" i="5"/>
  <c r="M120" i="5"/>
  <c r="M631" i="5"/>
  <c r="M44" i="5"/>
  <c r="M68" i="5"/>
  <c r="M808" i="5"/>
  <c r="M671" i="5"/>
  <c r="M423" i="5"/>
  <c r="M327" i="5"/>
  <c r="M143" i="5"/>
  <c r="M871" i="5"/>
  <c r="M719" i="5"/>
  <c r="M687" i="5"/>
  <c r="M655" i="5"/>
  <c r="M623" i="5"/>
  <c r="M591" i="5"/>
  <c r="M559" i="5"/>
  <c r="M528" i="5"/>
  <c r="M496" i="5"/>
  <c r="M464" i="5"/>
  <c r="M432" i="5"/>
  <c r="M388" i="5"/>
  <c r="M343" i="5"/>
  <c r="M311" i="5"/>
  <c r="M279" i="5"/>
  <c r="M247" i="5"/>
  <c r="M196" i="5"/>
  <c r="M775" i="5"/>
  <c r="M583" i="5"/>
  <c r="M536" i="5"/>
  <c r="M492" i="5"/>
  <c r="M447" i="5"/>
  <c r="M408" i="5"/>
  <c r="M364" i="5"/>
  <c r="M312" i="5"/>
  <c r="M248" i="5"/>
  <c r="M216" i="5"/>
  <c r="M152" i="5"/>
  <c r="M103" i="5"/>
  <c r="M712" i="5"/>
  <c r="M575" i="5"/>
  <c r="M12" i="5"/>
  <c r="M903" i="5"/>
  <c r="M744" i="5"/>
  <c r="M164" i="5"/>
  <c r="M144" i="5"/>
  <c r="M119" i="5"/>
  <c r="M36" i="5"/>
  <c r="M727" i="5"/>
  <c r="M552" i="5"/>
  <c r="M359" i="5"/>
  <c r="M295" i="5"/>
  <c r="M175" i="5"/>
  <c r="M96" i="5"/>
  <c r="M463" i="5"/>
  <c r="M271" i="5"/>
  <c r="M111" i="5"/>
  <c r="P21" i="5" l="1"/>
  <c r="P18" i="5"/>
  <c r="P34" i="5"/>
  <c r="P50" i="5"/>
  <c r="P66" i="5"/>
  <c r="AB16" i="5" s="1"/>
  <c r="P82" i="5"/>
  <c r="P98" i="5"/>
  <c r="P114" i="5"/>
  <c r="AB34" i="5" s="1"/>
  <c r="P130" i="5"/>
  <c r="P146" i="5"/>
  <c r="P162" i="5"/>
  <c r="P178" i="5"/>
  <c r="P194" i="5"/>
  <c r="P210" i="5"/>
  <c r="P226" i="5"/>
  <c r="P242" i="5"/>
  <c r="P258" i="5"/>
  <c r="P274" i="5"/>
  <c r="P290" i="5"/>
  <c r="P306" i="5"/>
  <c r="P322" i="5"/>
  <c r="P338" i="5"/>
  <c r="P23" i="5"/>
  <c r="P44" i="5"/>
  <c r="P65" i="5"/>
  <c r="P87" i="5"/>
  <c r="P108" i="5"/>
  <c r="AB32" i="5" s="1"/>
  <c r="P129" i="5"/>
  <c r="P151" i="5"/>
  <c r="AB55" i="5" s="1"/>
  <c r="P172" i="5"/>
  <c r="P193" i="5"/>
  <c r="P215" i="5"/>
  <c r="P236" i="5"/>
  <c r="P257" i="5"/>
  <c r="P279" i="5"/>
  <c r="P300" i="5"/>
  <c r="P321" i="5"/>
  <c r="P343" i="5"/>
  <c r="P359" i="5"/>
  <c r="P375" i="5"/>
  <c r="P391" i="5"/>
  <c r="P407" i="5"/>
  <c r="P423" i="5"/>
  <c r="P16" i="5"/>
  <c r="P40" i="5"/>
  <c r="P61" i="5"/>
  <c r="P83" i="5"/>
  <c r="AB21" i="5" s="1"/>
  <c r="P104" i="5"/>
  <c r="P125" i="5"/>
  <c r="P147" i="5"/>
  <c r="AB53" i="5" s="1"/>
  <c r="P168" i="5"/>
  <c r="AB66" i="5" s="1"/>
  <c r="P189" i="5"/>
  <c r="P211" i="5"/>
  <c r="P232" i="5"/>
  <c r="P253" i="5"/>
  <c r="P275" i="5"/>
  <c r="P296" i="5"/>
  <c r="P317" i="5"/>
  <c r="P339" i="5"/>
  <c r="P356" i="5"/>
  <c r="P372" i="5"/>
  <c r="P388" i="5"/>
  <c r="P404" i="5"/>
  <c r="P420" i="5"/>
  <c r="P57" i="5"/>
  <c r="P100" i="5"/>
  <c r="P143" i="5"/>
  <c r="P185" i="5"/>
  <c r="P228" i="5"/>
  <c r="P271" i="5"/>
  <c r="P313" i="5"/>
  <c r="P353" i="5"/>
  <c r="P385" i="5"/>
  <c r="P417" i="5"/>
  <c r="P441" i="5"/>
  <c r="P457" i="5"/>
  <c r="P473" i="5"/>
  <c r="P489" i="5"/>
  <c r="P505" i="5"/>
  <c r="P521" i="5"/>
  <c r="P537" i="5"/>
  <c r="P553" i="5"/>
  <c r="P569" i="5"/>
  <c r="P585" i="5"/>
  <c r="P601" i="5"/>
  <c r="P617" i="5"/>
  <c r="P633" i="5"/>
  <c r="P649" i="5"/>
  <c r="P665" i="5"/>
  <c r="P681" i="5"/>
  <c r="P697" i="5"/>
  <c r="P713" i="5"/>
  <c r="P729" i="5"/>
  <c r="P745" i="5"/>
  <c r="P761" i="5"/>
  <c r="P777" i="5"/>
  <c r="P793" i="5"/>
  <c r="P809" i="5"/>
  <c r="P825" i="5"/>
  <c r="P841" i="5"/>
  <c r="P857" i="5"/>
  <c r="P873" i="5"/>
  <c r="P889" i="5"/>
  <c r="P905" i="5"/>
  <c r="P921" i="5"/>
  <c r="P937" i="5"/>
  <c r="P37" i="5"/>
  <c r="P80" i="5"/>
  <c r="P123" i="5"/>
  <c r="AB38" i="5" s="1"/>
  <c r="P165" i="5"/>
  <c r="P208" i="5"/>
  <c r="P251" i="5"/>
  <c r="P293" i="5"/>
  <c r="P336" i="5"/>
  <c r="P370" i="5"/>
  <c r="P402" i="5"/>
  <c r="P434" i="5"/>
  <c r="P450" i="5"/>
  <c r="P466" i="5"/>
  <c r="P482" i="5"/>
  <c r="P498" i="5"/>
  <c r="P514" i="5"/>
  <c r="P530" i="5"/>
  <c r="P546" i="5"/>
  <c r="P562" i="5"/>
  <c r="P578" i="5"/>
  <c r="P594" i="5"/>
  <c r="P610" i="5"/>
  <c r="P626" i="5"/>
  <c r="P642" i="5"/>
  <c r="P658" i="5"/>
  <c r="P674" i="5"/>
  <c r="P690" i="5"/>
  <c r="P706" i="5"/>
  <c r="P722" i="5"/>
  <c r="P738" i="5"/>
  <c r="P754" i="5"/>
  <c r="P770" i="5"/>
  <c r="P786" i="5"/>
  <c r="P802" i="5"/>
  <c r="P818" i="5"/>
  <c r="P834" i="5"/>
  <c r="P850" i="5"/>
  <c r="P866" i="5"/>
  <c r="P882" i="5"/>
  <c r="P898" i="5"/>
  <c r="P914" i="5"/>
  <c r="P930" i="5"/>
  <c r="P19" i="5"/>
  <c r="P105" i="5"/>
  <c r="AB31" i="5" s="1"/>
  <c r="P191" i="5"/>
  <c r="P276" i="5"/>
  <c r="P357" i="5"/>
  <c r="P421" i="5"/>
  <c r="P459" i="5"/>
  <c r="P491" i="5"/>
  <c r="P523" i="5"/>
  <c r="P555" i="5"/>
  <c r="P587" i="5"/>
  <c r="P619" i="5"/>
  <c r="P651" i="5"/>
  <c r="P683" i="5"/>
  <c r="P715" i="5"/>
  <c r="P747" i="5"/>
  <c r="P779" i="5"/>
  <c r="P811" i="5"/>
  <c r="P843" i="5"/>
  <c r="P875" i="5"/>
  <c r="P907" i="5"/>
  <c r="P939" i="5"/>
  <c r="P957" i="5"/>
  <c r="P973" i="5"/>
  <c r="P989" i="5"/>
  <c r="P85" i="5"/>
  <c r="AB22" i="5" s="1"/>
  <c r="P171" i="5"/>
  <c r="AB67" i="5" s="1"/>
  <c r="P256" i="5"/>
  <c r="P341" i="5"/>
  <c r="P406" i="5"/>
  <c r="P452" i="5"/>
  <c r="P484" i="5"/>
  <c r="P516" i="5"/>
  <c r="P548" i="5"/>
  <c r="P580" i="5"/>
  <c r="P612" i="5"/>
  <c r="P644" i="5"/>
  <c r="P676" i="5"/>
  <c r="P708" i="5"/>
  <c r="P740" i="5"/>
  <c r="P772" i="5"/>
  <c r="P804" i="5"/>
  <c r="P836" i="5"/>
  <c r="P868" i="5"/>
  <c r="P900" i="5"/>
  <c r="P932" i="5"/>
  <c r="P954" i="5"/>
  <c r="P970" i="5"/>
  <c r="P986" i="5"/>
  <c r="P1002" i="5"/>
  <c r="P159" i="5"/>
  <c r="P329" i="5"/>
  <c r="P447" i="5"/>
  <c r="P511" i="5"/>
  <c r="P575" i="5"/>
  <c r="P639" i="5"/>
  <c r="P703" i="5"/>
  <c r="P767" i="5"/>
  <c r="P831" i="5"/>
  <c r="P895" i="5"/>
  <c r="P951" i="5"/>
  <c r="P983" i="5"/>
  <c r="P888" i="5"/>
  <c r="P32" i="5"/>
  <c r="AB8" i="5" s="1"/>
  <c r="P203" i="5"/>
  <c r="P366" i="5"/>
  <c r="P464" i="5"/>
  <c r="P528" i="5"/>
  <c r="P592" i="5"/>
  <c r="P656" i="5"/>
  <c r="P720" i="5"/>
  <c r="P784" i="5"/>
  <c r="P848" i="5"/>
  <c r="P912" i="5"/>
  <c r="P960" i="5"/>
  <c r="P992" i="5"/>
  <c r="P137" i="5"/>
  <c r="P308" i="5"/>
  <c r="P439" i="5"/>
  <c r="P503" i="5"/>
  <c r="P567" i="5"/>
  <c r="P631" i="5"/>
  <c r="P695" i="5"/>
  <c r="P759" i="5"/>
  <c r="P823" i="5"/>
  <c r="P887" i="5"/>
  <c r="P947" i="5"/>
  <c r="P979" i="5"/>
  <c r="P53" i="5"/>
  <c r="AB13" i="5" s="1"/>
  <c r="P267" i="5"/>
  <c r="P414" i="5"/>
  <c r="P488" i="5"/>
  <c r="P552" i="5"/>
  <c r="P616" i="5"/>
  <c r="P680" i="5"/>
  <c r="P744" i="5"/>
  <c r="P808" i="5"/>
  <c r="P872" i="5"/>
  <c r="P948" i="5"/>
  <c r="P1004" i="5"/>
  <c r="P202" i="5"/>
  <c r="P380" i="5"/>
  <c r="P36" i="5"/>
  <c r="AB9" i="5" s="1"/>
  <c r="P164" i="5"/>
  <c r="AB64" i="5" s="1"/>
  <c r="P249" i="5"/>
  <c r="P335" i="5"/>
  <c r="P401" i="5"/>
  <c r="P449" i="5"/>
  <c r="P481" i="5"/>
  <c r="P513" i="5"/>
  <c r="P545" i="5"/>
  <c r="P577" i="5"/>
  <c r="P609" i="5"/>
  <c r="P641" i="5"/>
  <c r="P673" i="5"/>
  <c r="P705" i="5"/>
  <c r="P737" i="5"/>
  <c r="P769" i="5"/>
  <c r="P801" i="5"/>
  <c r="P833" i="5"/>
  <c r="P865" i="5"/>
  <c r="P897" i="5"/>
  <c r="P929" i="5"/>
  <c r="P59" i="5"/>
  <c r="P144" i="5"/>
  <c r="P187" i="5"/>
  <c r="P272" i="5"/>
  <c r="P354" i="5"/>
  <c r="P418" i="5"/>
  <c r="P458" i="5"/>
  <c r="P490" i="5"/>
  <c r="P522" i="5"/>
  <c r="P554" i="5"/>
  <c r="P586" i="5"/>
  <c r="P618" i="5"/>
  <c r="P650" i="5"/>
  <c r="P682" i="5"/>
  <c r="P714" i="5"/>
  <c r="P746" i="5"/>
  <c r="P778" i="5"/>
  <c r="P810" i="5"/>
  <c r="P842" i="5"/>
  <c r="P874" i="5"/>
  <c r="P906" i="5"/>
  <c r="P938" i="5"/>
  <c r="P148" i="5"/>
  <c r="P319" i="5"/>
  <c r="P443" i="5"/>
  <c r="P507" i="5"/>
  <c r="P571" i="5"/>
  <c r="P667" i="5"/>
  <c r="P731" i="5"/>
  <c r="P795" i="5"/>
  <c r="P859" i="5"/>
  <c r="P923" i="5"/>
  <c r="P965" i="5"/>
  <c r="P997" i="5"/>
  <c r="P128" i="5"/>
  <c r="AB41" i="5" s="1"/>
  <c r="P299" i="5"/>
  <c r="P436" i="5"/>
  <c r="P500" i="5"/>
  <c r="P564" i="5"/>
  <c r="P628" i="5"/>
  <c r="P692" i="5"/>
  <c r="P756" i="5"/>
  <c r="P820" i="5"/>
  <c r="P884" i="5"/>
  <c r="P946" i="5"/>
  <c r="P978" i="5"/>
  <c r="P73" i="5"/>
  <c r="AB18" i="5" s="1"/>
  <c r="P397" i="5"/>
  <c r="P543" i="5"/>
  <c r="P671" i="5"/>
  <c r="P799" i="5"/>
  <c r="P927" i="5"/>
  <c r="P999" i="5"/>
  <c r="P117" i="5"/>
  <c r="P430" i="5"/>
  <c r="P560" i="5"/>
  <c r="P752" i="5"/>
  <c r="P880" i="5"/>
  <c r="P976" i="5"/>
  <c r="P223" i="5"/>
  <c r="P471" i="5"/>
  <c r="P599" i="5"/>
  <c r="P727" i="5"/>
  <c r="P855" i="5"/>
  <c r="P963" i="5"/>
  <c r="P181" i="5"/>
  <c r="P456" i="5"/>
  <c r="P584" i="5"/>
  <c r="P712" i="5"/>
  <c r="P840" i="5"/>
  <c r="P22" i="5"/>
  <c r="AB6" i="5" s="1"/>
  <c r="P38" i="5"/>
  <c r="P54" i="5"/>
  <c r="P70" i="5"/>
  <c r="AB17" i="5" s="1"/>
  <c r="P86" i="5"/>
  <c r="P102" i="5"/>
  <c r="P118" i="5"/>
  <c r="P134" i="5"/>
  <c r="AB45" i="5" s="1"/>
  <c r="P150" i="5"/>
  <c r="P166" i="5"/>
  <c r="AB65" i="5" s="1"/>
  <c r="P182" i="5"/>
  <c r="P198" i="5"/>
  <c r="P214" i="5"/>
  <c r="P230" i="5"/>
  <c r="P246" i="5"/>
  <c r="P262" i="5"/>
  <c r="P278" i="5"/>
  <c r="P294" i="5"/>
  <c r="P310" i="5"/>
  <c r="P326" i="5"/>
  <c r="P342" i="5"/>
  <c r="P28" i="5"/>
  <c r="P49" i="5"/>
  <c r="P71" i="5"/>
  <c r="P92" i="5"/>
  <c r="P113" i="5"/>
  <c r="P135" i="5"/>
  <c r="P156" i="5"/>
  <c r="AB60" i="5" s="1"/>
  <c r="P177" i="5"/>
  <c r="P199" i="5"/>
  <c r="P220" i="5"/>
  <c r="P241" i="5"/>
  <c r="P263" i="5"/>
  <c r="P284" i="5"/>
  <c r="P305" i="5"/>
  <c r="P327" i="5"/>
  <c r="P347" i="5"/>
  <c r="P363" i="5"/>
  <c r="P379" i="5"/>
  <c r="P395" i="5"/>
  <c r="P411" i="5"/>
  <c r="P427" i="5"/>
  <c r="P24" i="5"/>
  <c r="P45" i="5"/>
  <c r="AB11" i="5" s="1"/>
  <c r="P67" i="5"/>
  <c r="P88" i="5"/>
  <c r="P109" i="5"/>
  <c r="P131" i="5"/>
  <c r="AB42" i="5" s="1"/>
  <c r="P152" i="5"/>
  <c r="P173" i="5"/>
  <c r="P195" i="5"/>
  <c r="P216" i="5"/>
  <c r="P237" i="5"/>
  <c r="P259" i="5"/>
  <c r="P280" i="5"/>
  <c r="P301" i="5"/>
  <c r="P323" i="5"/>
  <c r="P344" i="5"/>
  <c r="P360" i="5"/>
  <c r="P376" i="5"/>
  <c r="P392" i="5"/>
  <c r="P408" i="5"/>
  <c r="P424" i="5"/>
  <c r="P25" i="5"/>
  <c r="P68" i="5"/>
  <c r="P111" i="5"/>
  <c r="AB33" i="5" s="1"/>
  <c r="P153" i="5"/>
  <c r="P196" i="5"/>
  <c r="P239" i="5"/>
  <c r="P281" i="5"/>
  <c r="P324" i="5"/>
  <c r="P361" i="5"/>
  <c r="P393" i="5"/>
  <c r="P425" i="5"/>
  <c r="P445" i="5"/>
  <c r="P461" i="5"/>
  <c r="P477" i="5"/>
  <c r="P493" i="5"/>
  <c r="P509" i="5"/>
  <c r="P525" i="5"/>
  <c r="P541" i="5"/>
  <c r="P557" i="5"/>
  <c r="P573" i="5"/>
  <c r="P589" i="5"/>
  <c r="P605" i="5"/>
  <c r="P621" i="5"/>
  <c r="P637" i="5"/>
  <c r="P653" i="5"/>
  <c r="P669" i="5"/>
  <c r="P685" i="5"/>
  <c r="P701" i="5"/>
  <c r="P717" i="5"/>
  <c r="P733" i="5"/>
  <c r="P749" i="5"/>
  <c r="P765" i="5"/>
  <c r="P781" i="5"/>
  <c r="P797" i="5"/>
  <c r="P813" i="5"/>
  <c r="P829" i="5"/>
  <c r="P845" i="5"/>
  <c r="P861" i="5"/>
  <c r="P877" i="5"/>
  <c r="P893" i="5"/>
  <c r="P909" i="5"/>
  <c r="P925" i="5"/>
  <c r="P941" i="5"/>
  <c r="P48" i="5"/>
  <c r="P91" i="5"/>
  <c r="P133" i="5"/>
  <c r="P176" i="5"/>
  <c r="AB71" i="5" s="1"/>
  <c r="P219" i="5"/>
  <c r="P261" i="5"/>
  <c r="P304" i="5"/>
  <c r="P346" i="5"/>
  <c r="P378" i="5"/>
  <c r="P410" i="5"/>
  <c r="P438" i="5"/>
  <c r="P454" i="5"/>
  <c r="P470" i="5"/>
  <c r="P486" i="5"/>
  <c r="P502" i="5"/>
  <c r="P518" i="5"/>
  <c r="P534" i="5"/>
  <c r="P550" i="5"/>
  <c r="P566" i="5"/>
  <c r="P582" i="5"/>
  <c r="P598" i="5"/>
  <c r="P614" i="5"/>
  <c r="P630" i="5"/>
  <c r="P646" i="5"/>
  <c r="P662" i="5"/>
  <c r="P678" i="5"/>
  <c r="P694" i="5"/>
  <c r="P710" i="5"/>
  <c r="P726" i="5"/>
  <c r="P742" i="5"/>
  <c r="P758" i="5"/>
  <c r="P774" i="5"/>
  <c r="P790" i="5"/>
  <c r="P806" i="5"/>
  <c r="P822" i="5"/>
  <c r="P838" i="5"/>
  <c r="P854" i="5"/>
  <c r="P870" i="5"/>
  <c r="P886" i="5"/>
  <c r="P902" i="5"/>
  <c r="P918" i="5"/>
  <c r="P934" i="5"/>
  <c r="P41" i="5"/>
  <c r="P127" i="5"/>
  <c r="P212" i="5"/>
  <c r="P297" i="5"/>
  <c r="P373" i="5"/>
  <c r="P435" i="5"/>
  <c r="P467" i="5"/>
  <c r="P499" i="5"/>
  <c r="P531" i="5"/>
  <c r="P563" i="5"/>
  <c r="P595" i="5"/>
  <c r="P627" i="5"/>
  <c r="P659" i="5"/>
  <c r="P691" i="5"/>
  <c r="P723" i="5"/>
  <c r="P755" i="5"/>
  <c r="P787" i="5"/>
  <c r="P819" i="5"/>
  <c r="P851" i="5"/>
  <c r="P883" i="5"/>
  <c r="P915" i="5"/>
  <c r="P945" i="5"/>
  <c r="P961" i="5"/>
  <c r="P977" i="5"/>
  <c r="P993" i="5"/>
  <c r="P20" i="5"/>
  <c r="P107" i="5"/>
  <c r="P192" i="5"/>
  <c r="P277" i="5"/>
  <c r="P358" i="5"/>
  <c r="P422" i="5"/>
  <c r="P460" i="5"/>
  <c r="P492" i="5"/>
  <c r="P524" i="5"/>
  <c r="P556" i="5"/>
  <c r="P588" i="5"/>
  <c r="P620" i="5"/>
  <c r="P652" i="5"/>
  <c r="P684" i="5"/>
  <c r="P716" i="5"/>
  <c r="P748" i="5"/>
  <c r="P780" i="5"/>
  <c r="P812" i="5"/>
  <c r="P844" i="5"/>
  <c r="P876" i="5"/>
  <c r="P908" i="5"/>
  <c r="P940" i="5"/>
  <c r="P958" i="5"/>
  <c r="P974" i="5"/>
  <c r="P990" i="5"/>
  <c r="P31" i="5"/>
  <c r="P201" i="5"/>
  <c r="P365" i="5"/>
  <c r="P463" i="5"/>
  <c r="P527" i="5"/>
  <c r="P591" i="5"/>
  <c r="P655" i="5"/>
  <c r="P719" i="5"/>
  <c r="P783" i="5"/>
  <c r="P847" i="5"/>
  <c r="P911" i="5"/>
  <c r="P959" i="5"/>
  <c r="P991" i="5"/>
  <c r="P956" i="5"/>
  <c r="P75" i="5"/>
  <c r="P245" i="5"/>
  <c r="P398" i="5"/>
  <c r="P480" i="5"/>
  <c r="P544" i="5"/>
  <c r="P608" i="5"/>
  <c r="P672" i="5"/>
  <c r="P736" i="5"/>
  <c r="P800" i="5"/>
  <c r="P864" i="5"/>
  <c r="P928" i="5"/>
  <c r="P968" i="5"/>
  <c r="P1000" i="5"/>
  <c r="P180" i="5"/>
  <c r="P349" i="5"/>
  <c r="P455" i="5"/>
  <c r="P519" i="5"/>
  <c r="P583" i="5"/>
  <c r="P647" i="5"/>
  <c r="P711" i="5"/>
  <c r="P775" i="5"/>
  <c r="P839" i="5"/>
  <c r="P903" i="5"/>
  <c r="P955" i="5"/>
  <c r="P987" i="5"/>
  <c r="P139" i="5"/>
  <c r="P309" i="5"/>
  <c r="P440" i="5"/>
  <c r="P504" i="5"/>
  <c r="P568" i="5"/>
  <c r="P632" i="5"/>
  <c r="P696" i="5"/>
  <c r="P760" i="5"/>
  <c r="P824" i="5"/>
  <c r="P904" i="5"/>
  <c r="P964" i="5"/>
  <c r="P13" i="5"/>
  <c r="P26" i="5"/>
  <c r="AB7" i="5" s="1"/>
  <c r="P42" i="5"/>
  <c r="P58" i="5"/>
  <c r="P74" i="5"/>
  <c r="P90" i="5"/>
  <c r="P106" i="5"/>
  <c r="P122" i="5"/>
  <c r="P138" i="5"/>
  <c r="AB47" i="5" s="1"/>
  <c r="P154" i="5"/>
  <c r="AB59" i="5" s="1"/>
  <c r="P170" i="5"/>
  <c r="P186" i="5"/>
  <c r="P218" i="5"/>
  <c r="P234" i="5"/>
  <c r="P250" i="5"/>
  <c r="P266" i="5"/>
  <c r="P282" i="5"/>
  <c r="P298" i="5"/>
  <c r="P314" i="5"/>
  <c r="P330" i="5"/>
  <c r="P33" i="5"/>
  <c r="P55" i="5"/>
  <c r="P76" i="5"/>
  <c r="P97" i="5"/>
  <c r="P119" i="5"/>
  <c r="AB36" i="5" s="1"/>
  <c r="P140" i="5"/>
  <c r="AB48" i="5" s="1"/>
  <c r="P161" i="5"/>
  <c r="AB62" i="5" s="1"/>
  <c r="P183" i="5"/>
  <c r="P204" i="5"/>
  <c r="P225" i="5"/>
  <c r="P247" i="5"/>
  <c r="P268" i="5"/>
  <c r="P289" i="5"/>
  <c r="P311" i="5"/>
  <c r="P332" i="5"/>
  <c r="P351" i="5"/>
  <c r="P367" i="5"/>
  <c r="P383" i="5"/>
  <c r="P399" i="5"/>
  <c r="P415" i="5"/>
  <c r="P431" i="5"/>
  <c r="P29" i="5"/>
  <c r="P51" i="5"/>
  <c r="AB12" i="5" s="1"/>
  <c r="P72" i="5"/>
  <c r="P93" i="5"/>
  <c r="P115" i="5"/>
  <c r="P136" i="5"/>
  <c r="AB46" i="5" s="1"/>
  <c r="P157" i="5"/>
  <c r="P179" i="5"/>
  <c r="P200" i="5"/>
  <c r="P221" i="5"/>
  <c r="P243" i="5"/>
  <c r="P264" i="5"/>
  <c r="P285" i="5"/>
  <c r="P307" i="5"/>
  <c r="P328" i="5"/>
  <c r="P348" i="5"/>
  <c r="P364" i="5"/>
  <c r="P396" i="5"/>
  <c r="P412" i="5"/>
  <c r="P428" i="5"/>
  <c r="P79" i="5"/>
  <c r="P121" i="5"/>
  <c r="AB37" i="5" s="1"/>
  <c r="P207" i="5"/>
  <c r="P292" i="5"/>
  <c r="P369" i="5"/>
  <c r="P433" i="5"/>
  <c r="P465" i="5"/>
  <c r="P497" i="5"/>
  <c r="P529" i="5"/>
  <c r="P561" i="5"/>
  <c r="P593" i="5"/>
  <c r="P625" i="5"/>
  <c r="P657" i="5"/>
  <c r="P689" i="5"/>
  <c r="P721" i="5"/>
  <c r="P753" i="5"/>
  <c r="P785" i="5"/>
  <c r="P817" i="5"/>
  <c r="P849" i="5"/>
  <c r="P881" i="5"/>
  <c r="P913" i="5"/>
  <c r="P12" i="5"/>
  <c r="P101" i="5"/>
  <c r="P229" i="5"/>
  <c r="P315" i="5"/>
  <c r="P386" i="5"/>
  <c r="P442" i="5"/>
  <c r="P474" i="5"/>
  <c r="P506" i="5"/>
  <c r="P538" i="5"/>
  <c r="P570" i="5"/>
  <c r="P602" i="5"/>
  <c r="P634" i="5"/>
  <c r="P666" i="5"/>
  <c r="P698" i="5"/>
  <c r="P730" i="5"/>
  <c r="P762" i="5"/>
  <c r="P794" i="5"/>
  <c r="P826" i="5"/>
  <c r="P858" i="5"/>
  <c r="P890" i="5"/>
  <c r="P922" i="5"/>
  <c r="P63" i="5"/>
  <c r="P233" i="5"/>
  <c r="P389" i="5"/>
  <c r="P475" i="5"/>
  <c r="P539" i="5"/>
  <c r="P603" i="5"/>
  <c r="P635" i="5"/>
  <c r="P699" i="5"/>
  <c r="P763" i="5"/>
  <c r="P827" i="5"/>
  <c r="P891" i="5"/>
  <c r="P949" i="5"/>
  <c r="P981" i="5"/>
  <c r="P43" i="5"/>
  <c r="AB10" i="5" s="1"/>
  <c r="P213" i="5"/>
  <c r="P374" i="5"/>
  <c r="P468" i="5"/>
  <c r="P532" i="5"/>
  <c r="P596" i="5"/>
  <c r="P660" i="5"/>
  <c r="P724" i="5"/>
  <c r="P788" i="5"/>
  <c r="P852" i="5"/>
  <c r="P916" i="5"/>
  <c r="P962" i="5"/>
  <c r="P994" i="5"/>
  <c r="P244" i="5"/>
  <c r="P479" i="5"/>
  <c r="P607" i="5"/>
  <c r="P735" i="5"/>
  <c r="P863" i="5"/>
  <c r="P967" i="5"/>
  <c r="P972" i="5"/>
  <c r="P288" i="5"/>
  <c r="P496" i="5"/>
  <c r="P624" i="5"/>
  <c r="P688" i="5"/>
  <c r="P816" i="5"/>
  <c r="P944" i="5"/>
  <c r="P52" i="5"/>
  <c r="P381" i="5"/>
  <c r="P535" i="5"/>
  <c r="P663" i="5"/>
  <c r="P791" i="5"/>
  <c r="P919" i="5"/>
  <c r="P995" i="5"/>
  <c r="P350" i="5"/>
  <c r="P520" i="5"/>
  <c r="P648" i="5"/>
  <c r="P776" i="5"/>
  <c r="P920" i="5"/>
  <c r="P936" i="5"/>
  <c r="P664" i="5"/>
  <c r="P382" i="5"/>
  <c r="P935" i="5"/>
  <c r="P679" i="5"/>
  <c r="P413" i="5"/>
  <c r="P952" i="5"/>
  <c r="P704" i="5"/>
  <c r="P448" i="5"/>
  <c r="P96" i="5"/>
  <c r="P815" i="5"/>
  <c r="P559" i="5"/>
  <c r="P116" i="5"/>
  <c r="AB35" i="5" s="1"/>
  <c r="P950" i="5"/>
  <c r="P828" i="5"/>
  <c r="P700" i="5"/>
  <c r="P572" i="5"/>
  <c r="P444" i="5"/>
  <c r="P149" i="5"/>
  <c r="AB54" i="5" s="1"/>
  <c r="P985" i="5"/>
  <c r="P899" i="5"/>
  <c r="P771" i="5"/>
  <c r="P643" i="5"/>
  <c r="P515" i="5"/>
  <c r="P340" i="5"/>
  <c r="P942" i="5"/>
  <c r="P878" i="5"/>
  <c r="P814" i="5"/>
  <c r="P750" i="5"/>
  <c r="P686" i="5"/>
  <c r="P622" i="5"/>
  <c r="P558" i="5"/>
  <c r="P494" i="5"/>
  <c r="P426" i="5"/>
  <c r="P283" i="5"/>
  <c r="P112" i="5"/>
  <c r="P917" i="5"/>
  <c r="P853" i="5"/>
  <c r="P789" i="5"/>
  <c r="P725" i="5"/>
  <c r="P661" i="5"/>
  <c r="P597" i="5"/>
  <c r="P533" i="5"/>
  <c r="P469" i="5"/>
  <c r="P377" i="5"/>
  <c r="P217" i="5"/>
  <c r="P47" i="5"/>
  <c r="P400" i="5"/>
  <c r="P333" i="5"/>
  <c r="P248" i="5"/>
  <c r="P163" i="5"/>
  <c r="AB63" i="5" s="1"/>
  <c r="P77" i="5"/>
  <c r="AB19" i="5" s="1"/>
  <c r="P419" i="5"/>
  <c r="P355" i="5"/>
  <c r="P273" i="5"/>
  <c r="P188" i="5"/>
  <c r="P103" i="5"/>
  <c r="P15" i="5"/>
  <c r="P302" i="5"/>
  <c r="P238" i="5"/>
  <c r="P174" i="5"/>
  <c r="P110" i="5"/>
  <c r="P46" i="5"/>
  <c r="P856" i="5"/>
  <c r="P600" i="5"/>
  <c r="P224" i="5"/>
  <c r="P871" i="5"/>
  <c r="P615" i="5"/>
  <c r="P265" i="5"/>
  <c r="P896" i="5"/>
  <c r="P640" i="5"/>
  <c r="P331" i="5"/>
  <c r="P975" i="5"/>
  <c r="P751" i="5"/>
  <c r="P495" i="5"/>
  <c r="P998" i="5"/>
  <c r="P924" i="5"/>
  <c r="P796" i="5"/>
  <c r="P668" i="5"/>
  <c r="P540" i="5"/>
  <c r="P390" i="5"/>
  <c r="P64" i="5"/>
  <c r="P969" i="5"/>
  <c r="P867" i="5"/>
  <c r="P739" i="5"/>
  <c r="P611" i="5"/>
  <c r="P483" i="5"/>
  <c r="P255" i="5"/>
  <c r="P926" i="5"/>
  <c r="P862" i="5"/>
  <c r="P798" i="5"/>
  <c r="P734" i="5"/>
  <c r="P670" i="5"/>
  <c r="P606" i="5"/>
  <c r="P542" i="5"/>
  <c r="P478" i="5"/>
  <c r="P394" i="5"/>
  <c r="P240" i="5"/>
  <c r="P69" i="5"/>
  <c r="P901" i="5"/>
  <c r="P837" i="5"/>
  <c r="P773" i="5"/>
  <c r="P709" i="5"/>
  <c r="P645" i="5"/>
  <c r="P581" i="5"/>
  <c r="P517" i="5"/>
  <c r="P453" i="5"/>
  <c r="P345" i="5"/>
  <c r="P175" i="5"/>
  <c r="AB70" i="5" s="1"/>
  <c r="P384" i="5"/>
  <c r="P312" i="5"/>
  <c r="P227" i="5"/>
  <c r="P141" i="5"/>
  <c r="P56" i="5"/>
  <c r="AB14" i="5" s="1"/>
  <c r="P403" i="5"/>
  <c r="P337" i="5"/>
  <c r="P252" i="5"/>
  <c r="P167" i="5"/>
  <c r="P81" i="5"/>
  <c r="AB20" i="5" s="1"/>
  <c r="P286" i="5"/>
  <c r="P222" i="5"/>
  <c r="P158" i="5"/>
  <c r="AB61" i="5" s="1"/>
  <c r="P94" i="5"/>
  <c r="P30" i="5"/>
  <c r="P17" i="5"/>
  <c r="P988" i="5"/>
  <c r="P792" i="5"/>
  <c r="P536" i="5"/>
  <c r="P1003" i="5"/>
  <c r="P807" i="5"/>
  <c r="P551" i="5"/>
  <c r="P95" i="5"/>
  <c r="AB26" i="5" s="1"/>
  <c r="P832" i="5"/>
  <c r="P576" i="5"/>
  <c r="P160" i="5"/>
  <c r="P943" i="5"/>
  <c r="P687" i="5"/>
  <c r="P429" i="5"/>
  <c r="P982" i="5"/>
  <c r="P892" i="5"/>
  <c r="P764" i="5"/>
  <c r="P636" i="5"/>
  <c r="P508" i="5"/>
  <c r="P320" i="5"/>
  <c r="P953" i="5"/>
  <c r="P835" i="5"/>
  <c r="P707" i="5"/>
  <c r="P579" i="5"/>
  <c r="P451" i="5"/>
  <c r="P169" i="5"/>
  <c r="P910" i="5"/>
  <c r="P846" i="5"/>
  <c r="P782" i="5"/>
  <c r="P718" i="5"/>
  <c r="P654" i="5"/>
  <c r="P590" i="5"/>
  <c r="P526" i="5"/>
  <c r="P462" i="5"/>
  <c r="P362" i="5"/>
  <c r="P197" i="5"/>
  <c r="P27" i="5"/>
  <c r="P885" i="5"/>
  <c r="P821" i="5"/>
  <c r="P757" i="5"/>
  <c r="P693" i="5"/>
  <c r="P629" i="5"/>
  <c r="P565" i="5"/>
  <c r="P501" i="5"/>
  <c r="P437" i="5"/>
  <c r="P303" i="5"/>
  <c r="P132" i="5"/>
  <c r="P432" i="5"/>
  <c r="P368" i="5"/>
  <c r="P291" i="5"/>
  <c r="P205" i="5"/>
  <c r="P120" i="5"/>
  <c r="P35" i="5"/>
  <c r="P387" i="5"/>
  <c r="P316" i="5"/>
  <c r="P231" i="5"/>
  <c r="P145" i="5"/>
  <c r="AB52" i="5" s="1"/>
  <c r="P60" i="5"/>
  <c r="P334" i="5"/>
  <c r="P270" i="5"/>
  <c r="P206" i="5"/>
  <c r="P142" i="5"/>
  <c r="P78" i="5"/>
  <c r="P14" i="5"/>
  <c r="AB5" i="5" s="1"/>
  <c r="P980" i="5"/>
  <c r="P728" i="5"/>
  <c r="P472" i="5"/>
  <c r="P971" i="5"/>
  <c r="P743" i="5"/>
  <c r="P487" i="5"/>
  <c r="P984" i="5"/>
  <c r="P768" i="5"/>
  <c r="P512" i="5"/>
  <c r="P996" i="5"/>
  <c r="P879" i="5"/>
  <c r="P623" i="5"/>
  <c r="P287" i="5"/>
  <c r="P966" i="5"/>
  <c r="P860" i="5"/>
  <c r="P732" i="5"/>
  <c r="P604" i="5"/>
  <c r="P476" i="5"/>
  <c r="P235" i="5"/>
  <c r="P1001" i="5"/>
  <c r="P931" i="5"/>
  <c r="P803" i="5"/>
  <c r="P675" i="5"/>
  <c r="P547" i="5"/>
  <c r="P405" i="5"/>
  <c r="P84" i="5"/>
  <c r="P894" i="5"/>
  <c r="P830" i="5"/>
  <c r="P766" i="5"/>
  <c r="P702" i="5"/>
  <c r="P638" i="5"/>
  <c r="P574" i="5"/>
  <c r="P510" i="5"/>
  <c r="P446" i="5"/>
  <c r="P325" i="5"/>
  <c r="P155" i="5"/>
  <c r="P933" i="5"/>
  <c r="P869" i="5"/>
  <c r="P805" i="5"/>
  <c r="P741" i="5"/>
  <c r="P677" i="5"/>
  <c r="P613" i="5"/>
  <c r="P549" i="5"/>
  <c r="P485" i="5"/>
  <c r="P409" i="5"/>
  <c r="P260" i="5"/>
  <c r="P89" i="5"/>
  <c r="AB23" i="5" s="1"/>
  <c r="P416" i="5"/>
  <c r="P352" i="5"/>
  <c r="P269" i="5"/>
  <c r="P184" i="5"/>
  <c r="P99" i="5"/>
  <c r="AB27" i="5" s="1"/>
  <c r="P371" i="5"/>
  <c r="P295" i="5"/>
  <c r="P209" i="5"/>
  <c r="P124" i="5"/>
  <c r="AB39" i="5" s="1"/>
  <c r="P39" i="5"/>
  <c r="P318" i="5"/>
  <c r="P254" i="5"/>
  <c r="P190" i="5"/>
  <c r="P126" i="5"/>
  <c r="AB40" i="5" s="1"/>
  <c r="P62" i="5"/>
  <c r="AB15" i="5" s="1"/>
  <c r="AB28" i="5" l="1"/>
  <c r="AB29" i="5"/>
  <c r="AB30" i="5"/>
  <c r="AB68" i="5"/>
  <c r="AB69" i="5"/>
  <c r="AB24" i="5"/>
  <c r="AB25" i="5"/>
  <c r="AB43" i="5"/>
  <c r="AB44" i="5"/>
  <c r="AB56" i="5"/>
  <c r="AB57" i="5"/>
  <c r="AB58" i="5"/>
  <c r="AB75" i="5"/>
  <c r="AB79" i="5"/>
  <c r="AB83" i="5"/>
  <c r="AB87" i="5"/>
  <c r="AB91" i="5"/>
  <c r="AB95" i="5"/>
  <c r="AB99" i="5"/>
  <c r="AB103" i="5"/>
  <c r="AB107" i="5"/>
  <c r="AB111" i="5"/>
  <c r="AB115" i="5"/>
  <c r="AB119" i="5"/>
  <c r="AB123" i="5"/>
  <c r="AB127" i="5"/>
  <c r="AB131" i="5"/>
  <c r="AB135" i="5"/>
  <c r="AB139" i="5"/>
  <c r="AB143" i="5"/>
  <c r="AB147" i="5"/>
  <c r="AB151" i="5"/>
  <c r="AB155" i="5"/>
  <c r="AB159" i="5"/>
  <c r="AB163" i="5"/>
  <c r="AB167" i="5"/>
  <c r="AB171" i="5"/>
  <c r="AB175" i="5"/>
  <c r="AB179" i="5"/>
  <c r="AB183" i="5"/>
  <c r="AB187" i="5"/>
  <c r="AB191" i="5"/>
  <c r="AB195" i="5"/>
  <c r="AB199" i="5"/>
  <c r="AB203" i="5"/>
  <c r="AB207" i="5"/>
  <c r="AB211" i="5"/>
  <c r="AB215" i="5"/>
  <c r="AB219" i="5"/>
  <c r="AB223" i="5"/>
  <c r="AB227" i="5"/>
  <c r="AB231" i="5"/>
  <c r="AB235" i="5"/>
  <c r="AB239" i="5"/>
  <c r="AB243" i="5"/>
  <c r="AB247" i="5"/>
  <c r="AB251" i="5"/>
  <c r="AB255" i="5"/>
  <c r="AB259" i="5"/>
  <c r="AB263" i="5"/>
  <c r="AB267" i="5"/>
  <c r="AB271" i="5"/>
  <c r="AB275" i="5"/>
  <c r="AB279" i="5"/>
  <c r="AB283" i="5"/>
  <c r="AB287" i="5"/>
  <c r="AB291" i="5"/>
  <c r="AB295" i="5"/>
  <c r="AB299" i="5"/>
  <c r="AB303" i="5"/>
  <c r="AB307" i="5"/>
  <c r="AB311" i="5"/>
  <c r="AB315" i="5"/>
  <c r="AB319" i="5"/>
  <c r="AB323" i="5"/>
  <c r="AB327" i="5"/>
  <c r="AB331" i="5"/>
  <c r="AB335" i="5"/>
  <c r="AB339" i="5"/>
  <c r="AB343" i="5"/>
  <c r="AB72" i="5"/>
  <c r="AB76" i="5"/>
  <c r="AB80" i="5"/>
  <c r="AB84" i="5"/>
  <c r="AB88" i="5"/>
  <c r="AB92" i="5"/>
  <c r="AB96" i="5"/>
  <c r="AB100" i="5"/>
  <c r="AB104" i="5"/>
  <c r="AB108" i="5"/>
  <c r="AB112" i="5"/>
  <c r="AB116" i="5"/>
  <c r="AB120" i="5"/>
  <c r="AB124" i="5"/>
  <c r="AB128" i="5"/>
  <c r="AB132" i="5"/>
  <c r="AB136" i="5"/>
  <c r="AB140" i="5"/>
  <c r="AB144" i="5"/>
  <c r="AB148" i="5"/>
  <c r="AB152" i="5"/>
  <c r="AB156" i="5"/>
  <c r="AB160" i="5"/>
  <c r="AB164" i="5"/>
  <c r="AB168" i="5"/>
  <c r="AB172" i="5"/>
  <c r="AB176" i="5"/>
  <c r="AB180" i="5"/>
  <c r="AB184" i="5"/>
  <c r="AB188" i="5"/>
  <c r="AB192" i="5"/>
  <c r="AB196" i="5"/>
  <c r="AB200" i="5"/>
  <c r="AB204" i="5"/>
  <c r="AB208" i="5"/>
  <c r="AB212" i="5"/>
  <c r="AB216" i="5"/>
  <c r="AB220" i="5"/>
  <c r="AB224" i="5"/>
  <c r="AB228" i="5"/>
  <c r="AB232" i="5"/>
  <c r="AB236" i="5"/>
  <c r="AB240" i="5"/>
  <c r="AB244" i="5"/>
  <c r="AB248" i="5"/>
  <c r="AB252" i="5"/>
  <c r="AB256" i="5"/>
  <c r="AB260" i="5"/>
  <c r="AB264" i="5"/>
  <c r="AB268" i="5"/>
  <c r="AB272" i="5"/>
  <c r="AB276" i="5"/>
  <c r="AB280" i="5"/>
  <c r="AB284" i="5"/>
  <c r="AB288" i="5"/>
  <c r="AB292" i="5"/>
  <c r="AB296" i="5"/>
  <c r="AB300" i="5"/>
  <c r="AB304" i="5"/>
  <c r="AB308" i="5"/>
  <c r="AB312" i="5"/>
  <c r="AB316" i="5"/>
  <c r="AB320" i="5"/>
  <c r="AB324" i="5"/>
  <c r="AB328" i="5"/>
  <c r="AB332" i="5"/>
  <c r="AB336" i="5"/>
  <c r="AB73" i="5"/>
  <c r="AB81" i="5"/>
  <c r="AB89" i="5"/>
  <c r="AB97" i="5"/>
  <c r="AB105" i="5"/>
  <c r="AB113" i="5"/>
  <c r="AB121" i="5"/>
  <c r="AB129" i="5"/>
  <c r="AB137" i="5"/>
  <c r="AB145" i="5"/>
  <c r="AB153" i="5"/>
  <c r="AB161" i="5"/>
  <c r="AB169" i="5"/>
  <c r="AB177" i="5"/>
  <c r="AB185" i="5"/>
  <c r="AB193" i="5"/>
  <c r="AB201" i="5"/>
  <c r="AB209" i="5"/>
  <c r="AB217" i="5"/>
  <c r="AB225" i="5"/>
  <c r="AB233" i="5"/>
  <c r="AB241" i="5"/>
  <c r="AB249" i="5"/>
  <c r="AB257" i="5"/>
  <c r="AB265" i="5"/>
  <c r="AB273" i="5"/>
  <c r="AB281" i="5"/>
  <c r="AB289" i="5"/>
  <c r="AB297" i="5"/>
  <c r="AB305" i="5"/>
  <c r="AB313" i="5"/>
  <c r="AB321" i="5"/>
  <c r="AB329" i="5"/>
  <c r="AB337" i="5"/>
  <c r="AB342" i="5"/>
  <c r="AB347" i="5"/>
  <c r="AB351" i="5"/>
  <c r="AB355" i="5"/>
  <c r="AB359" i="5"/>
  <c r="AB363" i="5"/>
  <c r="AB367" i="5"/>
  <c r="AB371" i="5"/>
  <c r="AB375" i="5"/>
  <c r="AB379" i="5"/>
  <c r="AB383" i="5"/>
  <c r="AB387" i="5"/>
  <c r="AB391" i="5"/>
  <c r="AB395" i="5"/>
  <c r="AB399" i="5"/>
  <c r="AB403" i="5"/>
  <c r="AB407" i="5"/>
  <c r="AB411" i="5"/>
  <c r="AB415" i="5"/>
  <c r="AB419" i="5"/>
  <c r="AB423" i="5"/>
  <c r="AB427" i="5"/>
  <c r="AB431" i="5"/>
  <c r="AB435" i="5"/>
  <c r="AB439" i="5"/>
  <c r="AB443" i="5"/>
  <c r="AB447" i="5"/>
  <c r="AB451" i="5"/>
  <c r="AB455" i="5"/>
  <c r="AB459" i="5"/>
  <c r="AB463" i="5"/>
  <c r="AB467" i="5"/>
  <c r="AB471" i="5"/>
  <c r="AB475" i="5"/>
  <c r="AB479" i="5"/>
  <c r="AB483" i="5"/>
  <c r="AB487" i="5"/>
  <c r="AB491" i="5"/>
  <c r="AB495" i="5"/>
  <c r="AB499" i="5"/>
  <c r="AB503" i="5"/>
  <c r="AB507" i="5"/>
  <c r="AB511" i="5"/>
  <c r="AB515" i="5"/>
  <c r="AB519" i="5"/>
  <c r="AB523" i="5"/>
  <c r="AB74" i="5"/>
  <c r="AB82" i="5"/>
  <c r="AB90" i="5"/>
  <c r="AB98" i="5"/>
  <c r="AB106" i="5"/>
  <c r="AB114" i="5"/>
  <c r="AB122" i="5"/>
  <c r="AB130" i="5"/>
  <c r="AB138" i="5"/>
  <c r="AB146" i="5"/>
  <c r="AB154" i="5"/>
  <c r="AB162" i="5"/>
  <c r="AB170" i="5"/>
  <c r="AB178" i="5"/>
  <c r="AB186" i="5"/>
  <c r="AB194" i="5"/>
  <c r="AB202" i="5"/>
  <c r="AB210" i="5"/>
  <c r="AB218" i="5"/>
  <c r="AB226" i="5"/>
  <c r="AB234" i="5"/>
  <c r="AB242" i="5"/>
  <c r="AB250" i="5"/>
  <c r="AB258" i="5"/>
  <c r="AB266" i="5"/>
  <c r="AB274" i="5"/>
  <c r="AB282" i="5"/>
  <c r="AB290" i="5"/>
  <c r="AB298" i="5"/>
  <c r="AB306" i="5"/>
  <c r="AB314" i="5"/>
  <c r="AB322" i="5"/>
  <c r="AB330" i="5"/>
  <c r="AB338" i="5"/>
  <c r="AB344" i="5"/>
  <c r="AB348" i="5"/>
  <c r="AB352" i="5"/>
  <c r="AB356" i="5"/>
  <c r="AB360" i="5"/>
  <c r="AB364" i="5"/>
  <c r="AB368" i="5"/>
  <c r="AB372" i="5"/>
  <c r="AB376" i="5"/>
  <c r="AB380" i="5"/>
  <c r="AB384" i="5"/>
  <c r="AB388" i="5"/>
  <c r="AB392" i="5"/>
  <c r="AB396" i="5"/>
  <c r="AB400" i="5"/>
  <c r="AB404" i="5"/>
  <c r="AB408" i="5"/>
  <c r="AB412" i="5"/>
  <c r="AB416" i="5"/>
  <c r="AB420" i="5"/>
  <c r="AB424" i="5"/>
  <c r="AB428" i="5"/>
  <c r="AB432" i="5"/>
  <c r="AB436" i="5"/>
  <c r="AB440" i="5"/>
  <c r="AB444" i="5"/>
  <c r="AB448" i="5"/>
  <c r="AB452" i="5"/>
  <c r="AB456" i="5"/>
  <c r="AB460" i="5"/>
  <c r="AB464" i="5"/>
  <c r="AB468" i="5"/>
  <c r="AB472" i="5"/>
  <c r="AB476" i="5"/>
  <c r="AB480" i="5"/>
  <c r="AB484" i="5"/>
  <c r="AB488" i="5"/>
  <c r="AB492" i="5"/>
  <c r="AB496" i="5"/>
  <c r="AB500" i="5"/>
  <c r="AB504" i="5"/>
  <c r="AB508" i="5"/>
  <c r="AB512" i="5"/>
  <c r="AB77" i="5"/>
  <c r="AB93" i="5"/>
  <c r="AB109" i="5"/>
  <c r="AB125" i="5"/>
  <c r="AB141" i="5"/>
  <c r="AB157" i="5"/>
  <c r="AB173" i="5"/>
  <c r="AB189" i="5"/>
  <c r="AB205" i="5"/>
  <c r="AB221" i="5"/>
  <c r="AB237" i="5"/>
  <c r="AB253" i="5"/>
  <c r="AB269" i="5"/>
  <c r="AB285" i="5"/>
  <c r="AB301" i="5"/>
  <c r="AB317" i="5"/>
  <c r="AB333" i="5"/>
  <c r="AB345" i="5"/>
  <c r="AB353" i="5"/>
  <c r="AB361" i="5"/>
  <c r="AB369" i="5"/>
  <c r="AB377" i="5"/>
  <c r="AB385" i="5"/>
  <c r="AB393" i="5"/>
  <c r="AB401" i="5"/>
  <c r="AB409" i="5"/>
  <c r="AB417" i="5"/>
  <c r="AB425" i="5"/>
  <c r="AB433" i="5"/>
  <c r="AB441" i="5"/>
  <c r="AB449" i="5"/>
  <c r="AB457" i="5"/>
  <c r="AB465" i="5"/>
  <c r="AB473" i="5"/>
  <c r="AB481" i="5"/>
  <c r="AB489" i="5"/>
  <c r="AB497" i="5"/>
  <c r="AB505" i="5"/>
  <c r="AB513" i="5"/>
  <c r="AB518" i="5"/>
  <c r="AB524" i="5"/>
  <c r="AB528" i="5"/>
  <c r="AB532" i="5"/>
  <c r="AB536" i="5"/>
  <c r="AB540" i="5"/>
  <c r="AB544" i="5"/>
  <c r="AB548" i="5"/>
  <c r="AB552" i="5"/>
  <c r="AB556" i="5"/>
  <c r="AB560" i="5"/>
  <c r="AB564" i="5"/>
  <c r="AB568" i="5"/>
  <c r="AB572" i="5"/>
  <c r="AB576" i="5"/>
  <c r="AB580" i="5"/>
  <c r="AB584" i="5"/>
  <c r="AB588" i="5"/>
  <c r="AB592" i="5"/>
  <c r="AB596" i="5"/>
  <c r="AB600" i="5"/>
  <c r="AB604" i="5"/>
  <c r="AB608" i="5"/>
  <c r="AB612" i="5"/>
  <c r="AB616" i="5"/>
  <c r="AB620" i="5"/>
  <c r="AB624" i="5"/>
  <c r="AB628" i="5"/>
  <c r="AB632" i="5"/>
  <c r="AB636" i="5"/>
  <c r="AB640" i="5"/>
  <c r="AB644" i="5"/>
  <c r="AB648" i="5"/>
  <c r="AB652" i="5"/>
  <c r="AB656" i="5"/>
  <c r="AB660" i="5"/>
  <c r="AB664" i="5"/>
  <c r="AB668" i="5"/>
  <c r="AB672" i="5"/>
  <c r="AB676" i="5"/>
  <c r="AB680" i="5"/>
  <c r="AB684" i="5"/>
  <c r="AB688" i="5"/>
  <c r="AB692" i="5"/>
  <c r="AB696" i="5"/>
  <c r="AB700" i="5"/>
  <c r="AB704" i="5"/>
  <c r="AB708" i="5"/>
  <c r="AB712" i="5"/>
  <c r="AB716" i="5"/>
  <c r="AB720" i="5"/>
  <c r="AB724" i="5"/>
  <c r="AB728" i="5"/>
  <c r="AB732" i="5"/>
  <c r="AB736" i="5"/>
  <c r="AB740" i="5"/>
  <c r="AB744" i="5"/>
  <c r="AB748" i="5"/>
  <c r="AB752" i="5"/>
  <c r="AB756" i="5"/>
  <c r="AB760" i="5"/>
  <c r="AB764" i="5"/>
  <c r="AB768" i="5"/>
  <c r="AB772" i="5"/>
  <c r="AB776" i="5"/>
  <c r="AB780" i="5"/>
  <c r="AB784" i="5"/>
  <c r="AB788" i="5"/>
  <c r="AB792" i="5"/>
  <c r="AB796" i="5"/>
  <c r="AB800" i="5"/>
  <c r="AB804" i="5"/>
  <c r="AB808" i="5"/>
  <c r="AB812" i="5"/>
  <c r="AB816" i="5"/>
  <c r="AB820" i="5"/>
  <c r="AB824" i="5"/>
  <c r="AB828" i="5"/>
  <c r="AB832" i="5"/>
  <c r="AB836" i="5"/>
  <c r="AB840" i="5"/>
  <c r="AB844" i="5"/>
  <c r="AB848" i="5"/>
  <c r="AB852" i="5"/>
  <c r="AB856" i="5"/>
  <c r="AB860" i="5"/>
  <c r="AB864" i="5"/>
  <c r="AB868" i="5"/>
  <c r="AB872" i="5"/>
  <c r="AB876" i="5"/>
  <c r="AB880" i="5"/>
  <c r="AB884" i="5"/>
  <c r="AB888" i="5"/>
  <c r="AB892" i="5"/>
  <c r="AB896" i="5"/>
  <c r="AB900" i="5"/>
  <c r="AB904" i="5"/>
  <c r="AB908" i="5"/>
  <c r="AB912" i="5"/>
  <c r="AB916" i="5"/>
  <c r="AB920" i="5"/>
  <c r="AB924" i="5"/>
  <c r="AB928" i="5"/>
  <c r="AB932" i="5"/>
  <c r="AB936" i="5"/>
  <c r="AB940" i="5"/>
  <c r="AB944" i="5"/>
  <c r="AB948" i="5"/>
  <c r="AB952" i="5"/>
  <c r="AB956" i="5"/>
  <c r="AB960" i="5"/>
  <c r="AB964" i="5"/>
  <c r="AB968" i="5"/>
  <c r="AB972" i="5"/>
  <c r="AB976" i="5"/>
  <c r="AB980" i="5"/>
  <c r="AB984" i="5"/>
  <c r="AB988" i="5"/>
  <c r="AB992" i="5"/>
  <c r="AB996" i="5"/>
  <c r="AB1000" i="5"/>
  <c r="AB85" i="5"/>
  <c r="AB117" i="5"/>
  <c r="AB78" i="5"/>
  <c r="AB94" i="5"/>
  <c r="AB110" i="5"/>
  <c r="AB126" i="5"/>
  <c r="AB142" i="5"/>
  <c r="AB158" i="5"/>
  <c r="AB174" i="5"/>
  <c r="AB190" i="5"/>
  <c r="AB206" i="5"/>
  <c r="AB222" i="5"/>
  <c r="AB238" i="5"/>
  <c r="AB254" i="5"/>
  <c r="AB270" i="5"/>
  <c r="AB286" i="5"/>
  <c r="AB302" i="5"/>
  <c r="AB318" i="5"/>
  <c r="AB334" i="5"/>
  <c r="AB346" i="5"/>
  <c r="AB354" i="5"/>
  <c r="AB362" i="5"/>
  <c r="AB370" i="5"/>
  <c r="AB378" i="5"/>
  <c r="AB386" i="5"/>
  <c r="AB394" i="5"/>
  <c r="AB402" i="5"/>
  <c r="AB410" i="5"/>
  <c r="AB418" i="5"/>
  <c r="AB426" i="5"/>
  <c r="AB434" i="5"/>
  <c r="AB442" i="5"/>
  <c r="AB450" i="5"/>
  <c r="AB458" i="5"/>
  <c r="AB466" i="5"/>
  <c r="AB474" i="5"/>
  <c r="AB482" i="5"/>
  <c r="AB490" i="5"/>
  <c r="AB498" i="5"/>
  <c r="AB506" i="5"/>
  <c r="AB514" i="5"/>
  <c r="AB520" i="5"/>
  <c r="AB525" i="5"/>
  <c r="AB529" i="5"/>
  <c r="AB533" i="5"/>
  <c r="AB537" i="5"/>
  <c r="AB541" i="5"/>
  <c r="AB545" i="5"/>
  <c r="AB549" i="5"/>
  <c r="AB553" i="5"/>
  <c r="AB557" i="5"/>
  <c r="AB561" i="5"/>
  <c r="AB565" i="5"/>
  <c r="AB569" i="5"/>
  <c r="AB573" i="5"/>
  <c r="AB577" i="5"/>
  <c r="AB581" i="5"/>
  <c r="AB585" i="5"/>
  <c r="AB589" i="5"/>
  <c r="AB593" i="5"/>
  <c r="AB597" i="5"/>
  <c r="AB601" i="5"/>
  <c r="AB605" i="5"/>
  <c r="AB609" i="5"/>
  <c r="AB613" i="5"/>
  <c r="AB617" i="5"/>
  <c r="AB621" i="5"/>
  <c r="AB625" i="5"/>
  <c r="AB629" i="5"/>
  <c r="AB633" i="5"/>
  <c r="AB637" i="5"/>
  <c r="AB641" i="5"/>
  <c r="AB645" i="5"/>
  <c r="AB649" i="5"/>
  <c r="AB653" i="5"/>
  <c r="AB657" i="5"/>
  <c r="AB661" i="5"/>
  <c r="AB665" i="5"/>
  <c r="AB669" i="5"/>
  <c r="AB673" i="5"/>
  <c r="AB677" i="5"/>
  <c r="AB681" i="5"/>
  <c r="AB685" i="5"/>
  <c r="AB689" i="5"/>
  <c r="AB693" i="5"/>
  <c r="AB697" i="5"/>
  <c r="AB701" i="5"/>
  <c r="AB705" i="5"/>
  <c r="AB709" i="5"/>
  <c r="AB713" i="5"/>
  <c r="AB717" i="5"/>
  <c r="AB721" i="5"/>
  <c r="AB725" i="5"/>
  <c r="AB729" i="5"/>
  <c r="AB733" i="5"/>
  <c r="AB737" i="5"/>
  <c r="AB741" i="5"/>
  <c r="AB745" i="5"/>
  <c r="AB749" i="5"/>
  <c r="AB753" i="5"/>
  <c r="AB757" i="5"/>
  <c r="AB761" i="5"/>
  <c r="AB765" i="5"/>
  <c r="AB769" i="5"/>
  <c r="AB773" i="5"/>
  <c r="AB777" i="5"/>
  <c r="AB781" i="5"/>
  <c r="AB785" i="5"/>
  <c r="AB789" i="5"/>
  <c r="AB793" i="5"/>
  <c r="AB797" i="5"/>
  <c r="AB801" i="5"/>
  <c r="AB805" i="5"/>
  <c r="AB809" i="5"/>
  <c r="AB813" i="5"/>
  <c r="AB817" i="5"/>
  <c r="AB821" i="5"/>
  <c r="AB825" i="5"/>
  <c r="AB829" i="5"/>
  <c r="AB833" i="5"/>
  <c r="AB837" i="5"/>
  <c r="AB841" i="5"/>
  <c r="AB845" i="5"/>
  <c r="AB849" i="5"/>
  <c r="AB853" i="5"/>
  <c r="AB857" i="5"/>
  <c r="AB861" i="5"/>
  <c r="AB865" i="5"/>
  <c r="AB869" i="5"/>
  <c r="AB873" i="5"/>
  <c r="AB877" i="5"/>
  <c r="AB881" i="5"/>
  <c r="AB885" i="5"/>
  <c r="AB889" i="5"/>
  <c r="AB893" i="5"/>
  <c r="AB897" i="5"/>
  <c r="AB901" i="5"/>
  <c r="AB905" i="5"/>
  <c r="AB909" i="5"/>
  <c r="AB913" i="5"/>
  <c r="AB917" i="5"/>
  <c r="AB921" i="5"/>
  <c r="AB925" i="5"/>
  <c r="AB929" i="5"/>
  <c r="AB933" i="5"/>
  <c r="AB937" i="5"/>
  <c r="AB941" i="5"/>
  <c r="AB945" i="5"/>
  <c r="AB949" i="5"/>
  <c r="AB953" i="5"/>
  <c r="AB957" i="5"/>
  <c r="AB961" i="5"/>
  <c r="AB965" i="5"/>
  <c r="AB969" i="5"/>
  <c r="AB973" i="5"/>
  <c r="AB977" i="5"/>
  <c r="AB981" i="5"/>
  <c r="AB985" i="5"/>
  <c r="AB989" i="5"/>
  <c r="AB993" i="5"/>
  <c r="AB997" i="5"/>
  <c r="AB1001" i="5"/>
  <c r="AB101" i="5"/>
  <c r="AB102" i="5"/>
  <c r="AB149" i="5"/>
  <c r="AB181" i="5"/>
  <c r="AB213" i="5"/>
  <c r="AB245" i="5"/>
  <c r="AB277" i="5"/>
  <c r="AB309" i="5"/>
  <c r="AB340" i="5"/>
  <c r="AB357" i="5"/>
  <c r="AB373" i="5"/>
  <c r="AB389" i="5"/>
  <c r="AB405" i="5"/>
  <c r="AB421" i="5"/>
  <c r="AB437" i="5"/>
  <c r="AB453" i="5"/>
  <c r="AB469" i="5"/>
  <c r="AB485" i="5"/>
  <c r="AB501" i="5"/>
  <c r="AB516" i="5"/>
  <c r="AB526" i="5"/>
  <c r="AB534" i="5"/>
  <c r="AB542" i="5"/>
  <c r="AB550" i="5"/>
  <c r="AB558" i="5"/>
  <c r="AB566" i="5"/>
  <c r="AB574" i="5"/>
  <c r="AB582" i="5"/>
  <c r="AB590" i="5"/>
  <c r="AB598" i="5"/>
  <c r="AB606" i="5"/>
  <c r="AB614" i="5"/>
  <c r="AB622" i="5"/>
  <c r="AB630" i="5"/>
  <c r="AB638" i="5"/>
  <c r="AB646" i="5"/>
  <c r="AB654" i="5"/>
  <c r="AB662" i="5"/>
  <c r="AB670" i="5"/>
  <c r="AB678" i="5"/>
  <c r="AB686" i="5"/>
  <c r="AB694" i="5"/>
  <c r="AB702" i="5"/>
  <c r="AB710" i="5"/>
  <c r="AB718" i="5"/>
  <c r="AB726" i="5"/>
  <c r="AB734" i="5"/>
  <c r="AB742" i="5"/>
  <c r="AB750" i="5"/>
  <c r="AB758" i="5"/>
  <c r="AB766" i="5"/>
  <c r="AB774" i="5"/>
  <c r="AB782" i="5"/>
  <c r="AB790" i="5"/>
  <c r="AB798" i="5"/>
  <c r="AB806" i="5"/>
  <c r="AB814" i="5"/>
  <c r="AB822" i="5"/>
  <c r="AB830" i="5"/>
  <c r="AB838" i="5"/>
  <c r="AB846" i="5"/>
  <c r="AB854" i="5"/>
  <c r="AB862" i="5"/>
  <c r="AB870" i="5"/>
  <c r="AB878" i="5"/>
  <c r="AB886" i="5"/>
  <c r="AB894" i="5"/>
  <c r="AB902" i="5"/>
  <c r="AB910" i="5"/>
  <c r="AB918" i="5"/>
  <c r="AB926" i="5"/>
  <c r="AB934" i="5"/>
  <c r="AB942" i="5"/>
  <c r="AB950" i="5"/>
  <c r="AB958" i="5"/>
  <c r="AB966" i="5"/>
  <c r="AB974" i="5"/>
  <c r="AB982" i="5"/>
  <c r="AB990" i="5"/>
  <c r="AB998" i="5"/>
  <c r="AB118" i="5"/>
  <c r="AB150" i="5"/>
  <c r="AB182" i="5"/>
  <c r="AB214" i="5"/>
  <c r="AB246" i="5"/>
  <c r="AB133" i="5"/>
  <c r="AB165" i="5"/>
  <c r="AB197" i="5"/>
  <c r="AB229" i="5"/>
  <c r="AB261" i="5"/>
  <c r="AB293" i="5"/>
  <c r="AB325" i="5"/>
  <c r="AB349" i="5"/>
  <c r="AB365" i="5"/>
  <c r="AB381" i="5"/>
  <c r="AB397" i="5"/>
  <c r="AB413" i="5"/>
  <c r="AB429" i="5"/>
  <c r="AB445" i="5"/>
  <c r="AB461" i="5"/>
  <c r="AB477" i="5"/>
  <c r="AB493" i="5"/>
  <c r="AB509" i="5"/>
  <c r="AB521" i="5"/>
  <c r="AB530" i="5"/>
  <c r="AB538" i="5"/>
  <c r="AB546" i="5"/>
  <c r="AB554" i="5"/>
  <c r="AB562" i="5"/>
  <c r="AB570" i="5"/>
  <c r="AB578" i="5"/>
  <c r="AB586" i="5"/>
  <c r="AB594" i="5"/>
  <c r="AB602" i="5"/>
  <c r="AB610" i="5"/>
  <c r="AB618" i="5"/>
  <c r="AB626" i="5"/>
  <c r="AB634" i="5"/>
  <c r="AB642" i="5"/>
  <c r="AB650" i="5"/>
  <c r="AB658" i="5"/>
  <c r="AB666" i="5"/>
  <c r="AB674" i="5"/>
  <c r="AB682" i="5"/>
  <c r="AB690" i="5"/>
  <c r="AB698" i="5"/>
  <c r="AB706" i="5"/>
  <c r="AB714" i="5"/>
  <c r="AB722" i="5"/>
  <c r="AB730" i="5"/>
  <c r="AB738" i="5"/>
  <c r="AB746" i="5"/>
  <c r="AB754" i="5"/>
  <c r="AB762" i="5"/>
  <c r="AB770" i="5"/>
  <c r="AB778" i="5"/>
  <c r="AB786" i="5"/>
  <c r="AB794" i="5"/>
  <c r="AB802" i="5"/>
  <c r="AB810" i="5"/>
  <c r="AB818" i="5"/>
  <c r="AB826" i="5"/>
  <c r="AB834" i="5"/>
  <c r="AB842" i="5"/>
  <c r="AB850" i="5"/>
  <c r="AB858" i="5"/>
  <c r="AB866" i="5"/>
  <c r="AB874" i="5"/>
  <c r="AB882" i="5"/>
  <c r="AB890" i="5"/>
  <c r="AB898" i="5"/>
  <c r="AB906" i="5"/>
  <c r="AB914" i="5"/>
  <c r="AB922" i="5"/>
  <c r="AB930" i="5"/>
  <c r="AB938" i="5"/>
  <c r="AB946" i="5"/>
  <c r="AB954" i="5"/>
  <c r="AB962" i="5"/>
  <c r="AB970" i="5"/>
  <c r="AB978" i="5"/>
  <c r="AB986" i="5"/>
  <c r="AB994" i="5"/>
  <c r="AB1002" i="5"/>
  <c r="AB86" i="5"/>
  <c r="AB134" i="5"/>
  <c r="AB166" i="5"/>
  <c r="AB262" i="5"/>
  <c r="AB326" i="5"/>
  <c r="AB366" i="5"/>
  <c r="AB398" i="5"/>
  <c r="AB430" i="5"/>
  <c r="AB462" i="5"/>
  <c r="AB494" i="5"/>
  <c r="AB522" i="5"/>
  <c r="AB539" i="5"/>
  <c r="AB555" i="5"/>
  <c r="AB571" i="5"/>
  <c r="AB587" i="5"/>
  <c r="AB603" i="5"/>
  <c r="AB619" i="5"/>
  <c r="AB635" i="5"/>
  <c r="AB651" i="5"/>
  <c r="AB667" i="5"/>
  <c r="AB683" i="5"/>
  <c r="AB699" i="5"/>
  <c r="AB715" i="5"/>
  <c r="AB731" i="5"/>
  <c r="AB747" i="5"/>
  <c r="AB763" i="5"/>
  <c r="AB779" i="5"/>
  <c r="AB795" i="5"/>
  <c r="AB811" i="5"/>
  <c r="AB827" i="5"/>
  <c r="AB843" i="5"/>
  <c r="AB859" i="5"/>
  <c r="AB875" i="5"/>
  <c r="AB891" i="5"/>
  <c r="AB907" i="5"/>
  <c r="AB923" i="5"/>
  <c r="AB939" i="5"/>
  <c r="AB955" i="5"/>
  <c r="AB971" i="5"/>
  <c r="AB987" i="5"/>
  <c r="AB1003" i="5"/>
  <c r="AB350" i="5"/>
  <c r="AB446" i="5"/>
  <c r="AB278" i="5"/>
  <c r="AB341" i="5"/>
  <c r="AB374" i="5"/>
  <c r="AB406" i="5"/>
  <c r="AB438" i="5"/>
  <c r="AB470" i="5"/>
  <c r="AB502" i="5"/>
  <c r="AB527" i="5"/>
  <c r="AB543" i="5"/>
  <c r="AB559" i="5"/>
  <c r="AB575" i="5"/>
  <c r="AB591" i="5"/>
  <c r="AB607" i="5"/>
  <c r="AB623" i="5"/>
  <c r="AB639" i="5"/>
  <c r="AB655" i="5"/>
  <c r="AB671" i="5"/>
  <c r="AB687" i="5"/>
  <c r="AB703" i="5"/>
  <c r="AB719" i="5"/>
  <c r="AB735" i="5"/>
  <c r="AB751" i="5"/>
  <c r="AB767" i="5"/>
  <c r="AB783" i="5"/>
  <c r="AB799" i="5"/>
  <c r="AB815" i="5"/>
  <c r="AB831" i="5"/>
  <c r="AB847" i="5"/>
  <c r="AB863" i="5"/>
  <c r="AB879" i="5"/>
  <c r="AB895" i="5"/>
  <c r="AB911" i="5"/>
  <c r="AB927" i="5"/>
  <c r="AB943" i="5"/>
  <c r="AB959" i="5"/>
  <c r="AB975" i="5"/>
  <c r="AB991" i="5"/>
  <c r="AB198" i="5"/>
  <c r="AB294" i="5"/>
  <c r="AB382" i="5"/>
  <c r="AB414" i="5"/>
  <c r="AB478" i="5"/>
  <c r="AB510" i="5"/>
  <c r="AB531" i="5"/>
  <c r="AB547" i="5"/>
  <c r="AB563" i="5"/>
  <c r="AB579" i="5"/>
  <c r="AB595" i="5"/>
  <c r="AB611" i="5"/>
  <c r="AB627" i="5"/>
  <c r="AB643" i="5"/>
  <c r="AB659" i="5"/>
  <c r="AB675" i="5"/>
  <c r="AB691" i="5"/>
  <c r="AB707" i="5"/>
  <c r="AB723" i="5"/>
  <c r="AB739" i="5"/>
  <c r="AB755" i="5"/>
  <c r="AB771" i="5"/>
  <c r="AB787" i="5"/>
  <c r="AB803" i="5"/>
  <c r="AB819" i="5"/>
  <c r="AB835" i="5"/>
  <c r="AB851" i="5"/>
  <c r="AB867" i="5"/>
  <c r="AB883" i="5"/>
  <c r="AB899" i="5"/>
  <c r="AB915" i="5"/>
  <c r="AB931" i="5"/>
  <c r="AB947" i="5"/>
  <c r="AB963" i="5"/>
  <c r="AB979" i="5"/>
  <c r="AB995" i="5"/>
  <c r="AB935" i="5"/>
  <c r="AB983" i="5"/>
  <c r="AB230" i="5"/>
  <c r="AB310" i="5"/>
  <c r="AB358" i="5"/>
  <c r="AB390" i="5"/>
  <c r="AB422" i="5"/>
  <c r="AB454" i="5"/>
  <c r="AB486" i="5"/>
  <c r="AB517" i="5"/>
  <c r="AB535" i="5"/>
  <c r="AB551" i="5"/>
  <c r="AB567" i="5"/>
  <c r="AB583" i="5"/>
  <c r="AB599" i="5"/>
  <c r="AB615" i="5"/>
  <c r="AB631" i="5"/>
  <c r="AB647" i="5"/>
  <c r="AB663" i="5"/>
  <c r="AB679" i="5"/>
  <c r="AB695" i="5"/>
  <c r="AB711" i="5"/>
  <c r="AB727" i="5"/>
  <c r="AB743" i="5"/>
  <c r="AB759" i="5"/>
  <c r="AB775" i="5"/>
  <c r="AB791" i="5"/>
  <c r="AB807" i="5"/>
  <c r="AB823" i="5"/>
  <c r="AB839" i="5"/>
  <c r="AB855" i="5"/>
  <c r="AB871" i="5"/>
  <c r="AB887" i="5"/>
  <c r="AB903" i="5"/>
  <c r="AB919" i="5"/>
  <c r="AB951" i="5"/>
  <c r="AB967" i="5"/>
  <c r="AB999" i="5"/>
  <c r="AB51" i="5"/>
  <c r="AB49" i="5"/>
  <c r="AB50" i="5"/>
</calcChain>
</file>

<file path=xl/sharedStrings.xml><?xml version="1.0" encoding="utf-8"?>
<sst xmlns="http://schemas.openxmlformats.org/spreadsheetml/2006/main" count="482" uniqueCount="279">
  <si>
    <t>id</t>
    <phoneticPr fontId="2" type="noConversion"/>
  </si>
  <si>
    <t>name</t>
    <phoneticPr fontId="2" type="noConversion"/>
  </si>
  <si>
    <t>rare</t>
    <phoneticPr fontId="2" type="noConversion"/>
  </si>
  <si>
    <t>name_CN</t>
    <phoneticPr fontId="2" type="noConversion"/>
  </si>
  <si>
    <t>desc</t>
    <phoneticPr fontId="2" type="noConversion"/>
  </si>
  <si>
    <t>Small Bone</t>
    <phoneticPr fontId="2" type="noConversion"/>
  </si>
  <si>
    <t>Middle Bone</t>
    <phoneticPr fontId="2" type="noConversion"/>
  </si>
  <si>
    <t>Large Bone</t>
    <phoneticPr fontId="2" type="noConversion"/>
  </si>
  <si>
    <t>Hard Bone</t>
    <phoneticPr fontId="2" type="noConversion"/>
  </si>
  <si>
    <t>小骨</t>
    <phoneticPr fontId="2" type="noConversion"/>
  </si>
  <si>
    <t>中骨</t>
    <phoneticPr fontId="2" type="noConversion"/>
  </si>
  <si>
    <t>大骨</t>
    <phoneticPr fontId="2" type="noConversion"/>
  </si>
  <si>
    <t>硬骨</t>
    <phoneticPr fontId="2" type="noConversion"/>
  </si>
  <si>
    <t>Raw Meat</t>
    <phoneticPr fontId="2" type="noConversion"/>
  </si>
  <si>
    <t>生肉</t>
    <phoneticPr fontId="2" type="noConversion"/>
  </si>
  <si>
    <t>Steak</t>
    <phoneticPr fontId="2" type="noConversion"/>
  </si>
  <si>
    <t>烤肉</t>
    <phoneticPr fontId="2" type="noConversion"/>
  </si>
  <si>
    <t>铁矿</t>
    <phoneticPr fontId="2" type="noConversion"/>
  </si>
  <si>
    <t>铁锭</t>
    <phoneticPr fontId="2" type="noConversion"/>
  </si>
  <si>
    <t>Iron Ore</t>
    <phoneticPr fontId="2" type="noConversion"/>
  </si>
  <si>
    <t>Iron Bar</t>
    <phoneticPr fontId="2" type="noConversion"/>
  </si>
  <si>
    <t>钢锭</t>
    <phoneticPr fontId="2" type="noConversion"/>
  </si>
  <si>
    <t>Steel Bar</t>
    <phoneticPr fontId="2" type="noConversion"/>
  </si>
  <si>
    <t>小石块</t>
    <phoneticPr fontId="2" type="noConversion"/>
  </si>
  <si>
    <t>Stone</t>
    <phoneticPr fontId="2" type="noConversion"/>
  </si>
  <si>
    <t>鳞</t>
    <phoneticPr fontId="2" type="noConversion"/>
  </si>
  <si>
    <t>角</t>
    <phoneticPr fontId="2" type="noConversion"/>
  </si>
  <si>
    <t>火焰精华</t>
    <phoneticPr fontId="2" type="noConversion"/>
  </si>
  <si>
    <t>魔力精华</t>
    <phoneticPr fontId="2" type="noConversion"/>
  </si>
  <si>
    <t>铜矿</t>
    <phoneticPr fontId="2" type="noConversion"/>
  </si>
  <si>
    <t>铜锭</t>
    <phoneticPr fontId="2" type="noConversion"/>
  </si>
  <si>
    <t>齿轮</t>
    <phoneticPr fontId="2" type="noConversion"/>
  </si>
  <si>
    <t>大地精华</t>
    <phoneticPr fontId="2" type="noConversion"/>
  </si>
  <si>
    <t>空气精华</t>
    <phoneticPr fontId="2" type="noConversion"/>
  </si>
  <si>
    <t>流水精华</t>
    <phoneticPr fontId="2" type="noConversion"/>
  </si>
  <si>
    <t>Copper Ore</t>
    <phoneticPr fontId="2" type="noConversion"/>
  </si>
  <si>
    <t>Copper Bar</t>
    <phoneticPr fontId="2" type="noConversion"/>
  </si>
  <si>
    <t>Gear</t>
    <phoneticPr fontId="2" type="noConversion"/>
  </si>
  <si>
    <t>生命精华</t>
    <phoneticPr fontId="2" type="noConversion"/>
  </si>
  <si>
    <t>Essence of Water</t>
    <phoneticPr fontId="2" type="noConversion"/>
  </si>
  <si>
    <t>Essence of Fie</t>
    <phoneticPr fontId="2" type="noConversion"/>
  </si>
  <si>
    <t>Essence of Air</t>
    <phoneticPr fontId="2" type="noConversion"/>
  </si>
  <si>
    <t>Essence of Earth</t>
    <phoneticPr fontId="2" type="noConversion"/>
  </si>
  <si>
    <t>Essence of Magic</t>
    <phoneticPr fontId="2" type="noConversion"/>
  </si>
  <si>
    <t>Essence of Life</t>
    <phoneticPr fontId="2" type="noConversion"/>
  </si>
  <si>
    <t>Scale</t>
    <phoneticPr fontId="2" type="noConversion"/>
  </si>
  <si>
    <t>Horn</t>
    <phoneticPr fontId="2" type="noConversion"/>
  </si>
  <si>
    <t>牙</t>
    <phoneticPr fontId="2" type="noConversion"/>
  </si>
  <si>
    <t>Fang</t>
    <phoneticPr fontId="2" type="noConversion"/>
  </si>
  <si>
    <t>羽毛</t>
    <phoneticPr fontId="2" type="noConversion"/>
  </si>
  <si>
    <t>Feather</t>
    <phoneticPr fontId="2" type="noConversion"/>
  </si>
  <si>
    <t>壳</t>
    <phoneticPr fontId="2" type="noConversion"/>
  </si>
  <si>
    <t>Shell</t>
    <phoneticPr fontId="2" type="noConversion"/>
  </si>
  <si>
    <t>皮</t>
    <phoneticPr fontId="2" type="noConversion"/>
  </si>
  <si>
    <t>血</t>
    <phoneticPr fontId="2" type="noConversion"/>
  </si>
  <si>
    <t>Hide</t>
    <phoneticPr fontId="2" type="noConversion"/>
  </si>
  <si>
    <t>Blood</t>
    <phoneticPr fontId="2" type="noConversion"/>
  </si>
  <si>
    <t>爪</t>
    <phoneticPr fontId="2" type="noConversion"/>
  </si>
  <si>
    <t>尾</t>
    <phoneticPr fontId="2" type="noConversion"/>
  </si>
  <si>
    <t>Claw</t>
    <phoneticPr fontId="2" type="noConversion"/>
  </si>
  <si>
    <t>Tail</t>
    <phoneticPr fontId="2" type="noConversion"/>
  </si>
  <si>
    <t>class</t>
    <phoneticPr fontId="2" type="noConversion"/>
  </si>
  <si>
    <t>Drop</t>
    <phoneticPr fontId="2" type="noConversion"/>
  </si>
  <si>
    <t>Cook</t>
    <phoneticPr fontId="2" type="noConversion"/>
  </si>
  <si>
    <t>Mine</t>
    <phoneticPr fontId="2" type="noConversion"/>
  </si>
  <si>
    <t>Craft</t>
    <phoneticPr fontId="2" type="noConversion"/>
  </si>
  <si>
    <t>loot</t>
    <phoneticPr fontId="2" type="noConversion"/>
  </si>
  <si>
    <t>hp</t>
    <phoneticPr fontId="2" type="noConversion"/>
  </si>
  <si>
    <t xml:space="preserve">bounty </t>
    <phoneticPr fontId="2" type="noConversion"/>
  </si>
  <si>
    <t>Iron Ingot</t>
    <phoneticPr fontId="2" type="noConversion"/>
  </si>
  <si>
    <t>Steel Ingot</t>
    <phoneticPr fontId="2" type="noConversion"/>
  </si>
  <si>
    <t>Copper Ingot</t>
    <phoneticPr fontId="2" type="noConversion"/>
  </si>
  <si>
    <t>RescourceCheck</t>
    <phoneticPr fontId="2" type="noConversion"/>
  </si>
  <si>
    <t>OrLeather</t>
    <phoneticPr fontId="2" type="noConversion"/>
  </si>
  <si>
    <t>Temp</t>
    <phoneticPr fontId="2" type="noConversion"/>
  </si>
  <si>
    <t>Essence of Water</t>
    <phoneticPr fontId="2" type="noConversion"/>
  </si>
  <si>
    <t>Essence of Fie</t>
    <phoneticPr fontId="2" type="noConversion"/>
  </si>
  <si>
    <t>MisSpell</t>
    <phoneticPr fontId="2" type="noConversion"/>
  </si>
  <si>
    <t>stage</t>
    <phoneticPr fontId="2" type="noConversion"/>
  </si>
  <si>
    <t>monsterIndex</t>
    <phoneticPr fontId="2" type="noConversion"/>
  </si>
  <si>
    <t>公共变量</t>
    <phoneticPr fontId="2" type="noConversion"/>
  </si>
  <si>
    <t>值</t>
    <phoneticPr fontId="2" type="noConversion"/>
  </si>
  <si>
    <t>monsterNumInStage</t>
    <phoneticPr fontId="2" type="noConversion"/>
  </si>
  <si>
    <t>monsterHpf</t>
    <phoneticPr fontId="2" type="noConversion"/>
  </si>
  <si>
    <t>monsterHpi</t>
    <phoneticPr fontId="2" type="noConversion"/>
  </si>
  <si>
    <t>备注</t>
    <phoneticPr fontId="2" type="noConversion"/>
  </si>
  <si>
    <t>每个stage怪物数</t>
    <phoneticPr fontId="2" type="noConversion"/>
  </si>
  <si>
    <t>monsterHpModifier</t>
    <phoneticPr fontId="2" type="noConversion"/>
  </si>
  <si>
    <t>由于不是狂点，而是点泡泡，需要除一个数</t>
    <phoneticPr fontId="2" type="noConversion"/>
  </si>
  <si>
    <t>bossMultier</t>
  </si>
  <si>
    <t>bossMultiplier</t>
    <phoneticPr fontId="2" type="noConversion"/>
  </si>
  <si>
    <t>monsterHp</t>
    <phoneticPr fontId="2" type="noConversion"/>
  </si>
  <si>
    <t>monsterGoldi</t>
    <phoneticPr fontId="2" type="noConversion"/>
  </si>
  <si>
    <t>所需时间</t>
  </si>
  <si>
    <t>时间轴</t>
  </si>
  <si>
    <t>体验描述</t>
  </si>
  <si>
    <t>这15秒用来培养一个基本概念，点击造成伤害，对于第一次玩这种游戏的玩家而言，这个值比较合理</t>
  </si>
  <si>
    <t>在第15秒，就用DPS加倍营造了第一个小高潮，爽点就出来了</t>
  </si>
  <si>
    <t>2倍时间差距其实不是很敏感</t>
  </si>
  <si>
    <t>掉落9个和2的比较初步给玩家灌输了打BOSS有好康这个概念</t>
  </si>
  <si>
    <t>在前一分钟，所需时间的趋势是越来越短的，有一种渐入佳境，瞬间秒杀的快感。</t>
  </si>
  <si>
    <t>这个8秒就对体验影响比较大了，玩家可以明显的感觉到了要打很久，但由于之前一个BOSS的体验，玩家会预期接下来有好康，所以愿意打一打。而打完爆了17个金币，如果玩家不是频繁升级，足够升2-3级，很爽。</t>
  </si>
  <si>
    <t>而在1分半，遇到了一个大卡点。经过了之前对升级，BOSS等概念的灌输，可以想象玩家这时候会全力升级。当克服了这个困难后，整整39个金币，只需要再稍微努力一点点，就可以升级之前眼馋了很久自动打怪。1分半解锁新系统，不错的节奏。</t>
  </si>
  <si>
    <t>如果玩家继续玩，秒杀一次6个金币的奖励也给了玩家足够的动力。</t>
  </si>
  <si>
    <t>TAP体验轴</t>
    <phoneticPr fontId="2" type="noConversion"/>
  </si>
  <si>
    <t>playerLevel</t>
    <phoneticPr fontId="2" type="noConversion"/>
  </si>
  <si>
    <t>playerDamage</t>
    <phoneticPr fontId="2" type="noConversion"/>
  </si>
  <si>
    <t>playerLevelCost</t>
    <phoneticPr fontId="2" type="noConversion"/>
  </si>
  <si>
    <t>monsterGoldTT</t>
    <phoneticPr fontId="2" type="noConversion"/>
  </si>
  <si>
    <t>monsterGoldMH</t>
    <phoneticPr fontId="2" type="noConversion"/>
  </si>
  <si>
    <t>monsterGoldiMH</t>
    <phoneticPr fontId="2" type="noConversion"/>
  </si>
  <si>
    <t>PlayerGoldSum</t>
    <phoneticPr fontId="2" type="noConversion"/>
  </si>
  <si>
    <t>PlayerLevelTT</t>
    <phoneticPr fontId="2" type="noConversion"/>
  </si>
  <si>
    <t>playerLevelTotal</t>
    <phoneticPr fontId="2" type="noConversion"/>
  </si>
  <si>
    <t>value_BAK</t>
    <phoneticPr fontId="2" type="noConversion"/>
  </si>
  <si>
    <t>value</t>
    <phoneticPr fontId="2" type="noConversion"/>
  </si>
  <si>
    <t>MonsterIndex</t>
    <phoneticPr fontId="2" type="noConversion"/>
  </si>
  <si>
    <t>MonsterGold</t>
    <phoneticPr fontId="2" type="noConversion"/>
  </si>
  <si>
    <t>MonsterLoot1</t>
    <phoneticPr fontId="2" type="noConversion"/>
  </si>
  <si>
    <t>MonsterLoot2</t>
    <phoneticPr fontId="2" type="noConversion"/>
  </si>
  <si>
    <t>逻辑怎么写</t>
    <phoneticPr fontId="2" type="noConversion"/>
  </si>
  <si>
    <t>总LOOT数量控制在10个内，优先用</t>
    <phoneticPr fontId="2" type="noConversion"/>
  </si>
  <si>
    <t>Num</t>
    <phoneticPr fontId="2" type="noConversion"/>
  </si>
  <si>
    <t>TotalValue</t>
    <phoneticPr fontId="2" type="noConversion"/>
  </si>
  <si>
    <t>妈了个B，搞了半天得出来一个结论，直接把TT数值中的金币转化成物品时绝对不合理的！！</t>
    <phoneticPr fontId="2" type="noConversion"/>
  </si>
  <si>
    <t>点击泡泡造成伤害的核心玩法是没问题的。那么接下来就是数值和系统的问题。</t>
    <phoneticPr fontId="2" type="noConversion"/>
  </si>
  <si>
    <t>由于希望强化点击玩法，所以在数值上，除了升级以外还需要别的系统来强化。</t>
    <phoneticPr fontId="2" type="noConversion"/>
  </si>
  <si>
    <t>武器系统当然没有问题，那么开始设计武器系统。</t>
    <phoneticPr fontId="2" type="noConversion"/>
  </si>
  <si>
    <t>武器系统怎么作用于战斗数值</t>
    <phoneticPr fontId="2" type="noConversion"/>
  </si>
  <si>
    <t>武器系统的输入是什么</t>
    <phoneticPr fontId="2" type="noConversion"/>
  </si>
  <si>
    <t>武器系统的UI</t>
    <phoneticPr fontId="2" type="noConversion"/>
  </si>
  <si>
    <t>武器系统给玩家的体验</t>
    <phoneticPr fontId="2" type="noConversion"/>
  </si>
  <si>
    <t>追求好武器，扩大需求（强化，宝石，符文），最好一开始别太坑太复杂</t>
    <phoneticPr fontId="2" type="noConversion"/>
  </si>
  <si>
    <t>在一开始的战斗过程中，玩家会收集到一些熔铸武器的素材，然后武器系统解锁，造一个武器，DPS爆炸一波。这体验很好。</t>
    <phoneticPr fontId="2" type="noConversion"/>
  </si>
  <si>
    <t>那么决定了输入可以从战斗中获取。</t>
    <phoneticPr fontId="2" type="noConversion"/>
  </si>
  <si>
    <t>输入的种类应该是多种多样的还是单一的？</t>
    <phoneticPr fontId="2" type="noConversion"/>
  </si>
  <si>
    <t>武器的种类和合成素材种类应该是多种多样的还是单一的？</t>
    <phoneticPr fontId="2" type="noConversion"/>
  </si>
  <si>
    <t>武器的铸造应不应该有随机性？</t>
    <phoneticPr fontId="2" type="noConversion"/>
  </si>
  <si>
    <t>是不是应该添加一个符合世界观的核心主线？让辅助系统成为帮助而不是必须。核心经济循环的线要多复杂。</t>
    <phoneticPr fontId="2" type="noConversion"/>
  </si>
  <si>
    <t>这个依照游戏类型不同差别很大。</t>
    <phoneticPr fontId="2" type="noConversion"/>
  </si>
  <si>
    <t>单机游戏MH里，只有二条线，造兵器，造套装。数值很简单，乐趣在于技巧提升。</t>
    <phoneticPr fontId="2" type="noConversion"/>
  </si>
  <si>
    <t>典型卡牌比如少三里，线就很多了，初期感受最强烈的是武将组合。但在过程中有很多坑要填，填一个坑战斗力都迅速上涨。</t>
    <phoneticPr fontId="2" type="noConversion"/>
  </si>
  <si>
    <t>在参考的挖洞游戏里，核心循环是解锁新科技，但提供的循环都反馈到了经济系统里。</t>
    <phoneticPr fontId="2" type="noConversion"/>
  </si>
  <si>
    <t>对于TAPTITANS，加战斗力的系统都是逐步解锁的，比较固化。但付费会破坏这个固化。</t>
    <phoneticPr fontId="2" type="noConversion"/>
  </si>
  <si>
    <t>玩家分配经济的行为应该有多复杂？</t>
    <phoneticPr fontId="2" type="noConversion"/>
  </si>
  <si>
    <t>画一下框图</t>
    <phoneticPr fontId="2" type="noConversion"/>
  </si>
  <si>
    <t>如何让资源始终是短缺的。</t>
    <phoneticPr fontId="2" type="noConversion"/>
  </si>
  <si>
    <t>在MH里，两个方式保证了素材的短缺性。一，多样的武器和护甲是刚需。二，稀有素材。</t>
    <phoneticPr fontId="2" type="noConversion"/>
  </si>
  <si>
    <t>典型卡牌里，两个方式保证了素材的短缺性。一，有多个武将需要升级。二，素材获取的随机性。</t>
    <phoneticPr fontId="2" type="noConversion"/>
  </si>
  <si>
    <t>挖洞游戏里，单个素材始终是不短缺的。短缺来源于卖钱。</t>
    <phoneticPr fontId="2" type="noConversion"/>
  </si>
  <si>
    <t>TAPTITANS里，资源总是可以无限使用，保证了短缺性。</t>
    <phoneticPr fontId="2" type="noConversion"/>
  </si>
  <si>
    <t>挂机游戏里，战斗力两个来源，英雄和装备，然后再不断细分。</t>
    <phoneticPr fontId="2" type="noConversion"/>
  </si>
  <si>
    <t>武器系统的概念说服力。</t>
    <phoneticPr fontId="2" type="noConversion"/>
  </si>
  <si>
    <t>感觉变成征途的武器了。。。一堆东西，不喜欢。不喜欢的原因是概念复杂，坑太深。</t>
    <phoneticPr fontId="2" type="noConversion"/>
  </si>
  <si>
    <t>同理，不喜欢武器无限强化概念。</t>
    <phoneticPr fontId="2" type="noConversion"/>
  </si>
  <si>
    <t>武器树状升级。</t>
    <phoneticPr fontId="2" type="noConversion"/>
  </si>
  <si>
    <t>武器一次成型。</t>
    <phoneticPr fontId="2" type="noConversion"/>
  </si>
  <si>
    <t>武器的需求量不大。</t>
    <phoneticPr fontId="2" type="noConversion"/>
  </si>
  <si>
    <t>一个固定大小的坑，一个不固定大小的坑。</t>
    <phoneticPr fontId="2" type="noConversion"/>
  </si>
  <si>
    <t>DIABOLO武器系统。</t>
    <phoneticPr fontId="2" type="noConversion"/>
  </si>
  <si>
    <t>后期用不同武器打BOSS？</t>
    <phoneticPr fontId="2" type="noConversion"/>
  </si>
  <si>
    <t>这个游戏要不要有随机性，预期成长高的坑。要，放哪里合适。</t>
    <phoneticPr fontId="2" type="noConversion"/>
  </si>
  <si>
    <t>来一个前期系统，玩家一看就知道是好东西，并且这玩意要是个坑。</t>
    <phoneticPr fontId="2" type="noConversion"/>
  </si>
  <si>
    <t>多样性和最优解。</t>
    <phoneticPr fontId="2" type="noConversion"/>
  </si>
  <si>
    <t>可以在手感上有变化的参数（泡泡大小，刷新数量，持续时间</t>
    <phoneticPr fontId="2" type="noConversion"/>
  </si>
  <si>
    <t>能不能赚钱就靠能不能设计一个好的坑点了！</t>
    <phoneticPr fontId="2" type="noConversion"/>
  </si>
  <si>
    <t>我觉得挖洞游戏付费冲动其实不是很强。。。</t>
    <phoneticPr fontId="2" type="noConversion"/>
  </si>
  <si>
    <t>预期的强大，毕业套~勾引付费~</t>
    <phoneticPr fontId="2" type="noConversion"/>
  </si>
  <si>
    <t>传奇武器兑换券，感觉就是用一次就没的东西</t>
    <phoneticPr fontId="2" type="noConversion"/>
  </si>
  <si>
    <t>决定了！就以武器品质的差异作为付费点。</t>
    <phoneticPr fontId="2" type="noConversion"/>
  </si>
  <si>
    <t>品质的差异影响成长值，有两种做法。一种是词缀的百分比数值不同。第二种是单纯的成长值不同。</t>
    <phoneticPr fontId="2" type="noConversion"/>
  </si>
  <si>
    <t>都要求武器能升级。武器升级是怎么样一个机制。</t>
    <phoneticPr fontId="2" type="noConversion"/>
  </si>
  <si>
    <t>武器的更新换代速度应该是怎么样的。</t>
    <phoneticPr fontId="2" type="noConversion"/>
  </si>
  <si>
    <t>玩家在随机获取武器，武器花钱升级这整一套下的体验。</t>
    <phoneticPr fontId="2" type="noConversion"/>
  </si>
  <si>
    <t>就抄这个挂机游戏，但他的一个刚需是不同的职业都要有。</t>
    <phoneticPr fontId="2" type="noConversion"/>
  </si>
  <si>
    <t>能不能设计一个系统，不同的武器都要有？</t>
    <phoneticPr fontId="2" type="noConversion"/>
  </si>
  <si>
    <t>而且是机制上决定都要有，而不是靠数值卡。</t>
    <phoneticPr fontId="2" type="noConversion"/>
  </si>
  <si>
    <t>这要不同的BOSS模式。</t>
    <phoneticPr fontId="2" type="noConversion"/>
  </si>
  <si>
    <t>核心玩法易简不宜多，不然无论从数值上还是从代码工作量上都容易崩</t>
    <phoneticPr fontId="2" type="noConversion"/>
  </si>
  <si>
    <t>传奇武器，传奇饰品</t>
    <phoneticPr fontId="2" type="noConversion"/>
  </si>
  <si>
    <t>武器的差别</t>
    <phoneticPr fontId="2" type="noConversion"/>
  </si>
  <si>
    <t>只有攻击力相关和技能相关</t>
    <phoneticPr fontId="2" type="noConversion"/>
  </si>
  <si>
    <t>词缀</t>
    <phoneticPr fontId="2" type="noConversion"/>
  </si>
  <si>
    <t>暴击率</t>
    <phoneticPr fontId="2" type="noConversion"/>
  </si>
  <si>
    <t>暴击伤害</t>
    <phoneticPr fontId="2" type="noConversion"/>
  </si>
  <si>
    <t>技能CD</t>
    <phoneticPr fontId="2" type="noConversion"/>
  </si>
  <si>
    <t>百分比伤害</t>
    <phoneticPr fontId="2" type="noConversion"/>
  </si>
  <si>
    <t>弱点伤害</t>
    <phoneticPr fontId="2" type="noConversion"/>
  </si>
  <si>
    <t>弱点发现率</t>
    <phoneticPr fontId="2" type="noConversion"/>
  </si>
  <si>
    <t>攻击点刷新率</t>
    <phoneticPr fontId="2" type="noConversion"/>
  </si>
  <si>
    <t>攻击点大小</t>
    <phoneticPr fontId="2" type="noConversion"/>
  </si>
  <si>
    <t>名称</t>
    <phoneticPr fontId="2" type="noConversion"/>
  </si>
  <si>
    <t>嗜血</t>
    <phoneticPr fontId="2" type="noConversion"/>
  </si>
  <si>
    <t>残暴</t>
    <phoneticPr fontId="2" type="noConversion"/>
  </si>
  <si>
    <t>狡诈</t>
    <phoneticPr fontId="2" type="noConversion"/>
  </si>
  <si>
    <t>穿透</t>
    <phoneticPr fontId="2" type="noConversion"/>
  </si>
  <si>
    <t>狂怒</t>
    <phoneticPr fontId="2" type="noConversion"/>
  </si>
  <si>
    <t>机警</t>
    <phoneticPr fontId="2" type="noConversion"/>
  </si>
  <si>
    <t>沉重</t>
    <phoneticPr fontId="2" type="noConversion"/>
  </si>
  <si>
    <t>敏捷</t>
    <phoneticPr fontId="2" type="noConversion"/>
  </si>
  <si>
    <t>熔铸：有几率将武器的词缀转化到主武器上，只能转同级。高级的贵，成功率高。失败损失素材。</t>
    <phoneticPr fontId="2" type="noConversion"/>
  </si>
  <si>
    <t>强化：升级。简单升级。</t>
    <phoneticPr fontId="2" type="noConversion"/>
  </si>
  <si>
    <t>武器系统的输入</t>
    <phoneticPr fontId="2" type="noConversion"/>
  </si>
  <si>
    <t>百分比攻击力</t>
    <phoneticPr fontId="2" type="noConversion"/>
  </si>
  <si>
    <t>不同的素材的投入造出来的基础级别不一样。</t>
    <phoneticPr fontId="2" type="noConversion"/>
  </si>
  <si>
    <t>投入特殊素材进行附魔。</t>
    <phoneticPr fontId="2" type="noConversion"/>
  </si>
  <si>
    <t>词缀是否需要等级。。。。。。。。</t>
    <phoneticPr fontId="2" type="noConversion"/>
  </si>
  <si>
    <t>不行，附魔是渣渣。取消稀有素材设定。</t>
    <phoneticPr fontId="2" type="noConversion"/>
  </si>
  <si>
    <t>各种品质的武器差别，怎么弄成一个坑</t>
    <phoneticPr fontId="2" type="noConversion"/>
  </si>
  <si>
    <t>左手武器，主要影响内脏暴击，敏捷</t>
    <phoneticPr fontId="2" type="noConversion"/>
  </si>
  <si>
    <t>右手武器，主要影响平A，力量</t>
    <phoneticPr fontId="2" type="noConversion"/>
  </si>
  <si>
    <t>如何把数值分解到各个系统中。。。。。。。。。。。。。。。。。。。。。</t>
    <phoneticPr fontId="2" type="noConversion"/>
  </si>
  <si>
    <t>暴击率</t>
    <phoneticPr fontId="2" type="noConversion"/>
  </si>
  <si>
    <t>暴击伤害</t>
    <phoneticPr fontId="2" type="noConversion"/>
  </si>
  <si>
    <t>攻击点刷新率</t>
    <phoneticPr fontId="2" type="noConversion"/>
  </si>
  <si>
    <t>攻击点大小</t>
    <phoneticPr fontId="2" type="noConversion"/>
  </si>
  <si>
    <t>饰品，主要影响技能</t>
    <phoneticPr fontId="2" type="noConversion"/>
  </si>
  <si>
    <t>技能等级</t>
    <phoneticPr fontId="2" type="noConversion"/>
  </si>
  <si>
    <t>技能CD</t>
    <phoneticPr fontId="2" type="noConversion"/>
  </si>
  <si>
    <t>技能伤害</t>
    <phoneticPr fontId="2" type="noConversion"/>
  </si>
  <si>
    <t>百分比伤害</t>
    <phoneticPr fontId="2" type="noConversion"/>
  </si>
  <si>
    <t>弱点伤害</t>
    <phoneticPr fontId="2" type="noConversion"/>
  </si>
  <si>
    <t>弱点发现率</t>
    <phoneticPr fontId="2" type="noConversion"/>
  </si>
  <si>
    <t>弱点消失速度</t>
    <phoneticPr fontId="2" type="noConversion"/>
  </si>
  <si>
    <t>弱点大小</t>
    <phoneticPr fontId="2" type="noConversion"/>
  </si>
  <si>
    <t>属性随机？属性成长？武器品种差异？</t>
    <phoneticPr fontId="2" type="noConversion"/>
  </si>
  <si>
    <t>太刀</t>
    <phoneticPr fontId="2" type="noConversion"/>
  </si>
  <si>
    <t>大剑</t>
    <phoneticPr fontId="2" type="noConversion"/>
  </si>
  <si>
    <t>斧子</t>
    <phoneticPr fontId="2" type="noConversion"/>
  </si>
  <si>
    <t>短刀</t>
    <phoneticPr fontId="2" type="noConversion"/>
  </si>
  <si>
    <t>左轮</t>
    <phoneticPr fontId="2" type="noConversion"/>
  </si>
  <si>
    <t>霰弹枪</t>
    <phoneticPr fontId="2" type="noConversion"/>
  </si>
  <si>
    <t>猎枪</t>
    <phoneticPr fontId="2" type="noConversion"/>
  </si>
  <si>
    <t>+</t>
    <phoneticPr fontId="2" type="noConversion"/>
  </si>
  <si>
    <t>-</t>
    <phoneticPr fontId="2" type="noConversion"/>
  </si>
  <si>
    <t>-</t>
    <phoneticPr fontId="2" type="noConversion"/>
  </si>
  <si>
    <t>+</t>
    <phoneticPr fontId="2" type="noConversion"/>
  </si>
  <si>
    <t>-</t>
    <phoneticPr fontId="2" type="noConversion"/>
  </si>
  <si>
    <t>不同品质的差别</t>
    <phoneticPr fontId="2" type="noConversion"/>
  </si>
  <si>
    <t>斩味</t>
    <phoneticPr fontId="2" type="noConversion"/>
  </si>
  <si>
    <t>攻击力</t>
    <phoneticPr fontId="2" type="noConversion"/>
  </si>
  <si>
    <t>属性</t>
    <phoneticPr fontId="2" type="noConversion"/>
  </si>
  <si>
    <t>（挂机时间）</t>
    <phoneticPr fontId="2" type="noConversion"/>
  </si>
  <si>
    <t>（自动攻击）</t>
    <phoneticPr fontId="2" type="noConversion"/>
  </si>
  <si>
    <t>左右武器斩味相加就行</t>
    <phoneticPr fontId="2" type="noConversion"/>
  </si>
  <si>
    <t>挂机收益等于十分之一的攻击力在不断杀同一只怪</t>
    <phoneticPr fontId="2" type="noConversion"/>
  </si>
  <si>
    <t>做简单一点，不同属性再来个名字就够了。</t>
    <phoneticPr fontId="2" type="noConversion"/>
  </si>
  <si>
    <t>武器数值和UI展示</t>
    <phoneticPr fontId="2" type="noConversion"/>
  </si>
  <si>
    <t>升级等级线性增加力量</t>
    <phoneticPr fontId="2" type="noConversion"/>
  </si>
  <si>
    <t>每次关键升级增加百分比伤害，属性跳跃式增加</t>
    <phoneticPr fontId="2" type="noConversion"/>
  </si>
  <si>
    <t>力量</t>
    <phoneticPr fontId="2" type="noConversion"/>
  </si>
  <si>
    <t>敏捷</t>
    <phoneticPr fontId="2" type="noConversion"/>
  </si>
  <si>
    <t>这个似乎不是很直观？</t>
    <phoneticPr fontId="2" type="noConversion"/>
  </si>
  <si>
    <t>（百分比增加攻击伤害）</t>
    <phoneticPr fontId="2" type="noConversion"/>
  </si>
  <si>
    <t>（百分比增加弱点攻击伤害）</t>
    <phoneticPr fontId="2" type="noConversion"/>
  </si>
  <si>
    <t>耳环</t>
    <phoneticPr fontId="2" type="noConversion"/>
  </si>
  <si>
    <t>戒指</t>
    <phoneticPr fontId="2" type="noConversion"/>
  </si>
  <si>
    <t>项链</t>
    <phoneticPr fontId="2" type="noConversion"/>
  </si>
  <si>
    <t>来个浮动值？</t>
    <phoneticPr fontId="2" type="noConversion"/>
  </si>
  <si>
    <t>这个要搞完技能再说</t>
    <phoneticPr fontId="2" type="noConversion"/>
  </si>
  <si>
    <t>大类</t>
    <phoneticPr fontId="2" type="noConversion"/>
  </si>
  <si>
    <t>小类</t>
    <phoneticPr fontId="2" type="noConversion"/>
  </si>
  <si>
    <t>品质</t>
    <phoneticPr fontId="2" type="noConversion"/>
  </si>
  <si>
    <t>等级</t>
    <phoneticPr fontId="2" type="noConversion"/>
  </si>
  <si>
    <t>强化</t>
    <phoneticPr fontId="2" type="noConversion"/>
  </si>
  <si>
    <t>哪些东西放到逻辑里，哪些东西放到数据库里？</t>
    <phoneticPr fontId="2" type="noConversion"/>
  </si>
  <si>
    <t>太刀</t>
    <phoneticPr fontId="2" type="noConversion"/>
  </si>
  <si>
    <t>大剑</t>
    <phoneticPr fontId="2" type="noConversion"/>
  </si>
  <si>
    <t>斧子</t>
    <phoneticPr fontId="2" type="noConversion"/>
  </si>
  <si>
    <t>短刀</t>
    <phoneticPr fontId="2" type="noConversion"/>
  </si>
  <si>
    <t>类型</t>
    <phoneticPr fontId="2" type="noConversion"/>
  </si>
  <si>
    <t>暴击率</t>
    <phoneticPr fontId="2" type="noConversion"/>
  </si>
  <si>
    <t>暴击伤害</t>
    <phoneticPr fontId="2" type="noConversion"/>
  </si>
  <si>
    <t>攻击点刷新率</t>
    <phoneticPr fontId="2" type="noConversion"/>
  </si>
  <si>
    <t>攻击点大小</t>
    <phoneticPr fontId="2" type="noConversion"/>
  </si>
  <si>
    <t>强化等级</t>
    <phoneticPr fontId="2" type="noConversion"/>
  </si>
  <si>
    <t>需要等级</t>
    <phoneticPr fontId="2" type="noConversion"/>
  </si>
  <si>
    <t>需要素材</t>
    <phoneticPr fontId="2" type="noConversion"/>
  </si>
  <si>
    <t>百分比伤害值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</si>
</sst>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1" fillId="0" borderId="0">
      <alignment vertical="center"/>
    </xf>
  </cellStyleXfs>
  <cellXfs count="10"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0" fontId="0" fillId="0" borderId="0" xfId="0"/>
    <xf numFmtId="0" fontId="3" fillId="0" borderId="0" xfId="0" applyFont="1"/>
    <xf numFmtId="0" fontId="0" fillId="0" borderId="0" xfId="0" applyAlignment="1">
      <alignment wrapText="1"/>
    </xf>
    <xf numFmtId="0" fontId="4" fillId="0" borderId="0" xfId="0" applyFont="1"/>
    <xf numFmtId="0" fontId="0" fillId="0" borderId="0" xfId="0"/>
    <xf numFmtId="0" fontId="0" fillId="0" borderId="1" xfId="0" applyBorder="1"/>
    <xf numFmtId="9" fontId="0" fillId="0" borderId="0" xfId="0" applyNumberFormat="1"/>
  </cellXfs>
  <cellStyles count="3">
    <cellStyle name="常规" xfId="0" builtinId="0"/>
    <cellStyle name="常规 2" xfId="1"/>
    <cellStyle name="常规 3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2" sqref="B2"/>
    </sheetView>
  </sheetViews>
  <sheetFormatPr defaultRowHeight="13.5" x14ac:dyDescent="0.15"/>
  <sheetData/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9"/>
  <sheetViews>
    <sheetView workbookViewId="0">
      <selection sqref="A1:H29"/>
    </sheetView>
  </sheetViews>
  <sheetFormatPr defaultRowHeight="13.5" x14ac:dyDescent="0.15"/>
  <cols>
    <col min="2" max="2" width="12.75" bestFit="1" customWidth="1"/>
  </cols>
  <sheetData>
    <row r="1" spans="1:8" x14ac:dyDescent="0.15">
      <c r="A1" t="s">
        <v>0</v>
      </c>
      <c r="B1" t="s">
        <v>1</v>
      </c>
      <c r="C1" t="s">
        <v>114</v>
      </c>
      <c r="D1" t="s">
        <v>115</v>
      </c>
      <c r="E1" t="s">
        <v>2</v>
      </c>
      <c r="F1" t="s">
        <v>3</v>
      </c>
      <c r="G1" t="s">
        <v>61</v>
      </c>
      <c r="H1" t="s">
        <v>4</v>
      </c>
    </row>
    <row r="2" spans="1:8" x14ac:dyDescent="0.15">
      <c r="A2">
        <v>1</v>
      </c>
      <c r="B2" t="s">
        <v>5</v>
      </c>
      <c r="C2">
        <v>20</v>
      </c>
      <c r="D2">
        <v>1</v>
      </c>
      <c r="E2">
        <v>1</v>
      </c>
      <c r="F2" t="s">
        <v>9</v>
      </c>
      <c r="G2" t="s">
        <v>62</v>
      </c>
    </row>
    <row r="3" spans="1:8" x14ac:dyDescent="0.15">
      <c r="A3">
        <v>2</v>
      </c>
      <c r="B3" t="s">
        <v>6</v>
      </c>
      <c r="C3">
        <v>100</v>
      </c>
      <c r="D3">
        <v>5</v>
      </c>
      <c r="E3">
        <v>1</v>
      </c>
      <c r="F3" t="s">
        <v>10</v>
      </c>
      <c r="G3" t="s">
        <v>62</v>
      </c>
    </row>
    <row r="4" spans="1:8" x14ac:dyDescent="0.15">
      <c r="A4">
        <v>3</v>
      </c>
      <c r="B4" t="s">
        <v>7</v>
      </c>
      <c r="C4">
        <v>300</v>
      </c>
      <c r="D4">
        <v>10</v>
      </c>
      <c r="E4">
        <v>3</v>
      </c>
      <c r="F4" t="s">
        <v>11</v>
      </c>
      <c r="G4" t="s">
        <v>62</v>
      </c>
    </row>
    <row r="5" spans="1:8" x14ac:dyDescent="0.15">
      <c r="A5">
        <v>4</v>
      </c>
      <c r="B5" t="s">
        <v>13</v>
      </c>
      <c r="C5">
        <v>50</v>
      </c>
      <c r="D5">
        <v>30</v>
      </c>
      <c r="E5">
        <v>1</v>
      </c>
      <c r="F5" t="s">
        <v>14</v>
      </c>
      <c r="G5" t="s">
        <v>62</v>
      </c>
    </row>
    <row r="6" spans="1:8" x14ac:dyDescent="0.15">
      <c r="A6">
        <v>5</v>
      </c>
      <c r="B6" t="s">
        <v>8</v>
      </c>
      <c r="C6">
        <v>1000</v>
      </c>
      <c r="D6">
        <v>80</v>
      </c>
      <c r="E6">
        <v>3</v>
      </c>
      <c r="F6" t="s">
        <v>12</v>
      </c>
      <c r="G6" t="s">
        <v>62</v>
      </c>
    </row>
    <row r="7" spans="1:8" x14ac:dyDescent="0.15">
      <c r="A7">
        <v>6</v>
      </c>
      <c r="B7" t="s">
        <v>15</v>
      </c>
      <c r="C7">
        <v>60</v>
      </c>
      <c r="D7">
        <v>200</v>
      </c>
      <c r="E7">
        <v>2</v>
      </c>
      <c r="F7" t="s">
        <v>16</v>
      </c>
      <c r="G7" t="s">
        <v>63</v>
      </c>
    </row>
    <row r="8" spans="1:8" x14ac:dyDescent="0.15">
      <c r="A8">
        <v>7</v>
      </c>
      <c r="B8" t="s">
        <v>19</v>
      </c>
      <c r="C8">
        <v>80</v>
      </c>
      <c r="D8">
        <v>500</v>
      </c>
      <c r="E8">
        <v>2</v>
      </c>
      <c r="F8" t="s">
        <v>17</v>
      </c>
      <c r="G8" t="s">
        <v>64</v>
      </c>
    </row>
    <row r="9" spans="1:8" x14ac:dyDescent="0.15">
      <c r="A9">
        <v>8</v>
      </c>
      <c r="B9" t="s">
        <v>20</v>
      </c>
      <c r="C9">
        <v>300</v>
      </c>
      <c r="D9">
        <v>1200</v>
      </c>
      <c r="E9">
        <v>3</v>
      </c>
      <c r="F9" t="s">
        <v>18</v>
      </c>
      <c r="G9" t="s">
        <v>65</v>
      </c>
    </row>
    <row r="10" spans="1:8" x14ac:dyDescent="0.15">
      <c r="A10">
        <v>9</v>
      </c>
      <c r="B10" t="s">
        <v>22</v>
      </c>
      <c r="C10">
        <v>500</v>
      </c>
      <c r="D10">
        <v>3000</v>
      </c>
      <c r="E10">
        <v>3</v>
      </c>
      <c r="F10" t="s">
        <v>21</v>
      </c>
      <c r="G10" t="s">
        <v>65</v>
      </c>
    </row>
    <row r="11" spans="1:8" x14ac:dyDescent="0.15">
      <c r="A11">
        <v>10</v>
      </c>
      <c r="B11" t="s">
        <v>24</v>
      </c>
      <c r="C11">
        <v>5</v>
      </c>
      <c r="D11">
        <v>10000</v>
      </c>
      <c r="E11">
        <v>2</v>
      </c>
      <c r="F11" t="s">
        <v>23</v>
      </c>
      <c r="G11" t="s">
        <v>64</v>
      </c>
    </row>
    <row r="12" spans="1:8" x14ac:dyDescent="0.15">
      <c r="A12">
        <v>11</v>
      </c>
      <c r="B12" t="s">
        <v>35</v>
      </c>
      <c r="C12">
        <v>40</v>
      </c>
      <c r="E12">
        <v>1</v>
      </c>
      <c r="F12" t="s">
        <v>29</v>
      </c>
      <c r="G12" t="s">
        <v>64</v>
      </c>
    </row>
    <row r="13" spans="1:8" x14ac:dyDescent="0.15">
      <c r="A13">
        <v>12</v>
      </c>
      <c r="B13" t="s">
        <v>36</v>
      </c>
      <c r="C13">
        <v>60</v>
      </c>
      <c r="E13">
        <v>3</v>
      </c>
      <c r="F13" t="s">
        <v>30</v>
      </c>
      <c r="G13" t="s">
        <v>65</v>
      </c>
    </row>
    <row r="14" spans="1:8" x14ac:dyDescent="0.15">
      <c r="A14">
        <v>13</v>
      </c>
      <c r="B14" t="s">
        <v>37</v>
      </c>
      <c r="C14">
        <v>340</v>
      </c>
      <c r="E14">
        <v>3</v>
      </c>
      <c r="F14" t="s">
        <v>31</v>
      </c>
      <c r="G14" t="s">
        <v>65</v>
      </c>
    </row>
    <row r="15" spans="1:8" x14ac:dyDescent="0.15">
      <c r="A15">
        <v>14</v>
      </c>
      <c r="B15" t="s">
        <v>39</v>
      </c>
      <c r="C15">
        <v>1500</v>
      </c>
      <c r="E15">
        <v>4</v>
      </c>
      <c r="F15" t="s">
        <v>34</v>
      </c>
      <c r="G15" t="s">
        <v>62</v>
      </c>
    </row>
    <row r="16" spans="1:8" x14ac:dyDescent="0.15">
      <c r="A16">
        <v>15</v>
      </c>
      <c r="B16" t="s">
        <v>40</v>
      </c>
      <c r="C16">
        <v>1500</v>
      </c>
      <c r="E16">
        <v>4</v>
      </c>
      <c r="F16" t="s">
        <v>27</v>
      </c>
      <c r="G16" t="s">
        <v>62</v>
      </c>
    </row>
    <row r="17" spans="1:7" x14ac:dyDescent="0.15">
      <c r="A17">
        <v>16</v>
      </c>
      <c r="B17" t="s">
        <v>41</v>
      </c>
      <c r="C17">
        <v>1500</v>
      </c>
      <c r="E17">
        <v>4</v>
      </c>
      <c r="F17" t="s">
        <v>33</v>
      </c>
      <c r="G17" t="s">
        <v>62</v>
      </c>
    </row>
    <row r="18" spans="1:7" x14ac:dyDescent="0.15">
      <c r="A18">
        <v>17</v>
      </c>
      <c r="B18" t="s">
        <v>42</v>
      </c>
      <c r="C18">
        <v>1500</v>
      </c>
      <c r="E18">
        <v>4</v>
      </c>
      <c r="F18" t="s">
        <v>32</v>
      </c>
      <c r="G18" t="s">
        <v>62</v>
      </c>
    </row>
    <row r="19" spans="1:7" x14ac:dyDescent="0.15">
      <c r="A19">
        <v>18</v>
      </c>
      <c r="B19" t="s">
        <v>43</v>
      </c>
      <c r="C19">
        <v>2500</v>
      </c>
      <c r="E19">
        <v>4</v>
      </c>
      <c r="F19" t="s">
        <v>28</v>
      </c>
      <c r="G19" t="s">
        <v>62</v>
      </c>
    </row>
    <row r="20" spans="1:7" x14ac:dyDescent="0.15">
      <c r="A20">
        <v>19</v>
      </c>
      <c r="B20" t="s">
        <v>44</v>
      </c>
      <c r="C20">
        <v>2500</v>
      </c>
      <c r="E20">
        <v>4</v>
      </c>
      <c r="F20" t="s">
        <v>38</v>
      </c>
      <c r="G20" t="s">
        <v>62</v>
      </c>
    </row>
    <row r="21" spans="1:7" x14ac:dyDescent="0.15">
      <c r="A21">
        <v>20</v>
      </c>
      <c r="B21" t="s">
        <v>45</v>
      </c>
      <c r="C21">
        <v>45</v>
      </c>
      <c r="E21">
        <v>1</v>
      </c>
      <c r="F21" t="s">
        <v>25</v>
      </c>
      <c r="G21" t="s">
        <v>62</v>
      </c>
    </row>
    <row r="22" spans="1:7" x14ac:dyDescent="0.15">
      <c r="A22">
        <v>21</v>
      </c>
      <c r="B22" t="s">
        <v>46</v>
      </c>
      <c r="C22">
        <v>25</v>
      </c>
      <c r="E22">
        <v>1</v>
      </c>
      <c r="F22" t="s">
        <v>26</v>
      </c>
      <c r="G22" t="s">
        <v>62</v>
      </c>
    </row>
    <row r="23" spans="1:7" x14ac:dyDescent="0.15">
      <c r="A23">
        <v>22</v>
      </c>
      <c r="B23" t="s">
        <v>48</v>
      </c>
      <c r="C23">
        <v>100</v>
      </c>
      <c r="E23">
        <v>2</v>
      </c>
      <c r="F23" t="s">
        <v>47</v>
      </c>
      <c r="G23" t="s">
        <v>62</v>
      </c>
    </row>
    <row r="24" spans="1:7" x14ac:dyDescent="0.15">
      <c r="A24">
        <v>23</v>
      </c>
      <c r="B24" t="s">
        <v>50</v>
      </c>
      <c r="C24">
        <v>7</v>
      </c>
      <c r="E24">
        <v>1</v>
      </c>
      <c r="F24" t="s">
        <v>49</v>
      </c>
      <c r="G24" t="s">
        <v>62</v>
      </c>
    </row>
    <row r="25" spans="1:7" x14ac:dyDescent="0.15">
      <c r="A25">
        <v>24</v>
      </c>
      <c r="B25" t="s">
        <v>52</v>
      </c>
      <c r="C25">
        <v>10</v>
      </c>
      <c r="E25">
        <v>1</v>
      </c>
      <c r="F25" t="s">
        <v>51</v>
      </c>
      <c r="G25" t="s">
        <v>62</v>
      </c>
    </row>
    <row r="26" spans="1:7" x14ac:dyDescent="0.15">
      <c r="A26">
        <v>25</v>
      </c>
      <c r="B26" t="s">
        <v>55</v>
      </c>
      <c r="C26">
        <v>13</v>
      </c>
      <c r="E26">
        <v>1</v>
      </c>
      <c r="F26" t="s">
        <v>53</v>
      </c>
      <c r="G26" t="s">
        <v>62</v>
      </c>
    </row>
    <row r="27" spans="1:7" x14ac:dyDescent="0.15">
      <c r="A27">
        <v>26</v>
      </c>
      <c r="B27" t="s">
        <v>56</v>
      </c>
      <c r="C27">
        <v>70</v>
      </c>
      <c r="E27">
        <v>1</v>
      </c>
      <c r="F27" t="s">
        <v>54</v>
      </c>
      <c r="G27" t="s">
        <v>62</v>
      </c>
    </row>
    <row r="28" spans="1:7" x14ac:dyDescent="0.15">
      <c r="A28">
        <v>27</v>
      </c>
      <c r="B28" t="s">
        <v>59</v>
      </c>
      <c r="C28">
        <v>35</v>
      </c>
      <c r="E28">
        <v>1</v>
      </c>
      <c r="F28" t="s">
        <v>57</v>
      </c>
      <c r="G28" t="s">
        <v>62</v>
      </c>
    </row>
    <row r="29" spans="1:7" x14ac:dyDescent="0.15">
      <c r="A29">
        <v>28</v>
      </c>
      <c r="B29" t="s">
        <v>60</v>
      </c>
      <c r="C29">
        <v>45</v>
      </c>
      <c r="E29">
        <v>1</v>
      </c>
      <c r="F29" t="s">
        <v>58</v>
      </c>
      <c r="G29" t="s">
        <v>62</v>
      </c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83"/>
  <sheetViews>
    <sheetView workbookViewId="0">
      <selection activeCell="C42" sqref="C42"/>
    </sheetView>
  </sheetViews>
  <sheetFormatPr defaultRowHeight="13.5" x14ac:dyDescent="0.15"/>
  <cols>
    <col min="2" max="2" width="18" customWidth="1"/>
    <col min="3" max="3" width="8.375" customWidth="1"/>
    <col min="21" max="21" width="13.875" bestFit="1" customWidth="1"/>
    <col min="22" max="22" width="13.875" style="7" customWidth="1"/>
    <col min="23" max="23" width="12.75" bestFit="1" customWidth="1"/>
    <col min="25" max="25" width="13.875" bestFit="1" customWidth="1"/>
  </cols>
  <sheetData>
    <row r="1" spans="1:27" x14ac:dyDescent="0.15">
      <c r="A1" t="s">
        <v>0</v>
      </c>
      <c r="B1" t="s">
        <v>1</v>
      </c>
      <c r="C1" t="s">
        <v>67</v>
      </c>
      <c r="D1" t="s">
        <v>68</v>
      </c>
      <c r="E1" t="s">
        <v>66</v>
      </c>
      <c r="F1" t="s">
        <v>3</v>
      </c>
      <c r="G1" t="s">
        <v>4</v>
      </c>
      <c r="L1" s="7" t="s">
        <v>0</v>
      </c>
      <c r="M1" s="7" t="s">
        <v>1</v>
      </c>
      <c r="N1" s="7" t="s">
        <v>114</v>
      </c>
      <c r="O1" s="7" t="s">
        <v>115</v>
      </c>
      <c r="P1" s="7" t="s">
        <v>2</v>
      </c>
      <c r="Q1" s="7" t="s">
        <v>3</v>
      </c>
      <c r="R1" s="7" t="s">
        <v>61</v>
      </c>
      <c r="S1" s="7" t="s">
        <v>4</v>
      </c>
      <c r="T1" s="7" t="s">
        <v>116</v>
      </c>
      <c r="U1" t="s">
        <v>117</v>
      </c>
      <c r="V1" s="7" t="s">
        <v>123</v>
      </c>
      <c r="W1" t="s">
        <v>118</v>
      </c>
      <c r="X1" t="s">
        <v>122</v>
      </c>
      <c r="Y1" t="s">
        <v>119</v>
      </c>
      <c r="Z1" t="s">
        <v>122</v>
      </c>
    </row>
    <row r="2" spans="1:27" x14ac:dyDescent="0.15">
      <c r="A2">
        <v>1</v>
      </c>
      <c r="B2" t="s">
        <v>5</v>
      </c>
      <c r="D2">
        <v>1</v>
      </c>
      <c r="F2" t="s">
        <v>9</v>
      </c>
      <c r="G2" t="s">
        <v>72</v>
      </c>
      <c r="L2" s="7">
        <v>1</v>
      </c>
      <c r="M2" s="7" t="s">
        <v>5</v>
      </c>
      <c r="N2" s="7">
        <v>20</v>
      </c>
      <c r="O2" s="7">
        <v>1</v>
      </c>
      <c r="P2" s="7">
        <v>1</v>
      </c>
      <c r="Q2" s="7" t="s">
        <v>9</v>
      </c>
      <c r="R2" s="7" t="s">
        <v>62</v>
      </c>
      <c r="S2" s="7"/>
      <c r="T2">
        <v>1</v>
      </c>
      <c r="U2">
        <v>1</v>
      </c>
      <c r="W2">
        <v>1</v>
      </c>
      <c r="AA2" t="s">
        <v>120</v>
      </c>
    </row>
    <row r="3" spans="1:27" x14ac:dyDescent="0.15">
      <c r="A3">
        <v>2</v>
      </c>
      <c r="B3" t="s">
        <v>6</v>
      </c>
      <c r="D3">
        <v>5</v>
      </c>
      <c r="F3" t="s">
        <v>10</v>
      </c>
      <c r="G3" t="s">
        <v>72</v>
      </c>
      <c r="L3" s="7">
        <v>2</v>
      </c>
      <c r="M3" s="7" t="s">
        <v>6</v>
      </c>
      <c r="N3" s="7">
        <v>100</v>
      </c>
      <c r="O3" s="7">
        <v>5</v>
      </c>
      <c r="P3" s="7">
        <v>1</v>
      </c>
      <c r="Q3" s="7" t="s">
        <v>10</v>
      </c>
      <c r="R3" s="7" t="s">
        <v>62</v>
      </c>
      <c r="S3" s="7"/>
      <c r="T3" s="7">
        <v>2</v>
      </c>
      <c r="U3">
        <v>1</v>
      </c>
      <c r="W3" s="7">
        <v>1</v>
      </c>
      <c r="X3" s="7"/>
      <c r="AA3" t="s">
        <v>121</v>
      </c>
    </row>
    <row r="4" spans="1:27" x14ac:dyDescent="0.15">
      <c r="A4">
        <v>3</v>
      </c>
      <c r="B4" t="s">
        <v>7</v>
      </c>
      <c r="D4">
        <v>20</v>
      </c>
      <c r="F4" t="s">
        <v>11</v>
      </c>
      <c r="G4" t="s">
        <v>72</v>
      </c>
      <c r="L4" s="7">
        <v>3</v>
      </c>
      <c r="M4" s="7" t="s">
        <v>7</v>
      </c>
      <c r="N4" s="7">
        <v>300</v>
      </c>
      <c r="O4" s="7">
        <v>10</v>
      </c>
      <c r="P4" s="7">
        <v>3</v>
      </c>
      <c r="Q4" s="7" t="s">
        <v>11</v>
      </c>
      <c r="R4" s="7" t="s">
        <v>62</v>
      </c>
      <c r="S4" s="7"/>
      <c r="T4" s="7">
        <v>3</v>
      </c>
      <c r="U4">
        <v>1</v>
      </c>
      <c r="W4" s="7">
        <v>1</v>
      </c>
      <c r="X4" s="7"/>
    </row>
    <row r="5" spans="1:27" x14ac:dyDescent="0.15">
      <c r="A5">
        <v>4</v>
      </c>
      <c r="B5" t="s">
        <v>13</v>
      </c>
      <c r="F5" t="s">
        <v>14</v>
      </c>
      <c r="G5" t="s">
        <v>72</v>
      </c>
      <c r="L5" s="7">
        <v>4</v>
      </c>
      <c r="M5" s="7" t="s">
        <v>13</v>
      </c>
      <c r="N5" s="7">
        <v>50</v>
      </c>
      <c r="O5" s="7">
        <v>30</v>
      </c>
      <c r="P5" s="7">
        <v>1</v>
      </c>
      <c r="Q5" s="7" t="s">
        <v>14</v>
      </c>
      <c r="R5" s="7" t="s">
        <v>62</v>
      </c>
      <c r="S5" s="7"/>
      <c r="T5" s="7">
        <v>4</v>
      </c>
      <c r="U5">
        <v>1</v>
      </c>
      <c r="W5" s="7">
        <v>1</v>
      </c>
      <c r="X5" s="7"/>
    </row>
    <row r="6" spans="1:27" x14ac:dyDescent="0.15">
      <c r="A6">
        <v>5</v>
      </c>
      <c r="B6" t="s">
        <v>8</v>
      </c>
      <c r="F6" t="s">
        <v>12</v>
      </c>
      <c r="G6" t="s">
        <v>72</v>
      </c>
      <c r="L6" s="7">
        <v>5</v>
      </c>
      <c r="M6" s="7" t="s">
        <v>8</v>
      </c>
      <c r="N6" s="7">
        <v>1000</v>
      </c>
      <c r="O6" s="7">
        <v>80</v>
      </c>
      <c r="P6" s="7">
        <v>3</v>
      </c>
      <c r="Q6" s="7" t="s">
        <v>12</v>
      </c>
      <c r="R6" s="7" t="s">
        <v>62</v>
      </c>
      <c r="S6" s="7"/>
      <c r="T6" s="7">
        <v>5</v>
      </c>
      <c r="U6">
        <v>1</v>
      </c>
      <c r="W6" s="7">
        <v>1</v>
      </c>
      <c r="X6" s="7"/>
      <c r="AA6" t="s">
        <v>124</v>
      </c>
    </row>
    <row r="7" spans="1:27" x14ac:dyDescent="0.15">
      <c r="A7">
        <v>6</v>
      </c>
      <c r="B7" t="s">
        <v>15</v>
      </c>
      <c r="F7" t="s">
        <v>16</v>
      </c>
      <c r="G7" t="s">
        <v>72</v>
      </c>
      <c r="L7" s="7">
        <v>6</v>
      </c>
      <c r="M7" s="7" t="s">
        <v>15</v>
      </c>
      <c r="N7" s="7">
        <v>60</v>
      </c>
      <c r="O7" s="7">
        <v>200</v>
      </c>
      <c r="P7" s="7">
        <v>2</v>
      </c>
      <c r="Q7" s="7" t="s">
        <v>16</v>
      </c>
      <c r="R7" s="7" t="s">
        <v>63</v>
      </c>
      <c r="S7" s="7"/>
      <c r="T7" s="7">
        <v>6</v>
      </c>
      <c r="U7">
        <v>1</v>
      </c>
      <c r="W7" s="7">
        <v>1</v>
      </c>
      <c r="X7" s="7"/>
    </row>
    <row r="8" spans="1:27" x14ac:dyDescent="0.15">
      <c r="A8">
        <v>7</v>
      </c>
      <c r="B8" t="s">
        <v>19</v>
      </c>
      <c r="F8" t="s">
        <v>17</v>
      </c>
      <c r="G8" t="s">
        <v>74</v>
      </c>
      <c r="L8" s="7">
        <v>7</v>
      </c>
      <c r="M8" s="7" t="s">
        <v>19</v>
      </c>
      <c r="N8" s="7">
        <v>80</v>
      </c>
      <c r="O8" s="7">
        <v>500</v>
      </c>
      <c r="P8" s="7">
        <v>2</v>
      </c>
      <c r="Q8" s="7" t="s">
        <v>17</v>
      </c>
      <c r="R8" s="7" t="s">
        <v>64</v>
      </c>
      <c r="S8" s="7"/>
      <c r="T8" s="7">
        <v>7</v>
      </c>
      <c r="U8">
        <v>1</v>
      </c>
      <c r="W8" s="7">
        <v>1</v>
      </c>
      <c r="X8" s="7"/>
    </row>
    <row r="9" spans="1:27" x14ac:dyDescent="0.15">
      <c r="A9">
        <v>8</v>
      </c>
      <c r="B9" t="s">
        <v>69</v>
      </c>
      <c r="F9" t="s">
        <v>18</v>
      </c>
      <c r="G9" t="s">
        <v>72</v>
      </c>
      <c r="L9" s="7">
        <v>8</v>
      </c>
      <c r="M9" s="7" t="s">
        <v>20</v>
      </c>
      <c r="N9" s="7">
        <v>300</v>
      </c>
      <c r="O9" s="7">
        <v>1200</v>
      </c>
      <c r="P9" s="7">
        <v>3</v>
      </c>
      <c r="Q9" s="7" t="s">
        <v>18</v>
      </c>
      <c r="R9" s="7" t="s">
        <v>65</v>
      </c>
      <c r="S9" s="7"/>
      <c r="T9" s="7">
        <v>8</v>
      </c>
      <c r="U9">
        <v>1</v>
      </c>
      <c r="W9" s="7">
        <v>1</v>
      </c>
      <c r="X9" s="7"/>
    </row>
    <row r="10" spans="1:27" x14ac:dyDescent="0.15">
      <c r="A10">
        <v>9</v>
      </c>
      <c r="B10" t="s">
        <v>70</v>
      </c>
      <c r="F10" t="s">
        <v>21</v>
      </c>
      <c r="G10" t="s">
        <v>72</v>
      </c>
      <c r="L10" s="7">
        <v>9</v>
      </c>
      <c r="M10" s="7" t="s">
        <v>22</v>
      </c>
      <c r="N10" s="7">
        <v>500</v>
      </c>
      <c r="O10" s="7">
        <v>3000</v>
      </c>
      <c r="P10" s="7">
        <v>3</v>
      </c>
      <c r="Q10" s="7" t="s">
        <v>21</v>
      </c>
      <c r="R10" s="7" t="s">
        <v>65</v>
      </c>
      <c r="S10" s="7"/>
      <c r="T10" s="7">
        <v>9</v>
      </c>
      <c r="U10">
        <v>1</v>
      </c>
      <c r="W10" s="7">
        <v>1</v>
      </c>
      <c r="X10" s="7"/>
    </row>
    <row r="11" spans="1:27" x14ac:dyDescent="0.15">
      <c r="A11">
        <v>10</v>
      </c>
      <c r="B11" t="s">
        <v>24</v>
      </c>
      <c r="F11" t="s">
        <v>23</v>
      </c>
      <c r="G11" t="s">
        <v>72</v>
      </c>
      <c r="L11" s="7">
        <v>10</v>
      </c>
      <c r="M11" s="7" t="s">
        <v>24</v>
      </c>
      <c r="N11" s="7">
        <v>5</v>
      </c>
      <c r="O11" s="7">
        <v>10000</v>
      </c>
      <c r="P11" s="7">
        <v>2</v>
      </c>
      <c r="Q11" s="7" t="s">
        <v>23</v>
      </c>
      <c r="R11" s="7" t="s">
        <v>64</v>
      </c>
      <c r="S11" s="7"/>
      <c r="T11" s="7">
        <v>10</v>
      </c>
      <c r="U11">
        <v>1</v>
      </c>
      <c r="W11" s="7">
        <v>1</v>
      </c>
      <c r="X11" s="7"/>
    </row>
    <row r="12" spans="1:27" x14ac:dyDescent="0.15">
      <c r="A12">
        <v>11</v>
      </c>
      <c r="B12" t="s">
        <v>35</v>
      </c>
      <c r="F12" t="s">
        <v>29</v>
      </c>
      <c r="G12" t="s">
        <v>74</v>
      </c>
      <c r="L12" s="7">
        <v>11</v>
      </c>
      <c r="M12" s="7" t="s">
        <v>35</v>
      </c>
      <c r="N12" s="7">
        <v>40</v>
      </c>
      <c r="O12" s="7"/>
      <c r="P12" s="7">
        <v>1</v>
      </c>
      <c r="Q12" s="7" t="s">
        <v>29</v>
      </c>
      <c r="R12" s="7" t="s">
        <v>64</v>
      </c>
      <c r="S12" s="7"/>
      <c r="T12" s="7">
        <v>11</v>
      </c>
      <c r="U12">
        <v>1</v>
      </c>
      <c r="W12" s="7">
        <v>1</v>
      </c>
      <c r="X12" s="7"/>
    </row>
    <row r="13" spans="1:27" x14ac:dyDescent="0.15">
      <c r="A13">
        <v>12</v>
      </c>
      <c r="B13" t="s">
        <v>71</v>
      </c>
      <c r="F13" t="s">
        <v>30</v>
      </c>
      <c r="G13" t="s">
        <v>72</v>
      </c>
      <c r="L13" s="7">
        <v>12</v>
      </c>
      <c r="M13" s="7" t="s">
        <v>36</v>
      </c>
      <c r="N13" s="7">
        <v>60</v>
      </c>
      <c r="O13" s="7"/>
      <c r="P13" s="7">
        <v>3</v>
      </c>
      <c r="Q13" s="7" t="s">
        <v>30</v>
      </c>
      <c r="R13" s="7" t="s">
        <v>65</v>
      </c>
      <c r="S13" s="7"/>
      <c r="T13" s="7">
        <v>12</v>
      </c>
      <c r="U13">
        <v>1</v>
      </c>
      <c r="W13" s="7">
        <v>1</v>
      </c>
      <c r="X13" s="7"/>
    </row>
    <row r="14" spans="1:27" x14ac:dyDescent="0.15">
      <c r="A14">
        <v>13</v>
      </c>
      <c r="B14" t="s">
        <v>37</v>
      </c>
      <c r="F14" t="s">
        <v>31</v>
      </c>
      <c r="G14" t="s">
        <v>72</v>
      </c>
      <c r="L14" s="7">
        <v>13</v>
      </c>
      <c r="M14" s="7" t="s">
        <v>37</v>
      </c>
      <c r="N14" s="7">
        <v>340</v>
      </c>
      <c r="O14" s="7"/>
      <c r="P14" s="7">
        <v>3</v>
      </c>
      <c r="Q14" s="7" t="s">
        <v>31</v>
      </c>
      <c r="R14" s="7" t="s">
        <v>65</v>
      </c>
      <c r="S14" s="7"/>
      <c r="T14" s="7">
        <v>13</v>
      </c>
      <c r="U14">
        <v>1</v>
      </c>
      <c r="W14" s="7">
        <v>1</v>
      </c>
      <c r="X14" s="7"/>
    </row>
    <row r="15" spans="1:27" x14ac:dyDescent="0.15">
      <c r="A15">
        <v>14</v>
      </c>
      <c r="B15" t="s">
        <v>75</v>
      </c>
      <c r="F15" t="s">
        <v>34</v>
      </c>
      <c r="L15" s="7">
        <v>14</v>
      </c>
      <c r="M15" s="7" t="s">
        <v>39</v>
      </c>
      <c r="N15" s="7">
        <v>1500</v>
      </c>
      <c r="O15" s="7"/>
      <c r="P15" s="7">
        <v>4</v>
      </c>
      <c r="Q15" s="7" t="s">
        <v>34</v>
      </c>
      <c r="R15" s="7" t="s">
        <v>62</v>
      </c>
      <c r="S15" s="7"/>
      <c r="T15" s="7">
        <v>14</v>
      </c>
      <c r="U15">
        <v>4</v>
      </c>
      <c r="W15" s="7">
        <v>1</v>
      </c>
      <c r="X15" s="7"/>
    </row>
    <row r="16" spans="1:27" x14ac:dyDescent="0.15">
      <c r="A16">
        <v>15</v>
      </c>
      <c r="B16" t="s">
        <v>76</v>
      </c>
      <c r="F16" t="s">
        <v>27</v>
      </c>
      <c r="G16" t="s">
        <v>77</v>
      </c>
      <c r="L16" s="7">
        <v>15</v>
      </c>
      <c r="M16" s="7" t="s">
        <v>40</v>
      </c>
      <c r="N16" s="7">
        <v>1500</v>
      </c>
      <c r="O16" s="7"/>
      <c r="P16" s="7">
        <v>4</v>
      </c>
      <c r="Q16" s="7" t="s">
        <v>27</v>
      </c>
      <c r="R16" s="7" t="s">
        <v>62</v>
      </c>
      <c r="S16" s="7"/>
      <c r="T16" s="7">
        <v>15</v>
      </c>
      <c r="U16">
        <v>2</v>
      </c>
      <c r="W16" s="7">
        <v>1</v>
      </c>
      <c r="X16" s="7"/>
    </row>
    <row r="17" spans="1:24" x14ac:dyDescent="0.15">
      <c r="A17">
        <v>16</v>
      </c>
      <c r="B17" t="s">
        <v>41</v>
      </c>
      <c r="F17" t="s">
        <v>33</v>
      </c>
      <c r="L17" s="7">
        <v>16</v>
      </c>
      <c r="M17" s="7" t="s">
        <v>41</v>
      </c>
      <c r="N17" s="7">
        <v>1500</v>
      </c>
      <c r="O17" s="7"/>
      <c r="P17" s="7">
        <v>4</v>
      </c>
      <c r="Q17" s="7" t="s">
        <v>33</v>
      </c>
      <c r="R17" s="7" t="s">
        <v>62</v>
      </c>
      <c r="S17" s="7"/>
      <c r="T17" s="7">
        <v>16</v>
      </c>
      <c r="U17">
        <v>2</v>
      </c>
      <c r="W17" s="7">
        <v>1</v>
      </c>
      <c r="X17" s="7"/>
    </row>
    <row r="18" spans="1:24" x14ac:dyDescent="0.15">
      <c r="A18">
        <v>17</v>
      </c>
      <c r="B18" t="s">
        <v>42</v>
      </c>
      <c r="F18" t="s">
        <v>32</v>
      </c>
      <c r="L18" s="7">
        <v>17</v>
      </c>
      <c r="M18" s="7" t="s">
        <v>42</v>
      </c>
      <c r="N18" s="7">
        <v>1500</v>
      </c>
      <c r="O18" s="7"/>
      <c r="P18" s="7">
        <v>4</v>
      </c>
      <c r="Q18" s="7" t="s">
        <v>32</v>
      </c>
      <c r="R18" s="7" t="s">
        <v>62</v>
      </c>
      <c r="S18" s="7"/>
      <c r="T18" s="7">
        <v>17</v>
      </c>
      <c r="U18">
        <v>2</v>
      </c>
      <c r="W18" s="7">
        <v>1</v>
      </c>
      <c r="X18" s="7"/>
    </row>
    <row r="19" spans="1:24" x14ac:dyDescent="0.15">
      <c r="A19">
        <v>18</v>
      </c>
      <c r="B19" t="s">
        <v>43</v>
      </c>
      <c r="F19" t="s">
        <v>28</v>
      </c>
      <c r="L19" s="7">
        <v>18</v>
      </c>
      <c r="M19" s="7" t="s">
        <v>43</v>
      </c>
      <c r="N19" s="7">
        <v>2500</v>
      </c>
      <c r="O19" s="7"/>
      <c r="P19" s="7">
        <v>4</v>
      </c>
      <c r="Q19" s="7" t="s">
        <v>28</v>
      </c>
      <c r="R19" s="7" t="s">
        <v>62</v>
      </c>
      <c r="S19" s="7"/>
      <c r="T19" s="7">
        <v>18</v>
      </c>
      <c r="U19">
        <v>2</v>
      </c>
      <c r="W19" s="7">
        <v>1</v>
      </c>
      <c r="X19" s="7"/>
    </row>
    <row r="20" spans="1:24" x14ac:dyDescent="0.15">
      <c r="A20">
        <v>19</v>
      </c>
      <c r="B20" t="s">
        <v>44</v>
      </c>
      <c r="F20" t="s">
        <v>38</v>
      </c>
      <c r="L20" s="7">
        <v>19</v>
      </c>
      <c r="M20" s="7" t="s">
        <v>44</v>
      </c>
      <c r="N20" s="7">
        <v>2500</v>
      </c>
      <c r="O20" s="7"/>
      <c r="P20" s="7">
        <v>4</v>
      </c>
      <c r="Q20" s="7" t="s">
        <v>38</v>
      </c>
      <c r="R20" s="7" t="s">
        <v>62</v>
      </c>
      <c r="S20" s="7"/>
      <c r="T20" s="7">
        <v>19</v>
      </c>
      <c r="U20">
        <v>2</v>
      </c>
      <c r="W20" s="7">
        <v>1</v>
      </c>
      <c r="X20" s="7"/>
    </row>
    <row r="21" spans="1:24" x14ac:dyDescent="0.15">
      <c r="A21">
        <v>20</v>
      </c>
      <c r="B21" t="s">
        <v>45</v>
      </c>
      <c r="F21" t="s">
        <v>25</v>
      </c>
      <c r="G21" t="s">
        <v>72</v>
      </c>
      <c r="L21" s="7">
        <v>20</v>
      </c>
      <c r="M21" s="7" t="s">
        <v>45</v>
      </c>
      <c r="N21" s="7">
        <v>45</v>
      </c>
      <c r="O21" s="7"/>
      <c r="P21" s="7">
        <v>1</v>
      </c>
      <c r="Q21" s="7" t="s">
        <v>25</v>
      </c>
      <c r="R21" s="7" t="s">
        <v>62</v>
      </c>
      <c r="S21" s="7"/>
      <c r="T21" s="7">
        <v>20</v>
      </c>
      <c r="U21">
        <v>2</v>
      </c>
      <c r="W21" s="7">
        <v>1</v>
      </c>
      <c r="X21" s="7"/>
    </row>
    <row r="22" spans="1:24" x14ac:dyDescent="0.15">
      <c r="A22">
        <v>21</v>
      </c>
      <c r="B22" t="s">
        <v>46</v>
      </c>
      <c r="F22" t="s">
        <v>26</v>
      </c>
      <c r="G22" t="s">
        <v>72</v>
      </c>
      <c r="L22" s="7">
        <v>21</v>
      </c>
      <c r="M22" s="7" t="s">
        <v>46</v>
      </c>
      <c r="N22" s="7">
        <v>25</v>
      </c>
      <c r="O22" s="7"/>
      <c r="P22" s="7">
        <v>1</v>
      </c>
      <c r="Q22" s="7" t="s">
        <v>26</v>
      </c>
      <c r="R22" s="7" t="s">
        <v>62</v>
      </c>
      <c r="S22" s="7"/>
      <c r="T22" s="7">
        <v>21</v>
      </c>
      <c r="U22">
        <v>9</v>
      </c>
      <c r="W22" s="7">
        <v>2</v>
      </c>
      <c r="X22" s="7"/>
    </row>
    <row r="23" spans="1:24" x14ac:dyDescent="0.15">
      <c r="A23">
        <v>22</v>
      </c>
      <c r="B23" t="s">
        <v>48</v>
      </c>
      <c r="F23" t="s">
        <v>47</v>
      </c>
      <c r="G23" t="s">
        <v>72</v>
      </c>
      <c r="L23" s="7">
        <v>22</v>
      </c>
      <c r="M23" s="7" t="s">
        <v>48</v>
      </c>
      <c r="N23" s="7">
        <v>100</v>
      </c>
      <c r="O23" s="7"/>
      <c r="P23" s="7">
        <v>2</v>
      </c>
      <c r="Q23" s="7" t="s">
        <v>47</v>
      </c>
      <c r="R23" s="7" t="s">
        <v>62</v>
      </c>
      <c r="S23" s="7"/>
      <c r="T23" s="7">
        <v>22</v>
      </c>
      <c r="U23">
        <v>2</v>
      </c>
      <c r="W23" s="7">
        <v>1</v>
      </c>
      <c r="X23" s="7"/>
    </row>
    <row r="24" spans="1:24" x14ac:dyDescent="0.15">
      <c r="A24">
        <v>23</v>
      </c>
      <c r="B24" t="s">
        <v>50</v>
      </c>
      <c r="F24" t="s">
        <v>49</v>
      </c>
      <c r="G24" t="s">
        <v>72</v>
      </c>
      <c r="L24" s="7">
        <v>23</v>
      </c>
      <c r="M24" s="7" t="s">
        <v>50</v>
      </c>
      <c r="N24" s="7">
        <v>7</v>
      </c>
      <c r="O24" s="7"/>
      <c r="P24" s="7">
        <v>1</v>
      </c>
      <c r="Q24" s="7" t="s">
        <v>49</v>
      </c>
      <c r="R24" s="7" t="s">
        <v>62</v>
      </c>
      <c r="S24" s="7"/>
      <c r="T24" s="7">
        <v>23</v>
      </c>
      <c r="U24">
        <v>2</v>
      </c>
      <c r="W24" s="7">
        <v>1</v>
      </c>
      <c r="X24" s="7"/>
    </row>
    <row r="25" spans="1:24" x14ac:dyDescent="0.15">
      <c r="A25">
        <v>24</v>
      </c>
      <c r="B25" t="s">
        <v>52</v>
      </c>
      <c r="F25" t="s">
        <v>51</v>
      </c>
      <c r="L25" s="7">
        <v>24</v>
      </c>
      <c r="M25" s="7" t="s">
        <v>52</v>
      </c>
      <c r="N25" s="7">
        <v>10</v>
      </c>
      <c r="O25" s="7"/>
      <c r="P25" s="7">
        <v>1</v>
      </c>
      <c r="Q25" s="7" t="s">
        <v>51</v>
      </c>
      <c r="R25" s="7" t="s">
        <v>62</v>
      </c>
      <c r="S25" s="7"/>
      <c r="T25" s="7">
        <v>24</v>
      </c>
      <c r="U25">
        <v>2</v>
      </c>
      <c r="W25" s="7">
        <v>1</v>
      </c>
      <c r="X25" s="7"/>
    </row>
    <row r="26" spans="1:24" x14ac:dyDescent="0.15">
      <c r="A26">
        <v>25</v>
      </c>
      <c r="B26" t="s">
        <v>55</v>
      </c>
      <c r="F26" t="s">
        <v>53</v>
      </c>
      <c r="G26" t="s">
        <v>73</v>
      </c>
      <c r="L26" s="7">
        <v>25</v>
      </c>
      <c r="M26" s="7" t="s">
        <v>55</v>
      </c>
      <c r="N26" s="7">
        <v>13</v>
      </c>
      <c r="O26" s="7"/>
      <c r="P26" s="7">
        <v>1</v>
      </c>
      <c r="Q26" s="7" t="s">
        <v>53</v>
      </c>
      <c r="R26" s="7" t="s">
        <v>62</v>
      </c>
      <c r="S26" s="7"/>
      <c r="T26" s="7">
        <v>25</v>
      </c>
      <c r="U26">
        <v>2</v>
      </c>
      <c r="W26" s="7">
        <v>1</v>
      </c>
      <c r="X26" s="7"/>
    </row>
    <row r="27" spans="1:24" x14ac:dyDescent="0.15">
      <c r="A27">
        <v>26</v>
      </c>
      <c r="B27" t="s">
        <v>56</v>
      </c>
      <c r="F27" t="s">
        <v>54</v>
      </c>
      <c r="L27" s="7">
        <v>26</v>
      </c>
      <c r="M27" s="7" t="s">
        <v>56</v>
      </c>
      <c r="N27" s="7">
        <v>70</v>
      </c>
      <c r="O27" s="7"/>
      <c r="P27" s="7">
        <v>1</v>
      </c>
      <c r="Q27" s="7" t="s">
        <v>54</v>
      </c>
      <c r="R27" s="7" t="s">
        <v>62</v>
      </c>
      <c r="S27" s="7"/>
      <c r="T27" s="7">
        <v>26</v>
      </c>
      <c r="U27">
        <v>2</v>
      </c>
      <c r="W27" s="7">
        <v>1</v>
      </c>
      <c r="X27" s="7"/>
    </row>
    <row r="28" spans="1:24" x14ac:dyDescent="0.15">
      <c r="A28">
        <v>27</v>
      </c>
      <c r="B28" t="s">
        <v>59</v>
      </c>
      <c r="F28" t="s">
        <v>57</v>
      </c>
      <c r="G28" t="s">
        <v>72</v>
      </c>
      <c r="L28" s="7">
        <v>27</v>
      </c>
      <c r="M28" s="7" t="s">
        <v>59</v>
      </c>
      <c r="N28" s="7">
        <v>35</v>
      </c>
      <c r="O28" s="7"/>
      <c r="P28" s="7">
        <v>1</v>
      </c>
      <c r="Q28" s="7" t="s">
        <v>57</v>
      </c>
      <c r="R28" s="7" t="s">
        <v>62</v>
      </c>
      <c r="S28" s="7"/>
      <c r="T28" s="7">
        <v>27</v>
      </c>
      <c r="U28">
        <v>2</v>
      </c>
      <c r="W28" s="7">
        <v>1</v>
      </c>
      <c r="X28" s="7"/>
    </row>
    <row r="29" spans="1:24" x14ac:dyDescent="0.15">
      <c r="A29">
        <v>28</v>
      </c>
      <c r="B29" t="s">
        <v>60</v>
      </c>
      <c r="F29" t="s">
        <v>58</v>
      </c>
      <c r="L29" s="7">
        <v>28</v>
      </c>
      <c r="M29" s="7" t="s">
        <v>60</v>
      </c>
      <c r="N29" s="7">
        <v>45</v>
      </c>
      <c r="O29" s="7"/>
      <c r="P29" s="7">
        <v>1</v>
      </c>
      <c r="Q29" s="7" t="s">
        <v>58</v>
      </c>
      <c r="R29" s="7" t="s">
        <v>62</v>
      </c>
      <c r="S29" s="7"/>
      <c r="T29" s="7">
        <v>28</v>
      </c>
      <c r="U29">
        <v>17</v>
      </c>
      <c r="W29" s="7">
        <v>2</v>
      </c>
      <c r="X29" s="7"/>
    </row>
    <row r="30" spans="1:24" x14ac:dyDescent="0.15">
      <c r="T30" s="7">
        <v>29</v>
      </c>
      <c r="U30">
        <v>4</v>
      </c>
      <c r="W30" s="7">
        <v>1</v>
      </c>
      <c r="X30" s="7"/>
    </row>
    <row r="31" spans="1:24" x14ac:dyDescent="0.15">
      <c r="T31" s="7">
        <v>30</v>
      </c>
      <c r="U31">
        <v>4</v>
      </c>
      <c r="W31" s="7">
        <v>1</v>
      </c>
      <c r="X31" s="7"/>
    </row>
    <row r="32" spans="1:24" x14ac:dyDescent="0.15">
      <c r="T32" s="7">
        <v>31</v>
      </c>
      <c r="U32">
        <v>4</v>
      </c>
      <c r="W32" s="7">
        <v>1</v>
      </c>
      <c r="X32" s="7"/>
    </row>
    <row r="33" spans="20:24" x14ac:dyDescent="0.15">
      <c r="T33" s="7">
        <v>32</v>
      </c>
      <c r="U33">
        <v>4</v>
      </c>
      <c r="W33" s="7">
        <v>1</v>
      </c>
      <c r="X33" s="7"/>
    </row>
    <row r="34" spans="20:24" x14ac:dyDescent="0.15">
      <c r="T34" s="7">
        <v>33</v>
      </c>
      <c r="U34">
        <v>4</v>
      </c>
      <c r="W34" s="7">
        <v>1</v>
      </c>
      <c r="X34" s="7"/>
    </row>
    <row r="35" spans="20:24" x14ac:dyDescent="0.15">
      <c r="T35" s="7">
        <v>34</v>
      </c>
      <c r="U35">
        <v>4</v>
      </c>
      <c r="W35" s="7">
        <v>1</v>
      </c>
      <c r="X35" s="7"/>
    </row>
    <row r="36" spans="20:24" x14ac:dyDescent="0.15">
      <c r="T36" s="7">
        <v>35</v>
      </c>
      <c r="U36">
        <v>39</v>
      </c>
      <c r="W36" s="7">
        <v>4</v>
      </c>
      <c r="X36" s="7"/>
    </row>
    <row r="37" spans="20:24" x14ac:dyDescent="0.15">
      <c r="T37" s="7">
        <v>36</v>
      </c>
      <c r="U37">
        <v>6</v>
      </c>
      <c r="W37" s="7">
        <f t="shared" ref="W37:W66" si="0">LOOKUP(U37/5,$O$2:$O$11,$L$2:$L$11)</f>
        <v>1</v>
      </c>
      <c r="X37" s="7"/>
    </row>
    <row r="38" spans="20:24" x14ac:dyDescent="0.15">
      <c r="T38" s="7">
        <v>37</v>
      </c>
      <c r="U38">
        <v>6</v>
      </c>
      <c r="W38" s="8">
        <f t="shared" si="0"/>
        <v>1</v>
      </c>
      <c r="X38" s="7"/>
    </row>
    <row r="39" spans="20:24" x14ac:dyDescent="0.15">
      <c r="T39" s="7">
        <v>38</v>
      </c>
      <c r="U39">
        <v>6</v>
      </c>
      <c r="W39" s="7">
        <f t="shared" si="0"/>
        <v>1</v>
      </c>
      <c r="X39" s="7"/>
    </row>
    <row r="40" spans="20:24" x14ac:dyDescent="0.15">
      <c r="T40" s="7">
        <v>39</v>
      </c>
      <c r="U40">
        <v>6</v>
      </c>
      <c r="W40" s="7">
        <f t="shared" si="0"/>
        <v>1</v>
      </c>
      <c r="X40" s="7"/>
    </row>
    <row r="41" spans="20:24" x14ac:dyDescent="0.15">
      <c r="T41" s="7">
        <v>40</v>
      </c>
      <c r="U41">
        <v>6</v>
      </c>
      <c r="W41" s="7">
        <f t="shared" si="0"/>
        <v>1</v>
      </c>
      <c r="X41" s="7"/>
    </row>
    <row r="42" spans="20:24" x14ac:dyDescent="0.15">
      <c r="T42" s="7">
        <v>41</v>
      </c>
      <c r="U42">
        <v>6</v>
      </c>
      <c r="W42" s="7">
        <f t="shared" si="0"/>
        <v>1</v>
      </c>
      <c r="X42" s="7"/>
    </row>
    <row r="43" spans="20:24" x14ac:dyDescent="0.15">
      <c r="T43" s="7">
        <v>42</v>
      </c>
      <c r="U43">
        <v>13</v>
      </c>
      <c r="W43" s="7">
        <v>2</v>
      </c>
      <c r="X43" s="7"/>
    </row>
    <row r="44" spans="20:24" x14ac:dyDescent="0.15">
      <c r="T44" s="7">
        <v>43</v>
      </c>
      <c r="U44">
        <v>10</v>
      </c>
      <c r="W44" s="7">
        <v>2</v>
      </c>
      <c r="X44" s="7"/>
    </row>
    <row r="45" spans="20:24" x14ac:dyDescent="0.15">
      <c r="T45" s="7">
        <v>44</v>
      </c>
      <c r="U45">
        <v>10</v>
      </c>
      <c r="W45" s="7">
        <v>2</v>
      </c>
      <c r="X45" s="7"/>
    </row>
    <row r="46" spans="20:24" x14ac:dyDescent="0.15">
      <c r="T46" s="7">
        <v>45</v>
      </c>
      <c r="U46">
        <v>10</v>
      </c>
      <c r="W46" s="7">
        <v>2</v>
      </c>
      <c r="X46" s="7"/>
    </row>
    <row r="47" spans="20:24" x14ac:dyDescent="0.15">
      <c r="T47" s="7">
        <v>46</v>
      </c>
      <c r="U47">
        <v>10</v>
      </c>
      <c r="W47" s="7">
        <v>2</v>
      </c>
      <c r="X47" s="7"/>
    </row>
    <row r="48" spans="20:24" x14ac:dyDescent="0.15">
      <c r="T48" s="7">
        <v>47</v>
      </c>
      <c r="U48">
        <v>10</v>
      </c>
      <c r="W48" s="7">
        <v>2</v>
      </c>
      <c r="X48" s="7"/>
    </row>
    <row r="49" spans="20:24" x14ac:dyDescent="0.15">
      <c r="T49" s="7">
        <v>48</v>
      </c>
      <c r="U49">
        <v>10</v>
      </c>
      <c r="W49" s="7">
        <v>2</v>
      </c>
      <c r="X49" s="7"/>
    </row>
    <row r="50" spans="20:24" x14ac:dyDescent="0.15">
      <c r="T50" s="7">
        <v>49</v>
      </c>
      <c r="U50">
        <v>40</v>
      </c>
      <c r="W50" s="7">
        <f t="shared" si="0"/>
        <v>2</v>
      </c>
      <c r="X50" s="7"/>
    </row>
    <row r="51" spans="20:24" x14ac:dyDescent="0.15">
      <c r="T51" s="7">
        <v>50</v>
      </c>
      <c r="U51">
        <v>16</v>
      </c>
      <c r="W51" s="7">
        <v>2</v>
      </c>
      <c r="X51" s="7"/>
    </row>
    <row r="52" spans="20:24" x14ac:dyDescent="0.15">
      <c r="T52" s="7">
        <v>51</v>
      </c>
      <c r="U52">
        <v>16</v>
      </c>
      <c r="W52" s="7">
        <v>2</v>
      </c>
      <c r="X52" s="7"/>
    </row>
    <row r="53" spans="20:24" x14ac:dyDescent="0.15">
      <c r="T53" s="7">
        <v>52</v>
      </c>
      <c r="U53">
        <v>16</v>
      </c>
      <c r="W53" s="7">
        <v>2</v>
      </c>
      <c r="X53" s="7"/>
    </row>
    <row r="54" spans="20:24" x14ac:dyDescent="0.15">
      <c r="T54" s="7">
        <v>53</v>
      </c>
      <c r="U54">
        <v>16</v>
      </c>
      <c r="W54" s="7">
        <v>2</v>
      </c>
      <c r="X54" s="7"/>
    </row>
    <row r="55" spans="20:24" x14ac:dyDescent="0.15">
      <c r="T55" s="7">
        <v>54</v>
      </c>
      <c r="U55">
        <v>16</v>
      </c>
      <c r="W55" s="7">
        <v>2</v>
      </c>
      <c r="X55" s="7"/>
    </row>
    <row r="56" spans="20:24" x14ac:dyDescent="0.15">
      <c r="T56" s="7">
        <v>55</v>
      </c>
      <c r="U56">
        <v>16</v>
      </c>
      <c r="W56" s="7">
        <v>2</v>
      </c>
      <c r="X56" s="7"/>
    </row>
    <row r="57" spans="20:24" x14ac:dyDescent="0.15">
      <c r="T57" s="7">
        <v>56</v>
      </c>
      <c r="U57">
        <v>96</v>
      </c>
      <c r="W57" s="7">
        <v>5</v>
      </c>
      <c r="X57" s="7"/>
    </row>
    <row r="58" spans="20:24" x14ac:dyDescent="0.15">
      <c r="T58" s="7">
        <v>57</v>
      </c>
      <c r="U58">
        <v>26</v>
      </c>
      <c r="W58" s="7">
        <f t="shared" si="0"/>
        <v>2</v>
      </c>
      <c r="X58" s="7"/>
    </row>
    <row r="59" spans="20:24" x14ac:dyDescent="0.15">
      <c r="T59" s="7">
        <v>58</v>
      </c>
      <c r="U59">
        <v>26</v>
      </c>
      <c r="W59" s="7">
        <f t="shared" si="0"/>
        <v>2</v>
      </c>
      <c r="X59" s="7"/>
    </row>
    <row r="60" spans="20:24" x14ac:dyDescent="0.15">
      <c r="T60" s="7">
        <v>59</v>
      </c>
      <c r="U60">
        <v>26</v>
      </c>
      <c r="W60" s="7">
        <f t="shared" si="0"/>
        <v>2</v>
      </c>
      <c r="X60" s="7"/>
    </row>
    <row r="61" spans="20:24" x14ac:dyDescent="0.15">
      <c r="T61" s="7">
        <v>60</v>
      </c>
      <c r="U61">
        <v>26</v>
      </c>
      <c r="W61" s="7">
        <f t="shared" si="0"/>
        <v>2</v>
      </c>
      <c r="X61" s="7"/>
    </row>
    <row r="62" spans="20:24" x14ac:dyDescent="0.15">
      <c r="T62" s="7">
        <v>61</v>
      </c>
      <c r="U62">
        <v>26</v>
      </c>
      <c r="W62" s="7">
        <f t="shared" si="0"/>
        <v>2</v>
      </c>
      <c r="X62" s="7"/>
    </row>
    <row r="63" spans="20:24" x14ac:dyDescent="0.15">
      <c r="T63" s="7">
        <v>62</v>
      </c>
      <c r="U63">
        <v>26</v>
      </c>
      <c r="W63" s="7">
        <f t="shared" si="0"/>
        <v>2</v>
      </c>
      <c r="X63" s="7"/>
    </row>
    <row r="64" spans="20:24" x14ac:dyDescent="0.15">
      <c r="T64" s="7">
        <v>63</v>
      </c>
      <c r="U64">
        <v>181</v>
      </c>
      <c r="W64" s="7">
        <v>5</v>
      </c>
      <c r="X64" s="7"/>
    </row>
    <row r="65" spans="20:24" x14ac:dyDescent="0.15">
      <c r="T65" s="7">
        <v>64</v>
      </c>
      <c r="U65">
        <v>41</v>
      </c>
      <c r="W65" s="7">
        <f t="shared" si="0"/>
        <v>2</v>
      </c>
      <c r="X65" s="7"/>
    </row>
    <row r="66" spans="20:24" x14ac:dyDescent="0.15">
      <c r="T66" s="7">
        <v>65</v>
      </c>
      <c r="U66">
        <v>41</v>
      </c>
      <c r="W66" s="7">
        <f t="shared" si="0"/>
        <v>2</v>
      </c>
      <c r="X66" s="7"/>
    </row>
    <row r="67" spans="20:24" x14ac:dyDescent="0.15">
      <c r="T67" s="7">
        <v>66</v>
      </c>
      <c r="U67">
        <v>41</v>
      </c>
      <c r="W67" s="7">
        <f t="shared" ref="W67:W130" si="1">LOOKUP(U67/5,$O$2:$O$11,$L$2:$L$11)</f>
        <v>2</v>
      </c>
      <c r="X67" s="7"/>
    </row>
    <row r="68" spans="20:24" x14ac:dyDescent="0.15">
      <c r="T68" s="7">
        <v>67</v>
      </c>
      <c r="U68">
        <v>41</v>
      </c>
      <c r="W68" s="7">
        <f t="shared" si="1"/>
        <v>2</v>
      </c>
      <c r="X68" s="7"/>
    </row>
    <row r="69" spans="20:24" x14ac:dyDescent="0.15">
      <c r="T69" s="7">
        <v>68</v>
      </c>
      <c r="U69">
        <v>41</v>
      </c>
      <c r="W69" s="7">
        <f t="shared" si="1"/>
        <v>2</v>
      </c>
      <c r="X69" s="7"/>
    </row>
    <row r="70" spans="20:24" x14ac:dyDescent="0.15">
      <c r="T70" s="7">
        <v>69</v>
      </c>
      <c r="U70">
        <v>41</v>
      </c>
      <c r="W70" s="7">
        <f t="shared" si="1"/>
        <v>2</v>
      </c>
      <c r="X70" s="7"/>
    </row>
    <row r="71" spans="20:24" x14ac:dyDescent="0.15">
      <c r="T71" s="7">
        <v>70</v>
      </c>
      <c r="U71">
        <v>412</v>
      </c>
      <c r="W71" s="7">
        <v>6</v>
      </c>
      <c r="X71" s="7"/>
    </row>
    <row r="72" spans="20:24" x14ac:dyDescent="0.15">
      <c r="T72" s="7">
        <v>71</v>
      </c>
      <c r="U72">
        <v>66</v>
      </c>
      <c r="W72" s="7">
        <f t="shared" si="1"/>
        <v>3</v>
      </c>
      <c r="X72" s="7"/>
    </row>
    <row r="73" spans="20:24" x14ac:dyDescent="0.15">
      <c r="T73" s="7">
        <v>72</v>
      </c>
      <c r="U73">
        <v>66</v>
      </c>
      <c r="W73" s="7">
        <f t="shared" si="1"/>
        <v>3</v>
      </c>
      <c r="X73" s="7"/>
    </row>
    <row r="74" spans="20:24" x14ac:dyDescent="0.15">
      <c r="T74" s="7">
        <v>73</v>
      </c>
      <c r="U74">
        <v>66</v>
      </c>
      <c r="W74" s="7">
        <f t="shared" si="1"/>
        <v>3</v>
      </c>
      <c r="X74" s="7"/>
    </row>
    <row r="75" spans="20:24" x14ac:dyDescent="0.15">
      <c r="T75" s="7">
        <v>74</v>
      </c>
      <c r="U75">
        <v>66</v>
      </c>
      <c r="W75" s="7">
        <f t="shared" si="1"/>
        <v>3</v>
      </c>
      <c r="X75" s="7"/>
    </row>
    <row r="76" spans="20:24" x14ac:dyDescent="0.15">
      <c r="T76" s="7">
        <v>75</v>
      </c>
      <c r="U76">
        <v>66</v>
      </c>
      <c r="W76" s="7">
        <f t="shared" si="1"/>
        <v>3</v>
      </c>
      <c r="X76" s="7"/>
    </row>
    <row r="77" spans="20:24" x14ac:dyDescent="0.15">
      <c r="T77" s="7">
        <v>76</v>
      </c>
      <c r="U77">
        <v>66</v>
      </c>
      <c r="W77" s="7">
        <f t="shared" si="1"/>
        <v>3</v>
      </c>
      <c r="X77" s="7"/>
    </row>
    <row r="78" spans="20:24" x14ac:dyDescent="0.15">
      <c r="T78" s="7">
        <v>77</v>
      </c>
      <c r="U78">
        <v>132</v>
      </c>
      <c r="W78" s="7">
        <f t="shared" si="1"/>
        <v>3</v>
      </c>
      <c r="X78" s="7"/>
    </row>
    <row r="79" spans="20:24" x14ac:dyDescent="0.15">
      <c r="T79" s="7">
        <v>78</v>
      </c>
      <c r="U79">
        <v>105</v>
      </c>
      <c r="W79" s="7">
        <f t="shared" si="1"/>
        <v>3</v>
      </c>
      <c r="X79" s="7"/>
    </row>
    <row r="80" spans="20:24" x14ac:dyDescent="0.15">
      <c r="T80" s="7">
        <v>79</v>
      </c>
      <c r="U80">
        <v>105</v>
      </c>
      <c r="W80" s="7">
        <f t="shared" si="1"/>
        <v>3</v>
      </c>
      <c r="X80" s="7"/>
    </row>
    <row r="81" spans="20:24" x14ac:dyDescent="0.15">
      <c r="T81" s="7">
        <v>80</v>
      </c>
      <c r="U81">
        <v>105</v>
      </c>
      <c r="W81" s="7">
        <f t="shared" si="1"/>
        <v>3</v>
      </c>
      <c r="X81" s="7"/>
    </row>
    <row r="82" spans="20:24" x14ac:dyDescent="0.15">
      <c r="T82" s="7">
        <v>81</v>
      </c>
      <c r="U82">
        <v>105</v>
      </c>
      <c r="W82" s="7">
        <f t="shared" si="1"/>
        <v>3</v>
      </c>
      <c r="X82" s="7"/>
    </row>
    <row r="83" spans="20:24" x14ac:dyDescent="0.15">
      <c r="T83" s="7">
        <v>82</v>
      </c>
      <c r="U83">
        <v>105</v>
      </c>
      <c r="W83" s="7">
        <f t="shared" si="1"/>
        <v>3</v>
      </c>
      <c r="X83" s="7"/>
    </row>
    <row r="84" spans="20:24" x14ac:dyDescent="0.15">
      <c r="T84" s="7">
        <v>83</v>
      </c>
      <c r="U84">
        <v>105</v>
      </c>
      <c r="W84" s="7">
        <f t="shared" si="1"/>
        <v>3</v>
      </c>
      <c r="X84" s="7"/>
    </row>
    <row r="85" spans="20:24" x14ac:dyDescent="0.15">
      <c r="T85" s="7">
        <v>84</v>
      </c>
      <c r="U85">
        <v>421</v>
      </c>
      <c r="W85" s="7">
        <v>6</v>
      </c>
      <c r="X85" s="7"/>
    </row>
    <row r="86" spans="20:24" x14ac:dyDescent="0.15">
      <c r="T86" s="7">
        <v>85</v>
      </c>
      <c r="U86">
        <v>168</v>
      </c>
      <c r="W86" s="7">
        <f t="shared" si="1"/>
        <v>4</v>
      </c>
      <c r="X86" s="7"/>
    </row>
    <row r="87" spans="20:24" x14ac:dyDescent="0.15">
      <c r="T87" s="7">
        <v>86</v>
      </c>
      <c r="U87">
        <v>168</v>
      </c>
      <c r="W87" s="7">
        <f t="shared" si="1"/>
        <v>4</v>
      </c>
      <c r="X87" s="7"/>
    </row>
    <row r="88" spans="20:24" x14ac:dyDescent="0.15">
      <c r="T88" s="7">
        <v>87</v>
      </c>
      <c r="U88">
        <v>168</v>
      </c>
      <c r="W88" s="7">
        <f t="shared" si="1"/>
        <v>4</v>
      </c>
      <c r="X88" s="7"/>
    </row>
    <row r="89" spans="20:24" x14ac:dyDescent="0.15">
      <c r="T89" s="7">
        <v>88</v>
      </c>
      <c r="U89">
        <v>168</v>
      </c>
      <c r="W89" s="7">
        <f t="shared" si="1"/>
        <v>4</v>
      </c>
      <c r="X89" s="7"/>
    </row>
    <row r="90" spans="20:24" x14ac:dyDescent="0.15">
      <c r="T90" s="7">
        <v>89</v>
      </c>
      <c r="U90">
        <v>168</v>
      </c>
      <c r="W90" s="7">
        <f t="shared" si="1"/>
        <v>4</v>
      </c>
      <c r="X90" s="7"/>
    </row>
    <row r="91" spans="20:24" x14ac:dyDescent="0.15">
      <c r="T91" s="7">
        <v>90</v>
      </c>
      <c r="U91">
        <v>168</v>
      </c>
      <c r="W91" s="7">
        <f t="shared" si="1"/>
        <v>4</v>
      </c>
      <c r="X91" s="7"/>
    </row>
    <row r="92" spans="20:24" x14ac:dyDescent="0.15">
      <c r="T92" s="7">
        <v>91</v>
      </c>
      <c r="U92">
        <v>1010</v>
      </c>
      <c r="W92" s="7">
        <v>7</v>
      </c>
      <c r="X92" s="7"/>
    </row>
    <row r="93" spans="20:24" x14ac:dyDescent="0.15">
      <c r="T93" s="7">
        <v>92</v>
      </c>
      <c r="U93">
        <v>269</v>
      </c>
      <c r="W93" s="7">
        <f t="shared" si="1"/>
        <v>4</v>
      </c>
      <c r="X93" s="7"/>
    </row>
    <row r="94" spans="20:24" x14ac:dyDescent="0.15">
      <c r="T94" s="7">
        <v>93</v>
      </c>
      <c r="U94">
        <v>269</v>
      </c>
      <c r="W94" s="7">
        <f t="shared" si="1"/>
        <v>4</v>
      </c>
      <c r="X94" s="7"/>
    </row>
    <row r="95" spans="20:24" x14ac:dyDescent="0.15">
      <c r="T95" s="7">
        <v>94</v>
      </c>
      <c r="U95">
        <v>269</v>
      </c>
      <c r="W95" s="7">
        <f t="shared" si="1"/>
        <v>4</v>
      </c>
      <c r="X95" s="7"/>
    </row>
    <row r="96" spans="20:24" x14ac:dyDescent="0.15">
      <c r="T96" s="7">
        <v>95</v>
      </c>
      <c r="U96">
        <v>269</v>
      </c>
      <c r="W96" s="7">
        <f t="shared" si="1"/>
        <v>4</v>
      </c>
      <c r="X96" s="7"/>
    </row>
    <row r="97" spans="20:24" x14ac:dyDescent="0.15">
      <c r="T97" s="7">
        <v>96</v>
      </c>
      <c r="U97">
        <v>269</v>
      </c>
      <c r="W97" s="7">
        <f t="shared" si="1"/>
        <v>4</v>
      </c>
      <c r="X97" s="7"/>
    </row>
    <row r="98" spans="20:24" x14ac:dyDescent="0.15">
      <c r="T98" s="7">
        <v>97</v>
      </c>
      <c r="U98">
        <v>269</v>
      </c>
      <c r="W98" s="7">
        <f t="shared" si="1"/>
        <v>4</v>
      </c>
      <c r="X98" s="7"/>
    </row>
    <row r="99" spans="20:24" x14ac:dyDescent="0.15">
      <c r="T99" s="7">
        <v>98</v>
      </c>
      <c r="U99">
        <v>1883</v>
      </c>
      <c r="W99" s="7">
        <f t="shared" si="1"/>
        <v>6</v>
      </c>
      <c r="X99" s="7"/>
    </row>
    <row r="100" spans="20:24" x14ac:dyDescent="0.15">
      <c r="T100" s="7">
        <v>99</v>
      </c>
      <c r="U100">
        <v>430</v>
      </c>
      <c r="W100" s="7">
        <f t="shared" si="1"/>
        <v>5</v>
      </c>
      <c r="X100" s="7"/>
    </row>
    <row r="101" spans="20:24" x14ac:dyDescent="0.15">
      <c r="T101" s="7">
        <v>100</v>
      </c>
      <c r="U101">
        <v>430</v>
      </c>
      <c r="W101" s="7">
        <f t="shared" si="1"/>
        <v>5</v>
      </c>
      <c r="X101" s="7"/>
    </row>
    <row r="102" spans="20:24" x14ac:dyDescent="0.15">
      <c r="T102" s="7">
        <v>101</v>
      </c>
      <c r="U102">
        <v>430</v>
      </c>
      <c r="W102" s="7">
        <f t="shared" si="1"/>
        <v>5</v>
      </c>
      <c r="X102" s="7"/>
    </row>
    <row r="103" spans="20:24" x14ac:dyDescent="0.15">
      <c r="T103" s="7">
        <v>102</v>
      </c>
      <c r="U103">
        <v>430</v>
      </c>
      <c r="W103" s="7">
        <f t="shared" si="1"/>
        <v>5</v>
      </c>
      <c r="X103" s="7"/>
    </row>
    <row r="104" spans="20:24" x14ac:dyDescent="0.15">
      <c r="T104" s="7">
        <v>103</v>
      </c>
      <c r="U104">
        <v>430</v>
      </c>
      <c r="W104" s="7">
        <f t="shared" si="1"/>
        <v>5</v>
      </c>
      <c r="X104" s="7"/>
    </row>
    <row r="105" spans="20:24" x14ac:dyDescent="0.15">
      <c r="T105" s="7">
        <v>104</v>
      </c>
      <c r="U105">
        <v>430</v>
      </c>
      <c r="W105" s="7">
        <f t="shared" si="1"/>
        <v>5</v>
      </c>
      <c r="X105" s="7"/>
    </row>
    <row r="106" spans="20:24" x14ac:dyDescent="0.15">
      <c r="T106" s="7">
        <v>105</v>
      </c>
      <c r="U106">
        <v>4296</v>
      </c>
      <c r="W106" s="7">
        <f t="shared" si="1"/>
        <v>7</v>
      </c>
      <c r="X106" s="7"/>
    </row>
    <row r="107" spans="20:24" x14ac:dyDescent="0.15">
      <c r="T107" s="7">
        <v>106</v>
      </c>
      <c r="U107">
        <v>686</v>
      </c>
      <c r="W107" s="7">
        <f t="shared" si="1"/>
        <v>5</v>
      </c>
      <c r="X107" s="7"/>
    </row>
    <row r="108" spans="20:24" x14ac:dyDescent="0.15">
      <c r="T108" s="7">
        <v>107</v>
      </c>
      <c r="U108">
        <v>686</v>
      </c>
      <c r="W108" s="7">
        <f t="shared" si="1"/>
        <v>5</v>
      </c>
      <c r="X108" s="7"/>
    </row>
    <row r="109" spans="20:24" x14ac:dyDescent="0.15">
      <c r="T109" s="7">
        <v>108</v>
      </c>
      <c r="U109">
        <v>686</v>
      </c>
      <c r="W109" s="7">
        <f t="shared" si="1"/>
        <v>5</v>
      </c>
      <c r="X109" s="7"/>
    </row>
    <row r="110" spans="20:24" x14ac:dyDescent="0.15">
      <c r="T110" s="7">
        <v>109</v>
      </c>
      <c r="U110">
        <v>686</v>
      </c>
      <c r="W110" s="7">
        <f t="shared" si="1"/>
        <v>5</v>
      </c>
      <c r="X110" s="7"/>
    </row>
    <row r="111" spans="20:24" x14ac:dyDescent="0.15">
      <c r="T111" s="7">
        <v>110</v>
      </c>
      <c r="U111">
        <v>686</v>
      </c>
      <c r="W111" s="7">
        <f t="shared" si="1"/>
        <v>5</v>
      </c>
      <c r="X111" s="7"/>
    </row>
    <row r="112" spans="20:24" x14ac:dyDescent="0.15">
      <c r="T112" s="7">
        <v>111</v>
      </c>
      <c r="U112">
        <v>686</v>
      </c>
      <c r="W112" s="7">
        <f t="shared" si="1"/>
        <v>5</v>
      </c>
      <c r="X112" s="7"/>
    </row>
    <row r="113" spans="20:24" x14ac:dyDescent="0.15">
      <c r="T113" s="7">
        <v>112</v>
      </c>
      <c r="U113">
        <v>1371</v>
      </c>
      <c r="W113" s="7">
        <f t="shared" si="1"/>
        <v>6</v>
      </c>
      <c r="X113" s="7"/>
    </row>
    <row r="114" spans="20:24" x14ac:dyDescent="0.15">
      <c r="T114" s="7">
        <v>113</v>
      </c>
      <c r="U114">
        <v>1094</v>
      </c>
      <c r="W114" s="7">
        <f t="shared" si="1"/>
        <v>6</v>
      </c>
      <c r="X114" s="7"/>
    </row>
    <row r="115" spans="20:24" x14ac:dyDescent="0.15">
      <c r="T115" s="7">
        <v>114</v>
      </c>
      <c r="U115">
        <v>1094</v>
      </c>
      <c r="W115" s="7">
        <f t="shared" si="1"/>
        <v>6</v>
      </c>
      <c r="X115" s="7"/>
    </row>
    <row r="116" spans="20:24" x14ac:dyDescent="0.15">
      <c r="T116" s="7">
        <v>115</v>
      </c>
      <c r="U116">
        <v>1094</v>
      </c>
      <c r="W116" s="7">
        <f t="shared" si="1"/>
        <v>6</v>
      </c>
      <c r="X116" s="7"/>
    </row>
    <row r="117" spans="20:24" x14ac:dyDescent="0.15">
      <c r="T117" s="7">
        <v>116</v>
      </c>
      <c r="U117">
        <v>1094</v>
      </c>
      <c r="W117" s="7">
        <f t="shared" si="1"/>
        <v>6</v>
      </c>
      <c r="X117" s="7"/>
    </row>
    <row r="118" spans="20:24" x14ac:dyDescent="0.15">
      <c r="T118" s="7">
        <v>117</v>
      </c>
      <c r="U118">
        <v>1094</v>
      </c>
      <c r="W118" s="7">
        <f t="shared" si="1"/>
        <v>6</v>
      </c>
      <c r="X118" s="7"/>
    </row>
    <row r="119" spans="20:24" x14ac:dyDescent="0.15">
      <c r="T119" s="7">
        <v>118</v>
      </c>
      <c r="U119">
        <v>1094</v>
      </c>
      <c r="W119" s="7">
        <f t="shared" si="1"/>
        <v>6</v>
      </c>
      <c r="X119" s="7"/>
    </row>
    <row r="120" spans="20:24" x14ac:dyDescent="0.15">
      <c r="T120" s="7">
        <v>119</v>
      </c>
      <c r="U120">
        <v>4378</v>
      </c>
      <c r="W120" s="7">
        <f t="shared" si="1"/>
        <v>7</v>
      </c>
      <c r="X120" s="7"/>
    </row>
    <row r="121" spans="20:24" x14ac:dyDescent="0.15">
      <c r="T121" s="7">
        <v>120</v>
      </c>
      <c r="U121">
        <v>1746</v>
      </c>
      <c r="W121" s="7">
        <f t="shared" si="1"/>
        <v>6</v>
      </c>
      <c r="X121" s="7"/>
    </row>
    <row r="122" spans="20:24" x14ac:dyDescent="0.15">
      <c r="T122" s="7">
        <v>121</v>
      </c>
      <c r="U122">
        <v>1746</v>
      </c>
      <c r="W122" s="7">
        <f t="shared" si="1"/>
        <v>6</v>
      </c>
      <c r="X122" s="7"/>
    </row>
    <row r="123" spans="20:24" x14ac:dyDescent="0.15">
      <c r="T123" s="7">
        <v>122</v>
      </c>
      <c r="U123">
        <v>1746</v>
      </c>
      <c r="W123" s="7">
        <f t="shared" si="1"/>
        <v>6</v>
      </c>
      <c r="X123" s="7"/>
    </row>
    <row r="124" spans="20:24" x14ac:dyDescent="0.15">
      <c r="T124" s="7">
        <v>123</v>
      </c>
      <c r="U124">
        <v>1746</v>
      </c>
      <c r="W124" s="7">
        <f t="shared" si="1"/>
        <v>6</v>
      </c>
      <c r="X124" s="7"/>
    </row>
    <row r="125" spans="20:24" x14ac:dyDescent="0.15">
      <c r="T125" s="7">
        <v>124</v>
      </c>
      <c r="U125">
        <v>1746</v>
      </c>
      <c r="W125" s="7">
        <f t="shared" si="1"/>
        <v>6</v>
      </c>
      <c r="X125" s="7"/>
    </row>
    <row r="126" spans="20:24" x14ac:dyDescent="0.15">
      <c r="T126" s="7">
        <v>125</v>
      </c>
      <c r="U126">
        <v>1746</v>
      </c>
      <c r="W126" s="7">
        <f t="shared" si="1"/>
        <v>6</v>
      </c>
      <c r="X126" s="7"/>
    </row>
    <row r="127" spans="20:24" x14ac:dyDescent="0.15">
      <c r="T127" s="7">
        <v>126</v>
      </c>
      <c r="U127">
        <v>10477</v>
      </c>
      <c r="W127" s="7">
        <f t="shared" si="1"/>
        <v>8</v>
      </c>
      <c r="X127" s="7"/>
    </row>
    <row r="128" spans="20:24" x14ac:dyDescent="0.15">
      <c r="T128" s="7">
        <v>127</v>
      </c>
      <c r="U128">
        <v>2785</v>
      </c>
      <c r="W128" s="7">
        <f t="shared" si="1"/>
        <v>7</v>
      </c>
      <c r="X128" s="7"/>
    </row>
    <row r="129" spans="20:24" x14ac:dyDescent="0.15">
      <c r="T129" s="7">
        <v>128</v>
      </c>
      <c r="U129">
        <v>2785</v>
      </c>
      <c r="W129" s="7">
        <f t="shared" si="1"/>
        <v>7</v>
      </c>
      <c r="X129" s="7"/>
    </row>
    <row r="130" spans="20:24" x14ac:dyDescent="0.15">
      <c r="T130" s="7">
        <v>129</v>
      </c>
      <c r="U130">
        <v>2785</v>
      </c>
      <c r="W130" s="7">
        <f t="shared" si="1"/>
        <v>7</v>
      </c>
      <c r="X130" s="7"/>
    </row>
    <row r="131" spans="20:24" x14ac:dyDescent="0.15">
      <c r="T131" s="7">
        <v>130</v>
      </c>
      <c r="U131">
        <v>2785</v>
      </c>
      <c r="W131" s="7">
        <f t="shared" ref="W131:W183" si="2">LOOKUP(U131/5,$O$2:$O$11,$L$2:$L$11)</f>
        <v>7</v>
      </c>
      <c r="X131" s="7"/>
    </row>
    <row r="132" spans="20:24" x14ac:dyDescent="0.15">
      <c r="T132" s="7">
        <v>131</v>
      </c>
      <c r="U132">
        <v>2785</v>
      </c>
      <c r="W132" s="7">
        <f t="shared" si="2"/>
        <v>7</v>
      </c>
      <c r="X132" s="7"/>
    </row>
    <row r="133" spans="20:24" x14ac:dyDescent="0.15">
      <c r="T133" s="7">
        <v>132</v>
      </c>
      <c r="U133">
        <v>2785</v>
      </c>
      <c r="W133" s="7">
        <f t="shared" si="2"/>
        <v>7</v>
      </c>
      <c r="X133" s="7"/>
    </row>
    <row r="134" spans="20:24" x14ac:dyDescent="0.15">
      <c r="T134" s="7">
        <v>133</v>
      </c>
      <c r="U134">
        <v>19497</v>
      </c>
      <c r="W134" s="7">
        <f t="shared" si="2"/>
        <v>9</v>
      </c>
      <c r="X134" s="7"/>
    </row>
    <row r="135" spans="20:24" x14ac:dyDescent="0.15">
      <c r="T135" s="7">
        <v>134</v>
      </c>
      <c r="U135">
        <v>4442</v>
      </c>
      <c r="W135" s="7">
        <f t="shared" si="2"/>
        <v>7</v>
      </c>
      <c r="X135" s="7"/>
    </row>
    <row r="136" spans="20:24" x14ac:dyDescent="0.15">
      <c r="T136" s="7">
        <v>135</v>
      </c>
      <c r="U136">
        <v>4442</v>
      </c>
      <c r="W136" s="7">
        <f t="shared" si="2"/>
        <v>7</v>
      </c>
      <c r="X136" s="7"/>
    </row>
    <row r="137" spans="20:24" x14ac:dyDescent="0.15">
      <c r="T137" s="7">
        <v>136</v>
      </c>
      <c r="U137">
        <v>4442</v>
      </c>
      <c r="W137" s="7">
        <f t="shared" si="2"/>
        <v>7</v>
      </c>
      <c r="X137" s="7"/>
    </row>
    <row r="138" spans="20:24" x14ac:dyDescent="0.15">
      <c r="T138" s="7">
        <v>137</v>
      </c>
      <c r="U138">
        <v>4442</v>
      </c>
      <c r="W138" s="7">
        <f t="shared" si="2"/>
        <v>7</v>
      </c>
      <c r="X138" s="7"/>
    </row>
    <row r="139" spans="20:24" x14ac:dyDescent="0.15">
      <c r="T139" s="7">
        <v>138</v>
      </c>
      <c r="U139">
        <v>4442</v>
      </c>
      <c r="W139" s="7">
        <f t="shared" si="2"/>
        <v>7</v>
      </c>
      <c r="X139" s="7"/>
    </row>
    <row r="140" spans="20:24" x14ac:dyDescent="0.15">
      <c r="T140" s="7">
        <v>139</v>
      </c>
      <c r="U140">
        <v>4442</v>
      </c>
      <c r="W140" s="7">
        <f t="shared" si="2"/>
        <v>7</v>
      </c>
      <c r="X140" s="7"/>
    </row>
    <row r="141" spans="20:24" x14ac:dyDescent="0.15">
      <c r="T141" s="7">
        <v>140</v>
      </c>
      <c r="U141">
        <v>44418</v>
      </c>
      <c r="W141" s="7">
        <f t="shared" si="2"/>
        <v>9</v>
      </c>
      <c r="X141" s="7"/>
    </row>
    <row r="142" spans="20:24" x14ac:dyDescent="0.15">
      <c r="T142" s="7">
        <v>141</v>
      </c>
      <c r="U142">
        <v>7082</v>
      </c>
      <c r="W142" s="7">
        <f t="shared" si="2"/>
        <v>8</v>
      </c>
      <c r="X142" s="7"/>
    </row>
    <row r="143" spans="20:24" x14ac:dyDescent="0.15">
      <c r="T143" s="7">
        <v>142</v>
      </c>
      <c r="U143">
        <v>7082</v>
      </c>
      <c r="W143" s="7">
        <f t="shared" si="2"/>
        <v>8</v>
      </c>
      <c r="X143" s="7"/>
    </row>
    <row r="144" spans="20:24" x14ac:dyDescent="0.15">
      <c r="T144" s="7">
        <v>143</v>
      </c>
      <c r="U144">
        <v>7082</v>
      </c>
      <c r="W144" s="7">
        <f t="shared" si="2"/>
        <v>8</v>
      </c>
      <c r="X144" s="7"/>
    </row>
    <row r="145" spans="20:24" x14ac:dyDescent="0.15">
      <c r="T145" s="7">
        <v>144</v>
      </c>
      <c r="U145">
        <v>7082</v>
      </c>
      <c r="W145" s="7">
        <f t="shared" si="2"/>
        <v>8</v>
      </c>
      <c r="X145" s="7"/>
    </row>
    <row r="146" spans="20:24" x14ac:dyDescent="0.15">
      <c r="T146" s="7">
        <v>145</v>
      </c>
      <c r="U146">
        <v>7082</v>
      </c>
      <c r="W146" s="7">
        <f t="shared" si="2"/>
        <v>8</v>
      </c>
      <c r="X146" s="7"/>
    </row>
    <row r="147" spans="20:24" x14ac:dyDescent="0.15">
      <c r="T147" s="7">
        <v>146</v>
      </c>
      <c r="U147">
        <v>7082</v>
      </c>
      <c r="W147" s="7">
        <f t="shared" si="2"/>
        <v>8</v>
      </c>
      <c r="X147" s="7"/>
    </row>
    <row r="148" spans="20:24" x14ac:dyDescent="0.15">
      <c r="T148" s="7">
        <v>147</v>
      </c>
      <c r="U148">
        <v>14164</v>
      </c>
      <c r="W148" s="7">
        <f t="shared" si="2"/>
        <v>8</v>
      </c>
      <c r="X148" s="7"/>
    </row>
    <row r="149" spans="20:24" x14ac:dyDescent="0.15">
      <c r="T149" s="7">
        <v>148</v>
      </c>
      <c r="U149">
        <v>11288</v>
      </c>
      <c r="W149" s="7">
        <f t="shared" si="2"/>
        <v>8</v>
      </c>
      <c r="X149" s="7"/>
    </row>
    <row r="150" spans="20:24" x14ac:dyDescent="0.15">
      <c r="T150" s="7">
        <v>149</v>
      </c>
      <c r="U150">
        <v>11288</v>
      </c>
      <c r="W150" s="7">
        <f t="shared" si="2"/>
        <v>8</v>
      </c>
      <c r="X150" s="7"/>
    </row>
    <row r="151" spans="20:24" x14ac:dyDescent="0.15">
      <c r="T151" s="7">
        <v>150</v>
      </c>
      <c r="U151">
        <v>11288</v>
      </c>
      <c r="W151" s="7">
        <f t="shared" si="2"/>
        <v>8</v>
      </c>
      <c r="X151" s="7"/>
    </row>
    <row r="152" spans="20:24" x14ac:dyDescent="0.15">
      <c r="T152" s="7">
        <v>151</v>
      </c>
      <c r="U152">
        <v>11288</v>
      </c>
      <c r="W152" s="7">
        <f t="shared" si="2"/>
        <v>8</v>
      </c>
      <c r="X152" s="7"/>
    </row>
    <row r="153" spans="20:24" x14ac:dyDescent="0.15">
      <c r="T153" s="7">
        <v>152</v>
      </c>
      <c r="U153">
        <v>11288</v>
      </c>
      <c r="W153" s="7">
        <f t="shared" si="2"/>
        <v>8</v>
      </c>
      <c r="X153" s="7"/>
    </row>
    <row r="154" spans="20:24" x14ac:dyDescent="0.15">
      <c r="T154" s="7">
        <v>153</v>
      </c>
      <c r="U154">
        <v>11288</v>
      </c>
      <c r="W154" s="7">
        <f t="shared" si="2"/>
        <v>8</v>
      </c>
      <c r="X154" s="7"/>
    </row>
    <row r="155" spans="20:24" x14ac:dyDescent="0.15">
      <c r="T155" s="7">
        <v>154</v>
      </c>
      <c r="U155">
        <v>45154</v>
      </c>
      <c r="W155" s="7">
        <f t="shared" si="2"/>
        <v>9</v>
      </c>
      <c r="X155" s="7"/>
    </row>
    <row r="156" spans="20:24" x14ac:dyDescent="0.15">
      <c r="T156" s="7">
        <v>155</v>
      </c>
      <c r="U156">
        <v>17990</v>
      </c>
      <c r="W156" s="7">
        <f t="shared" si="2"/>
        <v>9</v>
      </c>
      <c r="X156" s="7"/>
    </row>
    <row r="157" spans="20:24" x14ac:dyDescent="0.15">
      <c r="T157" s="7">
        <v>156</v>
      </c>
      <c r="U157">
        <v>17990</v>
      </c>
      <c r="W157" s="7">
        <f t="shared" si="2"/>
        <v>9</v>
      </c>
      <c r="X157" s="7"/>
    </row>
    <row r="158" spans="20:24" x14ac:dyDescent="0.15">
      <c r="T158" s="7">
        <v>157</v>
      </c>
      <c r="U158">
        <v>17990</v>
      </c>
      <c r="W158" s="7">
        <f t="shared" si="2"/>
        <v>9</v>
      </c>
      <c r="X158" s="7"/>
    </row>
    <row r="159" spans="20:24" x14ac:dyDescent="0.15">
      <c r="T159" s="7">
        <v>158</v>
      </c>
      <c r="U159">
        <v>17990</v>
      </c>
      <c r="W159" s="7">
        <f t="shared" si="2"/>
        <v>9</v>
      </c>
      <c r="X159" s="7"/>
    </row>
    <row r="160" spans="20:24" x14ac:dyDescent="0.15">
      <c r="T160" s="7">
        <v>159</v>
      </c>
      <c r="U160">
        <v>17990</v>
      </c>
      <c r="W160" s="7">
        <f t="shared" si="2"/>
        <v>9</v>
      </c>
      <c r="X160" s="7"/>
    </row>
    <row r="161" spans="20:24" x14ac:dyDescent="0.15">
      <c r="T161" s="7">
        <v>160</v>
      </c>
      <c r="U161">
        <v>17990</v>
      </c>
      <c r="W161" s="7">
        <f t="shared" si="2"/>
        <v>9</v>
      </c>
      <c r="X161" s="7"/>
    </row>
    <row r="162" spans="20:24" x14ac:dyDescent="0.15">
      <c r="T162" s="7">
        <v>161</v>
      </c>
      <c r="U162">
        <v>107938</v>
      </c>
      <c r="W162" s="7">
        <f t="shared" si="2"/>
        <v>10</v>
      </c>
      <c r="X162" s="7"/>
    </row>
    <row r="163" spans="20:24" x14ac:dyDescent="0.15">
      <c r="T163" s="7">
        <v>162</v>
      </c>
      <c r="U163">
        <v>28662</v>
      </c>
      <c r="W163" s="7">
        <f t="shared" si="2"/>
        <v>9</v>
      </c>
      <c r="X163" s="7"/>
    </row>
    <row r="164" spans="20:24" x14ac:dyDescent="0.15">
      <c r="T164" s="7">
        <v>163</v>
      </c>
      <c r="U164">
        <v>28662</v>
      </c>
      <c r="W164" s="7">
        <f t="shared" si="2"/>
        <v>9</v>
      </c>
      <c r="X164" s="7"/>
    </row>
    <row r="165" spans="20:24" x14ac:dyDescent="0.15">
      <c r="T165" s="7">
        <v>164</v>
      </c>
      <c r="U165">
        <v>28662</v>
      </c>
      <c r="W165" s="7">
        <f t="shared" si="2"/>
        <v>9</v>
      </c>
      <c r="X165" s="7"/>
    </row>
    <row r="166" spans="20:24" x14ac:dyDescent="0.15">
      <c r="T166" s="7">
        <v>165</v>
      </c>
      <c r="U166">
        <v>28662</v>
      </c>
      <c r="W166" s="7">
        <f t="shared" si="2"/>
        <v>9</v>
      </c>
      <c r="X166" s="7"/>
    </row>
    <row r="167" spans="20:24" x14ac:dyDescent="0.15">
      <c r="T167" s="7">
        <v>166</v>
      </c>
      <c r="U167">
        <v>28662</v>
      </c>
      <c r="W167" s="7">
        <f t="shared" si="2"/>
        <v>9</v>
      </c>
      <c r="X167" s="7"/>
    </row>
    <row r="168" spans="20:24" x14ac:dyDescent="0.15">
      <c r="T168" s="7">
        <v>167</v>
      </c>
      <c r="U168">
        <v>28662</v>
      </c>
      <c r="W168" s="7">
        <f t="shared" si="2"/>
        <v>9</v>
      </c>
      <c r="X168" s="7"/>
    </row>
    <row r="169" spans="20:24" x14ac:dyDescent="0.15">
      <c r="T169" s="7">
        <v>168</v>
      </c>
      <c r="U169">
        <v>200637</v>
      </c>
      <c r="W169" s="7">
        <f t="shared" si="2"/>
        <v>10</v>
      </c>
      <c r="X169" s="7"/>
    </row>
    <row r="170" spans="20:24" x14ac:dyDescent="0.15">
      <c r="T170" s="7">
        <v>169</v>
      </c>
      <c r="U170">
        <v>45658</v>
      </c>
      <c r="W170" s="7">
        <f t="shared" si="2"/>
        <v>9</v>
      </c>
      <c r="X170" s="7"/>
    </row>
    <row r="171" spans="20:24" x14ac:dyDescent="0.15">
      <c r="T171" s="7">
        <v>170</v>
      </c>
      <c r="U171">
        <v>45658</v>
      </c>
      <c r="W171" s="7">
        <f t="shared" si="2"/>
        <v>9</v>
      </c>
      <c r="X171" s="7"/>
    </row>
    <row r="172" spans="20:24" x14ac:dyDescent="0.15">
      <c r="T172" s="7">
        <v>171</v>
      </c>
      <c r="U172">
        <v>45658</v>
      </c>
      <c r="W172" s="7">
        <f t="shared" si="2"/>
        <v>9</v>
      </c>
      <c r="X172" s="7"/>
    </row>
    <row r="173" spans="20:24" x14ac:dyDescent="0.15">
      <c r="T173" s="7">
        <v>172</v>
      </c>
      <c r="U173">
        <v>45658</v>
      </c>
      <c r="W173" s="7">
        <f t="shared" si="2"/>
        <v>9</v>
      </c>
      <c r="X173" s="7"/>
    </row>
    <row r="174" spans="20:24" x14ac:dyDescent="0.15">
      <c r="T174" s="7">
        <v>173</v>
      </c>
      <c r="U174">
        <v>45658</v>
      </c>
      <c r="W174" s="7">
        <f t="shared" si="2"/>
        <v>9</v>
      </c>
      <c r="X174" s="7"/>
    </row>
    <row r="175" spans="20:24" x14ac:dyDescent="0.15">
      <c r="T175" s="7">
        <v>174</v>
      </c>
      <c r="U175">
        <v>45658</v>
      </c>
      <c r="W175" s="7">
        <f t="shared" si="2"/>
        <v>9</v>
      </c>
      <c r="X175" s="7"/>
    </row>
    <row r="176" spans="20:24" x14ac:dyDescent="0.15">
      <c r="T176" s="7">
        <v>175</v>
      </c>
      <c r="U176">
        <v>456575</v>
      </c>
      <c r="W176" s="7">
        <f t="shared" si="2"/>
        <v>10</v>
      </c>
      <c r="X176" s="7"/>
    </row>
    <row r="177" spans="20:24" x14ac:dyDescent="0.15">
      <c r="T177" s="7">
        <v>176</v>
      </c>
      <c r="U177">
        <v>72715</v>
      </c>
      <c r="W177" s="7">
        <f t="shared" si="2"/>
        <v>10</v>
      </c>
      <c r="X177" s="7"/>
    </row>
    <row r="178" spans="20:24" x14ac:dyDescent="0.15">
      <c r="T178" s="7">
        <v>177</v>
      </c>
      <c r="U178">
        <v>72715</v>
      </c>
      <c r="W178" s="7">
        <f t="shared" si="2"/>
        <v>10</v>
      </c>
      <c r="X178" s="7"/>
    </row>
    <row r="179" spans="20:24" x14ac:dyDescent="0.15">
      <c r="T179" s="7">
        <v>178</v>
      </c>
      <c r="U179">
        <v>72715</v>
      </c>
      <c r="W179" s="7">
        <f t="shared" si="2"/>
        <v>10</v>
      </c>
      <c r="X179" s="7"/>
    </row>
    <row r="180" spans="20:24" x14ac:dyDescent="0.15">
      <c r="T180" s="7">
        <v>179</v>
      </c>
      <c r="U180">
        <v>72715</v>
      </c>
      <c r="W180" s="7">
        <f t="shared" si="2"/>
        <v>10</v>
      </c>
      <c r="X180" s="7"/>
    </row>
    <row r="181" spans="20:24" x14ac:dyDescent="0.15">
      <c r="T181" s="7">
        <v>180</v>
      </c>
      <c r="U181">
        <v>72715</v>
      </c>
      <c r="W181" s="7">
        <f t="shared" si="2"/>
        <v>10</v>
      </c>
      <c r="X181" s="7"/>
    </row>
    <row r="182" spans="20:24" x14ac:dyDescent="0.15">
      <c r="T182" s="7">
        <v>181</v>
      </c>
      <c r="U182">
        <v>72715</v>
      </c>
      <c r="W182" s="7">
        <f t="shared" si="2"/>
        <v>10</v>
      </c>
      <c r="X182" s="7"/>
    </row>
    <row r="183" spans="20:24" x14ac:dyDescent="0.15">
      <c r="T183" s="7">
        <v>182</v>
      </c>
      <c r="U183">
        <v>145429</v>
      </c>
      <c r="W183" s="7">
        <f t="shared" si="2"/>
        <v>10</v>
      </c>
      <c r="X183" s="7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AB1004"/>
  <sheetViews>
    <sheetView topLeftCell="C1" workbookViewId="0">
      <selection activeCell="Q3" sqref="Q3"/>
    </sheetView>
  </sheetViews>
  <sheetFormatPr defaultRowHeight="13.5" x14ac:dyDescent="0.15"/>
  <cols>
    <col min="2" max="2" width="19.625" customWidth="1"/>
    <col min="3" max="3" width="7.75" customWidth="1"/>
    <col min="4" max="4" width="8.75" customWidth="1"/>
    <col min="7" max="7" width="8.875" customWidth="1"/>
    <col min="8" max="8" width="12.75" customWidth="1"/>
    <col min="9" max="9" width="11.625" customWidth="1"/>
    <col min="10" max="10" width="9" customWidth="1"/>
    <col min="11" max="11" width="8.5" customWidth="1"/>
    <col min="12" max="12" width="9" customWidth="1"/>
    <col min="13" max="13" width="9" style="3" customWidth="1"/>
    <col min="15" max="15" width="12.75" style="3" bestFit="1" customWidth="1"/>
    <col min="16" max="16" width="9" style="3"/>
    <col min="18" max="20" width="9" style="3"/>
  </cols>
  <sheetData>
    <row r="2" spans="2:28" x14ac:dyDescent="0.15">
      <c r="U2" t="s">
        <v>104</v>
      </c>
    </row>
    <row r="3" spans="2:28" s="2" customFormat="1" ht="32.25" customHeight="1" x14ac:dyDescent="0.15">
      <c r="B3" s="2" t="s">
        <v>80</v>
      </c>
      <c r="C3" s="2" t="s">
        <v>81</v>
      </c>
      <c r="D3" s="2" t="s">
        <v>85</v>
      </c>
      <c r="F3" s="2" t="s">
        <v>78</v>
      </c>
      <c r="G3" s="2" t="s">
        <v>79</v>
      </c>
      <c r="H3" s="2" t="s">
        <v>83</v>
      </c>
      <c r="I3" s="2" t="s">
        <v>84</v>
      </c>
      <c r="J3" s="2" t="s">
        <v>90</v>
      </c>
      <c r="K3" s="2" t="s">
        <v>91</v>
      </c>
      <c r="L3" s="2" t="s">
        <v>92</v>
      </c>
      <c r="M3" s="5" t="s">
        <v>110</v>
      </c>
      <c r="N3" s="2" t="s">
        <v>108</v>
      </c>
      <c r="O3" s="5" t="s">
        <v>109</v>
      </c>
      <c r="P3" s="5" t="s">
        <v>111</v>
      </c>
      <c r="R3" s="5"/>
      <c r="S3" s="5"/>
      <c r="T3" s="5" t="s">
        <v>112</v>
      </c>
      <c r="U3" s="3" t="s">
        <v>93</v>
      </c>
      <c r="V3" s="3" t="s">
        <v>94</v>
      </c>
      <c r="W3" s="3" t="s">
        <v>95</v>
      </c>
      <c r="Y3" s="2" t="s">
        <v>105</v>
      </c>
      <c r="Z3" s="2" t="s">
        <v>106</v>
      </c>
      <c r="AA3" s="2" t="s">
        <v>107</v>
      </c>
      <c r="AB3" s="2" t="s">
        <v>113</v>
      </c>
    </row>
    <row r="4" spans="2:28" x14ac:dyDescent="0.15">
      <c r="B4" t="s">
        <v>82</v>
      </c>
      <c r="C4">
        <v>7</v>
      </c>
      <c r="D4" t="s">
        <v>86</v>
      </c>
      <c r="F4">
        <f>ROUNDUP(G4/$C$4,0)</f>
        <v>1</v>
      </c>
      <c r="G4">
        <v>1</v>
      </c>
      <c r="H4">
        <f>18.5*1.57^MIN(F4,156)*1.17^MAX(F4-156,0)*$C$5</f>
        <v>4.3567499999999999</v>
      </c>
      <c r="I4">
        <f>ROUND(H4,0)</f>
        <v>4</v>
      </c>
      <c r="J4">
        <f>IF(F4=F5,1,LOOKUP(MOD(F4,5),$D$6:$D$10,$C$6:$C$10))</f>
        <v>1</v>
      </c>
      <c r="K4">
        <f>J4*I4</f>
        <v>4</v>
      </c>
      <c r="L4" s="1">
        <f>K4*(0.02+0.00045*F4)/$C$5</f>
        <v>0.54533333333333334</v>
      </c>
      <c r="M4" s="3">
        <f>L4/(1.3^F4)*3</f>
        <v>1.2584615384615383</v>
      </c>
      <c r="N4" s="7">
        <f t="shared" ref="N4:N6" si="0">ROUND(L4,0)</f>
        <v>1</v>
      </c>
      <c r="O4" s="3">
        <f>ROUNDDOWN(M4,0)</f>
        <v>1</v>
      </c>
      <c r="P4" s="3">
        <f>SUM($O$4:O4)</f>
        <v>1</v>
      </c>
      <c r="T4" s="7">
        <v>1</v>
      </c>
      <c r="U4" s="3">
        <v>2.9</v>
      </c>
      <c r="V4" s="3">
        <v>2.9</v>
      </c>
      <c r="W4" s="3"/>
      <c r="Y4">
        <f>G4</f>
        <v>1</v>
      </c>
      <c r="Z4">
        <f>ROUND(1.05^Y4*Y4,0)</f>
        <v>1</v>
      </c>
      <c r="AA4">
        <v>0</v>
      </c>
      <c r="AB4">
        <f>LOOKUP(Y4,T:T,P:P)</f>
        <v>5</v>
      </c>
    </row>
    <row r="5" spans="2:28" x14ac:dyDescent="0.15">
      <c r="B5" t="s">
        <v>87</v>
      </c>
      <c r="C5">
        <v>0.15</v>
      </c>
      <c r="D5" t="s">
        <v>88</v>
      </c>
      <c r="F5">
        <f t="shared" ref="F5:F68" si="1">ROUNDUP(G5/$C$4,0)</f>
        <v>1</v>
      </c>
      <c r="G5">
        <v>2</v>
      </c>
      <c r="H5">
        <f t="shared" ref="H5:H68" si="2">18.5*1.57^MIN(F5,156)*1.17^MAX(F5-156,0)*$C$5</f>
        <v>4.3567499999999999</v>
      </c>
      <c r="I5">
        <f t="shared" ref="I5:I68" si="3">ROUND(H5,0)</f>
        <v>4</v>
      </c>
      <c r="J5" s="1">
        <f t="shared" ref="J5:J68" si="4">IF(F5=F6,1,LOOKUP(MOD(F5,5),$D$6:$D$10,$C$6:$C$10))</f>
        <v>1</v>
      </c>
      <c r="K5" s="1">
        <f t="shared" ref="K5:K68" si="5">J5*I5</f>
        <v>4</v>
      </c>
      <c r="L5" s="1">
        <f t="shared" ref="L5:L68" si="6">K5*(0.02+0.00045*F5)/$C$5</f>
        <v>0.54533333333333334</v>
      </c>
      <c r="M5" s="3">
        <f t="shared" ref="M5:M68" si="7">L5/(1.3^F5)*3</f>
        <v>1.2584615384615383</v>
      </c>
      <c r="N5" s="7">
        <f t="shared" si="0"/>
        <v>1</v>
      </c>
      <c r="O5" s="7">
        <f t="shared" ref="O5:O68" si="8">ROUNDDOWN(M5,0)</f>
        <v>1</v>
      </c>
      <c r="P5" s="3">
        <f>SUM($O$4:O5)</f>
        <v>2</v>
      </c>
      <c r="T5" s="7">
        <v>1</v>
      </c>
      <c r="U5" s="3">
        <v>2.9</v>
      </c>
      <c r="V5" s="3">
        <v>5.8</v>
      </c>
      <c r="W5" s="3"/>
      <c r="Y5" s="3">
        <f t="shared" ref="Y5:Y68" si="9">G5</f>
        <v>2</v>
      </c>
      <c r="Z5" s="3">
        <f t="shared" ref="Z5:Z68" si="10">ROUND(1.05^Y5*Y5,0)</f>
        <v>2</v>
      </c>
      <c r="AA5">
        <v>5</v>
      </c>
      <c r="AB5" s="7">
        <f t="shared" ref="AB5:AB68" si="11">LOOKUP(Y5,T:T,P:P)</f>
        <v>12</v>
      </c>
    </row>
    <row r="6" spans="2:28" x14ac:dyDescent="0.15">
      <c r="B6" s="1" t="s">
        <v>89</v>
      </c>
      <c r="C6" s="1">
        <v>10</v>
      </c>
      <c r="D6" s="1">
        <v>0</v>
      </c>
      <c r="F6">
        <f t="shared" si="1"/>
        <v>1</v>
      </c>
      <c r="G6">
        <v>3</v>
      </c>
      <c r="H6">
        <f t="shared" si="2"/>
        <v>4.3567499999999999</v>
      </c>
      <c r="I6">
        <f t="shared" si="3"/>
        <v>4</v>
      </c>
      <c r="J6" s="1">
        <f t="shared" si="4"/>
        <v>1</v>
      </c>
      <c r="K6" s="1">
        <f t="shared" si="5"/>
        <v>4</v>
      </c>
      <c r="L6" s="1">
        <f t="shared" si="6"/>
        <v>0.54533333333333334</v>
      </c>
      <c r="M6" s="3">
        <f t="shared" si="7"/>
        <v>1.2584615384615383</v>
      </c>
      <c r="N6" s="7">
        <f t="shared" si="0"/>
        <v>1</v>
      </c>
      <c r="O6" s="7">
        <f t="shared" si="8"/>
        <v>1</v>
      </c>
      <c r="P6" s="3">
        <f>SUM($O$4:O6)</f>
        <v>3</v>
      </c>
      <c r="T6" s="7">
        <v>1</v>
      </c>
      <c r="U6" s="3">
        <v>2.9</v>
      </c>
      <c r="V6" s="3">
        <v>8.6999999999999993</v>
      </c>
      <c r="W6" s="3"/>
      <c r="Y6" s="3">
        <f t="shared" si="9"/>
        <v>3</v>
      </c>
      <c r="Z6" s="3">
        <f t="shared" si="10"/>
        <v>3</v>
      </c>
      <c r="AB6" s="7">
        <f t="shared" si="11"/>
        <v>30</v>
      </c>
    </row>
    <row r="7" spans="2:28" x14ac:dyDescent="0.15">
      <c r="C7" s="1">
        <v>2</v>
      </c>
      <c r="D7" s="1">
        <v>1</v>
      </c>
      <c r="F7">
        <f t="shared" si="1"/>
        <v>1</v>
      </c>
      <c r="G7">
        <v>4</v>
      </c>
      <c r="H7">
        <f t="shared" si="2"/>
        <v>4.3567499999999999</v>
      </c>
      <c r="I7">
        <f t="shared" si="3"/>
        <v>4</v>
      </c>
      <c r="J7" s="1">
        <f t="shared" si="4"/>
        <v>1</v>
      </c>
      <c r="K7" s="1">
        <f t="shared" si="5"/>
        <v>4</v>
      </c>
      <c r="L7" s="1">
        <f t="shared" si="6"/>
        <v>0.54533333333333334</v>
      </c>
      <c r="M7" s="3">
        <f t="shared" si="7"/>
        <v>1.2584615384615383</v>
      </c>
      <c r="N7" s="1">
        <f>ROUND(L7,0)</f>
        <v>1</v>
      </c>
      <c r="O7" s="7">
        <f t="shared" si="8"/>
        <v>1</v>
      </c>
      <c r="P7" s="3">
        <f>SUM($O$4:O7)</f>
        <v>4</v>
      </c>
      <c r="T7" s="7">
        <v>1</v>
      </c>
      <c r="U7" s="3">
        <v>2.9</v>
      </c>
      <c r="V7" s="3">
        <v>11.6</v>
      </c>
      <c r="W7" s="3"/>
      <c r="Y7" s="3">
        <f t="shared" si="9"/>
        <v>4</v>
      </c>
      <c r="Z7" s="3">
        <f t="shared" si="10"/>
        <v>5</v>
      </c>
      <c r="AB7" s="7">
        <f t="shared" si="11"/>
        <v>48</v>
      </c>
    </row>
    <row r="8" spans="2:28" x14ac:dyDescent="0.15">
      <c r="C8" s="1">
        <v>4</v>
      </c>
      <c r="D8" s="1">
        <v>2</v>
      </c>
      <c r="F8">
        <f t="shared" si="1"/>
        <v>1</v>
      </c>
      <c r="G8">
        <v>5</v>
      </c>
      <c r="H8">
        <f t="shared" si="2"/>
        <v>4.3567499999999999</v>
      </c>
      <c r="I8">
        <f t="shared" si="3"/>
        <v>4</v>
      </c>
      <c r="J8" s="1">
        <f t="shared" si="4"/>
        <v>1</v>
      </c>
      <c r="K8" s="1">
        <f t="shared" si="5"/>
        <v>4</v>
      </c>
      <c r="L8" s="1">
        <f t="shared" si="6"/>
        <v>0.54533333333333334</v>
      </c>
      <c r="M8" s="3">
        <f t="shared" si="7"/>
        <v>1.2584615384615383</v>
      </c>
      <c r="N8" s="7">
        <f t="shared" ref="N8:N71" si="12">ROUND(L8,0)</f>
        <v>1</v>
      </c>
      <c r="O8" s="7">
        <f t="shared" si="8"/>
        <v>1</v>
      </c>
      <c r="P8" s="3">
        <f>SUM($O$4:O8)</f>
        <v>5</v>
      </c>
      <c r="T8" s="7">
        <v>1</v>
      </c>
      <c r="U8" s="3">
        <v>2.9</v>
      </c>
      <c r="V8" s="3">
        <v>14.5</v>
      </c>
      <c r="W8" s="4" t="s">
        <v>96</v>
      </c>
      <c r="Y8" s="3">
        <f t="shared" si="9"/>
        <v>5</v>
      </c>
      <c r="Z8" s="3">
        <f t="shared" si="10"/>
        <v>6</v>
      </c>
      <c r="AB8" s="7">
        <f t="shared" si="11"/>
        <v>77</v>
      </c>
    </row>
    <row r="9" spans="2:28" x14ac:dyDescent="0.15">
      <c r="C9" s="1">
        <v>6</v>
      </c>
      <c r="D9" s="1">
        <v>3</v>
      </c>
      <c r="F9">
        <f t="shared" si="1"/>
        <v>1</v>
      </c>
      <c r="G9">
        <v>6</v>
      </c>
      <c r="H9">
        <f t="shared" si="2"/>
        <v>4.3567499999999999</v>
      </c>
      <c r="I9">
        <f t="shared" si="3"/>
        <v>4</v>
      </c>
      <c r="J9" s="1">
        <f t="shared" si="4"/>
        <v>1</v>
      </c>
      <c r="K9" s="1">
        <f t="shared" si="5"/>
        <v>4</v>
      </c>
      <c r="L9" s="1">
        <f t="shared" si="6"/>
        <v>0.54533333333333334</v>
      </c>
      <c r="M9" s="3">
        <f t="shared" si="7"/>
        <v>1.2584615384615383</v>
      </c>
      <c r="N9" s="7">
        <f t="shared" si="12"/>
        <v>1</v>
      </c>
      <c r="O9" s="7">
        <f t="shared" si="8"/>
        <v>1</v>
      </c>
      <c r="P9" s="3">
        <f>SUM($O$4:O9)</f>
        <v>6</v>
      </c>
      <c r="T9" s="7">
        <v>2</v>
      </c>
      <c r="U9" s="3">
        <v>1.45</v>
      </c>
      <c r="V9" s="3">
        <v>15.95</v>
      </c>
      <c r="W9" s="4" t="s">
        <v>97</v>
      </c>
      <c r="Y9" s="3">
        <f t="shared" si="9"/>
        <v>6</v>
      </c>
      <c r="Z9" s="3">
        <f t="shared" si="10"/>
        <v>8</v>
      </c>
      <c r="AB9" s="7">
        <f t="shared" si="11"/>
        <v>89</v>
      </c>
    </row>
    <row r="10" spans="2:28" x14ac:dyDescent="0.15">
      <c r="C10" s="1">
        <v>7</v>
      </c>
      <c r="D10" s="1">
        <v>4</v>
      </c>
      <c r="F10">
        <f t="shared" si="1"/>
        <v>1</v>
      </c>
      <c r="G10">
        <v>7</v>
      </c>
      <c r="H10">
        <f t="shared" si="2"/>
        <v>4.3567499999999999</v>
      </c>
      <c r="I10">
        <f t="shared" si="3"/>
        <v>4</v>
      </c>
      <c r="J10" s="1">
        <f t="shared" si="4"/>
        <v>2</v>
      </c>
      <c r="K10" s="1">
        <f t="shared" si="5"/>
        <v>8</v>
      </c>
      <c r="L10" s="1">
        <f t="shared" si="6"/>
        <v>1.0906666666666667</v>
      </c>
      <c r="M10" s="3">
        <f t="shared" si="7"/>
        <v>2.5169230769230766</v>
      </c>
      <c r="N10" s="7">
        <f t="shared" si="12"/>
        <v>1</v>
      </c>
      <c r="O10" s="7">
        <f t="shared" si="8"/>
        <v>2</v>
      </c>
      <c r="P10" s="3">
        <f>SUM($O$4:O10)</f>
        <v>8</v>
      </c>
      <c r="T10" s="7">
        <v>2</v>
      </c>
      <c r="U10" s="3">
        <v>1.45</v>
      </c>
      <c r="V10" s="3">
        <v>17.399999999999999</v>
      </c>
      <c r="W10" s="3"/>
      <c r="Y10" s="3">
        <f t="shared" si="9"/>
        <v>7</v>
      </c>
      <c r="Z10" s="3">
        <f t="shared" si="10"/>
        <v>10</v>
      </c>
      <c r="AB10" s="7">
        <f t="shared" si="11"/>
        <v>138</v>
      </c>
    </row>
    <row r="11" spans="2:28" x14ac:dyDescent="0.15">
      <c r="F11">
        <f t="shared" si="1"/>
        <v>2</v>
      </c>
      <c r="G11">
        <v>8</v>
      </c>
      <c r="H11">
        <f t="shared" si="2"/>
        <v>6.8400974999999997</v>
      </c>
      <c r="I11">
        <f t="shared" si="3"/>
        <v>7</v>
      </c>
      <c r="J11" s="1">
        <f t="shared" si="4"/>
        <v>1</v>
      </c>
      <c r="K11" s="1">
        <f t="shared" si="5"/>
        <v>7</v>
      </c>
      <c r="L11" s="1">
        <f t="shared" si="6"/>
        <v>0.9753333333333335</v>
      </c>
      <c r="M11" s="3">
        <f t="shared" si="7"/>
        <v>1.7313609467455622</v>
      </c>
      <c r="N11" s="7">
        <f t="shared" si="12"/>
        <v>1</v>
      </c>
      <c r="O11" s="7">
        <f t="shared" si="8"/>
        <v>1</v>
      </c>
      <c r="P11" s="3">
        <f>SUM($O$4:O11)</f>
        <v>9</v>
      </c>
      <c r="T11" s="7">
        <v>2</v>
      </c>
      <c r="U11" s="3">
        <v>1.45</v>
      </c>
      <c r="V11" s="3">
        <v>18.849999999999998</v>
      </c>
      <c r="W11" s="3"/>
      <c r="Y11" s="3">
        <f t="shared" si="9"/>
        <v>8</v>
      </c>
      <c r="Z11" s="3">
        <f t="shared" si="10"/>
        <v>12</v>
      </c>
      <c r="AB11" s="7">
        <f t="shared" si="11"/>
        <v>148</v>
      </c>
    </row>
    <row r="12" spans="2:28" x14ac:dyDescent="0.15">
      <c r="F12">
        <f t="shared" si="1"/>
        <v>2</v>
      </c>
      <c r="G12">
        <v>9</v>
      </c>
      <c r="H12">
        <f t="shared" si="2"/>
        <v>6.8400974999999997</v>
      </c>
      <c r="I12">
        <f t="shared" si="3"/>
        <v>7</v>
      </c>
      <c r="J12" s="1">
        <f t="shared" si="4"/>
        <v>1</v>
      </c>
      <c r="K12" s="1">
        <f t="shared" si="5"/>
        <v>7</v>
      </c>
      <c r="L12" s="1">
        <f t="shared" si="6"/>
        <v>0.9753333333333335</v>
      </c>
      <c r="M12" s="3">
        <f t="shared" si="7"/>
        <v>1.7313609467455622</v>
      </c>
      <c r="N12" s="7">
        <f t="shared" si="12"/>
        <v>1</v>
      </c>
      <c r="O12" s="7">
        <f t="shared" si="8"/>
        <v>1</v>
      </c>
      <c r="P12" s="3">
        <f>SUM($O$4:O12)</f>
        <v>10</v>
      </c>
      <c r="T12" s="7">
        <v>2</v>
      </c>
      <c r="U12" s="3">
        <v>1.45</v>
      </c>
      <c r="V12" s="3">
        <v>20.299999999999997</v>
      </c>
      <c r="W12" s="3"/>
      <c r="Y12" s="3">
        <f t="shared" si="9"/>
        <v>9</v>
      </c>
      <c r="Z12" s="3">
        <f t="shared" si="10"/>
        <v>14</v>
      </c>
      <c r="AB12" s="7">
        <f t="shared" si="11"/>
        <v>172</v>
      </c>
    </row>
    <row r="13" spans="2:28" x14ac:dyDescent="0.15">
      <c r="F13">
        <f t="shared" si="1"/>
        <v>2</v>
      </c>
      <c r="G13">
        <v>10</v>
      </c>
      <c r="H13">
        <f t="shared" si="2"/>
        <v>6.8400974999999997</v>
      </c>
      <c r="I13">
        <f t="shared" si="3"/>
        <v>7</v>
      </c>
      <c r="J13" s="1">
        <f t="shared" si="4"/>
        <v>1</v>
      </c>
      <c r="K13" s="1">
        <f t="shared" si="5"/>
        <v>7</v>
      </c>
      <c r="L13" s="1">
        <f t="shared" si="6"/>
        <v>0.9753333333333335</v>
      </c>
      <c r="M13" s="3">
        <f t="shared" si="7"/>
        <v>1.7313609467455622</v>
      </c>
      <c r="N13" s="7">
        <f t="shared" si="12"/>
        <v>1</v>
      </c>
      <c r="O13" s="7">
        <f t="shared" si="8"/>
        <v>1</v>
      </c>
      <c r="P13" s="3">
        <f>SUM($O$4:O13)</f>
        <v>11</v>
      </c>
      <c r="T13" s="7">
        <v>2</v>
      </c>
      <c r="U13" s="3">
        <v>2.9</v>
      </c>
      <c r="V13" s="3">
        <v>23.199999999999996</v>
      </c>
      <c r="W13" s="6" t="s">
        <v>98</v>
      </c>
      <c r="Y13" s="3">
        <f t="shared" si="9"/>
        <v>10</v>
      </c>
      <c r="Z13" s="3">
        <f t="shared" si="10"/>
        <v>16</v>
      </c>
      <c r="AB13" s="7">
        <f t="shared" si="11"/>
        <v>196</v>
      </c>
    </row>
    <row r="14" spans="2:28" x14ac:dyDescent="0.15">
      <c r="F14">
        <f t="shared" si="1"/>
        <v>2</v>
      </c>
      <c r="G14">
        <v>11</v>
      </c>
      <c r="H14">
        <f t="shared" si="2"/>
        <v>6.8400974999999997</v>
      </c>
      <c r="I14">
        <f t="shared" si="3"/>
        <v>7</v>
      </c>
      <c r="J14" s="1">
        <f t="shared" si="4"/>
        <v>1</v>
      </c>
      <c r="K14" s="1">
        <f t="shared" si="5"/>
        <v>7</v>
      </c>
      <c r="L14" s="1">
        <f t="shared" si="6"/>
        <v>0.9753333333333335</v>
      </c>
      <c r="M14" s="3">
        <f t="shared" si="7"/>
        <v>1.7313609467455622</v>
      </c>
      <c r="N14" s="7">
        <f t="shared" si="12"/>
        <v>1</v>
      </c>
      <c r="O14" s="7">
        <f t="shared" si="8"/>
        <v>1</v>
      </c>
      <c r="P14" s="3">
        <f>SUM($O$4:O14)</f>
        <v>12</v>
      </c>
      <c r="T14" s="7">
        <v>2</v>
      </c>
      <c r="U14" s="3">
        <v>2.2999999999999998</v>
      </c>
      <c r="V14" s="3">
        <v>25.499999999999996</v>
      </c>
      <c r="W14" s="3"/>
      <c r="Y14" s="3">
        <f t="shared" si="9"/>
        <v>11</v>
      </c>
      <c r="Z14" s="3">
        <f t="shared" si="10"/>
        <v>19</v>
      </c>
      <c r="AB14" s="7">
        <f t="shared" si="11"/>
        <v>211</v>
      </c>
    </row>
    <row r="15" spans="2:28" x14ac:dyDescent="0.15">
      <c r="F15">
        <f t="shared" si="1"/>
        <v>2</v>
      </c>
      <c r="G15">
        <v>12</v>
      </c>
      <c r="H15">
        <f t="shared" si="2"/>
        <v>6.8400974999999997</v>
      </c>
      <c r="I15">
        <f t="shared" si="3"/>
        <v>7</v>
      </c>
      <c r="J15" s="1">
        <f t="shared" si="4"/>
        <v>1</v>
      </c>
      <c r="K15" s="1">
        <f t="shared" si="5"/>
        <v>7</v>
      </c>
      <c r="L15" s="1">
        <f t="shared" si="6"/>
        <v>0.9753333333333335</v>
      </c>
      <c r="M15" s="3">
        <f t="shared" si="7"/>
        <v>1.7313609467455622</v>
      </c>
      <c r="N15" s="7">
        <f t="shared" si="12"/>
        <v>1</v>
      </c>
      <c r="O15" s="7">
        <f t="shared" si="8"/>
        <v>1</v>
      </c>
      <c r="P15" s="3">
        <f>SUM($O$4:O15)</f>
        <v>13</v>
      </c>
      <c r="T15" s="7">
        <v>3</v>
      </c>
      <c r="U15" s="3">
        <v>1.5333333333333334</v>
      </c>
      <c r="V15" s="3">
        <v>27.033333333333331</v>
      </c>
      <c r="W15" s="3"/>
      <c r="Y15" s="3">
        <f t="shared" si="9"/>
        <v>12</v>
      </c>
      <c r="Z15" s="3">
        <f t="shared" si="10"/>
        <v>22</v>
      </c>
      <c r="AB15" s="7">
        <f t="shared" si="11"/>
        <v>277</v>
      </c>
    </row>
    <row r="16" spans="2:28" x14ac:dyDescent="0.15">
      <c r="F16">
        <f t="shared" si="1"/>
        <v>2</v>
      </c>
      <c r="G16">
        <v>13</v>
      </c>
      <c r="H16">
        <f t="shared" si="2"/>
        <v>6.8400974999999997</v>
      </c>
      <c r="I16">
        <f t="shared" si="3"/>
        <v>7</v>
      </c>
      <c r="J16" s="1">
        <f t="shared" si="4"/>
        <v>1</v>
      </c>
      <c r="K16" s="1">
        <f t="shared" si="5"/>
        <v>7</v>
      </c>
      <c r="L16" s="1">
        <f t="shared" si="6"/>
        <v>0.9753333333333335</v>
      </c>
      <c r="M16" s="3">
        <f t="shared" si="7"/>
        <v>1.7313609467455622</v>
      </c>
      <c r="N16" s="7">
        <f t="shared" si="12"/>
        <v>1</v>
      </c>
      <c r="O16" s="7">
        <f t="shared" si="8"/>
        <v>1</v>
      </c>
      <c r="P16" s="3">
        <f>SUM($O$4:O16)</f>
        <v>14</v>
      </c>
      <c r="T16" s="7">
        <v>3</v>
      </c>
      <c r="U16" s="3">
        <v>1.5333333333333334</v>
      </c>
      <c r="V16" s="3">
        <v>28.566666666666666</v>
      </c>
      <c r="W16" s="3"/>
      <c r="Y16" s="3">
        <f t="shared" si="9"/>
        <v>13</v>
      </c>
      <c r="Z16" s="3">
        <f t="shared" si="10"/>
        <v>25</v>
      </c>
      <c r="AB16" s="7">
        <f t="shared" si="11"/>
        <v>349</v>
      </c>
    </row>
    <row r="17" spans="6:28" x14ac:dyDescent="0.15">
      <c r="F17">
        <f t="shared" si="1"/>
        <v>2</v>
      </c>
      <c r="G17">
        <v>14</v>
      </c>
      <c r="H17">
        <f t="shared" si="2"/>
        <v>6.8400974999999997</v>
      </c>
      <c r="I17">
        <f t="shared" si="3"/>
        <v>7</v>
      </c>
      <c r="J17" s="1">
        <f t="shared" si="4"/>
        <v>4</v>
      </c>
      <c r="K17" s="1">
        <f t="shared" si="5"/>
        <v>28</v>
      </c>
      <c r="L17" s="1">
        <f t="shared" si="6"/>
        <v>3.901333333333334</v>
      </c>
      <c r="M17" s="3">
        <f t="shared" si="7"/>
        <v>6.9254437869822487</v>
      </c>
      <c r="N17" s="7">
        <f t="shared" si="12"/>
        <v>4</v>
      </c>
      <c r="O17" s="7">
        <f t="shared" si="8"/>
        <v>6</v>
      </c>
      <c r="P17" s="3">
        <f>SUM($O$4:O17)</f>
        <v>20</v>
      </c>
      <c r="T17" s="7">
        <v>3</v>
      </c>
      <c r="U17" s="3">
        <v>1.5333333333333334</v>
      </c>
      <c r="V17" s="3">
        <v>30.1</v>
      </c>
      <c r="W17" s="3"/>
      <c r="Y17" s="3">
        <f t="shared" si="9"/>
        <v>14</v>
      </c>
      <c r="Z17" s="3">
        <f t="shared" si="10"/>
        <v>28</v>
      </c>
      <c r="AB17" s="7">
        <f t="shared" si="11"/>
        <v>381</v>
      </c>
    </row>
    <row r="18" spans="6:28" x14ac:dyDescent="0.15">
      <c r="F18">
        <f t="shared" si="1"/>
        <v>3</v>
      </c>
      <c r="G18">
        <v>15</v>
      </c>
      <c r="H18">
        <f t="shared" si="2"/>
        <v>10.738953075000001</v>
      </c>
      <c r="I18">
        <f t="shared" si="3"/>
        <v>11</v>
      </c>
      <c r="J18" s="1">
        <f t="shared" si="4"/>
        <v>1</v>
      </c>
      <c r="K18" s="1">
        <f t="shared" si="5"/>
        <v>11</v>
      </c>
      <c r="L18" s="1">
        <f t="shared" si="6"/>
        <v>1.5656666666666668</v>
      </c>
      <c r="M18" s="3">
        <f t="shared" si="7"/>
        <v>2.1379153390987709</v>
      </c>
      <c r="N18" s="7">
        <f t="shared" si="12"/>
        <v>2</v>
      </c>
      <c r="O18" s="7">
        <f t="shared" si="8"/>
        <v>2</v>
      </c>
      <c r="P18" s="3">
        <f>SUM($O$4:O18)</f>
        <v>22</v>
      </c>
      <c r="T18" s="7">
        <v>3</v>
      </c>
      <c r="U18" s="3">
        <v>1.5333333333333334</v>
      </c>
      <c r="V18" s="3">
        <v>31.633333333333336</v>
      </c>
      <c r="W18" s="3"/>
      <c r="Y18" s="3">
        <f t="shared" si="9"/>
        <v>15</v>
      </c>
      <c r="Z18" s="3">
        <f t="shared" si="10"/>
        <v>31</v>
      </c>
      <c r="AB18" s="7">
        <f t="shared" si="11"/>
        <v>486</v>
      </c>
    </row>
    <row r="19" spans="6:28" x14ac:dyDescent="0.15">
      <c r="F19">
        <f t="shared" si="1"/>
        <v>3</v>
      </c>
      <c r="G19">
        <v>16</v>
      </c>
      <c r="H19">
        <f t="shared" si="2"/>
        <v>10.738953075000001</v>
      </c>
      <c r="I19">
        <f t="shared" si="3"/>
        <v>11</v>
      </c>
      <c r="J19" s="1">
        <f t="shared" si="4"/>
        <v>1</v>
      </c>
      <c r="K19" s="1">
        <f t="shared" si="5"/>
        <v>11</v>
      </c>
      <c r="L19" s="1">
        <f t="shared" si="6"/>
        <v>1.5656666666666668</v>
      </c>
      <c r="M19" s="3">
        <f t="shared" si="7"/>
        <v>2.1379153390987709</v>
      </c>
      <c r="N19" s="7">
        <f t="shared" si="12"/>
        <v>2</v>
      </c>
      <c r="O19" s="7">
        <f t="shared" si="8"/>
        <v>2</v>
      </c>
      <c r="P19" s="3">
        <f>SUM($O$4:O19)</f>
        <v>24</v>
      </c>
      <c r="T19" s="7">
        <v>3</v>
      </c>
      <c r="U19" s="3">
        <v>1.5333333333333334</v>
      </c>
      <c r="V19" s="3">
        <v>33.166666666666671</v>
      </c>
      <c r="W19" s="3"/>
      <c r="Y19" s="3">
        <f t="shared" si="9"/>
        <v>16</v>
      </c>
      <c r="Z19" s="3">
        <f t="shared" si="10"/>
        <v>35</v>
      </c>
      <c r="AB19" s="7">
        <f t="shared" si="11"/>
        <v>530</v>
      </c>
    </row>
    <row r="20" spans="6:28" x14ac:dyDescent="0.15">
      <c r="F20">
        <f t="shared" si="1"/>
        <v>3</v>
      </c>
      <c r="G20">
        <v>17</v>
      </c>
      <c r="H20">
        <f t="shared" si="2"/>
        <v>10.738953075000001</v>
      </c>
      <c r="I20">
        <f t="shared" si="3"/>
        <v>11</v>
      </c>
      <c r="J20" s="1">
        <f t="shared" si="4"/>
        <v>1</v>
      </c>
      <c r="K20" s="1">
        <f t="shared" si="5"/>
        <v>11</v>
      </c>
      <c r="L20" s="1">
        <f t="shared" si="6"/>
        <v>1.5656666666666668</v>
      </c>
      <c r="M20" s="3">
        <f t="shared" si="7"/>
        <v>2.1379153390987709</v>
      </c>
      <c r="N20" s="7">
        <f t="shared" si="12"/>
        <v>2</v>
      </c>
      <c r="O20" s="7">
        <f t="shared" si="8"/>
        <v>2</v>
      </c>
      <c r="P20" s="3">
        <f>SUM($O$4:O20)</f>
        <v>26</v>
      </c>
      <c r="T20" s="7">
        <v>3</v>
      </c>
      <c r="U20" s="3">
        <v>1.5333333333333334</v>
      </c>
      <c r="V20" s="3">
        <v>34.700000000000003</v>
      </c>
      <c r="W20" s="3"/>
      <c r="Y20" s="3">
        <f t="shared" si="9"/>
        <v>17</v>
      </c>
      <c r="Z20" s="3">
        <f t="shared" si="10"/>
        <v>39</v>
      </c>
      <c r="AB20" s="7">
        <f t="shared" si="11"/>
        <v>587</v>
      </c>
    </row>
    <row r="21" spans="6:28" x14ac:dyDescent="0.15">
      <c r="F21">
        <f t="shared" si="1"/>
        <v>3</v>
      </c>
      <c r="G21">
        <v>18</v>
      </c>
      <c r="H21">
        <f t="shared" si="2"/>
        <v>10.738953075000001</v>
      </c>
      <c r="I21">
        <f t="shared" si="3"/>
        <v>11</v>
      </c>
      <c r="J21" s="1">
        <f t="shared" si="4"/>
        <v>1</v>
      </c>
      <c r="K21" s="1">
        <f t="shared" si="5"/>
        <v>11</v>
      </c>
      <c r="L21" s="1">
        <f t="shared" si="6"/>
        <v>1.5656666666666668</v>
      </c>
      <c r="M21" s="3">
        <f t="shared" si="7"/>
        <v>2.1379153390987709</v>
      </c>
      <c r="N21" s="7">
        <f t="shared" si="12"/>
        <v>2</v>
      </c>
      <c r="O21" s="7">
        <f t="shared" si="8"/>
        <v>2</v>
      </c>
      <c r="P21" s="3">
        <f>SUM($O$4:O21)</f>
        <v>28</v>
      </c>
      <c r="T21" s="7">
        <v>3</v>
      </c>
      <c r="U21" s="3">
        <v>1.5333333333333334</v>
      </c>
      <c r="V21" s="3">
        <v>36.233333333333334</v>
      </c>
      <c r="W21" s="3"/>
      <c r="Y21" s="3">
        <f t="shared" si="9"/>
        <v>18</v>
      </c>
      <c r="Z21" s="3">
        <f t="shared" si="10"/>
        <v>43</v>
      </c>
      <c r="AB21" s="7">
        <f t="shared" si="11"/>
        <v>613</v>
      </c>
    </row>
    <row r="22" spans="6:28" x14ac:dyDescent="0.15">
      <c r="F22">
        <f t="shared" si="1"/>
        <v>3</v>
      </c>
      <c r="G22">
        <v>19</v>
      </c>
      <c r="H22">
        <f t="shared" si="2"/>
        <v>10.738953075000001</v>
      </c>
      <c r="I22">
        <f t="shared" si="3"/>
        <v>11</v>
      </c>
      <c r="J22" s="1">
        <f t="shared" si="4"/>
        <v>1</v>
      </c>
      <c r="K22" s="1">
        <f t="shared" si="5"/>
        <v>11</v>
      </c>
      <c r="L22" s="1">
        <f t="shared" si="6"/>
        <v>1.5656666666666668</v>
      </c>
      <c r="M22" s="3">
        <f t="shared" si="7"/>
        <v>2.1379153390987709</v>
      </c>
      <c r="N22" s="7">
        <f t="shared" si="12"/>
        <v>2</v>
      </c>
      <c r="O22" s="7">
        <f t="shared" si="8"/>
        <v>2</v>
      </c>
      <c r="P22" s="3">
        <f>SUM($O$4:O22)</f>
        <v>30</v>
      </c>
      <c r="T22" s="7">
        <v>3</v>
      </c>
      <c r="U22" s="3">
        <v>1.5333333333333334</v>
      </c>
      <c r="V22" s="3">
        <v>37.766666666666666</v>
      </c>
      <c r="W22" s="3"/>
      <c r="Y22" s="3">
        <f t="shared" si="9"/>
        <v>19</v>
      </c>
      <c r="Z22" s="3">
        <f t="shared" si="10"/>
        <v>48</v>
      </c>
      <c r="AB22" s="7">
        <f t="shared" si="11"/>
        <v>639</v>
      </c>
    </row>
    <row r="23" spans="6:28" x14ac:dyDescent="0.15">
      <c r="F23">
        <f t="shared" si="1"/>
        <v>3</v>
      </c>
      <c r="G23">
        <v>20</v>
      </c>
      <c r="H23">
        <f t="shared" si="2"/>
        <v>10.738953075000001</v>
      </c>
      <c r="I23">
        <f t="shared" si="3"/>
        <v>11</v>
      </c>
      <c r="J23" s="1">
        <f t="shared" si="4"/>
        <v>1</v>
      </c>
      <c r="K23" s="1">
        <f t="shared" si="5"/>
        <v>11</v>
      </c>
      <c r="L23" s="1">
        <f t="shared" si="6"/>
        <v>1.5656666666666668</v>
      </c>
      <c r="M23" s="3">
        <f t="shared" si="7"/>
        <v>2.1379153390987709</v>
      </c>
      <c r="N23" s="7">
        <f t="shared" si="12"/>
        <v>2</v>
      </c>
      <c r="O23" s="7">
        <f t="shared" si="8"/>
        <v>2</v>
      </c>
      <c r="P23" s="3">
        <f>SUM($O$4:O23)</f>
        <v>32</v>
      </c>
      <c r="T23" s="7">
        <v>4</v>
      </c>
      <c r="U23" s="3">
        <v>3.6399999999999997</v>
      </c>
      <c r="V23" s="3">
        <v>41.406666666666666</v>
      </c>
      <c r="W23" s="3"/>
      <c r="Y23" s="3">
        <f t="shared" si="9"/>
        <v>20</v>
      </c>
      <c r="Z23" s="3">
        <f t="shared" si="10"/>
        <v>53</v>
      </c>
      <c r="AB23" s="7">
        <f t="shared" si="11"/>
        <v>738</v>
      </c>
    </row>
    <row r="24" spans="6:28" x14ac:dyDescent="0.15">
      <c r="F24">
        <f t="shared" si="1"/>
        <v>3</v>
      </c>
      <c r="G24">
        <v>21</v>
      </c>
      <c r="H24">
        <f t="shared" si="2"/>
        <v>10.738953075000001</v>
      </c>
      <c r="I24">
        <f t="shared" si="3"/>
        <v>11</v>
      </c>
      <c r="J24" s="1">
        <f t="shared" si="4"/>
        <v>6</v>
      </c>
      <c r="K24" s="1">
        <f t="shared" si="5"/>
        <v>66</v>
      </c>
      <c r="L24" s="1">
        <f t="shared" si="6"/>
        <v>9.3940000000000001</v>
      </c>
      <c r="M24" s="3">
        <f t="shared" si="7"/>
        <v>12.827492034592623</v>
      </c>
      <c r="N24" s="7">
        <f t="shared" si="12"/>
        <v>9</v>
      </c>
      <c r="O24" s="7">
        <f t="shared" si="8"/>
        <v>12</v>
      </c>
      <c r="P24" s="3">
        <f>SUM($O$4:O24)</f>
        <v>44</v>
      </c>
      <c r="T24" s="7">
        <v>4</v>
      </c>
      <c r="U24" s="3">
        <v>1.44</v>
      </c>
      <c r="V24" s="3">
        <v>42.846666666666664</v>
      </c>
      <c r="W24" s="3"/>
      <c r="Y24" s="3">
        <f t="shared" si="9"/>
        <v>21</v>
      </c>
      <c r="Z24" s="3">
        <f t="shared" si="10"/>
        <v>59</v>
      </c>
      <c r="AB24" s="7">
        <f t="shared" si="11"/>
        <v>802</v>
      </c>
    </row>
    <row r="25" spans="6:28" x14ac:dyDescent="0.15">
      <c r="F25">
        <f t="shared" si="1"/>
        <v>4</v>
      </c>
      <c r="G25">
        <v>22</v>
      </c>
      <c r="H25">
        <f t="shared" si="2"/>
        <v>16.860156327750001</v>
      </c>
      <c r="I25">
        <f t="shared" si="3"/>
        <v>17</v>
      </c>
      <c r="J25" s="1">
        <f t="shared" si="4"/>
        <v>1</v>
      </c>
      <c r="K25" s="1">
        <f t="shared" si="5"/>
        <v>17</v>
      </c>
      <c r="L25" s="1">
        <f t="shared" si="6"/>
        <v>2.4706666666666668</v>
      </c>
      <c r="M25" s="3">
        <f t="shared" si="7"/>
        <v>2.5951472287384894</v>
      </c>
      <c r="N25" s="7">
        <f t="shared" si="12"/>
        <v>2</v>
      </c>
      <c r="O25" s="7">
        <f t="shared" si="8"/>
        <v>2</v>
      </c>
      <c r="P25" s="3">
        <f>SUM($O$4:O25)</f>
        <v>46</v>
      </c>
      <c r="T25" s="7">
        <v>4</v>
      </c>
      <c r="U25" s="3">
        <v>1.44</v>
      </c>
      <c r="V25" s="3">
        <v>44.286666666666662</v>
      </c>
      <c r="W25" s="3"/>
      <c r="Y25" s="3">
        <f t="shared" si="9"/>
        <v>22</v>
      </c>
      <c r="Z25" s="3">
        <f t="shared" si="10"/>
        <v>64</v>
      </c>
      <c r="AB25" s="7">
        <f t="shared" si="11"/>
        <v>802</v>
      </c>
    </row>
    <row r="26" spans="6:28" x14ac:dyDescent="0.15">
      <c r="F26">
        <f t="shared" si="1"/>
        <v>4</v>
      </c>
      <c r="G26">
        <v>23</v>
      </c>
      <c r="H26">
        <f t="shared" si="2"/>
        <v>16.860156327750001</v>
      </c>
      <c r="I26">
        <f t="shared" si="3"/>
        <v>17</v>
      </c>
      <c r="J26" s="1">
        <f t="shared" si="4"/>
        <v>1</v>
      </c>
      <c r="K26" s="1">
        <f t="shared" si="5"/>
        <v>17</v>
      </c>
      <c r="L26" s="1">
        <f t="shared" si="6"/>
        <v>2.4706666666666668</v>
      </c>
      <c r="M26" s="3">
        <f t="shared" si="7"/>
        <v>2.5951472287384894</v>
      </c>
      <c r="N26" s="7">
        <f t="shared" si="12"/>
        <v>2</v>
      </c>
      <c r="O26" s="7">
        <f t="shared" si="8"/>
        <v>2</v>
      </c>
      <c r="P26" s="3">
        <f>SUM($O$4:O26)</f>
        <v>48</v>
      </c>
      <c r="T26" s="7">
        <v>4</v>
      </c>
      <c r="U26" s="3">
        <v>1.44</v>
      </c>
      <c r="V26" s="3">
        <v>45.726666666666659</v>
      </c>
      <c r="W26" s="3"/>
      <c r="Y26" s="3">
        <f t="shared" si="9"/>
        <v>23</v>
      </c>
      <c r="Z26" s="3">
        <f t="shared" si="10"/>
        <v>71</v>
      </c>
      <c r="AB26" s="7">
        <f t="shared" si="11"/>
        <v>922</v>
      </c>
    </row>
    <row r="27" spans="6:28" x14ac:dyDescent="0.15">
      <c r="F27">
        <f t="shared" si="1"/>
        <v>4</v>
      </c>
      <c r="G27">
        <v>24</v>
      </c>
      <c r="H27">
        <f t="shared" si="2"/>
        <v>16.860156327750001</v>
      </c>
      <c r="I27">
        <f t="shared" si="3"/>
        <v>17</v>
      </c>
      <c r="J27" s="1">
        <f t="shared" si="4"/>
        <v>1</v>
      </c>
      <c r="K27" s="1">
        <f t="shared" si="5"/>
        <v>17</v>
      </c>
      <c r="L27" s="1">
        <f t="shared" si="6"/>
        <v>2.4706666666666668</v>
      </c>
      <c r="M27" s="3">
        <f t="shared" si="7"/>
        <v>2.5951472287384894</v>
      </c>
      <c r="N27" s="7">
        <f t="shared" si="12"/>
        <v>2</v>
      </c>
      <c r="O27" s="7">
        <f t="shared" si="8"/>
        <v>2</v>
      </c>
      <c r="P27" s="3">
        <f>SUM($O$4:O27)</f>
        <v>50</v>
      </c>
      <c r="T27" s="7">
        <v>5</v>
      </c>
      <c r="U27" s="3">
        <v>1.2</v>
      </c>
      <c r="V27" s="3">
        <v>46.926666666666662</v>
      </c>
      <c r="W27" s="3"/>
      <c r="Y27" s="3">
        <f t="shared" si="9"/>
        <v>24</v>
      </c>
      <c r="Z27" s="3">
        <f t="shared" si="10"/>
        <v>77</v>
      </c>
      <c r="AB27" s="7">
        <f t="shared" si="11"/>
        <v>1002</v>
      </c>
    </row>
    <row r="28" spans="6:28" x14ac:dyDescent="0.15">
      <c r="F28">
        <f t="shared" si="1"/>
        <v>4</v>
      </c>
      <c r="G28">
        <v>25</v>
      </c>
      <c r="H28">
        <f t="shared" si="2"/>
        <v>16.860156327750001</v>
      </c>
      <c r="I28">
        <f t="shared" si="3"/>
        <v>17</v>
      </c>
      <c r="J28" s="1">
        <f t="shared" si="4"/>
        <v>1</v>
      </c>
      <c r="K28" s="1">
        <f t="shared" si="5"/>
        <v>17</v>
      </c>
      <c r="L28" s="1">
        <f t="shared" si="6"/>
        <v>2.4706666666666668</v>
      </c>
      <c r="M28" s="3">
        <f t="shared" si="7"/>
        <v>2.5951472287384894</v>
      </c>
      <c r="N28" s="7">
        <f t="shared" si="12"/>
        <v>2</v>
      </c>
      <c r="O28" s="7">
        <f t="shared" si="8"/>
        <v>2</v>
      </c>
      <c r="P28" s="3">
        <f>SUM($O$4:O28)</f>
        <v>52</v>
      </c>
      <c r="T28" s="7">
        <v>5</v>
      </c>
      <c r="U28" s="3">
        <v>1.2</v>
      </c>
      <c r="V28" s="3">
        <v>48.126666666666665</v>
      </c>
      <c r="W28" s="3"/>
      <c r="Y28" s="3">
        <f t="shared" si="9"/>
        <v>25</v>
      </c>
      <c r="Z28" s="3">
        <f t="shared" si="10"/>
        <v>85</v>
      </c>
      <c r="AB28" s="7">
        <f t="shared" si="11"/>
        <v>1215</v>
      </c>
    </row>
    <row r="29" spans="6:28" x14ac:dyDescent="0.15">
      <c r="F29">
        <f t="shared" si="1"/>
        <v>4</v>
      </c>
      <c r="G29">
        <v>26</v>
      </c>
      <c r="H29">
        <f t="shared" si="2"/>
        <v>16.860156327750001</v>
      </c>
      <c r="I29">
        <f t="shared" si="3"/>
        <v>17</v>
      </c>
      <c r="J29" s="1">
        <f t="shared" si="4"/>
        <v>1</v>
      </c>
      <c r="K29" s="1">
        <f t="shared" si="5"/>
        <v>17</v>
      </c>
      <c r="L29" s="1">
        <f t="shared" si="6"/>
        <v>2.4706666666666668</v>
      </c>
      <c r="M29" s="3">
        <f t="shared" si="7"/>
        <v>2.5951472287384894</v>
      </c>
      <c r="N29" s="7">
        <f t="shared" si="12"/>
        <v>2</v>
      </c>
      <c r="O29" s="7">
        <f t="shared" si="8"/>
        <v>2</v>
      </c>
      <c r="P29" s="3">
        <f>SUM($O$4:O29)</f>
        <v>54</v>
      </c>
      <c r="T29" s="7">
        <v>5</v>
      </c>
      <c r="U29" s="3">
        <v>1.2</v>
      </c>
      <c r="V29" s="3">
        <v>49.326666666666668</v>
      </c>
      <c r="W29" s="3"/>
      <c r="Y29" s="3">
        <f t="shared" si="9"/>
        <v>26</v>
      </c>
      <c r="Z29" s="3">
        <f t="shared" si="10"/>
        <v>92</v>
      </c>
      <c r="AB29" s="7">
        <f t="shared" si="11"/>
        <v>1215</v>
      </c>
    </row>
    <row r="30" spans="6:28" x14ac:dyDescent="0.15">
      <c r="F30">
        <f t="shared" si="1"/>
        <v>4</v>
      </c>
      <c r="G30">
        <v>27</v>
      </c>
      <c r="H30">
        <f t="shared" si="2"/>
        <v>16.860156327750001</v>
      </c>
      <c r="I30">
        <f t="shared" si="3"/>
        <v>17</v>
      </c>
      <c r="J30" s="1">
        <f t="shared" si="4"/>
        <v>1</v>
      </c>
      <c r="K30" s="1">
        <f t="shared" si="5"/>
        <v>17</v>
      </c>
      <c r="L30" s="1">
        <f t="shared" si="6"/>
        <v>2.4706666666666668</v>
      </c>
      <c r="M30" s="3">
        <f t="shared" si="7"/>
        <v>2.5951472287384894</v>
      </c>
      <c r="N30" s="7">
        <f t="shared" si="12"/>
        <v>2</v>
      </c>
      <c r="O30" s="7">
        <f t="shared" si="8"/>
        <v>2</v>
      </c>
      <c r="P30" s="3">
        <f>SUM($O$4:O30)</f>
        <v>56</v>
      </c>
      <c r="T30" s="7">
        <v>5</v>
      </c>
      <c r="U30" s="3">
        <v>1.2</v>
      </c>
      <c r="V30" s="3">
        <v>50.526666666666671</v>
      </c>
      <c r="W30" s="3"/>
      <c r="Y30" s="3">
        <f t="shared" si="9"/>
        <v>27</v>
      </c>
      <c r="Z30" s="3">
        <f t="shared" si="10"/>
        <v>101</v>
      </c>
      <c r="AB30" s="7">
        <f t="shared" si="11"/>
        <v>1215</v>
      </c>
    </row>
    <row r="31" spans="6:28" x14ac:dyDescent="0.15">
      <c r="F31">
        <f t="shared" si="1"/>
        <v>4</v>
      </c>
      <c r="G31">
        <v>28</v>
      </c>
      <c r="H31">
        <f t="shared" si="2"/>
        <v>16.860156327750001</v>
      </c>
      <c r="I31">
        <f t="shared" si="3"/>
        <v>17</v>
      </c>
      <c r="J31" s="1">
        <f t="shared" si="4"/>
        <v>7</v>
      </c>
      <c r="K31" s="1">
        <f t="shared" si="5"/>
        <v>119</v>
      </c>
      <c r="L31" s="1">
        <f t="shared" si="6"/>
        <v>17.294666666666668</v>
      </c>
      <c r="M31" s="3">
        <f t="shared" si="7"/>
        <v>18.166030601169425</v>
      </c>
      <c r="N31" s="7">
        <f t="shared" si="12"/>
        <v>17</v>
      </c>
      <c r="O31" s="7">
        <f t="shared" si="8"/>
        <v>18</v>
      </c>
      <c r="P31" s="3">
        <f>SUM($O$4:O31)</f>
        <v>74</v>
      </c>
      <c r="T31" s="7">
        <v>5</v>
      </c>
      <c r="U31" s="3">
        <v>1.2</v>
      </c>
      <c r="V31" s="3">
        <v>51.726666666666674</v>
      </c>
      <c r="W31" s="3"/>
      <c r="Y31" s="3">
        <f t="shared" si="9"/>
        <v>28</v>
      </c>
      <c r="Z31" s="3">
        <f t="shared" si="10"/>
        <v>110</v>
      </c>
      <c r="AB31" s="7">
        <f t="shared" si="11"/>
        <v>1265</v>
      </c>
    </row>
    <row r="32" spans="6:28" x14ac:dyDescent="0.15">
      <c r="F32">
        <f t="shared" si="1"/>
        <v>5</v>
      </c>
      <c r="G32">
        <v>29</v>
      </c>
      <c r="H32">
        <f t="shared" si="2"/>
        <v>26.470445434567502</v>
      </c>
      <c r="I32">
        <f t="shared" si="3"/>
        <v>26</v>
      </c>
      <c r="J32" s="1">
        <f t="shared" si="4"/>
        <v>1</v>
      </c>
      <c r="K32" s="1">
        <f t="shared" si="5"/>
        <v>26</v>
      </c>
      <c r="L32" s="1">
        <f t="shared" si="6"/>
        <v>3.8566666666666669</v>
      </c>
      <c r="M32" s="3">
        <f t="shared" si="7"/>
        <v>3.1161373901474034</v>
      </c>
      <c r="N32" s="7">
        <f t="shared" si="12"/>
        <v>4</v>
      </c>
      <c r="O32" s="7">
        <f t="shared" si="8"/>
        <v>3</v>
      </c>
      <c r="P32" s="3">
        <f>SUM($O$4:O32)</f>
        <v>77</v>
      </c>
      <c r="T32" s="7">
        <v>5</v>
      </c>
      <c r="U32" s="3">
        <v>1.2</v>
      </c>
      <c r="V32" s="3">
        <v>52.926666666666677</v>
      </c>
      <c r="W32" s="3"/>
      <c r="Y32" s="3">
        <f t="shared" si="9"/>
        <v>29</v>
      </c>
      <c r="Z32" s="3">
        <f t="shared" si="10"/>
        <v>119</v>
      </c>
      <c r="AB32" s="7">
        <f t="shared" si="11"/>
        <v>1566</v>
      </c>
    </row>
    <row r="33" spans="6:28" x14ac:dyDescent="0.15">
      <c r="F33">
        <f t="shared" si="1"/>
        <v>5</v>
      </c>
      <c r="G33">
        <v>30</v>
      </c>
      <c r="H33">
        <f t="shared" si="2"/>
        <v>26.470445434567502</v>
      </c>
      <c r="I33">
        <f t="shared" si="3"/>
        <v>26</v>
      </c>
      <c r="J33" s="1">
        <f t="shared" si="4"/>
        <v>1</v>
      </c>
      <c r="K33" s="1">
        <f t="shared" si="5"/>
        <v>26</v>
      </c>
      <c r="L33" s="1">
        <f t="shared" si="6"/>
        <v>3.8566666666666669</v>
      </c>
      <c r="M33" s="3">
        <f t="shared" si="7"/>
        <v>3.1161373901474034</v>
      </c>
      <c r="N33" s="7">
        <f t="shared" si="12"/>
        <v>4</v>
      </c>
      <c r="O33" s="7">
        <f t="shared" si="8"/>
        <v>3</v>
      </c>
      <c r="P33" s="3">
        <f>SUM($O$4:O33)</f>
        <v>80</v>
      </c>
      <c r="T33" s="7">
        <v>6</v>
      </c>
      <c r="U33" s="3">
        <v>5.375</v>
      </c>
      <c r="V33" s="3">
        <v>58.301666666666677</v>
      </c>
      <c r="W33" s="4" t="s">
        <v>99</v>
      </c>
      <c r="Y33" s="3">
        <f t="shared" si="9"/>
        <v>30</v>
      </c>
      <c r="Z33" s="3">
        <f t="shared" si="10"/>
        <v>130</v>
      </c>
      <c r="AB33" s="7">
        <f t="shared" si="11"/>
        <v>1656</v>
      </c>
    </row>
    <row r="34" spans="6:28" x14ac:dyDescent="0.15">
      <c r="F34">
        <f t="shared" si="1"/>
        <v>5</v>
      </c>
      <c r="G34">
        <v>31</v>
      </c>
      <c r="H34">
        <f t="shared" si="2"/>
        <v>26.470445434567502</v>
      </c>
      <c r="I34">
        <f t="shared" si="3"/>
        <v>26</v>
      </c>
      <c r="J34" s="1">
        <f t="shared" si="4"/>
        <v>1</v>
      </c>
      <c r="K34" s="1">
        <f t="shared" si="5"/>
        <v>26</v>
      </c>
      <c r="L34" s="1">
        <f t="shared" si="6"/>
        <v>3.8566666666666669</v>
      </c>
      <c r="M34" s="3">
        <f t="shared" si="7"/>
        <v>3.1161373901474034</v>
      </c>
      <c r="N34" s="7">
        <f t="shared" si="12"/>
        <v>4</v>
      </c>
      <c r="O34" s="7">
        <f t="shared" si="8"/>
        <v>3</v>
      </c>
      <c r="P34" s="3">
        <f>SUM($O$4:O34)</f>
        <v>83</v>
      </c>
      <c r="T34" s="7">
        <v>6</v>
      </c>
      <c r="U34" s="3">
        <v>1.4</v>
      </c>
      <c r="V34" s="3">
        <v>59.701666666666675</v>
      </c>
      <c r="W34" s="3"/>
      <c r="Y34" s="3">
        <f t="shared" si="9"/>
        <v>31</v>
      </c>
      <c r="Z34" s="3">
        <f t="shared" si="10"/>
        <v>141</v>
      </c>
      <c r="AB34" s="7">
        <f t="shared" si="11"/>
        <v>1746</v>
      </c>
    </row>
    <row r="35" spans="6:28" x14ac:dyDescent="0.15">
      <c r="F35">
        <f t="shared" si="1"/>
        <v>5</v>
      </c>
      <c r="G35">
        <v>32</v>
      </c>
      <c r="H35">
        <f t="shared" si="2"/>
        <v>26.470445434567502</v>
      </c>
      <c r="I35">
        <f t="shared" si="3"/>
        <v>26</v>
      </c>
      <c r="J35" s="1">
        <f t="shared" si="4"/>
        <v>1</v>
      </c>
      <c r="K35" s="1">
        <f t="shared" si="5"/>
        <v>26</v>
      </c>
      <c r="L35" s="1">
        <f t="shared" si="6"/>
        <v>3.8566666666666669</v>
      </c>
      <c r="M35" s="3">
        <f t="shared" si="7"/>
        <v>3.1161373901474034</v>
      </c>
      <c r="N35" s="7">
        <f t="shared" si="12"/>
        <v>4</v>
      </c>
      <c r="O35" s="7">
        <f t="shared" si="8"/>
        <v>3</v>
      </c>
      <c r="P35" s="3">
        <f>SUM($O$4:O35)</f>
        <v>86</v>
      </c>
      <c r="T35" s="7">
        <v>6</v>
      </c>
      <c r="U35" s="3">
        <v>1.4</v>
      </c>
      <c r="V35" s="3">
        <v>61.101666666666674</v>
      </c>
      <c r="W35" s="3"/>
      <c r="Y35" s="3">
        <f t="shared" si="9"/>
        <v>32</v>
      </c>
      <c r="Z35" s="3">
        <f t="shared" si="10"/>
        <v>152</v>
      </c>
      <c r="AB35" s="7">
        <f t="shared" si="11"/>
        <v>1844</v>
      </c>
    </row>
    <row r="36" spans="6:28" x14ac:dyDescent="0.15">
      <c r="F36">
        <f t="shared" si="1"/>
        <v>5</v>
      </c>
      <c r="G36">
        <v>33</v>
      </c>
      <c r="H36">
        <f t="shared" si="2"/>
        <v>26.470445434567502</v>
      </c>
      <c r="I36">
        <f t="shared" si="3"/>
        <v>26</v>
      </c>
      <c r="J36" s="1">
        <f t="shared" si="4"/>
        <v>1</v>
      </c>
      <c r="K36" s="1">
        <f t="shared" si="5"/>
        <v>26</v>
      </c>
      <c r="L36" s="1">
        <f t="shared" si="6"/>
        <v>3.8566666666666669</v>
      </c>
      <c r="M36" s="3">
        <f t="shared" si="7"/>
        <v>3.1161373901474034</v>
      </c>
      <c r="N36" s="7">
        <f t="shared" si="12"/>
        <v>4</v>
      </c>
      <c r="O36" s="7">
        <f t="shared" si="8"/>
        <v>3</v>
      </c>
      <c r="P36" s="3">
        <f>SUM($O$4:O36)</f>
        <v>89</v>
      </c>
      <c r="T36" s="7">
        <v>6</v>
      </c>
      <c r="U36" s="3">
        <v>1.4</v>
      </c>
      <c r="V36" s="3">
        <v>62.501666666666672</v>
      </c>
      <c r="W36" s="3"/>
      <c r="Y36" s="3">
        <f t="shared" si="9"/>
        <v>33</v>
      </c>
      <c r="Z36" s="3">
        <f t="shared" si="10"/>
        <v>165</v>
      </c>
      <c r="AB36" s="7">
        <f t="shared" si="11"/>
        <v>1955</v>
      </c>
    </row>
    <row r="37" spans="6:28" x14ac:dyDescent="0.15">
      <c r="F37">
        <f t="shared" si="1"/>
        <v>5</v>
      </c>
      <c r="G37">
        <v>34</v>
      </c>
      <c r="H37">
        <f t="shared" si="2"/>
        <v>26.470445434567502</v>
      </c>
      <c r="I37">
        <f t="shared" si="3"/>
        <v>26</v>
      </c>
      <c r="J37" s="1">
        <f t="shared" si="4"/>
        <v>1</v>
      </c>
      <c r="K37" s="1">
        <f t="shared" si="5"/>
        <v>26</v>
      </c>
      <c r="L37" s="1">
        <f t="shared" si="6"/>
        <v>3.8566666666666669</v>
      </c>
      <c r="M37" s="3">
        <f t="shared" si="7"/>
        <v>3.1161373901474034</v>
      </c>
      <c r="N37" s="7">
        <f t="shared" si="12"/>
        <v>4</v>
      </c>
      <c r="O37" s="7">
        <f t="shared" si="8"/>
        <v>3</v>
      </c>
      <c r="P37" s="3">
        <f>SUM($O$4:O37)</f>
        <v>92</v>
      </c>
      <c r="T37" s="7">
        <v>7</v>
      </c>
      <c r="U37" s="3">
        <v>1.1199999999999999</v>
      </c>
      <c r="V37" s="3">
        <v>63.62166666666667</v>
      </c>
      <c r="W37" s="3"/>
      <c r="Y37" s="3">
        <f t="shared" si="9"/>
        <v>34</v>
      </c>
      <c r="Z37" s="3">
        <f t="shared" si="10"/>
        <v>179</v>
      </c>
      <c r="AB37" s="7">
        <f t="shared" si="11"/>
        <v>2029</v>
      </c>
    </row>
    <row r="38" spans="6:28" x14ac:dyDescent="0.15">
      <c r="F38">
        <f t="shared" si="1"/>
        <v>5</v>
      </c>
      <c r="G38">
        <v>35</v>
      </c>
      <c r="H38">
        <f t="shared" si="2"/>
        <v>26.470445434567502</v>
      </c>
      <c r="I38">
        <f t="shared" si="3"/>
        <v>26</v>
      </c>
      <c r="J38" s="1">
        <f t="shared" si="4"/>
        <v>10</v>
      </c>
      <c r="K38" s="1">
        <f t="shared" si="5"/>
        <v>260</v>
      </c>
      <c r="L38" s="1">
        <f t="shared" si="6"/>
        <v>38.56666666666667</v>
      </c>
      <c r="M38" s="3">
        <f t="shared" si="7"/>
        <v>31.161373901474036</v>
      </c>
      <c r="N38" s="7">
        <f t="shared" si="12"/>
        <v>39</v>
      </c>
      <c r="O38" s="7">
        <f t="shared" si="8"/>
        <v>31</v>
      </c>
      <c r="P38" s="3">
        <f>SUM($O$4:O38)</f>
        <v>123</v>
      </c>
      <c r="T38" s="7">
        <v>7</v>
      </c>
      <c r="U38" s="3">
        <v>1.1199999999999999</v>
      </c>
      <c r="V38" s="3">
        <v>64.741666666666674</v>
      </c>
      <c r="W38" s="3"/>
      <c r="Y38" s="3">
        <f t="shared" si="9"/>
        <v>35</v>
      </c>
      <c r="Z38" s="3">
        <f t="shared" si="10"/>
        <v>193</v>
      </c>
      <c r="AB38" s="7">
        <f t="shared" si="11"/>
        <v>2226</v>
      </c>
    </row>
    <row r="39" spans="6:28" x14ac:dyDescent="0.15">
      <c r="F39">
        <f t="shared" si="1"/>
        <v>6</v>
      </c>
      <c r="G39">
        <v>36</v>
      </c>
      <c r="H39">
        <f t="shared" si="2"/>
        <v>41.55859933227098</v>
      </c>
      <c r="I39">
        <f t="shared" si="3"/>
        <v>42</v>
      </c>
      <c r="J39" s="1">
        <f t="shared" si="4"/>
        <v>1</v>
      </c>
      <c r="K39" s="1">
        <f t="shared" si="5"/>
        <v>42</v>
      </c>
      <c r="L39" s="1">
        <f t="shared" si="6"/>
        <v>6.3560000000000008</v>
      </c>
      <c r="M39" s="3">
        <f t="shared" si="7"/>
        <v>3.950435991977308</v>
      </c>
      <c r="N39" s="7">
        <f t="shared" si="12"/>
        <v>6</v>
      </c>
      <c r="O39" s="7">
        <f t="shared" si="8"/>
        <v>3</v>
      </c>
      <c r="P39" s="3">
        <f>SUM($O$4:O39)</f>
        <v>126</v>
      </c>
      <c r="T39" s="7">
        <v>7</v>
      </c>
      <c r="U39" s="3">
        <v>1.1199999999999999</v>
      </c>
      <c r="V39" s="3">
        <v>65.861666666666679</v>
      </c>
      <c r="W39" s="3"/>
      <c r="Y39" s="3">
        <f t="shared" si="9"/>
        <v>36</v>
      </c>
      <c r="Z39" s="3">
        <f t="shared" si="10"/>
        <v>209</v>
      </c>
      <c r="AB39" s="7">
        <f t="shared" si="11"/>
        <v>2272</v>
      </c>
    </row>
    <row r="40" spans="6:28" x14ac:dyDescent="0.15">
      <c r="F40">
        <f t="shared" si="1"/>
        <v>6</v>
      </c>
      <c r="G40">
        <v>37</v>
      </c>
      <c r="H40">
        <f t="shared" si="2"/>
        <v>41.55859933227098</v>
      </c>
      <c r="I40">
        <f t="shared" si="3"/>
        <v>42</v>
      </c>
      <c r="J40" s="1">
        <f t="shared" si="4"/>
        <v>1</v>
      </c>
      <c r="K40" s="1">
        <f t="shared" si="5"/>
        <v>42</v>
      </c>
      <c r="L40" s="1">
        <f t="shared" si="6"/>
        <v>6.3560000000000008</v>
      </c>
      <c r="M40" s="3">
        <f t="shared" si="7"/>
        <v>3.950435991977308</v>
      </c>
      <c r="N40" s="7">
        <f t="shared" si="12"/>
        <v>6</v>
      </c>
      <c r="O40" s="7">
        <f t="shared" si="8"/>
        <v>3</v>
      </c>
      <c r="P40" s="3">
        <f>SUM($O$4:O40)</f>
        <v>129</v>
      </c>
      <c r="T40" s="7">
        <v>7</v>
      </c>
      <c r="U40" s="3">
        <v>1.1199999999999999</v>
      </c>
      <c r="V40" s="3">
        <v>66.981666666666683</v>
      </c>
      <c r="W40" s="3"/>
      <c r="Y40" s="3">
        <f t="shared" si="9"/>
        <v>37</v>
      </c>
      <c r="Z40" s="3">
        <f t="shared" si="10"/>
        <v>225</v>
      </c>
      <c r="AB40" s="7">
        <f t="shared" si="11"/>
        <v>2364</v>
      </c>
    </row>
    <row r="41" spans="6:28" x14ac:dyDescent="0.15">
      <c r="F41">
        <f t="shared" si="1"/>
        <v>6</v>
      </c>
      <c r="G41">
        <v>38</v>
      </c>
      <c r="H41">
        <f t="shared" si="2"/>
        <v>41.55859933227098</v>
      </c>
      <c r="I41">
        <f t="shared" si="3"/>
        <v>42</v>
      </c>
      <c r="J41" s="1">
        <f t="shared" si="4"/>
        <v>1</v>
      </c>
      <c r="K41" s="1">
        <f t="shared" si="5"/>
        <v>42</v>
      </c>
      <c r="L41" s="1">
        <f t="shared" si="6"/>
        <v>6.3560000000000008</v>
      </c>
      <c r="M41" s="3">
        <f t="shared" si="7"/>
        <v>3.950435991977308</v>
      </c>
      <c r="N41" s="7">
        <f t="shared" si="12"/>
        <v>6</v>
      </c>
      <c r="O41" s="7">
        <f t="shared" si="8"/>
        <v>3</v>
      </c>
      <c r="P41" s="3">
        <f>SUM($O$4:O41)</f>
        <v>132</v>
      </c>
      <c r="T41" s="7">
        <v>7</v>
      </c>
      <c r="U41" s="3">
        <v>1.1199999999999999</v>
      </c>
      <c r="V41" s="3">
        <v>68.101666666666688</v>
      </c>
      <c r="W41" s="3"/>
      <c r="Y41" s="3">
        <f t="shared" si="9"/>
        <v>38</v>
      </c>
      <c r="Z41" s="3">
        <f t="shared" si="10"/>
        <v>243</v>
      </c>
      <c r="AB41" s="7">
        <f t="shared" si="11"/>
        <v>2456</v>
      </c>
    </row>
    <row r="42" spans="6:28" x14ac:dyDescent="0.15">
      <c r="F42">
        <f t="shared" si="1"/>
        <v>6</v>
      </c>
      <c r="G42">
        <v>39</v>
      </c>
      <c r="H42">
        <f t="shared" si="2"/>
        <v>41.55859933227098</v>
      </c>
      <c r="I42">
        <f t="shared" si="3"/>
        <v>42</v>
      </c>
      <c r="J42" s="1">
        <f t="shared" si="4"/>
        <v>1</v>
      </c>
      <c r="K42" s="1">
        <f t="shared" si="5"/>
        <v>42</v>
      </c>
      <c r="L42" s="1">
        <f t="shared" si="6"/>
        <v>6.3560000000000008</v>
      </c>
      <c r="M42" s="3">
        <f t="shared" si="7"/>
        <v>3.950435991977308</v>
      </c>
      <c r="N42" s="7">
        <f t="shared" si="12"/>
        <v>6</v>
      </c>
      <c r="O42" s="7">
        <f t="shared" si="8"/>
        <v>3</v>
      </c>
      <c r="P42" s="3">
        <f>SUM($O$4:O42)</f>
        <v>135</v>
      </c>
      <c r="T42" s="7">
        <v>7</v>
      </c>
      <c r="U42" s="3">
        <v>1.1199999999999999</v>
      </c>
      <c r="V42" s="3">
        <v>69.221666666666692</v>
      </c>
      <c r="W42" s="4" t="s">
        <v>100</v>
      </c>
      <c r="Y42" s="3">
        <f t="shared" si="9"/>
        <v>39</v>
      </c>
      <c r="Z42" s="3">
        <f t="shared" si="10"/>
        <v>261</v>
      </c>
      <c r="AB42" s="7">
        <f t="shared" si="11"/>
        <v>2849</v>
      </c>
    </row>
    <row r="43" spans="6:28" x14ac:dyDescent="0.15">
      <c r="F43">
        <f t="shared" si="1"/>
        <v>6</v>
      </c>
      <c r="G43">
        <v>40</v>
      </c>
      <c r="H43">
        <f t="shared" si="2"/>
        <v>41.55859933227098</v>
      </c>
      <c r="I43">
        <f t="shared" si="3"/>
        <v>42</v>
      </c>
      <c r="J43" s="1">
        <f t="shared" si="4"/>
        <v>1</v>
      </c>
      <c r="K43" s="1">
        <f t="shared" si="5"/>
        <v>42</v>
      </c>
      <c r="L43" s="1">
        <f t="shared" si="6"/>
        <v>6.3560000000000008</v>
      </c>
      <c r="M43" s="3">
        <f t="shared" si="7"/>
        <v>3.950435991977308</v>
      </c>
      <c r="N43" s="7">
        <f t="shared" si="12"/>
        <v>6</v>
      </c>
      <c r="O43" s="7">
        <f t="shared" si="8"/>
        <v>3</v>
      </c>
      <c r="P43" s="3">
        <f>SUM($O$4:O43)</f>
        <v>138</v>
      </c>
      <c r="T43" s="7">
        <v>7</v>
      </c>
      <c r="U43" s="3">
        <v>7.87</v>
      </c>
      <c r="V43" s="3">
        <v>77.091666666666697</v>
      </c>
      <c r="W43" s="4" t="s">
        <v>101</v>
      </c>
      <c r="Y43" s="3">
        <f t="shared" si="9"/>
        <v>40</v>
      </c>
      <c r="Z43" s="3">
        <f t="shared" si="10"/>
        <v>282</v>
      </c>
      <c r="AB43" s="7">
        <f t="shared" si="11"/>
        <v>2963</v>
      </c>
    </row>
    <row r="44" spans="6:28" x14ac:dyDescent="0.15">
      <c r="F44">
        <f t="shared" si="1"/>
        <v>6</v>
      </c>
      <c r="G44">
        <v>41</v>
      </c>
      <c r="H44">
        <f t="shared" si="2"/>
        <v>41.55859933227098</v>
      </c>
      <c r="I44">
        <f t="shared" si="3"/>
        <v>42</v>
      </c>
      <c r="J44" s="1">
        <f t="shared" si="4"/>
        <v>1</v>
      </c>
      <c r="K44" s="1">
        <f t="shared" si="5"/>
        <v>42</v>
      </c>
      <c r="L44" s="1">
        <f t="shared" si="6"/>
        <v>6.3560000000000008</v>
      </c>
      <c r="M44" s="3">
        <f t="shared" si="7"/>
        <v>3.950435991977308</v>
      </c>
      <c r="N44" s="7">
        <f t="shared" si="12"/>
        <v>6</v>
      </c>
      <c r="O44" s="7">
        <f t="shared" si="8"/>
        <v>3</v>
      </c>
      <c r="P44" s="3">
        <f>SUM($O$4:O44)</f>
        <v>141</v>
      </c>
      <c r="T44" s="7">
        <v>8</v>
      </c>
      <c r="U44" s="3">
        <v>1.4666666666666666</v>
      </c>
      <c r="V44" s="3">
        <v>78.558333333333366</v>
      </c>
      <c r="W44" s="3"/>
      <c r="Y44" s="3">
        <f t="shared" si="9"/>
        <v>41</v>
      </c>
      <c r="Z44" s="3">
        <f t="shared" si="10"/>
        <v>303</v>
      </c>
      <c r="AB44" s="7">
        <f t="shared" si="11"/>
        <v>2963</v>
      </c>
    </row>
    <row r="45" spans="6:28" x14ac:dyDescent="0.15">
      <c r="F45">
        <f t="shared" si="1"/>
        <v>6</v>
      </c>
      <c r="G45">
        <v>42</v>
      </c>
      <c r="H45">
        <f t="shared" si="2"/>
        <v>41.55859933227098</v>
      </c>
      <c r="I45">
        <f t="shared" si="3"/>
        <v>42</v>
      </c>
      <c r="J45" s="1">
        <f t="shared" si="4"/>
        <v>2</v>
      </c>
      <c r="K45" s="1">
        <f t="shared" si="5"/>
        <v>84</v>
      </c>
      <c r="L45" s="1">
        <f t="shared" si="6"/>
        <v>12.712000000000002</v>
      </c>
      <c r="M45" s="3">
        <f t="shared" si="7"/>
        <v>7.900871983954616</v>
      </c>
      <c r="N45" s="7">
        <f t="shared" si="12"/>
        <v>13</v>
      </c>
      <c r="O45" s="7">
        <f t="shared" si="8"/>
        <v>7</v>
      </c>
      <c r="P45" s="3">
        <f>SUM($O$4:O45)</f>
        <v>148</v>
      </c>
      <c r="T45" s="7">
        <v>8</v>
      </c>
      <c r="U45" s="3">
        <v>1.4666666666666666</v>
      </c>
      <c r="V45" s="3">
        <v>80.025000000000034</v>
      </c>
      <c r="W45" s="3"/>
      <c r="Y45" s="3">
        <f t="shared" si="9"/>
        <v>42</v>
      </c>
      <c r="Z45" s="3">
        <f t="shared" si="10"/>
        <v>326</v>
      </c>
      <c r="AB45" s="7">
        <f t="shared" si="11"/>
        <v>3020</v>
      </c>
    </row>
    <row r="46" spans="6:28" x14ac:dyDescent="0.15">
      <c r="F46">
        <f t="shared" si="1"/>
        <v>7</v>
      </c>
      <c r="G46">
        <v>43</v>
      </c>
      <c r="H46">
        <f t="shared" si="2"/>
        <v>65.247000951665441</v>
      </c>
      <c r="I46">
        <f t="shared" si="3"/>
        <v>65</v>
      </c>
      <c r="J46" s="1">
        <f t="shared" si="4"/>
        <v>1</v>
      </c>
      <c r="K46" s="1">
        <f t="shared" si="5"/>
        <v>65</v>
      </c>
      <c r="L46" s="1">
        <f t="shared" si="6"/>
        <v>10.031666666666668</v>
      </c>
      <c r="M46" s="3">
        <f t="shared" si="7"/>
        <v>4.7961292854140263</v>
      </c>
      <c r="N46" s="7">
        <f t="shared" si="12"/>
        <v>10</v>
      </c>
      <c r="O46" s="7">
        <f t="shared" si="8"/>
        <v>4</v>
      </c>
      <c r="P46" s="3">
        <f>SUM($O$4:O46)</f>
        <v>152</v>
      </c>
      <c r="T46" s="7">
        <v>9</v>
      </c>
      <c r="U46" s="3">
        <v>1.2571428571428571</v>
      </c>
      <c r="V46" s="3">
        <v>81.282142857142887</v>
      </c>
      <c r="W46" s="3"/>
      <c r="Y46" s="3">
        <f t="shared" si="9"/>
        <v>43</v>
      </c>
      <c r="Z46" s="3">
        <f t="shared" si="10"/>
        <v>350</v>
      </c>
      <c r="AB46" s="7">
        <f t="shared" si="11"/>
        <v>3477</v>
      </c>
    </row>
    <row r="47" spans="6:28" x14ac:dyDescent="0.15">
      <c r="F47">
        <f t="shared" si="1"/>
        <v>7</v>
      </c>
      <c r="G47">
        <v>44</v>
      </c>
      <c r="H47">
        <f t="shared" si="2"/>
        <v>65.247000951665441</v>
      </c>
      <c r="I47">
        <f t="shared" si="3"/>
        <v>65</v>
      </c>
      <c r="J47" s="1">
        <f t="shared" si="4"/>
        <v>1</v>
      </c>
      <c r="K47" s="1">
        <f t="shared" si="5"/>
        <v>65</v>
      </c>
      <c r="L47" s="1">
        <f t="shared" si="6"/>
        <v>10.031666666666668</v>
      </c>
      <c r="M47" s="3">
        <f t="shared" si="7"/>
        <v>4.7961292854140263</v>
      </c>
      <c r="N47" s="7">
        <f t="shared" si="12"/>
        <v>10</v>
      </c>
      <c r="O47" s="7">
        <f t="shared" si="8"/>
        <v>4</v>
      </c>
      <c r="P47" s="3">
        <f>SUM($O$4:O47)</f>
        <v>156</v>
      </c>
      <c r="T47" s="7">
        <v>9</v>
      </c>
      <c r="U47" s="3">
        <v>1.2571428571428571</v>
      </c>
      <c r="V47" s="3">
        <v>82.539285714285739</v>
      </c>
      <c r="W47" s="3"/>
      <c r="Y47" s="3">
        <f t="shared" si="9"/>
        <v>44</v>
      </c>
      <c r="Z47" s="3">
        <f t="shared" si="10"/>
        <v>377</v>
      </c>
      <c r="AB47" s="7">
        <f t="shared" si="11"/>
        <v>3617</v>
      </c>
    </row>
    <row r="48" spans="6:28" x14ac:dyDescent="0.15">
      <c r="F48">
        <f t="shared" si="1"/>
        <v>7</v>
      </c>
      <c r="G48">
        <v>45</v>
      </c>
      <c r="H48">
        <f t="shared" si="2"/>
        <v>65.247000951665441</v>
      </c>
      <c r="I48">
        <f t="shared" si="3"/>
        <v>65</v>
      </c>
      <c r="J48" s="1">
        <f t="shared" si="4"/>
        <v>1</v>
      </c>
      <c r="K48" s="1">
        <f t="shared" si="5"/>
        <v>65</v>
      </c>
      <c r="L48" s="1">
        <f t="shared" si="6"/>
        <v>10.031666666666668</v>
      </c>
      <c r="M48" s="3">
        <f t="shared" si="7"/>
        <v>4.7961292854140263</v>
      </c>
      <c r="N48" s="7">
        <f t="shared" si="12"/>
        <v>10</v>
      </c>
      <c r="O48" s="7">
        <f t="shared" si="8"/>
        <v>4</v>
      </c>
      <c r="P48" s="3">
        <f>SUM($O$4:O48)</f>
        <v>160</v>
      </c>
      <c r="T48" s="7">
        <v>9</v>
      </c>
      <c r="U48" s="3">
        <v>1.2571428571428571</v>
      </c>
      <c r="V48" s="3">
        <v>83.796428571428592</v>
      </c>
      <c r="W48" s="3"/>
      <c r="Y48" s="3">
        <f t="shared" si="9"/>
        <v>45</v>
      </c>
      <c r="Z48" s="3">
        <f t="shared" si="10"/>
        <v>404</v>
      </c>
      <c r="AB48" s="7">
        <f t="shared" si="11"/>
        <v>3757</v>
      </c>
    </row>
    <row r="49" spans="6:28" x14ac:dyDescent="0.15">
      <c r="F49">
        <f t="shared" si="1"/>
        <v>7</v>
      </c>
      <c r="G49">
        <v>46</v>
      </c>
      <c r="H49">
        <f t="shared" si="2"/>
        <v>65.247000951665441</v>
      </c>
      <c r="I49">
        <f t="shared" si="3"/>
        <v>65</v>
      </c>
      <c r="J49" s="1">
        <f t="shared" si="4"/>
        <v>1</v>
      </c>
      <c r="K49" s="1">
        <f t="shared" si="5"/>
        <v>65</v>
      </c>
      <c r="L49" s="1">
        <f t="shared" si="6"/>
        <v>10.031666666666668</v>
      </c>
      <c r="M49" s="3">
        <f t="shared" si="7"/>
        <v>4.7961292854140263</v>
      </c>
      <c r="N49" s="7">
        <f t="shared" si="12"/>
        <v>10</v>
      </c>
      <c r="O49" s="7">
        <f t="shared" si="8"/>
        <v>4</v>
      </c>
      <c r="P49" s="3">
        <f>SUM($O$4:O49)</f>
        <v>164</v>
      </c>
      <c r="T49" s="7">
        <v>9</v>
      </c>
      <c r="U49" s="3">
        <v>1.2571428571428571</v>
      </c>
      <c r="V49" s="3">
        <v>85.053571428571445</v>
      </c>
      <c r="W49" s="3"/>
      <c r="Y49" s="3">
        <f t="shared" si="9"/>
        <v>46</v>
      </c>
      <c r="Z49" s="3">
        <f t="shared" si="10"/>
        <v>434</v>
      </c>
      <c r="AB49" s="7">
        <f t="shared" si="11"/>
        <v>4598</v>
      </c>
    </row>
    <row r="50" spans="6:28" x14ac:dyDescent="0.15">
      <c r="F50">
        <f t="shared" si="1"/>
        <v>7</v>
      </c>
      <c r="G50">
        <v>47</v>
      </c>
      <c r="H50">
        <f t="shared" si="2"/>
        <v>65.247000951665441</v>
      </c>
      <c r="I50">
        <f t="shared" si="3"/>
        <v>65</v>
      </c>
      <c r="J50" s="1">
        <f t="shared" si="4"/>
        <v>1</v>
      </c>
      <c r="K50" s="1">
        <f t="shared" si="5"/>
        <v>65</v>
      </c>
      <c r="L50" s="1">
        <f t="shared" si="6"/>
        <v>10.031666666666668</v>
      </c>
      <c r="M50" s="3">
        <f t="shared" si="7"/>
        <v>4.7961292854140263</v>
      </c>
      <c r="N50" s="7">
        <f t="shared" si="12"/>
        <v>10</v>
      </c>
      <c r="O50" s="7">
        <f t="shared" si="8"/>
        <v>4</v>
      </c>
      <c r="P50" s="3">
        <f>SUM($O$4:O50)</f>
        <v>168</v>
      </c>
      <c r="T50" s="7">
        <v>9</v>
      </c>
      <c r="U50" s="3">
        <v>1.2571428571428571</v>
      </c>
      <c r="V50" s="3">
        <v>86.310714285714297</v>
      </c>
      <c r="W50" s="3"/>
      <c r="Y50" s="3">
        <f t="shared" si="9"/>
        <v>47</v>
      </c>
      <c r="Z50" s="3">
        <f t="shared" si="10"/>
        <v>466</v>
      </c>
      <c r="AB50" s="7">
        <f t="shared" si="11"/>
        <v>4598</v>
      </c>
    </row>
    <row r="51" spans="6:28" x14ac:dyDescent="0.15">
      <c r="F51">
        <f t="shared" si="1"/>
        <v>7</v>
      </c>
      <c r="G51">
        <v>48</v>
      </c>
      <c r="H51">
        <f t="shared" si="2"/>
        <v>65.247000951665441</v>
      </c>
      <c r="I51">
        <f t="shared" si="3"/>
        <v>65</v>
      </c>
      <c r="J51" s="1">
        <f t="shared" si="4"/>
        <v>1</v>
      </c>
      <c r="K51" s="1">
        <f t="shared" si="5"/>
        <v>65</v>
      </c>
      <c r="L51" s="1">
        <f t="shared" si="6"/>
        <v>10.031666666666668</v>
      </c>
      <c r="M51" s="3">
        <f t="shared" si="7"/>
        <v>4.7961292854140263</v>
      </c>
      <c r="N51" s="7">
        <f t="shared" si="12"/>
        <v>10</v>
      </c>
      <c r="O51" s="7">
        <f t="shared" si="8"/>
        <v>4</v>
      </c>
      <c r="P51" s="3">
        <f>SUM($O$4:O51)</f>
        <v>172</v>
      </c>
      <c r="T51" s="7">
        <v>9</v>
      </c>
      <c r="U51" s="3">
        <v>1.2571428571428571</v>
      </c>
      <c r="V51" s="3">
        <v>87.56785714285715</v>
      </c>
      <c r="W51" s="3"/>
      <c r="Y51" s="3">
        <f t="shared" si="9"/>
        <v>48</v>
      </c>
      <c r="Z51" s="3">
        <f t="shared" si="10"/>
        <v>499</v>
      </c>
      <c r="AB51" s="7">
        <f t="shared" si="11"/>
        <v>4598</v>
      </c>
    </row>
    <row r="52" spans="6:28" x14ac:dyDescent="0.15">
      <c r="F52">
        <f t="shared" si="1"/>
        <v>7</v>
      </c>
      <c r="G52">
        <v>49</v>
      </c>
      <c r="H52">
        <f t="shared" si="2"/>
        <v>65.247000951665441</v>
      </c>
      <c r="I52">
        <f t="shared" si="3"/>
        <v>65</v>
      </c>
      <c r="J52" s="1">
        <f t="shared" si="4"/>
        <v>4</v>
      </c>
      <c r="K52" s="1">
        <f t="shared" si="5"/>
        <v>260</v>
      </c>
      <c r="L52" s="1">
        <f t="shared" si="6"/>
        <v>40.126666666666672</v>
      </c>
      <c r="M52" s="3">
        <f t="shared" si="7"/>
        <v>19.184517141656105</v>
      </c>
      <c r="N52" s="7">
        <f t="shared" si="12"/>
        <v>40</v>
      </c>
      <c r="O52" s="7">
        <f t="shared" si="8"/>
        <v>19</v>
      </c>
      <c r="P52" s="3">
        <f>SUM($O$4:O52)</f>
        <v>191</v>
      </c>
      <c r="T52" s="7">
        <v>10</v>
      </c>
      <c r="U52" s="3">
        <v>1.1000000000000001</v>
      </c>
      <c r="V52" s="3">
        <v>88.667857142857144</v>
      </c>
      <c r="W52" s="3"/>
      <c r="Y52" s="3">
        <f t="shared" si="9"/>
        <v>49</v>
      </c>
      <c r="Z52" s="3">
        <f t="shared" si="10"/>
        <v>535</v>
      </c>
      <c r="AB52" s="7">
        <f t="shared" si="11"/>
        <v>4768</v>
      </c>
    </row>
    <row r="53" spans="6:28" x14ac:dyDescent="0.15">
      <c r="F53">
        <f t="shared" si="1"/>
        <v>8</v>
      </c>
      <c r="G53">
        <v>50</v>
      </c>
      <c r="H53">
        <f t="shared" si="2"/>
        <v>102.43779149411473</v>
      </c>
      <c r="I53">
        <f t="shared" si="3"/>
        <v>102</v>
      </c>
      <c r="J53" s="1">
        <f t="shared" si="4"/>
        <v>1</v>
      </c>
      <c r="K53" s="1">
        <f t="shared" si="5"/>
        <v>102</v>
      </c>
      <c r="L53" s="1">
        <f t="shared" si="6"/>
        <v>16.048000000000002</v>
      </c>
      <c r="M53" s="3">
        <f t="shared" si="7"/>
        <v>5.9019476354869305</v>
      </c>
      <c r="N53" s="7">
        <f t="shared" si="12"/>
        <v>16</v>
      </c>
      <c r="O53" s="7">
        <f t="shared" si="8"/>
        <v>5</v>
      </c>
      <c r="P53" s="3">
        <f>SUM($O$4:O53)</f>
        <v>196</v>
      </c>
      <c r="T53" s="7">
        <v>10</v>
      </c>
      <c r="U53" s="3">
        <v>11.03125</v>
      </c>
      <c r="V53" s="3">
        <v>99.699107142857144</v>
      </c>
      <c r="W53" s="4" t="s">
        <v>102</v>
      </c>
      <c r="Y53" s="3">
        <f t="shared" si="9"/>
        <v>50</v>
      </c>
      <c r="Z53" s="3">
        <f t="shared" si="10"/>
        <v>573</v>
      </c>
      <c r="AB53" s="7">
        <f t="shared" si="11"/>
        <v>4938</v>
      </c>
    </row>
    <row r="54" spans="6:28" x14ac:dyDescent="0.15">
      <c r="F54">
        <f t="shared" si="1"/>
        <v>8</v>
      </c>
      <c r="G54">
        <v>51</v>
      </c>
      <c r="H54">
        <f t="shared" si="2"/>
        <v>102.43779149411473</v>
      </c>
      <c r="I54">
        <f t="shared" si="3"/>
        <v>102</v>
      </c>
      <c r="J54" s="1">
        <f t="shared" si="4"/>
        <v>1</v>
      </c>
      <c r="K54" s="1">
        <f t="shared" si="5"/>
        <v>102</v>
      </c>
      <c r="L54" s="1">
        <f t="shared" si="6"/>
        <v>16.048000000000002</v>
      </c>
      <c r="M54" s="3">
        <f t="shared" si="7"/>
        <v>5.9019476354869305</v>
      </c>
      <c r="N54" s="7">
        <f t="shared" si="12"/>
        <v>16</v>
      </c>
      <c r="O54" s="7">
        <f t="shared" si="8"/>
        <v>5</v>
      </c>
      <c r="P54" s="3">
        <f>SUM($O$4:O54)</f>
        <v>201</v>
      </c>
      <c r="T54" s="7">
        <v>11</v>
      </c>
      <c r="U54" s="3">
        <v>1.4578947368421054</v>
      </c>
      <c r="V54" s="3">
        <v>101.15700187969925</v>
      </c>
      <c r="W54" s="4" t="s">
        <v>103</v>
      </c>
      <c r="Y54" s="3">
        <f t="shared" si="9"/>
        <v>51</v>
      </c>
      <c r="Z54" s="3">
        <f t="shared" si="10"/>
        <v>614</v>
      </c>
      <c r="AB54" s="7">
        <f t="shared" si="11"/>
        <v>5108</v>
      </c>
    </row>
    <row r="55" spans="6:28" x14ac:dyDescent="0.15">
      <c r="F55">
        <f t="shared" si="1"/>
        <v>8</v>
      </c>
      <c r="G55">
        <v>52</v>
      </c>
      <c r="H55">
        <f t="shared" si="2"/>
        <v>102.43779149411473</v>
      </c>
      <c r="I55">
        <f t="shared" si="3"/>
        <v>102</v>
      </c>
      <c r="J55" s="1">
        <f t="shared" si="4"/>
        <v>1</v>
      </c>
      <c r="K55" s="1">
        <f t="shared" si="5"/>
        <v>102</v>
      </c>
      <c r="L55" s="1">
        <f t="shared" si="6"/>
        <v>16.048000000000002</v>
      </c>
      <c r="M55" s="3">
        <f t="shared" si="7"/>
        <v>5.9019476354869305</v>
      </c>
      <c r="N55" s="7">
        <f t="shared" si="12"/>
        <v>16</v>
      </c>
      <c r="O55" s="7">
        <f t="shared" si="8"/>
        <v>5</v>
      </c>
      <c r="P55" s="3">
        <f>SUM($O$4:O55)</f>
        <v>206</v>
      </c>
      <c r="T55" s="7">
        <v>11</v>
      </c>
      <c r="U55" s="3">
        <v>1.4578947368421054</v>
      </c>
      <c r="V55" s="3">
        <v>102.61489661654136</v>
      </c>
      <c r="W55" s="3"/>
      <c r="Y55" s="3">
        <f t="shared" si="9"/>
        <v>52</v>
      </c>
      <c r="Z55" s="3">
        <f t="shared" si="10"/>
        <v>657</v>
      </c>
      <c r="AB55" s="7">
        <f t="shared" si="11"/>
        <v>5384</v>
      </c>
    </row>
    <row r="56" spans="6:28" x14ac:dyDescent="0.15">
      <c r="F56">
        <f t="shared" si="1"/>
        <v>8</v>
      </c>
      <c r="G56">
        <v>53</v>
      </c>
      <c r="H56">
        <f t="shared" si="2"/>
        <v>102.43779149411473</v>
      </c>
      <c r="I56">
        <f t="shared" si="3"/>
        <v>102</v>
      </c>
      <c r="J56" s="1">
        <f t="shared" si="4"/>
        <v>1</v>
      </c>
      <c r="K56" s="1">
        <f t="shared" si="5"/>
        <v>102</v>
      </c>
      <c r="L56" s="1">
        <f t="shared" si="6"/>
        <v>16.048000000000002</v>
      </c>
      <c r="M56" s="3">
        <f t="shared" si="7"/>
        <v>5.9019476354869305</v>
      </c>
      <c r="N56" s="7">
        <f t="shared" si="12"/>
        <v>16</v>
      </c>
      <c r="O56" s="7">
        <f t="shared" si="8"/>
        <v>5</v>
      </c>
      <c r="P56" s="3">
        <f>SUM($O$4:O56)</f>
        <v>211</v>
      </c>
      <c r="T56" s="7">
        <v>11</v>
      </c>
      <c r="U56" s="3">
        <v>1.4578947368421054</v>
      </c>
      <c r="V56" s="3">
        <v>104.07279135338347</v>
      </c>
      <c r="W56" s="3"/>
      <c r="Y56" s="3">
        <f t="shared" si="9"/>
        <v>53</v>
      </c>
      <c r="Z56" s="3">
        <f t="shared" si="10"/>
        <v>704</v>
      </c>
      <c r="AB56" s="7">
        <f t="shared" si="11"/>
        <v>5594</v>
      </c>
    </row>
    <row r="57" spans="6:28" x14ac:dyDescent="0.15">
      <c r="F57">
        <f t="shared" si="1"/>
        <v>8</v>
      </c>
      <c r="G57">
        <v>54</v>
      </c>
      <c r="H57">
        <f t="shared" si="2"/>
        <v>102.43779149411473</v>
      </c>
      <c r="I57">
        <f t="shared" si="3"/>
        <v>102</v>
      </c>
      <c r="J57" s="1">
        <f t="shared" si="4"/>
        <v>1</v>
      </c>
      <c r="K57" s="1">
        <f t="shared" si="5"/>
        <v>102</v>
      </c>
      <c r="L57" s="1">
        <f t="shared" si="6"/>
        <v>16.048000000000002</v>
      </c>
      <c r="M57" s="3">
        <f t="shared" si="7"/>
        <v>5.9019476354869305</v>
      </c>
      <c r="N57" s="7">
        <f t="shared" si="12"/>
        <v>16</v>
      </c>
      <c r="O57" s="7">
        <f t="shared" si="8"/>
        <v>5</v>
      </c>
      <c r="P57" s="3">
        <f>SUM($O$4:O57)</f>
        <v>216</v>
      </c>
      <c r="T57" s="7">
        <v>12</v>
      </c>
      <c r="U57" s="3">
        <v>1.2590909090909093</v>
      </c>
      <c r="V57" s="3">
        <v>105.33188226247438</v>
      </c>
      <c r="W57" s="3"/>
      <c r="Y57" s="3">
        <f t="shared" si="9"/>
        <v>54</v>
      </c>
      <c r="Z57" s="3">
        <f t="shared" si="10"/>
        <v>753</v>
      </c>
      <c r="AB57" s="7">
        <f t="shared" si="11"/>
        <v>5594</v>
      </c>
    </row>
    <row r="58" spans="6:28" x14ac:dyDescent="0.15">
      <c r="F58">
        <f t="shared" si="1"/>
        <v>8</v>
      </c>
      <c r="G58">
        <v>55</v>
      </c>
      <c r="H58">
        <f t="shared" si="2"/>
        <v>102.43779149411473</v>
      </c>
      <c r="I58">
        <f t="shared" si="3"/>
        <v>102</v>
      </c>
      <c r="J58" s="1">
        <f t="shared" si="4"/>
        <v>1</v>
      </c>
      <c r="K58" s="1">
        <f t="shared" si="5"/>
        <v>102</v>
      </c>
      <c r="L58" s="1">
        <f t="shared" si="6"/>
        <v>16.048000000000002</v>
      </c>
      <c r="M58" s="3">
        <f t="shared" si="7"/>
        <v>5.9019476354869305</v>
      </c>
      <c r="N58" s="7">
        <f t="shared" si="12"/>
        <v>16</v>
      </c>
      <c r="O58" s="7">
        <f t="shared" si="8"/>
        <v>5</v>
      </c>
      <c r="P58" s="3">
        <f>SUM($O$4:O58)</f>
        <v>221</v>
      </c>
      <c r="T58" s="7">
        <v>12</v>
      </c>
      <c r="U58" s="3">
        <v>1.2590909090909093</v>
      </c>
      <c r="V58" s="3">
        <v>106.5909731715653</v>
      </c>
      <c r="W58" s="3"/>
      <c r="Y58" s="3">
        <f t="shared" si="9"/>
        <v>55</v>
      </c>
      <c r="Z58" s="3">
        <f t="shared" si="10"/>
        <v>805</v>
      </c>
      <c r="AB58" s="7">
        <f t="shared" si="11"/>
        <v>5594</v>
      </c>
    </row>
    <row r="59" spans="6:28" x14ac:dyDescent="0.15">
      <c r="F59">
        <f t="shared" si="1"/>
        <v>8</v>
      </c>
      <c r="G59">
        <v>56</v>
      </c>
      <c r="H59">
        <f t="shared" si="2"/>
        <v>102.43779149411473</v>
      </c>
      <c r="I59">
        <f t="shared" si="3"/>
        <v>102</v>
      </c>
      <c r="J59" s="1">
        <f t="shared" si="4"/>
        <v>6</v>
      </c>
      <c r="K59" s="1">
        <f t="shared" si="5"/>
        <v>612</v>
      </c>
      <c r="L59" s="1">
        <f t="shared" si="6"/>
        <v>96.287999999999997</v>
      </c>
      <c r="M59" s="3">
        <f t="shared" si="7"/>
        <v>35.411685812921576</v>
      </c>
      <c r="N59" s="7">
        <f t="shared" si="12"/>
        <v>96</v>
      </c>
      <c r="O59" s="7">
        <f t="shared" si="8"/>
        <v>35</v>
      </c>
      <c r="P59" s="3">
        <f>SUM($O$4:O59)</f>
        <v>256</v>
      </c>
      <c r="T59" s="7">
        <v>12</v>
      </c>
      <c r="U59" s="3">
        <v>1.2590909090909093</v>
      </c>
      <c r="V59" s="3">
        <v>107.85006408065621</v>
      </c>
      <c r="W59" s="3"/>
      <c r="Y59" s="3">
        <f t="shared" si="9"/>
        <v>56</v>
      </c>
      <c r="Z59" s="3">
        <f t="shared" si="10"/>
        <v>861</v>
      </c>
      <c r="AB59" s="7">
        <f t="shared" si="11"/>
        <v>5699</v>
      </c>
    </row>
    <row r="60" spans="6:28" x14ac:dyDescent="0.15">
      <c r="F60">
        <f t="shared" si="1"/>
        <v>9</v>
      </c>
      <c r="G60">
        <v>57</v>
      </c>
      <c r="H60">
        <f t="shared" si="2"/>
        <v>160.82733264576015</v>
      </c>
      <c r="I60">
        <f t="shared" si="3"/>
        <v>161</v>
      </c>
      <c r="J60" s="1">
        <f t="shared" si="4"/>
        <v>1</v>
      </c>
      <c r="K60" s="1">
        <f t="shared" si="5"/>
        <v>161</v>
      </c>
      <c r="L60" s="1">
        <f t="shared" si="6"/>
        <v>25.81366666666667</v>
      </c>
      <c r="M60" s="3">
        <f t="shared" si="7"/>
        <v>7.3026549652284078</v>
      </c>
      <c r="N60" s="7">
        <f t="shared" si="12"/>
        <v>26</v>
      </c>
      <c r="O60" s="7">
        <f t="shared" si="8"/>
        <v>7</v>
      </c>
      <c r="P60" s="3">
        <f>SUM($O$4:O60)</f>
        <v>263</v>
      </c>
      <c r="T60" s="7">
        <v>12</v>
      </c>
      <c r="U60" s="3">
        <v>1.2590909090909093</v>
      </c>
      <c r="V60" s="3">
        <v>109.10915498974713</v>
      </c>
      <c r="W60" s="3"/>
      <c r="Y60" s="3">
        <f t="shared" si="9"/>
        <v>57</v>
      </c>
      <c r="Z60" s="3">
        <f t="shared" si="10"/>
        <v>920</v>
      </c>
      <c r="AB60" s="7">
        <f t="shared" si="11"/>
        <v>5909</v>
      </c>
    </row>
    <row r="61" spans="6:28" x14ac:dyDescent="0.15">
      <c r="F61">
        <f t="shared" si="1"/>
        <v>9</v>
      </c>
      <c r="G61">
        <v>58</v>
      </c>
      <c r="H61">
        <f t="shared" si="2"/>
        <v>160.82733264576015</v>
      </c>
      <c r="I61">
        <f t="shared" si="3"/>
        <v>161</v>
      </c>
      <c r="J61" s="1">
        <f t="shared" si="4"/>
        <v>1</v>
      </c>
      <c r="K61" s="1">
        <f t="shared" si="5"/>
        <v>161</v>
      </c>
      <c r="L61" s="1">
        <f t="shared" si="6"/>
        <v>25.81366666666667</v>
      </c>
      <c r="M61" s="3">
        <f t="shared" si="7"/>
        <v>7.3026549652284078</v>
      </c>
      <c r="N61" s="7">
        <f t="shared" si="12"/>
        <v>26</v>
      </c>
      <c r="O61" s="7">
        <f t="shared" si="8"/>
        <v>7</v>
      </c>
      <c r="P61" s="3">
        <f>SUM($O$4:O61)</f>
        <v>270</v>
      </c>
      <c r="T61" s="7">
        <v>12</v>
      </c>
      <c r="U61" s="3">
        <v>1.2590909090909093</v>
      </c>
      <c r="V61" s="3">
        <v>110.36824589883804</v>
      </c>
      <c r="W61" s="3"/>
      <c r="Y61" s="3">
        <f t="shared" si="9"/>
        <v>58</v>
      </c>
      <c r="Z61" s="3">
        <f t="shared" si="10"/>
        <v>983</v>
      </c>
      <c r="AB61" s="7">
        <f t="shared" si="11"/>
        <v>6459</v>
      </c>
    </row>
    <row r="62" spans="6:28" x14ac:dyDescent="0.15">
      <c r="F62">
        <f t="shared" si="1"/>
        <v>9</v>
      </c>
      <c r="G62">
        <v>59</v>
      </c>
      <c r="H62">
        <f t="shared" si="2"/>
        <v>160.82733264576015</v>
      </c>
      <c r="I62">
        <f t="shared" si="3"/>
        <v>161</v>
      </c>
      <c r="J62" s="1">
        <f t="shared" si="4"/>
        <v>1</v>
      </c>
      <c r="K62" s="1">
        <f t="shared" si="5"/>
        <v>161</v>
      </c>
      <c r="L62" s="1">
        <f t="shared" si="6"/>
        <v>25.81366666666667</v>
      </c>
      <c r="M62" s="3">
        <f t="shared" si="7"/>
        <v>7.3026549652284078</v>
      </c>
      <c r="N62" s="7">
        <f t="shared" si="12"/>
        <v>26</v>
      </c>
      <c r="O62" s="7">
        <f t="shared" si="8"/>
        <v>7</v>
      </c>
      <c r="P62" s="3">
        <f>SUM($O$4:O62)</f>
        <v>277</v>
      </c>
      <c r="T62" s="7">
        <v>12</v>
      </c>
      <c r="U62" s="3">
        <v>1.2590909090909093</v>
      </c>
      <c r="V62" s="3">
        <v>111.62733680792896</v>
      </c>
      <c r="W62" s="3"/>
      <c r="Y62" s="3">
        <f t="shared" si="9"/>
        <v>59</v>
      </c>
      <c r="Z62" s="3">
        <f t="shared" si="10"/>
        <v>1050</v>
      </c>
      <c r="AB62" s="7">
        <f t="shared" si="11"/>
        <v>6846</v>
      </c>
    </row>
    <row r="63" spans="6:28" x14ac:dyDescent="0.15">
      <c r="F63">
        <f t="shared" si="1"/>
        <v>9</v>
      </c>
      <c r="G63">
        <v>60</v>
      </c>
      <c r="H63">
        <f t="shared" si="2"/>
        <v>160.82733264576015</v>
      </c>
      <c r="I63">
        <f t="shared" si="3"/>
        <v>161</v>
      </c>
      <c r="J63" s="1">
        <f t="shared" si="4"/>
        <v>1</v>
      </c>
      <c r="K63" s="1">
        <f t="shared" si="5"/>
        <v>161</v>
      </c>
      <c r="L63" s="1">
        <f t="shared" si="6"/>
        <v>25.81366666666667</v>
      </c>
      <c r="M63" s="3">
        <f t="shared" si="7"/>
        <v>7.3026549652284078</v>
      </c>
      <c r="N63" s="7">
        <f t="shared" si="12"/>
        <v>26</v>
      </c>
      <c r="O63" s="7">
        <f t="shared" si="8"/>
        <v>7</v>
      </c>
      <c r="P63" s="3">
        <f>SUM($O$4:O63)</f>
        <v>284</v>
      </c>
      <c r="T63" s="7">
        <v>13</v>
      </c>
      <c r="U63" s="3">
        <v>2.2160000000000002</v>
      </c>
      <c r="V63" s="3">
        <v>113.84333680792895</v>
      </c>
      <c r="W63" s="3"/>
      <c r="Y63" s="3">
        <f t="shared" si="9"/>
        <v>60</v>
      </c>
      <c r="Z63" s="3">
        <f t="shared" si="10"/>
        <v>1121</v>
      </c>
      <c r="AB63" s="7">
        <f t="shared" si="11"/>
        <v>7104</v>
      </c>
    </row>
    <row r="64" spans="6:28" x14ac:dyDescent="0.15">
      <c r="F64">
        <f t="shared" si="1"/>
        <v>9</v>
      </c>
      <c r="G64">
        <v>61</v>
      </c>
      <c r="H64">
        <f t="shared" si="2"/>
        <v>160.82733264576015</v>
      </c>
      <c r="I64">
        <f t="shared" si="3"/>
        <v>161</v>
      </c>
      <c r="J64" s="1">
        <f t="shared" si="4"/>
        <v>1</v>
      </c>
      <c r="K64" s="1">
        <f t="shared" si="5"/>
        <v>161</v>
      </c>
      <c r="L64" s="1">
        <f t="shared" si="6"/>
        <v>25.81366666666667</v>
      </c>
      <c r="M64" s="3">
        <f t="shared" si="7"/>
        <v>7.3026549652284078</v>
      </c>
      <c r="N64" s="7">
        <f t="shared" si="12"/>
        <v>26</v>
      </c>
      <c r="O64" s="7">
        <f t="shared" si="8"/>
        <v>7</v>
      </c>
      <c r="P64" s="3">
        <f>SUM($O$4:O64)</f>
        <v>291</v>
      </c>
      <c r="T64" s="7">
        <v>13</v>
      </c>
      <c r="U64" s="3">
        <v>1.7399999999999998</v>
      </c>
      <c r="V64" s="3">
        <v>115.58333680792894</v>
      </c>
      <c r="W64" s="3"/>
      <c r="Y64" s="3">
        <f t="shared" si="9"/>
        <v>61</v>
      </c>
      <c r="Z64" s="3">
        <f t="shared" si="10"/>
        <v>1196</v>
      </c>
      <c r="AB64" s="7">
        <f t="shared" si="11"/>
        <v>7879</v>
      </c>
    </row>
    <row r="65" spans="6:28" x14ac:dyDescent="0.15">
      <c r="F65">
        <f t="shared" si="1"/>
        <v>9</v>
      </c>
      <c r="G65">
        <v>62</v>
      </c>
      <c r="H65">
        <f t="shared" si="2"/>
        <v>160.82733264576015</v>
      </c>
      <c r="I65">
        <f t="shared" si="3"/>
        <v>161</v>
      </c>
      <c r="J65" s="1">
        <f t="shared" si="4"/>
        <v>1</v>
      </c>
      <c r="K65" s="1">
        <f t="shared" si="5"/>
        <v>161</v>
      </c>
      <c r="L65" s="1">
        <f t="shared" si="6"/>
        <v>25.81366666666667</v>
      </c>
      <c r="M65" s="3">
        <f t="shared" si="7"/>
        <v>7.3026549652284078</v>
      </c>
      <c r="N65" s="7">
        <f t="shared" si="12"/>
        <v>26</v>
      </c>
      <c r="O65" s="7">
        <f t="shared" si="8"/>
        <v>7</v>
      </c>
      <c r="P65" s="3">
        <f>SUM($O$4:O65)</f>
        <v>298</v>
      </c>
      <c r="T65" s="7">
        <v>13</v>
      </c>
      <c r="U65" s="3">
        <v>1.7399999999999998</v>
      </c>
      <c r="V65" s="3">
        <v>117.32333680792894</v>
      </c>
      <c r="W65" s="3"/>
      <c r="Y65" s="3">
        <f t="shared" si="9"/>
        <v>62</v>
      </c>
      <c r="Z65" s="3">
        <f t="shared" si="10"/>
        <v>1277</v>
      </c>
      <c r="AB65" s="7">
        <f t="shared" si="11"/>
        <v>8195</v>
      </c>
    </row>
    <row r="66" spans="6:28" x14ac:dyDescent="0.15">
      <c r="F66">
        <f t="shared" si="1"/>
        <v>9</v>
      </c>
      <c r="G66">
        <v>63</v>
      </c>
      <c r="H66">
        <f t="shared" si="2"/>
        <v>160.82733264576015</v>
      </c>
      <c r="I66">
        <f t="shared" si="3"/>
        <v>161</v>
      </c>
      <c r="J66" s="1">
        <f t="shared" si="4"/>
        <v>7</v>
      </c>
      <c r="K66" s="1">
        <f t="shared" si="5"/>
        <v>1127</v>
      </c>
      <c r="L66" s="1">
        <f t="shared" si="6"/>
        <v>180.69566666666671</v>
      </c>
      <c r="M66" s="3">
        <f t="shared" si="7"/>
        <v>51.118584756598864</v>
      </c>
      <c r="N66" s="7">
        <f t="shared" si="12"/>
        <v>181</v>
      </c>
      <c r="O66" s="7">
        <f t="shared" si="8"/>
        <v>51</v>
      </c>
      <c r="P66" s="3">
        <f>SUM($O$4:O66)</f>
        <v>349</v>
      </c>
      <c r="T66" s="7">
        <v>13</v>
      </c>
      <c r="U66" s="3">
        <v>1.7399999999999998</v>
      </c>
      <c r="V66" s="3">
        <v>119.06333680792893</v>
      </c>
      <c r="W66" s="3"/>
      <c r="Y66" s="3">
        <f t="shared" si="9"/>
        <v>63</v>
      </c>
      <c r="Z66" s="3">
        <f t="shared" si="10"/>
        <v>1362</v>
      </c>
      <c r="AB66" s="7">
        <f t="shared" si="11"/>
        <v>8511</v>
      </c>
    </row>
    <row r="67" spans="6:28" x14ac:dyDescent="0.15">
      <c r="F67">
        <f t="shared" si="1"/>
        <v>10</v>
      </c>
      <c r="G67">
        <v>64</v>
      </c>
      <c r="H67">
        <f t="shared" si="2"/>
        <v>252.4989122538434</v>
      </c>
      <c r="I67">
        <f t="shared" si="3"/>
        <v>252</v>
      </c>
      <c r="J67" s="1">
        <f t="shared" si="4"/>
        <v>1</v>
      </c>
      <c r="K67" s="1">
        <f t="shared" si="5"/>
        <v>252</v>
      </c>
      <c r="L67" s="1">
        <f t="shared" si="6"/>
        <v>41.160000000000004</v>
      </c>
      <c r="M67" s="3">
        <f t="shared" si="7"/>
        <v>8.9570107973653759</v>
      </c>
      <c r="N67" s="7">
        <f t="shared" si="12"/>
        <v>41</v>
      </c>
      <c r="O67" s="7">
        <f t="shared" si="8"/>
        <v>8</v>
      </c>
      <c r="P67" s="3">
        <f>SUM($O$4:O67)</f>
        <v>357</v>
      </c>
      <c r="T67" s="7">
        <v>14</v>
      </c>
      <c r="U67" s="3">
        <v>1.5535714285714286</v>
      </c>
      <c r="V67" s="3">
        <v>120.61690823650036</v>
      </c>
      <c r="Y67" s="3">
        <f t="shared" si="9"/>
        <v>64</v>
      </c>
      <c r="Z67" s="3">
        <f t="shared" si="10"/>
        <v>1453</v>
      </c>
      <c r="AB67" s="7">
        <f t="shared" si="11"/>
        <v>9935</v>
      </c>
    </row>
    <row r="68" spans="6:28" x14ac:dyDescent="0.15">
      <c r="F68">
        <f t="shared" si="1"/>
        <v>10</v>
      </c>
      <c r="G68">
        <v>65</v>
      </c>
      <c r="H68">
        <f t="shared" si="2"/>
        <v>252.4989122538434</v>
      </c>
      <c r="I68">
        <f t="shared" si="3"/>
        <v>252</v>
      </c>
      <c r="J68" s="1">
        <f t="shared" si="4"/>
        <v>1</v>
      </c>
      <c r="K68" s="1">
        <f t="shared" si="5"/>
        <v>252</v>
      </c>
      <c r="L68" s="1">
        <f t="shared" si="6"/>
        <v>41.160000000000004</v>
      </c>
      <c r="M68" s="3">
        <f t="shared" si="7"/>
        <v>8.9570107973653759</v>
      </c>
      <c r="N68" s="7">
        <f t="shared" si="12"/>
        <v>41</v>
      </c>
      <c r="O68" s="7">
        <f t="shared" si="8"/>
        <v>8</v>
      </c>
      <c r="P68" s="3">
        <f>SUM($O$4:O68)</f>
        <v>365</v>
      </c>
      <c r="T68" s="7">
        <v>14</v>
      </c>
      <c r="U68" s="3">
        <v>1.5535714285714286</v>
      </c>
      <c r="V68" s="3">
        <v>122.1704796650718</v>
      </c>
      <c r="Y68" s="3">
        <f t="shared" si="9"/>
        <v>65</v>
      </c>
      <c r="Z68" s="3">
        <f t="shared" si="10"/>
        <v>1550</v>
      </c>
      <c r="AB68" s="7">
        <f t="shared" si="11"/>
        <v>10323</v>
      </c>
    </row>
    <row r="69" spans="6:28" x14ac:dyDescent="0.15">
      <c r="F69">
        <f t="shared" ref="F69:F132" si="13">ROUNDUP(G69/$C$4,0)</f>
        <v>10</v>
      </c>
      <c r="G69">
        <v>66</v>
      </c>
      <c r="H69">
        <f t="shared" ref="H69:H132" si="14">18.5*1.57^MIN(F69,156)*1.17^MAX(F69-156,0)*$C$5</f>
        <v>252.4989122538434</v>
      </c>
      <c r="I69">
        <f t="shared" ref="I69:I132" si="15">ROUND(H69,0)</f>
        <v>252</v>
      </c>
      <c r="J69" s="1">
        <f t="shared" ref="J69:J132" si="16">IF(F69=F70,1,LOOKUP(MOD(F69,5),$D$6:$D$10,$C$6:$C$10))</f>
        <v>1</v>
      </c>
      <c r="K69" s="1">
        <f t="shared" ref="K69:K132" si="17">J69*I69</f>
        <v>252</v>
      </c>
      <c r="L69" s="1">
        <f t="shared" ref="L69:L132" si="18">K69*(0.02+0.00045*F69)/$C$5</f>
        <v>41.160000000000004</v>
      </c>
      <c r="M69" s="3">
        <f t="shared" ref="M69:M132" si="19">L69/(1.3^F69)*3</f>
        <v>8.9570107973653759</v>
      </c>
      <c r="N69" s="7">
        <f t="shared" si="12"/>
        <v>41</v>
      </c>
      <c r="O69" s="7">
        <f t="shared" ref="O69:O132" si="20">ROUNDDOWN(M69,0)</f>
        <v>8</v>
      </c>
      <c r="P69" s="3">
        <f>SUM($O$4:O69)</f>
        <v>373</v>
      </c>
      <c r="T69" s="7">
        <v>14</v>
      </c>
      <c r="U69" s="3">
        <v>1.5535714285714286</v>
      </c>
      <c r="V69" s="3">
        <v>123.72405109364323</v>
      </c>
      <c r="Y69" s="3">
        <f t="shared" ref="Y69:Y132" si="21">G69</f>
        <v>66</v>
      </c>
      <c r="Z69" s="3">
        <f t="shared" ref="Z69:Z132" si="22">ROUND(1.05^Y69*Y69,0)</f>
        <v>1652</v>
      </c>
      <c r="AB69" s="7">
        <f t="shared" ref="AB69:AB132" si="23">LOOKUP(Y69,T:T,P:P)</f>
        <v>10323</v>
      </c>
    </row>
    <row r="70" spans="6:28" x14ac:dyDescent="0.15">
      <c r="F70">
        <f t="shared" si="13"/>
        <v>10</v>
      </c>
      <c r="G70">
        <v>67</v>
      </c>
      <c r="H70">
        <f t="shared" si="14"/>
        <v>252.4989122538434</v>
      </c>
      <c r="I70">
        <f t="shared" si="15"/>
        <v>252</v>
      </c>
      <c r="J70" s="1">
        <f t="shared" si="16"/>
        <v>1</v>
      </c>
      <c r="K70" s="1">
        <f t="shared" si="17"/>
        <v>252</v>
      </c>
      <c r="L70" s="1">
        <f t="shared" si="18"/>
        <v>41.160000000000004</v>
      </c>
      <c r="M70" s="3">
        <f t="shared" si="19"/>
        <v>8.9570107973653759</v>
      </c>
      <c r="N70" s="7">
        <f t="shared" si="12"/>
        <v>41</v>
      </c>
      <c r="O70" s="7">
        <f t="shared" si="20"/>
        <v>8</v>
      </c>
      <c r="P70" s="3">
        <f>SUM($O$4:O70)</f>
        <v>381</v>
      </c>
      <c r="T70" s="7">
        <v>14</v>
      </c>
      <c r="U70" s="3">
        <v>1.5535714285714286</v>
      </c>
      <c r="V70" s="3">
        <v>125.27762252221466</v>
      </c>
      <c r="Y70" s="3">
        <f t="shared" si="21"/>
        <v>67</v>
      </c>
      <c r="Z70" s="3">
        <f t="shared" si="22"/>
        <v>1761</v>
      </c>
      <c r="AB70" s="7">
        <f t="shared" si="23"/>
        <v>10711</v>
      </c>
    </row>
    <row r="71" spans="6:28" x14ac:dyDescent="0.15">
      <c r="F71">
        <f t="shared" si="13"/>
        <v>10</v>
      </c>
      <c r="G71">
        <v>68</v>
      </c>
      <c r="H71">
        <f t="shared" si="14"/>
        <v>252.4989122538434</v>
      </c>
      <c r="I71">
        <f t="shared" si="15"/>
        <v>252</v>
      </c>
      <c r="J71" s="1">
        <f t="shared" si="16"/>
        <v>1</v>
      </c>
      <c r="K71" s="1">
        <f t="shared" si="17"/>
        <v>252</v>
      </c>
      <c r="L71" s="1">
        <f t="shared" si="18"/>
        <v>41.160000000000004</v>
      </c>
      <c r="M71" s="3">
        <f t="shared" si="19"/>
        <v>8.9570107973653759</v>
      </c>
      <c r="N71" s="7">
        <f t="shared" si="12"/>
        <v>41</v>
      </c>
      <c r="O71" s="7">
        <f t="shared" si="20"/>
        <v>8</v>
      </c>
      <c r="P71" s="3">
        <f>SUM($O$4:O71)</f>
        <v>389</v>
      </c>
      <c r="T71" s="7">
        <v>15</v>
      </c>
      <c r="U71" s="3">
        <v>1.403225806451613</v>
      </c>
      <c r="V71" s="3">
        <v>126.68084832866627</v>
      </c>
      <c r="Y71" s="3">
        <f t="shared" si="21"/>
        <v>68</v>
      </c>
      <c r="Z71" s="3">
        <f t="shared" si="22"/>
        <v>1877</v>
      </c>
      <c r="AB71" s="7">
        <f t="shared" si="23"/>
        <v>10905</v>
      </c>
    </row>
    <row r="72" spans="6:28" x14ac:dyDescent="0.15">
      <c r="F72">
        <f t="shared" si="13"/>
        <v>10</v>
      </c>
      <c r="G72">
        <v>69</v>
      </c>
      <c r="H72">
        <f t="shared" si="14"/>
        <v>252.4989122538434</v>
      </c>
      <c r="I72">
        <f t="shared" si="15"/>
        <v>252</v>
      </c>
      <c r="J72" s="1">
        <f t="shared" si="16"/>
        <v>1</v>
      </c>
      <c r="K72" s="1">
        <f t="shared" si="17"/>
        <v>252</v>
      </c>
      <c r="L72" s="1">
        <f t="shared" si="18"/>
        <v>41.160000000000004</v>
      </c>
      <c r="M72" s="3">
        <f t="shared" si="19"/>
        <v>8.9570107973653759</v>
      </c>
      <c r="N72" s="7">
        <f t="shared" ref="N72:N135" si="24">ROUND(L72,0)</f>
        <v>41</v>
      </c>
      <c r="O72" s="7">
        <f t="shared" si="20"/>
        <v>8</v>
      </c>
      <c r="P72" s="3">
        <f>SUM($O$4:O72)</f>
        <v>397</v>
      </c>
      <c r="T72" s="7">
        <v>15</v>
      </c>
      <c r="U72" s="3">
        <v>1.403225806451613</v>
      </c>
      <c r="V72" s="3">
        <v>128.08407413511787</v>
      </c>
      <c r="Y72" s="3">
        <f t="shared" si="21"/>
        <v>69</v>
      </c>
      <c r="Z72" s="3">
        <f t="shared" si="22"/>
        <v>1999</v>
      </c>
      <c r="AB72" s="7">
        <f t="shared" si="23"/>
        <v>13040</v>
      </c>
    </row>
    <row r="73" spans="6:28" x14ac:dyDescent="0.15">
      <c r="F73">
        <f t="shared" si="13"/>
        <v>10</v>
      </c>
      <c r="G73">
        <v>70</v>
      </c>
      <c r="H73">
        <f t="shared" si="14"/>
        <v>252.4989122538434</v>
      </c>
      <c r="I73">
        <f t="shared" si="15"/>
        <v>252</v>
      </c>
      <c r="J73" s="1">
        <f t="shared" si="16"/>
        <v>10</v>
      </c>
      <c r="K73" s="1">
        <f t="shared" si="17"/>
        <v>2520</v>
      </c>
      <c r="L73" s="1">
        <f t="shared" si="18"/>
        <v>411.6</v>
      </c>
      <c r="M73" s="3">
        <f t="shared" si="19"/>
        <v>89.570107973653762</v>
      </c>
      <c r="N73" s="7">
        <f t="shared" si="24"/>
        <v>412</v>
      </c>
      <c r="O73" s="7">
        <f t="shared" si="20"/>
        <v>89</v>
      </c>
      <c r="P73" s="3">
        <f>SUM($O$4:O73)</f>
        <v>486</v>
      </c>
      <c r="T73" s="7">
        <v>15</v>
      </c>
      <c r="U73" s="3">
        <v>5.612903225806452</v>
      </c>
      <c r="V73" s="3">
        <v>133.69697736092434</v>
      </c>
      <c r="Y73" s="3">
        <f t="shared" si="21"/>
        <v>70</v>
      </c>
      <c r="Z73" s="3">
        <f t="shared" si="22"/>
        <v>2130</v>
      </c>
      <c r="AB73" s="7">
        <f t="shared" si="23"/>
        <v>13040</v>
      </c>
    </row>
    <row r="74" spans="6:28" x14ac:dyDescent="0.15">
      <c r="F74">
        <f t="shared" si="13"/>
        <v>11</v>
      </c>
      <c r="G74">
        <v>71</v>
      </c>
      <c r="H74">
        <f t="shared" si="14"/>
        <v>396.42329223853415</v>
      </c>
      <c r="I74">
        <f t="shared" si="15"/>
        <v>396</v>
      </c>
      <c r="J74" s="1">
        <f t="shared" si="16"/>
        <v>1</v>
      </c>
      <c r="K74" s="1">
        <f t="shared" si="17"/>
        <v>396</v>
      </c>
      <c r="L74" s="1">
        <f t="shared" si="18"/>
        <v>65.868000000000009</v>
      </c>
      <c r="M74" s="3">
        <f t="shared" si="19"/>
        <v>11.026022037842239</v>
      </c>
      <c r="N74" s="7">
        <f t="shared" si="24"/>
        <v>66</v>
      </c>
      <c r="O74" s="7">
        <f t="shared" si="20"/>
        <v>11</v>
      </c>
      <c r="P74" s="3">
        <f>SUM($O$4:O74)</f>
        <v>497</v>
      </c>
      <c r="T74" s="7">
        <v>16</v>
      </c>
      <c r="U74" s="3">
        <v>1.9514285714285715</v>
      </c>
      <c r="V74" s="3">
        <v>135.64840593235292</v>
      </c>
      <c r="Y74" s="3">
        <f t="shared" si="21"/>
        <v>71</v>
      </c>
      <c r="Z74" s="3">
        <f t="shared" si="22"/>
        <v>2268</v>
      </c>
      <c r="AB74" s="7">
        <f t="shared" si="23"/>
        <v>13040</v>
      </c>
    </row>
    <row r="75" spans="6:28" x14ac:dyDescent="0.15">
      <c r="F75">
        <f t="shared" si="13"/>
        <v>11</v>
      </c>
      <c r="G75">
        <v>72</v>
      </c>
      <c r="H75">
        <f t="shared" si="14"/>
        <v>396.42329223853415</v>
      </c>
      <c r="I75">
        <f t="shared" si="15"/>
        <v>396</v>
      </c>
      <c r="J75" s="1">
        <f t="shared" si="16"/>
        <v>1</v>
      </c>
      <c r="K75" s="1">
        <f t="shared" si="17"/>
        <v>396</v>
      </c>
      <c r="L75" s="1">
        <f t="shared" si="18"/>
        <v>65.868000000000009</v>
      </c>
      <c r="M75" s="3">
        <f t="shared" si="19"/>
        <v>11.026022037842239</v>
      </c>
      <c r="N75" s="7">
        <f t="shared" si="24"/>
        <v>66</v>
      </c>
      <c r="O75" s="7">
        <f t="shared" si="20"/>
        <v>11</v>
      </c>
      <c r="P75" s="3">
        <f>SUM($O$4:O75)</f>
        <v>508</v>
      </c>
      <c r="T75" s="7">
        <v>16</v>
      </c>
      <c r="U75" s="3">
        <v>1.9514285714285715</v>
      </c>
      <c r="V75" s="3">
        <v>137.59983450378149</v>
      </c>
      <c r="Y75" s="3">
        <f t="shared" si="21"/>
        <v>72</v>
      </c>
      <c r="Z75" s="3">
        <f t="shared" si="22"/>
        <v>2415</v>
      </c>
      <c r="AB75" s="7">
        <f t="shared" si="23"/>
        <v>13040</v>
      </c>
    </row>
    <row r="76" spans="6:28" x14ac:dyDescent="0.15">
      <c r="F76">
        <f t="shared" si="13"/>
        <v>11</v>
      </c>
      <c r="G76">
        <v>73</v>
      </c>
      <c r="H76">
        <f t="shared" si="14"/>
        <v>396.42329223853415</v>
      </c>
      <c r="I76">
        <f t="shared" si="15"/>
        <v>396</v>
      </c>
      <c r="J76" s="1">
        <f t="shared" si="16"/>
        <v>1</v>
      </c>
      <c r="K76" s="1">
        <f t="shared" si="17"/>
        <v>396</v>
      </c>
      <c r="L76" s="1">
        <f t="shared" si="18"/>
        <v>65.868000000000009</v>
      </c>
      <c r="M76" s="3">
        <f t="shared" si="19"/>
        <v>11.026022037842239</v>
      </c>
      <c r="N76" s="7">
        <f t="shared" si="24"/>
        <v>66</v>
      </c>
      <c r="O76" s="7">
        <f t="shared" si="20"/>
        <v>11</v>
      </c>
      <c r="P76" s="3">
        <f>SUM($O$4:O76)</f>
        <v>519</v>
      </c>
      <c r="T76" s="7">
        <v>16</v>
      </c>
      <c r="U76" s="3">
        <v>1.9514285714285715</v>
      </c>
      <c r="V76" s="3">
        <v>139.55126307521007</v>
      </c>
      <c r="Y76" s="3">
        <f t="shared" si="21"/>
        <v>73</v>
      </c>
      <c r="Z76" s="3">
        <f t="shared" si="22"/>
        <v>2571</v>
      </c>
      <c r="AB76" s="7">
        <f t="shared" si="23"/>
        <v>13040</v>
      </c>
    </row>
    <row r="77" spans="6:28" x14ac:dyDescent="0.15">
      <c r="F77">
        <f t="shared" si="13"/>
        <v>11</v>
      </c>
      <c r="G77">
        <v>74</v>
      </c>
      <c r="H77">
        <f t="shared" si="14"/>
        <v>396.42329223853415</v>
      </c>
      <c r="I77">
        <f t="shared" si="15"/>
        <v>396</v>
      </c>
      <c r="J77" s="1">
        <f t="shared" si="16"/>
        <v>1</v>
      </c>
      <c r="K77" s="1">
        <f t="shared" si="17"/>
        <v>396</v>
      </c>
      <c r="L77" s="1">
        <f t="shared" si="18"/>
        <v>65.868000000000009</v>
      </c>
      <c r="M77" s="3">
        <f t="shared" si="19"/>
        <v>11.026022037842239</v>
      </c>
      <c r="N77" s="7">
        <f t="shared" si="24"/>
        <v>66</v>
      </c>
      <c r="O77" s="7">
        <f t="shared" si="20"/>
        <v>11</v>
      </c>
      <c r="P77" s="3">
        <f>SUM($O$4:O77)</f>
        <v>530</v>
      </c>
      <c r="T77" s="7">
        <v>16</v>
      </c>
      <c r="U77" s="3">
        <v>1.9514285714285715</v>
      </c>
      <c r="V77" s="3">
        <v>141.50269164663865</v>
      </c>
      <c r="Y77" s="3">
        <f t="shared" si="21"/>
        <v>74</v>
      </c>
      <c r="Z77" s="3">
        <f t="shared" si="22"/>
        <v>2737</v>
      </c>
      <c r="AB77" s="7">
        <f t="shared" si="23"/>
        <v>13040</v>
      </c>
    </row>
    <row r="78" spans="6:28" x14ac:dyDescent="0.15">
      <c r="F78">
        <f t="shared" si="13"/>
        <v>11</v>
      </c>
      <c r="G78">
        <v>75</v>
      </c>
      <c r="H78">
        <f t="shared" si="14"/>
        <v>396.42329223853415</v>
      </c>
      <c r="I78">
        <f t="shared" si="15"/>
        <v>396</v>
      </c>
      <c r="J78" s="1">
        <f t="shared" si="16"/>
        <v>1</v>
      </c>
      <c r="K78" s="1">
        <f t="shared" si="17"/>
        <v>396</v>
      </c>
      <c r="L78" s="1">
        <f t="shared" si="18"/>
        <v>65.868000000000009</v>
      </c>
      <c r="M78" s="3">
        <f t="shared" si="19"/>
        <v>11.026022037842239</v>
      </c>
      <c r="N78" s="7">
        <f t="shared" si="24"/>
        <v>66</v>
      </c>
      <c r="O78" s="7">
        <f t="shared" si="20"/>
        <v>11</v>
      </c>
      <c r="P78" s="3">
        <f>SUM($O$4:O78)</f>
        <v>541</v>
      </c>
      <c r="T78" s="7">
        <v>17</v>
      </c>
      <c r="U78" s="3">
        <v>1.7512820512820515</v>
      </c>
      <c r="V78" s="3">
        <v>143.25397369792071</v>
      </c>
      <c r="Y78" s="3">
        <f t="shared" si="21"/>
        <v>75</v>
      </c>
      <c r="Z78" s="3">
        <f t="shared" si="22"/>
        <v>2912</v>
      </c>
      <c r="AB78" s="7">
        <f t="shared" si="23"/>
        <v>13040</v>
      </c>
    </row>
    <row r="79" spans="6:28" x14ac:dyDescent="0.15">
      <c r="F79">
        <f t="shared" si="13"/>
        <v>11</v>
      </c>
      <c r="G79">
        <v>76</v>
      </c>
      <c r="H79">
        <f t="shared" si="14"/>
        <v>396.42329223853415</v>
      </c>
      <c r="I79">
        <f t="shared" si="15"/>
        <v>396</v>
      </c>
      <c r="J79" s="1">
        <f t="shared" si="16"/>
        <v>1</v>
      </c>
      <c r="K79" s="1">
        <f t="shared" si="17"/>
        <v>396</v>
      </c>
      <c r="L79" s="1">
        <f t="shared" si="18"/>
        <v>65.868000000000009</v>
      </c>
      <c r="M79" s="3">
        <f t="shared" si="19"/>
        <v>11.026022037842239</v>
      </c>
      <c r="N79" s="7">
        <f t="shared" si="24"/>
        <v>66</v>
      </c>
      <c r="O79" s="7">
        <f t="shared" si="20"/>
        <v>11</v>
      </c>
      <c r="P79" s="3">
        <f>SUM($O$4:O79)</f>
        <v>552</v>
      </c>
      <c r="T79" s="7">
        <v>17</v>
      </c>
      <c r="U79" s="3">
        <v>1.7512820512820515</v>
      </c>
      <c r="V79" s="3">
        <v>145.00525574920277</v>
      </c>
      <c r="Y79" s="3">
        <f t="shared" si="21"/>
        <v>76</v>
      </c>
      <c r="Z79" s="3">
        <f t="shared" si="22"/>
        <v>3099</v>
      </c>
      <c r="AB79" s="7">
        <f t="shared" si="23"/>
        <v>13040</v>
      </c>
    </row>
    <row r="80" spans="6:28" x14ac:dyDescent="0.15">
      <c r="F80">
        <f t="shared" si="13"/>
        <v>11</v>
      </c>
      <c r="G80">
        <v>77</v>
      </c>
      <c r="H80">
        <f t="shared" si="14"/>
        <v>396.42329223853415</v>
      </c>
      <c r="I80">
        <f t="shared" si="15"/>
        <v>396</v>
      </c>
      <c r="J80" s="1">
        <f t="shared" si="16"/>
        <v>2</v>
      </c>
      <c r="K80" s="1">
        <f t="shared" si="17"/>
        <v>792</v>
      </c>
      <c r="L80" s="1">
        <f t="shared" si="18"/>
        <v>131.73600000000002</v>
      </c>
      <c r="M80" s="3">
        <f t="shared" si="19"/>
        <v>22.052044075684478</v>
      </c>
      <c r="N80" s="7">
        <f t="shared" si="24"/>
        <v>132</v>
      </c>
      <c r="O80" s="7">
        <f t="shared" si="20"/>
        <v>22</v>
      </c>
      <c r="P80" s="3">
        <f>SUM($O$4:O80)</f>
        <v>574</v>
      </c>
      <c r="T80" s="7">
        <v>17</v>
      </c>
      <c r="U80" s="3">
        <v>1.7512820512820515</v>
      </c>
      <c r="V80" s="3">
        <v>146.75653780048484</v>
      </c>
      <c r="Y80" s="3">
        <f t="shared" si="21"/>
        <v>77</v>
      </c>
      <c r="Z80" s="3">
        <f t="shared" si="22"/>
        <v>3297</v>
      </c>
      <c r="AB80" s="7">
        <f t="shared" si="23"/>
        <v>13040</v>
      </c>
    </row>
    <row r="81" spans="6:28" x14ac:dyDescent="0.15">
      <c r="F81">
        <f t="shared" si="13"/>
        <v>12</v>
      </c>
      <c r="G81">
        <v>78</v>
      </c>
      <c r="H81">
        <f t="shared" si="14"/>
        <v>622.38456881449861</v>
      </c>
      <c r="I81">
        <f t="shared" si="15"/>
        <v>622</v>
      </c>
      <c r="J81" s="1">
        <f t="shared" si="16"/>
        <v>1</v>
      </c>
      <c r="K81" s="1">
        <f t="shared" si="17"/>
        <v>622</v>
      </c>
      <c r="L81" s="1">
        <f t="shared" si="18"/>
        <v>105.32533333333333</v>
      </c>
      <c r="M81" s="3">
        <f t="shared" si="19"/>
        <v>13.562316316507289</v>
      </c>
      <c r="N81" s="7">
        <f t="shared" si="24"/>
        <v>105</v>
      </c>
      <c r="O81" s="7">
        <f t="shared" si="20"/>
        <v>13</v>
      </c>
      <c r="P81" s="3">
        <f>SUM($O$4:O81)</f>
        <v>587</v>
      </c>
      <c r="T81" s="7">
        <v>17</v>
      </c>
      <c r="U81" s="3">
        <v>1.7512820512820515</v>
      </c>
      <c r="V81" s="3">
        <v>148.5078198517669</v>
      </c>
      <c r="Y81" s="3">
        <f t="shared" si="21"/>
        <v>78</v>
      </c>
      <c r="Z81" s="3">
        <f t="shared" si="22"/>
        <v>3506</v>
      </c>
      <c r="AB81" s="7">
        <f t="shared" si="23"/>
        <v>13040</v>
      </c>
    </row>
    <row r="82" spans="6:28" x14ac:dyDescent="0.15">
      <c r="F82">
        <f t="shared" si="13"/>
        <v>12</v>
      </c>
      <c r="G82">
        <v>79</v>
      </c>
      <c r="H82">
        <f t="shared" si="14"/>
        <v>622.38456881449861</v>
      </c>
      <c r="I82">
        <f t="shared" si="15"/>
        <v>622</v>
      </c>
      <c r="J82" s="1">
        <f t="shared" si="16"/>
        <v>1</v>
      </c>
      <c r="K82" s="1">
        <f t="shared" si="17"/>
        <v>622</v>
      </c>
      <c r="L82" s="1">
        <f t="shared" si="18"/>
        <v>105.32533333333333</v>
      </c>
      <c r="M82" s="3">
        <f t="shared" si="19"/>
        <v>13.562316316507289</v>
      </c>
      <c r="N82" s="7">
        <f t="shared" si="24"/>
        <v>105</v>
      </c>
      <c r="O82" s="7">
        <f t="shared" si="20"/>
        <v>13</v>
      </c>
      <c r="P82" s="3">
        <f>SUM($O$4:O82)</f>
        <v>600</v>
      </c>
      <c r="T82" s="7">
        <v>18</v>
      </c>
      <c r="U82" s="3">
        <v>1.5883720930232559</v>
      </c>
      <c r="V82" s="3">
        <v>150.09619194479015</v>
      </c>
      <c r="Y82" s="3">
        <f t="shared" si="21"/>
        <v>79</v>
      </c>
      <c r="Z82" s="3">
        <f t="shared" si="22"/>
        <v>3729</v>
      </c>
      <c r="AB82" s="7">
        <f t="shared" si="23"/>
        <v>13040</v>
      </c>
    </row>
    <row r="83" spans="6:28" x14ac:dyDescent="0.15">
      <c r="F83">
        <f t="shared" si="13"/>
        <v>12</v>
      </c>
      <c r="G83">
        <v>80</v>
      </c>
      <c r="H83">
        <f t="shared" si="14"/>
        <v>622.38456881449861</v>
      </c>
      <c r="I83">
        <f t="shared" si="15"/>
        <v>622</v>
      </c>
      <c r="J83" s="1">
        <f t="shared" si="16"/>
        <v>1</v>
      </c>
      <c r="K83" s="1">
        <f t="shared" si="17"/>
        <v>622</v>
      </c>
      <c r="L83" s="1">
        <f t="shared" si="18"/>
        <v>105.32533333333333</v>
      </c>
      <c r="M83" s="3">
        <f t="shared" si="19"/>
        <v>13.562316316507289</v>
      </c>
      <c r="N83" s="7">
        <f t="shared" si="24"/>
        <v>105</v>
      </c>
      <c r="O83" s="7">
        <f t="shared" si="20"/>
        <v>13</v>
      </c>
      <c r="P83" s="3">
        <f>SUM($O$4:O83)</f>
        <v>613</v>
      </c>
      <c r="T83" s="7">
        <v>18</v>
      </c>
      <c r="U83" s="3">
        <v>9.5302325581395344</v>
      </c>
      <c r="V83" s="3">
        <v>159.62642450292969</v>
      </c>
      <c r="Y83" s="3">
        <f t="shared" si="21"/>
        <v>80</v>
      </c>
      <c r="Z83" s="3">
        <f t="shared" si="22"/>
        <v>3965</v>
      </c>
      <c r="AB83" s="7">
        <f t="shared" si="23"/>
        <v>13040</v>
      </c>
    </row>
    <row r="84" spans="6:28" x14ac:dyDescent="0.15">
      <c r="F84">
        <f t="shared" si="13"/>
        <v>12</v>
      </c>
      <c r="G84">
        <v>81</v>
      </c>
      <c r="H84">
        <f t="shared" si="14"/>
        <v>622.38456881449861</v>
      </c>
      <c r="I84">
        <f t="shared" si="15"/>
        <v>622</v>
      </c>
      <c r="J84" s="1">
        <f t="shared" si="16"/>
        <v>1</v>
      </c>
      <c r="K84" s="1">
        <f t="shared" si="17"/>
        <v>622</v>
      </c>
      <c r="L84" s="1">
        <f t="shared" si="18"/>
        <v>105.32533333333333</v>
      </c>
      <c r="M84" s="3">
        <f t="shared" si="19"/>
        <v>13.562316316507289</v>
      </c>
      <c r="N84" s="7">
        <f t="shared" si="24"/>
        <v>105</v>
      </c>
      <c r="O84" s="7">
        <f t="shared" si="20"/>
        <v>13</v>
      </c>
      <c r="P84" s="3">
        <f>SUM($O$4:O84)</f>
        <v>626</v>
      </c>
      <c r="T84" s="7">
        <v>19</v>
      </c>
      <c r="U84" s="3">
        <v>2.2333333333333334</v>
      </c>
      <c r="V84" s="3">
        <v>161.85975783626301</v>
      </c>
      <c r="Y84" s="3">
        <f t="shared" si="21"/>
        <v>81</v>
      </c>
      <c r="Z84" s="3">
        <f t="shared" si="22"/>
        <v>4215</v>
      </c>
      <c r="AB84" s="7">
        <f t="shared" si="23"/>
        <v>13040</v>
      </c>
    </row>
    <row r="85" spans="6:28" x14ac:dyDescent="0.15">
      <c r="F85">
        <f t="shared" si="13"/>
        <v>12</v>
      </c>
      <c r="G85">
        <v>82</v>
      </c>
      <c r="H85">
        <f t="shared" si="14"/>
        <v>622.38456881449861</v>
      </c>
      <c r="I85">
        <f t="shared" si="15"/>
        <v>622</v>
      </c>
      <c r="J85" s="1">
        <f t="shared" si="16"/>
        <v>1</v>
      </c>
      <c r="K85" s="1">
        <f t="shared" si="17"/>
        <v>622</v>
      </c>
      <c r="L85" s="1">
        <f t="shared" si="18"/>
        <v>105.32533333333333</v>
      </c>
      <c r="M85" s="3">
        <f t="shared" si="19"/>
        <v>13.562316316507289</v>
      </c>
      <c r="N85" s="7">
        <f t="shared" si="24"/>
        <v>105</v>
      </c>
      <c r="O85" s="7">
        <f t="shared" si="20"/>
        <v>13</v>
      </c>
      <c r="P85" s="3">
        <f>SUM($O$4:O85)</f>
        <v>639</v>
      </c>
      <c r="T85" s="7">
        <v>19</v>
      </c>
      <c r="U85" s="3">
        <v>2.2333333333333334</v>
      </c>
      <c r="V85" s="3">
        <v>164.09309116959633</v>
      </c>
      <c r="Y85" s="3">
        <f t="shared" si="21"/>
        <v>82</v>
      </c>
      <c r="Z85" s="3">
        <f t="shared" si="22"/>
        <v>4481</v>
      </c>
      <c r="AB85" s="7">
        <f t="shared" si="23"/>
        <v>13040</v>
      </c>
    </row>
    <row r="86" spans="6:28" x14ac:dyDescent="0.15">
      <c r="F86">
        <f t="shared" si="13"/>
        <v>12</v>
      </c>
      <c r="G86">
        <v>83</v>
      </c>
      <c r="H86">
        <f t="shared" si="14"/>
        <v>622.38456881449861</v>
      </c>
      <c r="I86">
        <f t="shared" si="15"/>
        <v>622</v>
      </c>
      <c r="J86" s="1">
        <f t="shared" si="16"/>
        <v>1</v>
      </c>
      <c r="K86" s="1">
        <f t="shared" si="17"/>
        <v>622</v>
      </c>
      <c r="L86" s="1">
        <f t="shared" si="18"/>
        <v>105.32533333333333</v>
      </c>
      <c r="M86" s="3">
        <f t="shared" si="19"/>
        <v>13.562316316507289</v>
      </c>
      <c r="N86" s="7">
        <f t="shared" si="24"/>
        <v>105</v>
      </c>
      <c r="O86" s="7">
        <f t="shared" si="20"/>
        <v>13</v>
      </c>
      <c r="P86" s="3">
        <f>SUM($O$4:O86)</f>
        <v>652</v>
      </c>
      <c r="T86" s="7">
        <v>20</v>
      </c>
      <c r="U86" s="3">
        <v>2.0226415094339623</v>
      </c>
      <c r="V86" s="3">
        <v>166.11573267903029</v>
      </c>
      <c r="Y86" s="3">
        <f t="shared" si="21"/>
        <v>83</v>
      </c>
      <c r="Z86" s="3">
        <f t="shared" si="22"/>
        <v>4762</v>
      </c>
      <c r="AB86" s="7">
        <f t="shared" si="23"/>
        <v>13040</v>
      </c>
    </row>
    <row r="87" spans="6:28" x14ac:dyDescent="0.15">
      <c r="F87">
        <f t="shared" si="13"/>
        <v>12</v>
      </c>
      <c r="G87">
        <v>84</v>
      </c>
      <c r="H87">
        <f t="shared" si="14"/>
        <v>622.38456881449861</v>
      </c>
      <c r="I87">
        <f t="shared" si="15"/>
        <v>622</v>
      </c>
      <c r="J87" s="1">
        <f t="shared" si="16"/>
        <v>4</v>
      </c>
      <c r="K87" s="1">
        <f t="shared" si="17"/>
        <v>2488</v>
      </c>
      <c r="L87" s="1">
        <f t="shared" si="18"/>
        <v>421.30133333333333</v>
      </c>
      <c r="M87" s="3">
        <f t="shared" si="19"/>
        <v>54.249265266029155</v>
      </c>
      <c r="N87" s="7">
        <f t="shared" si="24"/>
        <v>421</v>
      </c>
      <c r="O87" s="7">
        <f t="shared" si="20"/>
        <v>54</v>
      </c>
      <c r="P87" s="3">
        <f>SUM($O$4:O87)</f>
        <v>706</v>
      </c>
      <c r="T87" s="7">
        <v>20</v>
      </c>
      <c r="U87" s="3">
        <v>2.0226415094339623</v>
      </c>
      <c r="V87" s="3">
        <v>168.13837418846424</v>
      </c>
      <c r="Y87" s="3">
        <f t="shared" si="21"/>
        <v>84</v>
      </c>
      <c r="Z87" s="3">
        <f t="shared" si="22"/>
        <v>5060</v>
      </c>
      <c r="AB87" s="7">
        <f t="shared" si="23"/>
        <v>13040</v>
      </c>
    </row>
    <row r="88" spans="6:28" x14ac:dyDescent="0.15">
      <c r="F88">
        <f t="shared" si="13"/>
        <v>13</v>
      </c>
      <c r="G88">
        <v>85</v>
      </c>
      <c r="H88">
        <f t="shared" si="14"/>
        <v>977.14377303876279</v>
      </c>
      <c r="I88">
        <f t="shared" si="15"/>
        <v>977</v>
      </c>
      <c r="J88" s="1">
        <f t="shared" si="16"/>
        <v>1</v>
      </c>
      <c r="K88" s="1">
        <f t="shared" si="17"/>
        <v>977</v>
      </c>
      <c r="L88" s="1">
        <f t="shared" si="18"/>
        <v>168.36966666666666</v>
      </c>
      <c r="M88" s="3">
        <f t="shared" si="19"/>
        <v>16.677138167053293</v>
      </c>
      <c r="N88" s="7">
        <f t="shared" si="24"/>
        <v>168</v>
      </c>
      <c r="O88" s="7">
        <f t="shared" si="20"/>
        <v>16</v>
      </c>
      <c r="P88" s="3">
        <f>SUM($O$4:O88)</f>
        <v>722</v>
      </c>
      <c r="T88" s="7">
        <v>20</v>
      </c>
      <c r="U88" s="3">
        <v>2.0226415094339623</v>
      </c>
      <c r="V88" s="3">
        <v>170.16101569789819</v>
      </c>
      <c r="Y88" s="3">
        <f t="shared" si="21"/>
        <v>85</v>
      </c>
      <c r="Z88" s="3">
        <f t="shared" si="22"/>
        <v>5377</v>
      </c>
      <c r="AB88" s="7">
        <f t="shared" si="23"/>
        <v>13040</v>
      </c>
    </row>
    <row r="89" spans="6:28" x14ac:dyDescent="0.15">
      <c r="F89">
        <f t="shared" si="13"/>
        <v>13</v>
      </c>
      <c r="G89">
        <v>86</v>
      </c>
      <c r="H89">
        <f t="shared" si="14"/>
        <v>977.14377303876279</v>
      </c>
      <c r="I89">
        <f t="shared" si="15"/>
        <v>977</v>
      </c>
      <c r="J89" s="1">
        <f t="shared" si="16"/>
        <v>1</v>
      </c>
      <c r="K89" s="1">
        <f t="shared" si="17"/>
        <v>977</v>
      </c>
      <c r="L89" s="1">
        <f t="shared" si="18"/>
        <v>168.36966666666666</v>
      </c>
      <c r="M89" s="3">
        <f t="shared" si="19"/>
        <v>16.677138167053293</v>
      </c>
      <c r="N89" s="7">
        <f t="shared" si="24"/>
        <v>168</v>
      </c>
      <c r="O89" s="7">
        <f t="shared" si="20"/>
        <v>16</v>
      </c>
      <c r="P89" s="3">
        <f>SUM($O$4:O89)</f>
        <v>738</v>
      </c>
      <c r="T89" s="7">
        <v>20</v>
      </c>
      <c r="U89" s="3">
        <v>2.0226415094339623</v>
      </c>
      <c r="V89" s="3">
        <v>172.18365720733215</v>
      </c>
      <c r="Y89" s="3">
        <f t="shared" si="21"/>
        <v>86</v>
      </c>
      <c r="Z89" s="3">
        <f t="shared" si="22"/>
        <v>5712</v>
      </c>
      <c r="AB89" s="7">
        <f t="shared" si="23"/>
        <v>13040</v>
      </c>
    </row>
    <row r="90" spans="6:28" x14ac:dyDescent="0.15">
      <c r="F90">
        <f t="shared" si="13"/>
        <v>13</v>
      </c>
      <c r="G90">
        <v>87</v>
      </c>
      <c r="H90">
        <f t="shared" si="14"/>
        <v>977.14377303876279</v>
      </c>
      <c r="I90">
        <f t="shared" si="15"/>
        <v>977</v>
      </c>
      <c r="J90" s="1">
        <f t="shared" si="16"/>
        <v>1</v>
      </c>
      <c r="K90" s="1">
        <f t="shared" si="17"/>
        <v>977</v>
      </c>
      <c r="L90" s="1">
        <f t="shared" si="18"/>
        <v>168.36966666666666</v>
      </c>
      <c r="M90" s="3">
        <f t="shared" si="19"/>
        <v>16.677138167053293</v>
      </c>
      <c r="N90" s="7">
        <f t="shared" si="24"/>
        <v>168</v>
      </c>
      <c r="O90" s="7">
        <f t="shared" si="20"/>
        <v>16</v>
      </c>
      <c r="P90" s="3">
        <f>SUM($O$4:O90)</f>
        <v>754</v>
      </c>
      <c r="T90" s="7">
        <v>21</v>
      </c>
      <c r="U90" s="3">
        <v>1.8169491525423731</v>
      </c>
      <c r="V90" s="3">
        <v>174.00060635987452</v>
      </c>
      <c r="Y90" s="3">
        <f t="shared" si="21"/>
        <v>87</v>
      </c>
      <c r="Z90" s="3">
        <f t="shared" si="22"/>
        <v>6067</v>
      </c>
      <c r="AB90" s="7">
        <f t="shared" si="23"/>
        <v>13040</v>
      </c>
    </row>
    <row r="91" spans="6:28" x14ac:dyDescent="0.15">
      <c r="F91">
        <f t="shared" si="13"/>
        <v>13</v>
      </c>
      <c r="G91">
        <v>88</v>
      </c>
      <c r="H91">
        <f t="shared" si="14"/>
        <v>977.14377303876279</v>
      </c>
      <c r="I91">
        <f t="shared" si="15"/>
        <v>977</v>
      </c>
      <c r="J91" s="1">
        <f t="shared" si="16"/>
        <v>1</v>
      </c>
      <c r="K91" s="1">
        <f t="shared" si="17"/>
        <v>977</v>
      </c>
      <c r="L91" s="1">
        <f t="shared" si="18"/>
        <v>168.36966666666666</v>
      </c>
      <c r="M91" s="3">
        <f t="shared" si="19"/>
        <v>16.677138167053293</v>
      </c>
      <c r="N91" s="7">
        <f t="shared" si="24"/>
        <v>168</v>
      </c>
      <c r="O91" s="7">
        <f t="shared" si="20"/>
        <v>16</v>
      </c>
      <c r="P91" s="3">
        <f>SUM($O$4:O91)</f>
        <v>770</v>
      </c>
      <c r="T91" s="7">
        <v>21</v>
      </c>
      <c r="U91" s="3">
        <v>1.8169491525423731</v>
      </c>
      <c r="V91" s="3">
        <v>175.8175555124169</v>
      </c>
      <c r="Y91" s="3">
        <f t="shared" si="21"/>
        <v>88</v>
      </c>
      <c r="Z91" s="3">
        <f t="shared" si="22"/>
        <v>6444</v>
      </c>
      <c r="AB91" s="7">
        <f t="shared" si="23"/>
        <v>13040</v>
      </c>
    </row>
    <row r="92" spans="6:28" x14ac:dyDescent="0.15">
      <c r="F92">
        <f t="shared" si="13"/>
        <v>13</v>
      </c>
      <c r="G92">
        <v>89</v>
      </c>
      <c r="H92">
        <f t="shared" si="14"/>
        <v>977.14377303876279</v>
      </c>
      <c r="I92">
        <f t="shared" si="15"/>
        <v>977</v>
      </c>
      <c r="J92" s="1">
        <f t="shared" si="16"/>
        <v>1</v>
      </c>
      <c r="K92" s="1">
        <f t="shared" si="17"/>
        <v>977</v>
      </c>
      <c r="L92" s="1">
        <f t="shared" si="18"/>
        <v>168.36966666666666</v>
      </c>
      <c r="M92" s="3">
        <f t="shared" si="19"/>
        <v>16.677138167053293</v>
      </c>
      <c r="N92" s="7">
        <f t="shared" si="24"/>
        <v>168</v>
      </c>
      <c r="O92" s="7">
        <f t="shared" si="20"/>
        <v>16</v>
      </c>
      <c r="P92" s="3">
        <f>SUM($O$4:O92)</f>
        <v>786</v>
      </c>
      <c r="T92" s="7">
        <v>21</v>
      </c>
      <c r="U92" s="3">
        <v>1.8169491525423731</v>
      </c>
      <c r="V92" s="3">
        <v>177.63450466495928</v>
      </c>
      <c r="Y92" s="3">
        <f t="shared" si="21"/>
        <v>89</v>
      </c>
      <c r="Z92" s="3">
        <f t="shared" si="22"/>
        <v>6843</v>
      </c>
      <c r="AB92" s="7">
        <f t="shared" si="23"/>
        <v>13040</v>
      </c>
    </row>
    <row r="93" spans="6:28" x14ac:dyDescent="0.15">
      <c r="F93">
        <f t="shared" si="13"/>
        <v>13</v>
      </c>
      <c r="G93">
        <v>90</v>
      </c>
      <c r="H93">
        <f t="shared" si="14"/>
        <v>977.14377303876279</v>
      </c>
      <c r="I93">
        <f t="shared" si="15"/>
        <v>977</v>
      </c>
      <c r="J93" s="1">
        <f t="shared" si="16"/>
        <v>1</v>
      </c>
      <c r="K93" s="1">
        <f t="shared" si="17"/>
        <v>977</v>
      </c>
      <c r="L93" s="1">
        <f t="shared" si="18"/>
        <v>168.36966666666666</v>
      </c>
      <c r="M93" s="3">
        <f t="shared" si="19"/>
        <v>16.677138167053293</v>
      </c>
      <c r="N93" s="7">
        <f t="shared" si="24"/>
        <v>168</v>
      </c>
      <c r="O93" s="7">
        <f t="shared" si="20"/>
        <v>16</v>
      </c>
      <c r="P93" s="3">
        <f>SUM($O$4:O93)</f>
        <v>802</v>
      </c>
      <c r="T93" s="7">
        <v>21</v>
      </c>
      <c r="U93" s="3">
        <v>12.720338983050848</v>
      </c>
      <c r="V93" s="3">
        <v>190.35484364801013</v>
      </c>
      <c r="Y93" s="3">
        <f t="shared" si="21"/>
        <v>90</v>
      </c>
      <c r="Z93" s="3">
        <f t="shared" si="22"/>
        <v>7266</v>
      </c>
      <c r="AB93" s="7">
        <f t="shared" si="23"/>
        <v>13040</v>
      </c>
    </row>
    <row r="94" spans="6:28" x14ac:dyDescent="0.15">
      <c r="F94">
        <f t="shared" si="13"/>
        <v>13</v>
      </c>
      <c r="G94">
        <v>91</v>
      </c>
      <c r="H94">
        <f t="shared" si="14"/>
        <v>977.14377303876279</v>
      </c>
      <c r="I94">
        <f t="shared" si="15"/>
        <v>977</v>
      </c>
      <c r="J94" s="1">
        <f t="shared" si="16"/>
        <v>6</v>
      </c>
      <c r="K94" s="1">
        <f t="shared" si="17"/>
        <v>5862</v>
      </c>
      <c r="L94" s="1">
        <f t="shared" si="18"/>
        <v>1010.2180000000001</v>
      </c>
      <c r="M94" s="3">
        <f t="shared" si="19"/>
        <v>100.06282900231976</v>
      </c>
      <c r="N94" s="7">
        <f t="shared" si="24"/>
        <v>1010</v>
      </c>
      <c r="O94" s="7">
        <f t="shared" si="20"/>
        <v>100</v>
      </c>
      <c r="P94" s="3">
        <f>SUM($O$4:O94)</f>
        <v>902</v>
      </c>
      <c r="T94" s="7">
        <v>23</v>
      </c>
      <c r="U94" s="3">
        <v>2.3704225352112678</v>
      </c>
      <c r="V94" s="3">
        <v>192.72526618322141</v>
      </c>
      <c r="Y94" s="3">
        <f t="shared" si="21"/>
        <v>91</v>
      </c>
      <c r="Z94" s="3">
        <f t="shared" si="22"/>
        <v>7714</v>
      </c>
      <c r="AB94" s="7">
        <f t="shared" si="23"/>
        <v>13040</v>
      </c>
    </row>
    <row r="95" spans="6:28" x14ac:dyDescent="0.15">
      <c r="F95">
        <f t="shared" si="13"/>
        <v>14</v>
      </c>
      <c r="G95">
        <v>92</v>
      </c>
      <c r="H95">
        <f t="shared" si="14"/>
        <v>1534.1157236708577</v>
      </c>
      <c r="I95">
        <f t="shared" si="15"/>
        <v>1534</v>
      </c>
      <c r="J95" s="1">
        <f t="shared" si="16"/>
        <v>1</v>
      </c>
      <c r="K95" s="1">
        <f t="shared" si="17"/>
        <v>1534</v>
      </c>
      <c r="L95" s="1">
        <f t="shared" si="18"/>
        <v>268.96133333333336</v>
      </c>
      <c r="M95" s="3">
        <f t="shared" si="19"/>
        <v>20.492935420922294</v>
      </c>
      <c r="N95" s="7">
        <f t="shared" si="24"/>
        <v>269</v>
      </c>
      <c r="O95" s="7">
        <f t="shared" si="20"/>
        <v>20</v>
      </c>
      <c r="P95" s="3">
        <f>SUM($O$4:O95)</f>
        <v>922</v>
      </c>
      <c r="T95" s="7">
        <v>23</v>
      </c>
      <c r="U95" s="3">
        <v>2.3704225352112678</v>
      </c>
      <c r="V95" s="3">
        <v>195.09568871843268</v>
      </c>
      <c r="Y95" s="3">
        <f t="shared" si="21"/>
        <v>92</v>
      </c>
      <c r="Z95" s="3">
        <f t="shared" si="22"/>
        <v>8188</v>
      </c>
      <c r="AB95" s="7">
        <f t="shared" si="23"/>
        <v>13040</v>
      </c>
    </row>
    <row r="96" spans="6:28" x14ac:dyDescent="0.15">
      <c r="F96">
        <f t="shared" si="13"/>
        <v>14</v>
      </c>
      <c r="G96">
        <v>93</v>
      </c>
      <c r="H96">
        <f t="shared" si="14"/>
        <v>1534.1157236708577</v>
      </c>
      <c r="I96">
        <f t="shared" si="15"/>
        <v>1534</v>
      </c>
      <c r="J96" s="1">
        <f t="shared" si="16"/>
        <v>1</v>
      </c>
      <c r="K96" s="1">
        <f t="shared" si="17"/>
        <v>1534</v>
      </c>
      <c r="L96" s="1">
        <f t="shared" si="18"/>
        <v>268.96133333333336</v>
      </c>
      <c r="M96" s="3">
        <f t="shared" si="19"/>
        <v>20.492935420922294</v>
      </c>
      <c r="N96" s="7">
        <f t="shared" si="24"/>
        <v>269</v>
      </c>
      <c r="O96" s="7">
        <f t="shared" si="20"/>
        <v>20</v>
      </c>
      <c r="P96" s="3">
        <f>SUM($O$4:O96)</f>
        <v>942</v>
      </c>
      <c r="T96" s="7">
        <v>24</v>
      </c>
      <c r="U96" s="3">
        <v>2.1857142857142859</v>
      </c>
      <c r="V96" s="3">
        <v>197.28140300414697</v>
      </c>
      <c r="Y96" s="3">
        <f t="shared" si="21"/>
        <v>93</v>
      </c>
      <c r="Z96" s="3">
        <f t="shared" si="22"/>
        <v>8691</v>
      </c>
      <c r="AB96" s="7">
        <f t="shared" si="23"/>
        <v>13040</v>
      </c>
    </row>
    <row r="97" spans="6:28" x14ac:dyDescent="0.15">
      <c r="F97">
        <f t="shared" si="13"/>
        <v>14</v>
      </c>
      <c r="G97">
        <v>94</v>
      </c>
      <c r="H97">
        <f t="shared" si="14"/>
        <v>1534.1157236708577</v>
      </c>
      <c r="I97">
        <f t="shared" si="15"/>
        <v>1534</v>
      </c>
      <c r="J97" s="1">
        <f t="shared" si="16"/>
        <v>1</v>
      </c>
      <c r="K97" s="1">
        <f t="shared" si="17"/>
        <v>1534</v>
      </c>
      <c r="L97" s="1">
        <f t="shared" si="18"/>
        <v>268.96133333333336</v>
      </c>
      <c r="M97" s="3">
        <f t="shared" si="19"/>
        <v>20.492935420922294</v>
      </c>
      <c r="N97" s="7">
        <f t="shared" si="24"/>
        <v>269</v>
      </c>
      <c r="O97" s="7">
        <f t="shared" si="20"/>
        <v>20</v>
      </c>
      <c r="P97" s="3">
        <f>SUM($O$4:O97)</f>
        <v>962</v>
      </c>
      <c r="T97" s="7">
        <v>24</v>
      </c>
      <c r="U97" s="3">
        <v>2.1857142857142859</v>
      </c>
      <c r="V97" s="3">
        <v>199.46711728986125</v>
      </c>
      <c r="Y97" s="3">
        <f t="shared" si="21"/>
        <v>94</v>
      </c>
      <c r="Z97" s="3">
        <f t="shared" si="22"/>
        <v>9224</v>
      </c>
      <c r="AB97" s="7">
        <f t="shared" si="23"/>
        <v>13040</v>
      </c>
    </row>
    <row r="98" spans="6:28" x14ac:dyDescent="0.15">
      <c r="F98">
        <f t="shared" si="13"/>
        <v>14</v>
      </c>
      <c r="G98">
        <v>95</v>
      </c>
      <c r="H98">
        <f t="shared" si="14"/>
        <v>1534.1157236708577</v>
      </c>
      <c r="I98">
        <f t="shared" si="15"/>
        <v>1534</v>
      </c>
      <c r="J98" s="1">
        <f t="shared" si="16"/>
        <v>1</v>
      </c>
      <c r="K98" s="1">
        <f t="shared" si="17"/>
        <v>1534</v>
      </c>
      <c r="L98" s="1">
        <f t="shared" si="18"/>
        <v>268.96133333333336</v>
      </c>
      <c r="M98" s="3">
        <f t="shared" si="19"/>
        <v>20.492935420922294</v>
      </c>
      <c r="N98" s="7">
        <f t="shared" si="24"/>
        <v>269</v>
      </c>
      <c r="O98" s="7">
        <f t="shared" si="20"/>
        <v>20</v>
      </c>
      <c r="P98" s="3">
        <f>SUM($O$4:O98)</f>
        <v>982</v>
      </c>
      <c r="T98" s="7">
        <v>24</v>
      </c>
      <c r="U98" s="3">
        <v>2.1857142857142859</v>
      </c>
      <c r="V98" s="3">
        <v>201.65283157557553</v>
      </c>
      <c r="Y98" s="3">
        <f t="shared" si="21"/>
        <v>95</v>
      </c>
      <c r="Z98" s="3">
        <f t="shared" si="22"/>
        <v>9788</v>
      </c>
      <c r="AB98" s="7">
        <f t="shared" si="23"/>
        <v>13040</v>
      </c>
    </row>
    <row r="99" spans="6:28" x14ac:dyDescent="0.15">
      <c r="F99">
        <f t="shared" si="13"/>
        <v>14</v>
      </c>
      <c r="G99">
        <v>96</v>
      </c>
      <c r="H99">
        <f t="shared" si="14"/>
        <v>1534.1157236708577</v>
      </c>
      <c r="I99">
        <f t="shared" si="15"/>
        <v>1534</v>
      </c>
      <c r="J99" s="1">
        <f t="shared" si="16"/>
        <v>1</v>
      </c>
      <c r="K99" s="1">
        <f t="shared" si="17"/>
        <v>1534</v>
      </c>
      <c r="L99" s="1">
        <f t="shared" si="18"/>
        <v>268.96133333333336</v>
      </c>
      <c r="M99" s="3">
        <f t="shared" si="19"/>
        <v>20.492935420922294</v>
      </c>
      <c r="N99" s="7">
        <f t="shared" si="24"/>
        <v>269</v>
      </c>
      <c r="O99" s="7">
        <f t="shared" si="20"/>
        <v>20</v>
      </c>
      <c r="P99" s="3">
        <f>SUM($O$4:O99)</f>
        <v>1002</v>
      </c>
      <c r="T99" s="7">
        <v>24</v>
      </c>
      <c r="U99" s="3">
        <v>2.1857142857142859</v>
      </c>
      <c r="V99" s="3">
        <v>203.83854586128982</v>
      </c>
      <c r="Y99" s="3">
        <f t="shared" si="21"/>
        <v>96</v>
      </c>
      <c r="Z99" s="3">
        <f t="shared" si="22"/>
        <v>10386</v>
      </c>
      <c r="AB99" s="7">
        <f t="shared" si="23"/>
        <v>13040</v>
      </c>
    </row>
    <row r="100" spans="6:28" x14ac:dyDescent="0.15">
      <c r="F100">
        <f t="shared" si="13"/>
        <v>14</v>
      </c>
      <c r="G100">
        <v>97</v>
      </c>
      <c r="H100">
        <f t="shared" si="14"/>
        <v>1534.1157236708577</v>
      </c>
      <c r="I100">
        <f t="shared" si="15"/>
        <v>1534</v>
      </c>
      <c r="J100" s="1">
        <f t="shared" si="16"/>
        <v>1</v>
      </c>
      <c r="K100" s="1">
        <f t="shared" si="17"/>
        <v>1534</v>
      </c>
      <c r="L100" s="1">
        <f t="shared" si="18"/>
        <v>268.96133333333336</v>
      </c>
      <c r="M100" s="3">
        <f t="shared" si="19"/>
        <v>20.492935420922294</v>
      </c>
      <c r="N100" s="7">
        <f t="shared" si="24"/>
        <v>269</v>
      </c>
      <c r="O100" s="7">
        <f t="shared" si="20"/>
        <v>20</v>
      </c>
      <c r="P100" s="3">
        <f>SUM($O$4:O100)</f>
        <v>1022</v>
      </c>
      <c r="T100" s="7">
        <v>25</v>
      </c>
      <c r="U100" s="3">
        <v>1.98</v>
      </c>
      <c r="V100" s="3">
        <v>205.81854586128981</v>
      </c>
      <c r="Y100" s="3">
        <f t="shared" si="21"/>
        <v>97</v>
      </c>
      <c r="Z100" s="3">
        <f t="shared" si="22"/>
        <v>11019</v>
      </c>
      <c r="AB100" s="7">
        <f t="shared" si="23"/>
        <v>13040</v>
      </c>
    </row>
    <row r="101" spans="6:28" x14ac:dyDescent="0.15">
      <c r="F101">
        <f t="shared" si="13"/>
        <v>14</v>
      </c>
      <c r="G101">
        <v>98</v>
      </c>
      <c r="H101">
        <f t="shared" si="14"/>
        <v>1534.1157236708577</v>
      </c>
      <c r="I101">
        <f t="shared" si="15"/>
        <v>1534</v>
      </c>
      <c r="J101" s="1">
        <f t="shared" si="16"/>
        <v>7</v>
      </c>
      <c r="K101" s="1">
        <f t="shared" si="17"/>
        <v>10738</v>
      </c>
      <c r="L101" s="1">
        <f t="shared" si="18"/>
        <v>1882.7293333333334</v>
      </c>
      <c r="M101" s="3">
        <f t="shared" si="19"/>
        <v>143.45054794645606</v>
      </c>
      <c r="N101" s="7">
        <f t="shared" si="24"/>
        <v>1883</v>
      </c>
      <c r="O101" s="7">
        <f t="shared" si="20"/>
        <v>143</v>
      </c>
      <c r="P101" s="3">
        <f>SUM($O$4:O101)</f>
        <v>1165</v>
      </c>
      <c r="T101" s="7">
        <v>25</v>
      </c>
      <c r="U101" s="3">
        <v>1.98</v>
      </c>
      <c r="V101" s="3">
        <v>207.7985458612898</v>
      </c>
      <c r="Y101" s="3">
        <f t="shared" si="21"/>
        <v>98</v>
      </c>
      <c r="Z101" s="3">
        <f t="shared" si="22"/>
        <v>11689</v>
      </c>
      <c r="AB101" s="7">
        <f t="shared" si="23"/>
        <v>13040</v>
      </c>
    </row>
    <row r="102" spans="6:28" x14ac:dyDescent="0.15">
      <c r="F102">
        <f t="shared" si="13"/>
        <v>15</v>
      </c>
      <c r="G102">
        <v>99</v>
      </c>
      <c r="H102">
        <f t="shared" si="14"/>
        <v>2408.561686163247</v>
      </c>
      <c r="I102">
        <f t="shared" si="15"/>
        <v>2409</v>
      </c>
      <c r="J102" s="1">
        <f t="shared" si="16"/>
        <v>1</v>
      </c>
      <c r="K102" s="1">
        <f t="shared" si="17"/>
        <v>2409</v>
      </c>
      <c r="L102" s="1">
        <f t="shared" si="18"/>
        <v>429.60499999999996</v>
      </c>
      <c r="M102" s="3">
        <f t="shared" si="19"/>
        <v>25.179105493875163</v>
      </c>
      <c r="N102" s="7">
        <f t="shared" si="24"/>
        <v>430</v>
      </c>
      <c r="O102" s="7">
        <f t="shared" si="20"/>
        <v>25</v>
      </c>
      <c r="P102" s="3">
        <f>SUM($O$4:O102)</f>
        <v>1190</v>
      </c>
      <c r="T102" s="7">
        <v>25</v>
      </c>
      <c r="U102" s="3">
        <v>1.98</v>
      </c>
      <c r="V102" s="3">
        <v>209.77854586128979</v>
      </c>
      <c r="Y102" s="3">
        <f t="shared" si="21"/>
        <v>99</v>
      </c>
      <c r="Z102" s="3">
        <f t="shared" si="22"/>
        <v>12399</v>
      </c>
      <c r="AB102" s="7">
        <f t="shared" si="23"/>
        <v>13040</v>
      </c>
    </row>
    <row r="103" spans="6:28" x14ac:dyDescent="0.15">
      <c r="F103">
        <f t="shared" si="13"/>
        <v>15</v>
      </c>
      <c r="G103">
        <v>100</v>
      </c>
      <c r="H103">
        <f t="shared" si="14"/>
        <v>2408.561686163247</v>
      </c>
      <c r="I103">
        <f t="shared" si="15"/>
        <v>2409</v>
      </c>
      <c r="J103" s="1">
        <f t="shared" si="16"/>
        <v>1</v>
      </c>
      <c r="K103" s="1">
        <f t="shared" si="17"/>
        <v>2409</v>
      </c>
      <c r="L103" s="1">
        <f t="shared" si="18"/>
        <v>429.60499999999996</v>
      </c>
      <c r="M103" s="3">
        <f t="shared" si="19"/>
        <v>25.179105493875163</v>
      </c>
      <c r="N103" s="7">
        <f t="shared" si="24"/>
        <v>430</v>
      </c>
      <c r="O103" s="7">
        <f t="shared" si="20"/>
        <v>25</v>
      </c>
      <c r="P103" s="3">
        <f>SUM($O$4:O103)</f>
        <v>1215</v>
      </c>
      <c r="T103" s="7">
        <v>25</v>
      </c>
      <c r="U103" s="3">
        <v>19.803529411764707</v>
      </c>
      <c r="V103" s="3">
        <v>229.5820752730545</v>
      </c>
      <c r="Y103" s="3">
        <f t="shared" si="21"/>
        <v>100</v>
      </c>
      <c r="Z103" s="3">
        <f t="shared" si="22"/>
        <v>13150</v>
      </c>
      <c r="AB103" s="7">
        <f t="shared" si="23"/>
        <v>13040</v>
      </c>
    </row>
    <row r="104" spans="6:28" x14ac:dyDescent="0.15">
      <c r="F104">
        <f t="shared" si="13"/>
        <v>15</v>
      </c>
      <c r="G104">
        <v>101</v>
      </c>
      <c r="H104">
        <f t="shared" si="14"/>
        <v>2408.561686163247</v>
      </c>
      <c r="I104">
        <f t="shared" si="15"/>
        <v>2409</v>
      </c>
      <c r="J104" s="1">
        <f t="shared" si="16"/>
        <v>1</v>
      </c>
      <c r="K104" s="1">
        <f t="shared" si="17"/>
        <v>2409</v>
      </c>
      <c r="L104" s="1">
        <f t="shared" si="18"/>
        <v>429.60499999999996</v>
      </c>
      <c r="M104" s="3">
        <f t="shared" si="19"/>
        <v>25.179105493875163</v>
      </c>
      <c r="N104" s="7">
        <f t="shared" si="24"/>
        <v>430</v>
      </c>
      <c r="O104" s="7">
        <f t="shared" si="20"/>
        <v>25</v>
      </c>
      <c r="P104" s="3">
        <f>SUM($O$4:O104)</f>
        <v>1240</v>
      </c>
      <c r="T104" s="7">
        <v>28</v>
      </c>
      <c r="U104" s="3">
        <v>2.4027272727272728</v>
      </c>
      <c r="V104" s="3">
        <v>231.98480254578178</v>
      </c>
      <c r="Y104" s="3">
        <f t="shared" si="21"/>
        <v>101</v>
      </c>
      <c r="Z104" s="3">
        <f t="shared" si="22"/>
        <v>13946</v>
      </c>
      <c r="AB104" s="7">
        <f t="shared" si="23"/>
        <v>13040</v>
      </c>
    </row>
    <row r="105" spans="6:28" x14ac:dyDescent="0.15">
      <c r="F105">
        <f t="shared" si="13"/>
        <v>15</v>
      </c>
      <c r="G105">
        <v>102</v>
      </c>
      <c r="H105">
        <f t="shared" si="14"/>
        <v>2408.561686163247</v>
      </c>
      <c r="I105">
        <f t="shared" si="15"/>
        <v>2409</v>
      </c>
      <c r="J105" s="1">
        <f t="shared" si="16"/>
        <v>1</v>
      </c>
      <c r="K105" s="1">
        <f t="shared" si="17"/>
        <v>2409</v>
      </c>
      <c r="L105" s="1">
        <f t="shared" si="18"/>
        <v>429.60499999999996</v>
      </c>
      <c r="M105" s="3">
        <f t="shared" si="19"/>
        <v>25.179105493875163</v>
      </c>
      <c r="N105" s="7">
        <f t="shared" si="24"/>
        <v>430</v>
      </c>
      <c r="O105" s="7">
        <f t="shared" si="20"/>
        <v>25</v>
      </c>
      <c r="P105" s="3">
        <f>SUM($O$4:O105)</f>
        <v>1265</v>
      </c>
      <c r="T105" s="7">
        <v>28</v>
      </c>
      <c r="U105" s="3">
        <v>2.4027272727272728</v>
      </c>
      <c r="V105" s="3">
        <v>234.38752981850905</v>
      </c>
      <c r="Y105" s="3">
        <f t="shared" si="21"/>
        <v>102</v>
      </c>
      <c r="Z105" s="3">
        <f t="shared" si="22"/>
        <v>14788</v>
      </c>
      <c r="AB105" s="7">
        <f t="shared" si="23"/>
        <v>13040</v>
      </c>
    </row>
    <row r="106" spans="6:28" x14ac:dyDescent="0.15">
      <c r="F106">
        <f t="shared" si="13"/>
        <v>15</v>
      </c>
      <c r="G106">
        <v>103</v>
      </c>
      <c r="H106">
        <f t="shared" si="14"/>
        <v>2408.561686163247</v>
      </c>
      <c r="I106">
        <f t="shared" si="15"/>
        <v>2409</v>
      </c>
      <c r="J106" s="1">
        <f t="shared" si="16"/>
        <v>1</v>
      </c>
      <c r="K106" s="1">
        <f t="shared" si="17"/>
        <v>2409</v>
      </c>
      <c r="L106" s="1">
        <f t="shared" si="18"/>
        <v>429.60499999999996</v>
      </c>
      <c r="M106" s="3">
        <f t="shared" si="19"/>
        <v>25.179105493875163</v>
      </c>
      <c r="N106" s="7">
        <f t="shared" si="24"/>
        <v>430</v>
      </c>
      <c r="O106" s="7">
        <f t="shared" si="20"/>
        <v>25</v>
      </c>
      <c r="P106" s="3">
        <f>SUM($O$4:O106)</f>
        <v>1290</v>
      </c>
      <c r="T106" s="7">
        <v>29</v>
      </c>
      <c r="U106" s="3">
        <v>2.2210084033613446</v>
      </c>
      <c r="V106" s="3">
        <v>236.60853822187039</v>
      </c>
      <c r="Y106" s="3">
        <f t="shared" si="21"/>
        <v>103</v>
      </c>
      <c r="Z106" s="3">
        <f t="shared" si="22"/>
        <v>15680</v>
      </c>
      <c r="AB106" s="7">
        <f t="shared" si="23"/>
        <v>13040</v>
      </c>
    </row>
    <row r="107" spans="6:28" x14ac:dyDescent="0.15">
      <c r="F107">
        <f t="shared" si="13"/>
        <v>15</v>
      </c>
      <c r="G107">
        <v>104</v>
      </c>
      <c r="H107">
        <f t="shared" si="14"/>
        <v>2408.561686163247</v>
      </c>
      <c r="I107">
        <f t="shared" si="15"/>
        <v>2409</v>
      </c>
      <c r="J107" s="1">
        <f t="shared" si="16"/>
        <v>1</v>
      </c>
      <c r="K107" s="1">
        <f t="shared" si="17"/>
        <v>2409</v>
      </c>
      <c r="L107" s="1">
        <f t="shared" si="18"/>
        <v>429.60499999999996</v>
      </c>
      <c r="M107" s="3">
        <f t="shared" si="19"/>
        <v>25.179105493875163</v>
      </c>
      <c r="N107" s="7">
        <f t="shared" si="24"/>
        <v>430</v>
      </c>
      <c r="O107" s="7">
        <f t="shared" si="20"/>
        <v>25</v>
      </c>
      <c r="P107" s="3">
        <f>SUM($O$4:O107)</f>
        <v>1315</v>
      </c>
      <c r="T107" s="7">
        <v>29</v>
      </c>
      <c r="U107" s="3">
        <v>2.2210084033613446</v>
      </c>
      <c r="V107" s="3">
        <v>238.82954662523173</v>
      </c>
      <c r="Y107" s="3">
        <f t="shared" si="21"/>
        <v>104</v>
      </c>
      <c r="Z107" s="3">
        <f t="shared" si="22"/>
        <v>16623</v>
      </c>
      <c r="AB107" s="7">
        <f t="shared" si="23"/>
        <v>13040</v>
      </c>
    </row>
    <row r="108" spans="6:28" x14ac:dyDescent="0.15">
      <c r="F108">
        <f t="shared" si="13"/>
        <v>15</v>
      </c>
      <c r="G108">
        <v>105</v>
      </c>
      <c r="H108">
        <f t="shared" si="14"/>
        <v>2408.561686163247</v>
      </c>
      <c r="I108">
        <f t="shared" si="15"/>
        <v>2409</v>
      </c>
      <c r="J108" s="1">
        <f t="shared" si="16"/>
        <v>10</v>
      </c>
      <c r="K108" s="1">
        <f t="shared" si="17"/>
        <v>24090</v>
      </c>
      <c r="L108" s="1">
        <f t="shared" si="18"/>
        <v>4296.05</v>
      </c>
      <c r="M108" s="3">
        <f t="shared" si="19"/>
        <v>251.79105493875167</v>
      </c>
      <c r="N108" s="7">
        <f t="shared" si="24"/>
        <v>4296</v>
      </c>
      <c r="O108" s="7">
        <f t="shared" si="20"/>
        <v>251</v>
      </c>
      <c r="P108" s="3">
        <f>SUM($O$4:O108)</f>
        <v>1566</v>
      </c>
      <c r="T108" s="7">
        <v>29</v>
      </c>
      <c r="U108" s="3">
        <v>2.2210084033613446</v>
      </c>
      <c r="V108" s="3">
        <v>241.05055502859307</v>
      </c>
      <c r="Y108" s="3">
        <f t="shared" si="21"/>
        <v>105</v>
      </c>
      <c r="Z108" s="3">
        <f t="shared" si="22"/>
        <v>17622</v>
      </c>
      <c r="AB108" s="7">
        <f t="shared" si="23"/>
        <v>13040</v>
      </c>
    </row>
    <row r="109" spans="6:28" x14ac:dyDescent="0.15">
      <c r="F109">
        <f t="shared" si="13"/>
        <v>16</v>
      </c>
      <c r="G109">
        <v>106</v>
      </c>
      <c r="H109">
        <f t="shared" si="14"/>
        <v>3781.4418472762968</v>
      </c>
      <c r="I109">
        <f t="shared" si="15"/>
        <v>3781</v>
      </c>
      <c r="J109" s="1">
        <f t="shared" si="16"/>
        <v>1</v>
      </c>
      <c r="K109" s="1">
        <f t="shared" si="17"/>
        <v>3781</v>
      </c>
      <c r="L109" s="1">
        <f t="shared" si="18"/>
        <v>685.62133333333338</v>
      </c>
      <c r="M109" s="3">
        <f t="shared" si="19"/>
        <v>30.910920641504049</v>
      </c>
      <c r="N109" s="7">
        <f t="shared" si="24"/>
        <v>686</v>
      </c>
      <c r="O109" s="7">
        <f t="shared" si="20"/>
        <v>30</v>
      </c>
      <c r="P109" s="3">
        <f>SUM($O$4:O109)</f>
        <v>1596</v>
      </c>
      <c r="T109" s="7">
        <v>30</v>
      </c>
      <c r="U109" s="3">
        <v>2.0330769230769232</v>
      </c>
      <c r="V109" s="3">
        <v>243.08363195166999</v>
      </c>
      <c r="Y109" s="3">
        <f t="shared" si="21"/>
        <v>106</v>
      </c>
      <c r="Z109" s="3">
        <f t="shared" si="22"/>
        <v>18680</v>
      </c>
      <c r="AB109" s="7">
        <f t="shared" si="23"/>
        <v>13040</v>
      </c>
    </row>
    <row r="110" spans="6:28" x14ac:dyDescent="0.15">
      <c r="F110">
        <f t="shared" si="13"/>
        <v>16</v>
      </c>
      <c r="G110">
        <v>107</v>
      </c>
      <c r="H110">
        <f t="shared" si="14"/>
        <v>3781.4418472762968</v>
      </c>
      <c r="I110">
        <f t="shared" si="15"/>
        <v>3781</v>
      </c>
      <c r="J110" s="1">
        <f t="shared" si="16"/>
        <v>1</v>
      </c>
      <c r="K110" s="1">
        <f t="shared" si="17"/>
        <v>3781</v>
      </c>
      <c r="L110" s="1">
        <f t="shared" si="18"/>
        <v>685.62133333333338</v>
      </c>
      <c r="M110" s="3">
        <f t="shared" si="19"/>
        <v>30.910920641504049</v>
      </c>
      <c r="N110" s="7">
        <f t="shared" si="24"/>
        <v>686</v>
      </c>
      <c r="O110" s="7">
        <f t="shared" si="20"/>
        <v>30</v>
      </c>
      <c r="P110" s="3">
        <f>SUM($O$4:O110)</f>
        <v>1626</v>
      </c>
      <c r="T110" s="7">
        <v>30</v>
      </c>
      <c r="U110" s="3">
        <v>2.0330769230769232</v>
      </c>
      <c r="V110" s="3">
        <v>245.11670887474691</v>
      </c>
      <c r="Y110" s="3">
        <f t="shared" si="21"/>
        <v>107</v>
      </c>
      <c r="Z110" s="3">
        <f t="shared" si="22"/>
        <v>19799</v>
      </c>
      <c r="AB110" s="7">
        <f t="shared" si="23"/>
        <v>13040</v>
      </c>
    </row>
    <row r="111" spans="6:28" x14ac:dyDescent="0.15">
      <c r="F111">
        <f t="shared" si="13"/>
        <v>16</v>
      </c>
      <c r="G111">
        <v>108</v>
      </c>
      <c r="H111">
        <f t="shared" si="14"/>
        <v>3781.4418472762968</v>
      </c>
      <c r="I111">
        <f t="shared" si="15"/>
        <v>3781</v>
      </c>
      <c r="J111" s="1">
        <f t="shared" si="16"/>
        <v>1</v>
      </c>
      <c r="K111" s="1">
        <f t="shared" si="17"/>
        <v>3781</v>
      </c>
      <c r="L111" s="1">
        <f t="shared" si="18"/>
        <v>685.62133333333338</v>
      </c>
      <c r="M111" s="3">
        <f t="shared" si="19"/>
        <v>30.910920641504049</v>
      </c>
      <c r="N111" s="7">
        <f t="shared" si="24"/>
        <v>686</v>
      </c>
      <c r="O111" s="7">
        <f t="shared" si="20"/>
        <v>30</v>
      </c>
      <c r="P111" s="3">
        <f>SUM($O$4:O111)</f>
        <v>1656</v>
      </c>
      <c r="T111" s="7">
        <v>30</v>
      </c>
      <c r="U111" s="3">
        <v>2.0330769230769232</v>
      </c>
      <c r="V111" s="3">
        <v>247.14978579782382</v>
      </c>
      <c r="Y111" s="3">
        <f t="shared" si="21"/>
        <v>108</v>
      </c>
      <c r="Z111" s="3">
        <f t="shared" si="22"/>
        <v>20983</v>
      </c>
      <c r="AB111" s="7">
        <f t="shared" si="23"/>
        <v>13040</v>
      </c>
    </row>
    <row r="112" spans="6:28" x14ac:dyDescent="0.15">
      <c r="F112">
        <f t="shared" si="13"/>
        <v>16</v>
      </c>
      <c r="G112">
        <v>109</v>
      </c>
      <c r="H112">
        <f t="shared" si="14"/>
        <v>3781.4418472762968</v>
      </c>
      <c r="I112">
        <f t="shared" si="15"/>
        <v>3781</v>
      </c>
      <c r="J112" s="1">
        <f t="shared" si="16"/>
        <v>1</v>
      </c>
      <c r="K112" s="1">
        <f t="shared" si="17"/>
        <v>3781</v>
      </c>
      <c r="L112" s="1">
        <f t="shared" si="18"/>
        <v>685.62133333333338</v>
      </c>
      <c r="M112" s="3">
        <f t="shared" si="19"/>
        <v>30.910920641504049</v>
      </c>
      <c r="N112" s="7">
        <f t="shared" si="24"/>
        <v>686</v>
      </c>
      <c r="O112" s="7">
        <f t="shared" si="20"/>
        <v>30</v>
      </c>
      <c r="P112" s="3">
        <f>SUM($O$4:O112)</f>
        <v>1686</v>
      </c>
      <c r="T112" s="7">
        <v>31</v>
      </c>
      <c r="U112" s="3">
        <v>1.8744680851063831</v>
      </c>
      <c r="V112" s="3">
        <v>249.0242538829302</v>
      </c>
      <c r="Y112" s="3">
        <f t="shared" si="21"/>
        <v>109</v>
      </c>
      <c r="Z112" s="3">
        <f t="shared" si="22"/>
        <v>22236</v>
      </c>
      <c r="AB112" s="7">
        <f t="shared" si="23"/>
        <v>13040</v>
      </c>
    </row>
    <row r="113" spans="6:28" x14ac:dyDescent="0.15">
      <c r="F113">
        <f t="shared" si="13"/>
        <v>16</v>
      </c>
      <c r="G113">
        <v>110</v>
      </c>
      <c r="H113">
        <f t="shared" si="14"/>
        <v>3781.4418472762968</v>
      </c>
      <c r="I113">
        <f t="shared" si="15"/>
        <v>3781</v>
      </c>
      <c r="J113" s="1">
        <f t="shared" si="16"/>
        <v>1</v>
      </c>
      <c r="K113" s="1">
        <f t="shared" si="17"/>
        <v>3781</v>
      </c>
      <c r="L113" s="1">
        <f t="shared" si="18"/>
        <v>685.62133333333338</v>
      </c>
      <c r="M113" s="3">
        <f t="shared" si="19"/>
        <v>30.910920641504049</v>
      </c>
      <c r="N113" s="7">
        <f t="shared" si="24"/>
        <v>686</v>
      </c>
      <c r="O113" s="7">
        <f t="shared" si="20"/>
        <v>30</v>
      </c>
      <c r="P113" s="3">
        <f>SUM($O$4:O113)</f>
        <v>1716</v>
      </c>
      <c r="T113" s="7">
        <v>31</v>
      </c>
      <c r="U113" s="3">
        <v>3.7489361702127662</v>
      </c>
      <c r="V113" s="3">
        <v>252.77319005314297</v>
      </c>
      <c r="Y113" s="3">
        <f t="shared" si="21"/>
        <v>110</v>
      </c>
      <c r="Z113" s="3">
        <f t="shared" si="22"/>
        <v>23562</v>
      </c>
      <c r="AB113" s="7">
        <f t="shared" si="23"/>
        <v>13040</v>
      </c>
    </row>
    <row r="114" spans="6:28" x14ac:dyDescent="0.15">
      <c r="F114">
        <f t="shared" si="13"/>
        <v>16</v>
      </c>
      <c r="G114">
        <v>111</v>
      </c>
      <c r="H114">
        <f t="shared" si="14"/>
        <v>3781.4418472762968</v>
      </c>
      <c r="I114">
        <f t="shared" si="15"/>
        <v>3781</v>
      </c>
      <c r="J114" s="1">
        <f t="shared" si="16"/>
        <v>1</v>
      </c>
      <c r="K114" s="1">
        <f t="shared" si="17"/>
        <v>3781</v>
      </c>
      <c r="L114" s="1">
        <f t="shared" si="18"/>
        <v>685.62133333333338</v>
      </c>
      <c r="M114" s="3">
        <f t="shared" si="19"/>
        <v>30.910920641504049</v>
      </c>
      <c r="N114" s="7">
        <f t="shared" si="24"/>
        <v>686</v>
      </c>
      <c r="O114" s="7">
        <f t="shared" si="20"/>
        <v>30</v>
      </c>
      <c r="P114" s="3">
        <f>SUM($O$4:O114)</f>
        <v>1746</v>
      </c>
      <c r="T114" s="7">
        <v>31</v>
      </c>
      <c r="U114" s="3">
        <v>2.9425531914893619</v>
      </c>
      <c r="V114" s="3">
        <v>255.71574324463234</v>
      </c>
      <c r="Y114" s="3">
        <f t="shared" si="21"/>
        <v>111</v>
      </c>
      <c r="Z114" s="3">
        <f t="shared" si="22"/>
        <v>24965</v>
      </c>
      <c r="AB114" s="7">
        <f t="shared" si="23"/>
        <v>13040</v>
      </c>
    </row>
    <row r="115" spans="6:28" x14ac:dyDescent="0.15">
      <c r="F115">
        <f t="shared" si="13"/>
        <v>16</v>
      </c>
      <c r="G115">
        <v>112</v>
      </c>
      <c r="H115">
        <f t="shared" si="14"/>
        <v>3781.4418472762968</v>
      </c>
      <c r="I115">
        <f t="shared" si="15"/>
        <v>3781</v>
      </c>
      <c r="J115" s="1">
        <f t="shared" si="16"/>
        <v>2</v>
      </c>
      <c r="K115" s="1">
        <f t="shared" si="17"/>
        <v>7562</v>
      </c>
      <c r="L115" s="1">
        <f t="shared" si="18"/>
        <v>1371.2426666666668</v>
      </c>
      <c r="M115" s="3">
        <f t="shared" si="19"/>
        <v>61.821841283008098</v>
      </c>
      <c r="N115" s="7">
        <f t="shared" si="24"/>
        <v>1371</v>
      </c>
      <c r="O115" s="7">
        <f t="shared" si="20"/>
        <v>61</v>
      </c>
      <c r="P115" s="3">
        <f>SUM($O$4:O115)</f>
        <v>1807</v>
      </c>
      <c r="T115" s="7">
        <v>32</v>
      </c>
      <c r="U115" s="3">
        <v>2.7296052631578949</v>
      </c>
      <c r="V115" s="3">
        <v>258.44534850779024</v>
      </c>
      <c r="Y115" s="3">
        <f t="shared" si="21"/>
        <v>112</v>
      </c>
      <c r="Z115" s="3">
        <f t="shared" si="22"/>
        <v>26450</v>
      </c>
      <c r="AB115" s="7">
        <f t="shared" si="23"/>
        <v>13040</v>
      </c>
    </row>
    <row r="116" spans="6:28" x14ac:dyDescent="0.15">
      <c r="F116">
        <f t="shared" si="13"/>
        <v>17</v>
      </c>
      <c r="G116">
        <v>113</v>
      </c>
      <c r="H116">
        <f t="shared" si="14"/>
        <v>5936.8637002237865</v>
      </c>
      <c r="I116">
        <f t="shared" si="15"/>
        <v>5937</v>
      </c>
      <c r="J116" s="1">
        <f t="shared" si="16"/>
        <v>1</v>
      </c>
      <c r="K116" s="1">
        <f t="shared" si="17"/>
        <v>5937</v>
      </c>
      <c r="L116" s="1">
        <f t="shared" si="18"/>
        <v>1094.3870000000002</v>
      </c>
      <c r="M116" s="3">
        <f t="shared" si="19"/>
        <v>37.953793558573821</v>
      </c>
      <c r="N116" s="7">
        <f t="shared" si="24"/>
        <v>1094</v>
      </c>
      <c r="O116" s="7">
        <f t="shared" si="20"/>
        <v>37</v>
      </c>
      <c r="P116" s="3">
        <f>SUM($O$4:O116)</f>
        <v>1844</v>
      </c>
      <c r="T116" s="7">
        <v>32</v>
      </c>
      <c r="U116" s="3">
        <v>2.7296052631578949</v>
      </c>
      <c r="V116" s="3">
        <v>261.17495377094815</v>
      </c>
      <c r="Y116" s="3">
        <f t="shared" si="21"/>
        <v>113</v>
      </c>
      <c r="Z116" s="3">
        <f t="shared" si="22"/>
        <v>28020</v>
      </c>
      <c r="AB116" s="7">
        <f t="shared" si="23"/>
        <v>13040</v>
      </c>
    </row>
    <row r="117" spans="6:28" x14ac:dyDescent="0.15">
      <c r="F117">
        <f t="shared" si="13"/>
        <v>17</v>
      </c>
      <c r="G117">
        <v>114</v>
      </c>
      <c r="H117">
        <f t="shared" si="14"/>
        <v>5936.8637002237865</v>
      </c>
      <c r="I117">
        <f t="shared" si="15"/>
        <v>5937</v>
      </c>
      <c r="J117" s="1">
        <f t="shared" si="16"/>
        <v>1</v>
      </c>
      <c r="K117" s="1">
        <f t="shared" si="17"/>
        <v>5937</v>
      </c>
      <c r="L117" s="1">
        <f t="shared" si="18"/>
        <v>1094.3870000000002</v>
      </c>
      <c r="M117" s="3">
        <f t="shared" si="19"/>
        <v>37.953793558573821</v>
      </c>
      <c r="N117" s="7">
        <f t="shared" si="24"/>
        <v>1094</v>
      </c>
      <c r="O117" s="7">
        <f t="shared" si="20"/>
        <v>37</v>
      </c>
      <c r="P117" s="3">
        <f>SUM($O$4:O117)</f>
        <v>1881</v>
      </c>
      <c r="T117" s="7">
        <v>33</v>
      </c>
      <c r="U117" s="3">
        <v>2.5145454545454546</v>
      </c>
      <c r="V117" s="3">
        <v>263.68949922549359</v>
      </c>
      <c r="Y117" s="3">
        <f t="shared" si="21"/>
        <v>114</v>
      </c>
      <c r="Z117" s="3">
        <f t="shared" si="22"/>
        <v>29681</v>
      </c>
      <c r="AB117" s="7">
        <f t="shared" si="23"/>
        <v>13040</v>
      </c>
    </row>
    <row r="118" spans="6:28" x14ac:dyDescent="0.15">
      <c r="F118">
        <f t="shared" si="13"/>
        <v>17</v>
      </c>
      <c r="G118">
        <v>115</v>
      </c>
      <c r="H118">
        <f t="shared" si="14"/>
        <v>5936.8637002237865</v>
      </c>
      <c r="I118">
        <f t="shared" si="15"/>
        <v>5937</v>
      </c>
      <c r="J118" s="1">
        <f t="shared" si="16"/>
        <v>1</v>
      </c>
      <c r="K118" s="1">
        <f t="shared" si="17"/>
        <v>5937</v>
      </c>
      <c r="L118" s="1">
        <f t="shared" si="18"/>
        <v>1094.3870000000002</v>
      </c>
      <c r="M118" s="3">
        <f t="shared" si="19"/>
        <v>37.953793558573821</v>
      </c>
      <c r="N118" s="7">
        <f t="shared" si="24"/>
        <v>1094</v>
      </c>
      <c r="O118" s="7">
        <f t="shared" si="20"/>
        <v>37</v>
      </c>
      <c r="P118" s="3">
        <f>SUM($O$4:O118)</f>
        <v>1918</v>
      </c>
      <c r="T118" s="7">
        <v>33</v>
      </c>
      <c r="U118" s="3">
        <v>2.5145454545454546</v>
      </c>
      <c r="V118" s="3">
        <v>266.20404468003903</v>
      </c>
      <c r="Y118" s="3">
        <f t="shared" si="21"/>
        <v>115</v>
      </c>
      <c r="Z118" s="3">
        <f t="shared" si="22"/>
        <v>31439</v>
      </c>
      <c r="AB118" s="7">
        <f t="shared" si="23"/>
        <v>13040</v>
      </c>
    </row>
    <row r="119" spans="6:28" x14ac:dyDescent="0.15">
      <c r="F119">
        <f t="shared" si="13"/>
        <v>17</v>
      </c>
      <c r="G119">
        <v>116</v>
      </c>
      <c r="H119">
        <f t="shared" si="14"/>
        <v>5936.8637002237865</v>
      </c>
      <c r="I119">
        <f t="shared" si="15"/>
        <v>5937</v>
      </c>
      <c r="J119" s="1">
        <f t="shared" si="16"/>
        <v>1</v>
      </c>
      <c r="K119" s="1">
        <f t="shared" si="17"/>
        <v>5937</v>
      </c>
      <c r="L119" s="1">
        <f t="shared" si="18"/>
        <v>1094.3870000000002</v>
      </c>
      <c r="M119" s="3">
        <f t="shared" si="19"/>
        <v>37.953793558573821</v>
      </c>
      <c r="N119" s="7">
        <f t="shared" si="24"/>
        <v>1094</v>
      </c>
      <c r="O119" s="7">
        <f t="shared" si="20"/>
        <v>37</v>
      </c>
      <c r="P119" s="3">
        <f>SUM($O$4:O119)</f>
        <v>1955</v>
      </c>
      <c r="T119" s="7">
        <v>33</v>
      </c>
      <c r="U119" s="3">
        <v>2.5145454545454546</v>
      </c>
      <c r="V119" s="3">
        <v>268.71859013458447</v>
      </c>
      <c r="Y119" s="3">
        <f t="shared" si="21"/>
        <v>116</v>
      </c>
      <c r="Z119" s="3">
        <f t="shared" si="22"/>
        <v>33298</v>
      </c>
      <c r="AB119" s="7">
        <f t="shared" si="23"/>
        <v>13040</v>
      </c>
    </row>
    <row r="120" spans="6:28" x14ac:dyDescent="0.15">
      <c r="F120">
        <f t="shared" si="13"/>
        <v>17</v>
      </c>
      <c r="G120">
        <v>117</v>
      </c>
      <c r="H120">
        <f t="shared" si="14"/>
        <v>5936.8637002237865</v>
      </c>
      <c r="I120">
        <f t="shared" si="15"/>
        <v>5937</v>
      </c>
      <c r="J120" s="1">
        <f t="shared" si="16"/>
        <v>1</v>
      </c>
      <c r="K120" s="1">
        <f t="shared" si="17"/>
        <v>5937</v>
      </c>
      <c r="L120" s="1">
        <f t="shared" si="18"/>
        <v>1094.3870000000002</v>
      </c>
      <c r="M120" s="3">
        <f t="shared" si="19"/>
        <v>37.953793558573821</v>
      </c>
      <c r="N120" s="7">
        <f t="shared" si="24"/>
        <v>1094</v>
      </c>
      <c r="O120" s="7">
        <f t="shared" si="20"/>
        <v>37</v>
      </c>
      <c r="P120" s="3">
        <f>SUM($O$4:O120)</f>
        <v>1992</v>
      </c>
      <c r="T120" s="7">
        <v>34</v>
      </c>
      <c r="U120" s="3">
        <v>2.3178770949720673</v>
      </c>
      <c r="V120" s="3">
        <v>271.03646722955654</v>
      </c>
      <c r="Y120" s="3">
        <f t="shared" si="21"/>
        <v>117</v>
      </c>
      <c r="Z120" s="3">
        <f t="shared" si="22"/>
        <v>35264</v>
      </c>
      <c r="AB120" s="7">
        <f t="shared" si="23"/>
        <v>13040</v>
      </c>
    </row>
    <row r="121" spans="6:28" x14ac:dyDescent="0.15">
      <c r="F121">
        <f t="shared" si="13"/>
        <v>17</v>
      </c>
      <c r="G121">
        <v>118</v>
      </c>
      <c r="H121">
        <f t="shared" si="14"/>
        <v>5936.8637002237865</v>
      </c>
      <c r="I121">
        <f t="shared" si="15"/>
        <v>5937</v>
      </c>
      <c r="J121" s="1">
        <f t="shared" si="16"/>
        <v>1</v>
      </c>
      <c r="K121" s="1">
        <f t="shared" si="17"/>
        <v>5937</v>
      </c>
      <c r="L121" s="1">
        <f t="shared" si="18"/>
        <v>1094.3870000000002</v>
      </c>
      <c r="M121" s="3">
        <f t="shared" si="19"/>
        <v>37.953793558573821</v>
      </c>
      <c r="N121" s="7">
        <f t="shared" si="24"/>
        <v>1094</v>
      </c>
      <c r="O121" s="7">
        <f t="shared" si="20"/>
        <v>37</v>
      </c>
      <c r="P121" s="3">
        <f>SUM($O$4:O121)</f>
        <v>2029</v>
      </c>
      <c r="T121" s="7">
        <v>34</v>
      </c>
      <c r="U121" s="3">
        <v>2.3178770949720673</v>
      </c>
      <c r="V121" s="3">
        <v>273.3543443245286</v>
      </c>
      <c r="Y121" s="3">
        <f t="shared" si="21"/>
        <v>118</v>
      </c>
      <c r="Z121" s="3">
        <f t="shared" si="22"/>
        <v>37344</v>
      </c>
      <c r="AB121" s="7">
        <f t="shared" si="23"/>
        <v>13040</v>
      </c>
    </row>
    <row r="122" spans="6:28" x14ac:dyDescent="0.15">
      <c r="F122">
        <f t="shared" si="13"/>
        <v>17</v>
      </c>
      <c r="G122">
        <v>119</v>
      </c>
      <c r="H122">
        <f t="shared" si="14"/>
        <v>5936.8637002237865</v>
      </c>
      <c r="I122">
        <f t="shared" si="15"/>
        <v>5937</v>
      </c>
      <c r="J122" s="1">
        <f t="shared" si="16"/>
        <v>4</v>
      </c>
      <c r="K122" s="1">
        <f t="shared" si="17"/>
        <v>23748</v>
      </c>
      <c r="L122" s="1">
        <f t="shared" si="18"/>
        <v>4377.5480000000007</v>
      </c>
      <c r="M122" s="3">
        <f t="shared" si="19"/>
        <v>151.81517423429528</v>
      </c>
      <c r="N122" s="7">
        <f t="shared" si="24"/>
        <v>4378</v>
      </c>
      <c r="O122" s="7">
        <f t="shared" si="20"/>
        <v>151</v>
      </c>
      <c r="P122" s="3">
        <f>SUM($O$4:O122)</f>
        <v>2180</v>
      </c>
      <c r="T122" s="7">
        <v>35</v>
      </c>
      <c r="U122" s="3">
        <v>2.1497409326424872</v>
      </c>
      <c r="V122" s="3">
        <v>275.50408525717108</v>
      </c>
      <c r="Y122" s="3">
        <f t="shared" si="21"/>
        <v>119</v>
      </c>
      <c r="Z122" s="3">
        <f t="shared" si="22"/>
        <v>39543</v>
      </c>
      <c r="AB122" s="7">
        <f t="shared" si="23"/>
        <v>13040</v>
      </c>
    </row>
    <row r="123" spans="6:28" x14ac:dyDescent="0.15">
      <c r="F123">
        <f t="shared" si="13"/>
        <v>18</v>
      </c>
      <c r="G123">
        <v>120</v>
      </c>
      <c r="H123">
        <f t="shared" si="14"/>
        <v>9320.8760093513447</v>
      </c>
      <c r="I123">
        <f t="shared" si="15"/>
        <v>9321</v>
      </c>
      <c r="J123" s="1">
        <f t="shared" si="16"/>
        <v>1</v>
      </c>
      <c r="K123" s="1">
        <f t="shared" si="17"/>
        <v>9321</v>
      </c>
      <c r="L123" s="1">
        <f t="shared" si="18"/>
        <v>1746.134</v>
      </c>
      <c r="M123" s="3">
        <f t="shared" si="19"/>
        <v>46.582037644823238</v>
      </c>
      <c r="N123" s="7">
        <f t="shared" si="24"/>
        <v>1746</v>
      </c>
      <c r="O123" s="7">
        <f t="shared" si="20"/>
        <v>46</v>
      </c>
      <c r="P123" s="3">
        <f>SUM($O$4:O123)</f>
        <v>2226</v>
      </c>
      <c r="T123" s="7">
        <v>35</v>
      </c>
      <c r="U123" s="3">
        <v>8.5994818652849752</v>
      </c>
      <c r="V123" s="3">
        <v>284.10356712245607</v>
      </c>
      <c r="Y123" s="3">
        <f t="shared" si="21"/>
        <v>120</v>
      </c>
      <c r="Z123" s="3">
        <f t="shared" si="22"/>
        <v>41869</v>
      </c>
      <c r="AB123" s="7">
        <f t="shared" si="23"/>
        <v>13040</v>
      </c>
    </row>
    <row r="124" spans="6:28" x14ac:dyDescent="0.15">
      <c r="F124">
        <f t="shared" si="13"/>
        <v>18</v>
      </c>
      <c r="G124">
        <v>121</v>
      </c>
      <c r="H124">
        <f t="shared" si="14"/>
        <v>9320.8760093513447</v>
      </c>
      <c r="I124">
        <f t="shared" si="15"/>
        <v>9321</v>
      </c>
      <c r="J124" s="1">
        <f t="shared" si="16"/>
        <v>1</v>
      </c>
      <c r="K124" s="1">
        <f t="shared" si="17"/>
        <v>9321</v>
      </c>
      <c r="L124" s="1">
        <f t="shared" si="18"/>
        <v>1746.134</v>
      </c>
      <c r="M124" s="3">
        <f t="shared" si="19"/>
        <v>46.582037644823238</v>
      </c>
      <c r="N124" s="7">
        <f t="shared" si="24"/>
        <v>1746</v>
      </c>
      <c r="O124" s="7">
        <f t="shared" si="20"/>
        <v>46</v>
      </c>
      <c r="P124" s="3">
        <f>SUM($O$4:O124)</f>
        <v>2272</v>
      </c>
      <c r="T124" s="7">
        <v>36</v>
      </c>
      <c r="U124" s="3">
        <v>3.1167464114832537</v>
      </c>
      <c r="V124" s="3">
        <v>287.2203135339393</v>
      </c>
      <c r="Y124" s="3">
        <f t="shared" si="21"/>
        <v>121</v>
      </c>
      <c r="Z124" s="3">
        <f t="shared" si="22"/>
        <v>44329</v>
      </c>
      <c r="AB124" s="7">
        <f t="shared" si="23"/>
        <v>13040</v>
      </c>
    </row>
    <row r="125" spans="6:28" x14ac:dyDescent="0.15">
      <c r="F125">
        <f t="shared" si="13"/>
        <v>18</v>
      </c>
      <c r="G125">
        <v>122</v>
      </c>
      <c r="H125">
        <f t="shared" si="14"/>
        <v>9320.8760093513447</v>
      </c>
      <c r="I125">
        <f t="shared" si="15"/>
        <v>9321</v>
      </c>
      <c r="J125" s="1">
        <f t="shared" si="16"/>
        <v>1</v>
      </c>
      <c r="K125" s="1">
        <f t="shared" si="17"/>
        <v>9321</v>
      </c>
      <c r="L125" s="1">
        <f t="shared" si="18"/>
        <v>1746.134</v>
      </c>
      <c r="M125" s="3">
        <f t="shared" si="19"/>
        <v>46.582037644823238</v>
      </c>
      <c r="N125" s="7">
        <f t="shared" si="24"/>
        <v>1746</v>
      </c>
      <c r="O125" s="7">
        <f t="shared" si="20"/>
        <v>46</v>
      </c>
      <c r="P125" s="3">
        <f>SUM($O$4:O125)</f>
        <v>2318</v>
      </c>
      <c r="T125" s="7">
        <v>37</v>
      </c>
      <c r="U125" s="3">
        <v>2.895111111111111</v>
      </c>
      <c r="V125" s="3">
        <v>290.11542464505044</v>
      </c>
      <c r="Y125" s="3">
        <f t="shared" si="21"/>
        <v>122</v>
      </c>
      <c r="Z125" s="3">
        <f t="shared" si="22"/>
        <v>46930</v>
      </c>
      <c r="AB125" s="7">
        <f t="shared" si="23"/>
        <v>13040</v>
      </c>
    </row>
    <row r="126" spans="6:28" x14ac:dyDescent="0.15">
      <c r="F126">
        <f t="shared" si="13"/>
        <v>18</v>
      </c>
      <c r="G126">
        <v>123</v>
      </c>
      <c r="H126">
        <f t="shared" si="14"/>
        <v>9320.8760093513447</v>
      </c>
      <c r="I126">
        <f t="shared" si="15"/>
        <v>9321</v>
      </c>
      <c r="J126" s="1">
        <f t="shared" si="16"/>
        <v>1</v>
      </c>
      <c r="K126" s="1">
        <f t="shared" si="17"/>
        <v>9321</v>
      </c>
      <c r="L126" s="1">
        <f t="shared" si="18"/>
        <v>1746.134</v>
      </c>
      <c r="M126" s="3">
        <f t="shared" si="19"/>
        <v>46.582037644823238</v>
      </c>
      <c r="N126" s="7">
        <f t="shared" si="24"/>
        <v>1746</v>
      </c>
      <c r="O126" s="7">
        <f t="shared" si="20"/>
        <v>46</v>
      </c>
      <c r="P126" s="3">
        <f>SUM($O$4:O126)</f>
        <v>2364</v>
      </c>
      <c r="T126" s="7">
        <v>37</v>
      </c>
      <c r="U126" s="3">
        <v>2.895111111111111</v>
      </c>
      <c r="V126" s="3">
        <v>293.01053575616157</v>
      </c>
      <c r="Y126" s="3">
        <f t="shared" si="21"/>
        <v>123</v>
      </c>
      <c r="Z126" s="3">
        <f t="shared" si="22"/>
        <v>49681</v>
      </c>
      <c r="AB126" s="7">
        <f t="shared" si="23"/>
        <v>13040</v>
      </c>
    </row>
    <row r="127" spans="6:28" x14ac:dyDescent="0.15">
      <c r="F127">
        <f t="shared" si="13"/>
        <v>18</v>
      </c>
      <c r="G127">
        <v>124</v>
      </c>
      <c r="H127">
        <f t="shared" si="14"/>
        <v>9320.8760093513447</v>
      </c>
      <c r="I127">
        <f t="shared" si="15"/>
        <v>9321</v>
      </c>
      <c r="J127" s="1">
        <f t="shared" si="16"/>
        <v>1</v>
      </c>
      <c r="K127" s="1">
        <f t="shared" si="17"/>
        <v>9321</v>
      </c>
      <c r="L127" s="1">
        <f t="shared" si="18"/>
        <v>1746.134</v>
      </c>
      <c r="M127" s="3">
        <f t="shared" si="19"/>
        <v>46.582037644823238</v>
      </c>
      <c r="N127" s="7">
        <f t="shared" si="24"/>
        <v>1746</v>
      </c>
      <c r="O127" s="7">
        <f t="shared" si="20"/>
        <v>46</v>
      </c>
      <c r="P127" s="3">
        <f>SUM($O$4:O127)</f>
        <v>2410</v>
      </c>
      <c r="T127" s="7">
        <v>38</v>
      </c>
      <c r="U127" s="3">
        <v>2.6806584362139918</v>
      </c>
      <c r="V127" s="3">
        <v>295.69119419237558</v>
      </c>
      <c r="Y127" s="3">
        <f t="shared" si="21"/>
        <v>124</v>
      </c>
      <c r="Z127" s="3">
        <f t="shared" si="22"/>
        <v>52589</v>
      </c>
      <c r="AB127" s="7">
        <f t="shared" si="23"/>
        <v>13040</v>
      </c>
    </row>
    <row r="128" spans="6:28" x14ac:dyDescent="0.15">
      <c r="F128">
        <f t="shared" si="13"/>
        <v>18</v>
      </c>
      <c r="G128">
        <v>125</v>
      </c>
      <c r="H128">
        <f t="shared" si="14"/>
        <v>9320.8760093513447</v>
      </c>
      <c r="I128">
        <f t="shared" si="15"/>
        <v>9321</v>
      </c>
      <c r="J128" s="1">
        <f t="shared" si="16"/>
        <v>1</v>
      </c>
      <c r="K128" s="1">
        <f t="shared" si="17"/>
        <v>9321</v>
      </c>
      <c r="L128" s="1">
        <f t="shared" si="18"/>
        <v>1746.134</v>
      </c>
      <c r="M128" s="3">
        <f t="shared" si="19"/>
        <v>46.582037644823238</v>
      </c>
      <c r="N128" s="7">
        <f t="shared" si="24"/>
        <v>1746</v>
      </c>
      <c r="O128" s="7">
        <f t="shared" si="20"/>
        <v>46</v>
      </c>
      <c r="P128" s="3">
        <f>SUM($O$4:O128)</f>
        <v>2456</v>
      </c>
      <c r="T128" s="7">
        <v>38</v>
      </c>
      <c r="U128" s="3">
        <v>2.6806584362139918</v>
      </c>
      <c r="V128" s="3">
        <v>298.37185262858958</v>
      </c>
      <c r="Y128" s="3">
        <f t="shared" si="21"/>
        <v>125</v>
      </c>
      <c r="Z128" s="3">
        <f t="shared" si="22"/>
        <v>55664</v>
      </c>
      <c r="AB128" s="7">
        <f t="shared" si="23"/>
        <v>13040</v>
      </c>
    </row>
    <row r="129" spans="6:28" x14ac:dyDescent="0.15">
      <c r="F129">
        <f t="shared" si="13"/>
        <v>18</v>
      </c>
      <c r="G129">
        <v>126</v>
      </c>
      <c r="H129">
        <f t="shared" si="14"/>
        <v>9320.8760093513447</v>
      </c>
      <c r="I129">
        <f t="shared" si="15"/>
        <v>9321</v>
      </c>
      <c r="J129" s="1">
        <f t="shared" si="16"/>
        <v>6</v>
      </c>
      <c r="K129" s="1">
        <f t="shared" si="17"/>
        <v>55926</v>
      </c>
      <c r="L129" s="1">
        <f t="shared" si="18"/>
        <v>10476.804</v>
      </c>
      <c r="M129" s="3">
        <f t="shared" si="19"/>
        <v>279.49222586893939</v>
      </c>
      <c r="N129" s="7">
        <f t="shared" si="24"/>
        <v>10477</v>
      </c>
      <c r="O129" s="7">
        <f t="shared" si="20"/>
        <v>279</v>
      </c>
      <c r="P129" s="3">
        <f>SUM($O$4:O129)</f>
        <v>2735</v>
      </c>
      <c r="T129" s="7">
        <v>39</v>
      </c>
      <c r="U129" s="3">
        <v>2.4957854406130267</v>
      </c>
      <c r="V129" s="3">
        <v>300.8676380692026</v>
      </c>
      <c r="Y129" s="3">
        <f t="shared" si="21"/>
        <v>126</v>
      </c>
      <c r="Z129" s="3">
        <f t="shared" si="22"/>
        <v>58915</v>
      </c>
      <c r="AB129" s="7">
        <f t="shared" si="23"/>
        <v>13040</v>
      </c>
    </row>
    <row r="130" spans="6:28" x14ac:dyDescent="0.15">
      <c r="F130">
        <f t="shared" si="13"/>
        <v>19</v>
      </c>
      <c r="G130">
        <v>127</v>
      </c>
      <c r="H130">
        <f t="shared" si="14"/>
        <v>14633.775334681612</v>
      </c>
      <c r="I130">
        <f t="shared" si="15"/>
        <v>14634</v>
      </c>
      <c r="J130" s="1">
        <f t="shared" si="16"/>
        <v>1</v>
      </c>
      <c r="K130" s="1">
        <f t="shared" si="17"/>
        <v>14634</v>
      </c>
      <c r="L130" s="1">
        <f t="shared" si="18"/>
        <v>2785.3380000000002</v>
      </c>
      <c r="M130" s="3">
        <f t="shared" si="19"/>
        <v>57.157794819675324</v>
      </c>
      <c r="N130" s="7">
        <f t="shared" si="24"/>
        <v>2785</v>
      </c>
      <c r="O130" s="7">
        <f t="shared" si="20"/>
        <v>57</v>
      </c>
      <c r="P130" s="3">
        <f>SUM($O$4:O130)</f>
        <v>2792</v>
      </c>
      <c r="T130" s="7">
        <v>39</v>
      </c>
      <c r="U130" s="3">
        <v>2.4957854406130267</v>
      </c>
      <c r="V130" s="3">
        <v>303.36342350981562</v>
      </c>
      <c r="Y130" s="3">
        <f t="shared" si="21"/>
        <v>127</v>
      </c>
      <c r="Z130" s="3">
        <f t="shared" si="22"/>
        <v>62351</v>
      </c>
      <c r="AB130" s="7">
        <f t="shared" si="23"/>
        <v>13040</v>
      </c>
    </row>
    <row r="131" spans="6:28" x14ac:dyDescent="0.15">
      <c r="F131">
        <f t="shared" si="13"/>
        <v>19</v>
      </c>
      <c r="G131">
        <v>128</v>
      </c>
      <c r="H131">
        <f t="shared" si="14"/>
        <v>14633.775334681612</v>
      </c>
      <c r="I131">
        <f t="shared" si="15"/>
        <v>14634</v>
      </c>
      <c r="J131" s="1">
        <f t="shared" si="16"/>
        <v>1</v>
      </c>
      <c r="K131" s="1">
        <f t="shared" si="17"/>
        <v>14634</v>
      </c>
      <c r="L131" s="1">
        <f t="shared" si="18"/>
        <v>2785.3380000000002</v>
      </c>
      <c r="M131" s="3">
        <f t="shared" si="19"/>
        <v>57.157794819675324</v>
      </c>
      <c r="N131" s="7">
        <f t="shared" si="24"/>
        <v>2785</v>
      </c>
      <c r="O131" s="7">
        <f t="shared" si="20"/>
        <v>57</v>
      </c>
      <c r="P131" s="3">
        <f>SUM($O$4:O131)</f>
        <v>2849</v>
      </c>
      <c r="T131" s="7">
        <v>39</v>
      </c>
      <c r="U131" s="3">
        <v>2.4957854406130267</v>
      </c>
      <c r="V131" s="3">
        <v>305.85920895042864</v>
      </c>
      <c r="Y131" s="3">
        <f t="shared" si="21"/>
        <v>128</v>
      </c>
      <c r="Z131" s="3">
        <f t="shared" si="22"/>
        <v>65984</v>
      </c>
      <c r="AB131" s="7">
        <f t="shared" si="23"/>
        <v>13040</v>
      </c>
    </row>
    <row r="132" spans="6:28" x14ac:dyDescent="0.15">
      <c r="F132">
        <f t="shared" si="13"/>
        <v>19</v>
      </c>
      <c r="G132">
        <v>129</v>
      </c>
      <c r="H132">
        <f t="shared" si="14"/>
        <v>14633.775334681612</v>
      </c>
      <c r="I132">
        <f t="shared" si="15"/>
        <v>14634</v>
      </c>
      <c r="J132" s="1">
        <f t="shared" si="16"/>
        <v>1</v>
      </c>
      <c r="K132" s="1">
        <f t="shared" si="17"/>
        <v>14634</v>
      </c>
      <c r="L132" s="1">
        <f t="shared" si="18"/>
        <v>2785.3380000000002</v>
      </c>
      <c r="M132" s="3">
        <f t="shared" si="19"/>
        <v>57.157794819675324</v>
      </c>
      <c r="N132" s="7">
        <f t="shared" si="24"/>
        <v>2785</v>
      </c>
      <c r="O132" s="7">
        <f t="shared" si="20"/>
        <v>57</v>
      </c>
      <c r="P132" s="3">
        <f>SUM($O$4:O132)</f>
        <v>2906</v>
      </c>
      <c r="T132" s="7">
        <v>40</v>
      </c>
      <c r="U132" s="3">
        <v>2.3099290780141843</v>
      </c>
      <c r="V132" s="3">
        <v>308.16913802844283</v>
      </c>
      <c r="Y132" s="3">
        <f t="shared" si="21"/>
        <v>129</v>
      </c>
      <c r="Z132" s="3">
        <f t="shared" si="22"/>
        <v>69825</v>
      </c>
      <c r="AB132" s="7">
        <f t="shared" si="23"/>
        <v>13040</v>
      </c>
    </row>
    <row r="133" spans="6:28" x14ac:dyDescent="0.15">
      <c r="F133">
        <f t="shared" ref="F133:F196" si="25">ROUNDUP(G133/$C$4,0)</f>
        <v>19</v>
      </c>
      <c r="G133">
        <v>130</v>
      </c>
      <c r="H133">
        <f t="shared" ref="H133:H196" si="26">18.5*1.57^MIN(F133,156)*1.17^MAX(F133-156,0)*$C$5</f>
        <v>14633.775334681612</v>
      </c>
      <c r="I133">
        <f t="shared" ref="I133:I196" si="27">ROUND(H133,0)</f>
        <v>14634</v>
      </c>
      <c r="J133" s="1">
        <f t="shared" ref="J133:J196" si="28">IF(F133=F134,1,LOOKUP(MOD(F133,5),$D$6:$D$10,$C$6:$C$10))</f>
        <v>1</v>
      </c>
      <c r="K133" s="1">
        <f t="shared" ref="K133:K196" si="29">J133*I133</f>
        <v>14634</v>
      </c>
      <c r="L133" s="1">
        <f t="shared" ref="L133:L196" si="30">K133*(0.02+0.00045*F133)/$C$5</f>
        <v>2785.3380000000002</v>
      </c>
      <c r="M133" s="3">
        <f t="shared" ref="M133:M196" si="31">L133/(1.3^F133)*3</f>
        <v>57.157794819675324</v>
      </c>
      <c r="N133" s="7">
        <f t="shared" si="24"/>
        <v>2785</v>
      </c>
      <c r="O133" s="7">
        <f t="shared" ref="O133:O196" si="32">ROUNDDOWN(M133,0)</f>
        <v>57</v>
      </c>
      <c r="P133" s="3">
        <f>SUM($O$4:O133)</f>
        <v>2963</v>
      </c>
      <c r="T133" s="7">
        <v>40</v>
      </c>
      <c r="U133" s="3">
        <v>13.860283687943262</v>
      </c>
      <c r="V133" s="3">
        <v>322.02942171638608</v>
      </c>
      <c r="Y133" s="3">
        <f t="shared" ref="Y133:Y196" si="33">G133</f>
        <v>130</v>
      </c>
      <c r="Z133" s="3">
        <f t="shared" ref="Z133:Z196" si="34">ROUND(1.05^Y133*Y133,0)</f>
        <v>73884</v>
      </c>
      <c r="AB133" s="7">
        <f t="shared" ref="AB133:AB196" si="35">LOOKUP(Y133,T:T,P:P)</f>
        <v>13040</v>
      </c>
    </row>
    <row r="134" spans="6:28" x14ac:dyDescent="0.15">
      <c r="F134">
        <f t="shared" si="25"/>
        <v>19</v>
      </c>
      <c r="G134">
        <v>131</v>
      </c>
      <c r="H134">
        <f t="shared" si="26"/>
        <v>14633.775334681612</v>
      </c>
      <c r="I134">
        <f t="shared" si="27"/>
        <v>14634</v>
      </c>
      <c r="J134" s="1">
        <f t="shared" si="28"/>
        <v>1</v>
      </c>
      <c r="K134" s="1">
        <f t="shared" si="29"/>
        <v>14634</v>
      </c>
      <c r="L134" s="1">
        <f t="shared" si="30"/>
        <v>2785.3380000000002</v>
      </c>
      <c r="M134" s="3">
        <f t="shared" si="31"/>
        <v>57.157794819675324</v>
      </c>
      <c r="N134" s="7">
        <f t="shared" si="24"/>
        <v>2785</v>
      </c>
      <c r="O134" s="7">
        <f t="shared" si="32"/>
        <v>57</v>
      </c>
      <c r="P134" s="3">
        <f>SUM($O$4:O134)</f>
        <v>3020</v>
      </c>
      <c r="T134" s="7">
        <v>42</v>
      </c>
      <c r="U134" s="3">
        <v>3.1371165644171777</v>
      </c>
      <c r="V134" s="3">
        <v>325.16653828080325</v>
      </c>
      <c r="Y134" s="3">
        <f t="shared" si="33"/>
        <v>131</v>
      </c>
      <c r="Z134" s="3">
        <f t="shared" si="34"/>
        <v>78175</v>
      </c>
      <c r="AB134" s="7">
        <f t="shared" si="35"/>
        <v>13040</v>
      </c>
    </row>
    <row r="135" spans="6:28" x14ac:dyDescent="0.15">
      <c r="F135">
        <f t="shared" si="25"/>
        <v>19</v>
      </c>
      <c r="G135">
        <v>132</v>
      </c>
      <c r="H135">
        <f t="shared" si="26"/>
        <v>14633.775334681612</v>
      </c>
      <c r="I135">
        <f t="shared" si="27"/>
        <v>14634</v>
      </c>
      <c r="J135" s="1">
        <f t="shared" si="28"/>
        <v>1</v>
      </c>
      <c r="K135" s="1">
        <f t="shared" si="29"/>
        <v>14634</v>
      </c>
      <c r="L135" s="1">
        <f t="shared" si="30"/>
        <v>2785.3380000000002</v>
      </c>
      <c r="M135" s="3">
        <f t="shared" si="31"/>
        <v>57.157794819675324</v>
      </c>
      <c r="N135" s="7">
        <f t="shared" si="24"/>
        <v>2785</v>
      </c>
      <c r="O135" s="7">
        <f t="shared" si="32"/>
        <v>57</v>
      </c>
      <c r="P135" s="3">
        <f>SUM($O$4:O135)</f>
        <v>3077</v>
      </c>
      <c r="T135" s="7">
        <v>43</v>
      </c>
      <c r="U135" s="3">
        <v>2.9219999999999997</v>
      </c>
      <c r="V135" s="3">
        <v>328.08853828080328</v>
      </c>
      <c r="Y135" s="3">
        <f t="shared" si="33"/>
        <v>132</v>
      </c>
      <c r="Z135" s="3">
        <f t="shared" si="34"/>
        <v>82711</v>
      </c>
      <c r="AB135" s="7">
        <f t="shared" si="35"/>
        <v>13040</v>
      </c>
    </row>
    <row r="136" spans="6:28" x14ac:dyDescent="0.15">
      <c r="F136">
        <f t="shared" si="25"/>
        <v>19</v>
      </c>
      <c r="G136">
        <v>133</v>
      </c>
      <c r="H136">
        <f t="shared" si="26"/>
        <v>14633.775334681612</v>
      </c>
      <c r="I136">
        <f t="shared" si="27"/>
        <v>14634</v>
      </c>
      <c r="J136" s="1">
        <f t="shared" si="28"/>
        <v>7</v>
      </c>
      <c r="K136" s="1">
        <f t="shared" si="29"/>
        <v>102438</v>
      </c>
      <c r="L136" s="1">
        <f t="shared" si="30"/>
        <v>19497.365999999998</v>
      </c>
      <c r="M136" s="3">
        <f t="shared" si="31"/>
        <v>400.10456373772718</v>
      </c>
      <c r="N136" s="7">
        <f t="shared" ref="N136:N199" si="36">ROUND(L136,0)</f>
        <v>19497</v>
      </c>
      <c r="O136" s="7">
        <f t="shared" si="32"/>
        <v>400</v>
      </c>
      <c r="P136" s="3">
        <f>SUM($O$4:O136)</f>
        <v>3477</v>
      </c>
      <c r="T136" s="7">
        <v>43</v>
      </c>
      <c r="U136" s="3">
        <v>2.9219999999999997</v>
      </c>
      <c r="V136" s="3">
        <v>331.0105382808033</v>
      </c>
      <c r="Y136" s="3">
        <f t="shared" si="33"/>
        <v>133</v>
      </c>
      <c r="Z136" s="3">
        <f t="shared" si="34"/>
        <v>87504</v>
      </c>
      <c r="AB136" s="7">
        <f t="shared" si="35"/>
        <v>13040</v>
      </c>
    </row>
    <row r="137" spans="6:28" x14ac:dyDescent="0.15">
      <c r="F137">
        <f t="shared" si="25"/>
        <v>20</v>
      </c>
      <c r="G137">
        <v>134</v>
      </c>
      <c r="H137">
        <f t="shared" si="26"/>
        <v>22975.027275450127</v>
      </c>
      <c r="I137">
        <f t="shared" si="27"/>
        <v>22975</v>
      </c>
      <c r="J137" s="1">
        <f t="shared" si="28"/>
        <v>1</v>
      </c>
      <c r="K137" s="1">
        <f t="shared" si="29"/>
        <v>22975</v>
      </c>
      <c r="L137" s="1">
        <f t="shared" si="30"/>
        <v>4441.833333333333</v>
      </c>
      <c r="M137" s="3">
        <f t="shared" si="31"/>
        <v>70.115892657541082</v>
      </c>
      <c r="N137" s="7">
        <f t="shared" si="36"/>
        <v>4442</v>
      </c>
      <c r="O137" s="7">
        <f t="shared" si="32"/>
        <v>70</v>
      </c>
      <c r="P137" s="3">
        <f>SUM($O$4:O137)</f>
        <v>3547</v>
      </c>
      <c r="T137" s="7">
        <v>44</v>
      </c>
      <c r="U137" s="3">
        <v>2.7127320954907161</v>
      </c>
      <c r="V137" s="3">
        <v>333.72327037629401</v>
      </c>
      <c r="Y137" s="3">
        <f t="shared" si="33"/>
        <v>134</v>
      </c>
      <c r="Z137" s="3">
        <f t="shared" si="34"/>
        <v>92570</v>
      </c>
      <c r="AB137" s="7">
        <f t="shared" si="35"/>
        <v>13040</v>
      </c>
    </row>
    <row r="138" spans="6:28" x14ac:dyDescent="0.15">
      <c r="F138">
        <f t="shared" si="25"/>
        <v>20</v>
      </c>
      <c r="G138">
        <v>135</v>
      </c>
      <c r="H138">
        <f t="shared" si="26"/>
        <v>22975.027275450127</v>
      </c>
      <c r="I138">
        <f t="shared" si="27"/>
        <v>22975</v>
      </c>
      <c r="J138" s="1">
        <f t="shared" si="28"/>
        <v>1</v>
      </c>
      <c r="K138" s="1">
        <f t="shared" si="29"/>
        <v>22975</v>
      </c>
      <c r="L138" s="1">
        <f t="shared" si="30"/>
        <v>4441.833333333333</v>
      </c>
      <c r="M138" s="3">
        <f t="shared" si="31"/>
        <v>70.115892657541082</v>
      </c>
      <c r="N138" s="7">
        <f t="shared" si="36"/>
        <v>4442</v>
      </c>
      <c r="O138" s="7">
        <f t="shared" si="32"/>
        <v>70</v>
      </c>
      <c r="P138" s="3">
        <f>SUM($O$4:O138)</f>
        <v>3617</v>
      </c>
      <c r="T138" s="7">
        <v>44</v>
      </c>
      <c r="U138" s="3">
        <v>2.7127320954907161</v>
      </c>
      <c r="V138" s="3">
        <v>336.43600247178472</v>
      </c>
      <c r="Y138" s="3">
        <f t="shared" si="33"/>
        <v>135</v>
      </c>
      <c r="Z138" s="3">
        <f t="shared" si="34"/>
        <v>97924</v>
      </c>
      <c r="AB138" s="7">
        <f t="shared" si="35"/>
        <v>13040</v>
      </c>
    </row>
    <row r="139" spans="6:28" x14ac:dyDescent="0.15">
      <c r="F139">
        <f t="shared" si="25"/>
        <v>20</v>
      </c>
      <c r="G139">
        <v>136</v>
      </c>
      <c r="H139">
        <f t="shared" si="26"/>
        <v>22975.027275450127</v>
      </c>
      <c r="I139">
        <f t="shared" si="27"/>
        <v>22975</v>
      </c>
      <c r="J139" s="1">
        <f t="shared" si="28"/>
        <v>1</v>
      </c>
      <c r="K139" s="1">
        <f t="shared" si="29"/>
        <v>22975</v>
      </c>
      <c r="L139" s="1">
        <f t="shared" si="30"/>
        <v>4441.833333333333</v>
      </c>
      <c r="M139" s="3">
        <f t="shared" si="31"/>
        <v>70.115892657541082</v>
      </c>
      <c r="N139" s="7">
        <f t="shared" si="36"/>
        <v>4442</v>
      </c>
      <c r="O139" s="7">
        <f t="shared" si="32"/>
        <v>70</v>
      </c>
      <c r="P139" s="3">
        <f>SUM($O$4:O139)</f>
        <v>3687</v>
      </c>
      <c r="T139" s="7">
        <v>45</v>
      </c>
      <c r="U139" s="3">
        <v>2.5314356435643566</v>
      </c>
      <c r="V139" s="3">
        <v>338.96743811534907</v>
      </c>
      <c r="Y139" s="3">
        <f t="shared" si="33"/>
        <v>136</v>
      </c>
      <c r="Z139" s="3">
        <f t="shared" si="34"/>
        <v>103582</v>
      </c>
      <c r="AB139" s="7">
        <f t="shared" si="35"/>
        <v>13040</v>
      </c>
    </row>
    <row r="140" spans="6:28" x14ac:dyDescent="0.15">
      <c r="F140">
        <f t="shared" si="25"/>
        <v>20</v>
      </c>
      <c r="G140">
        <v>137</v>
      </c>
      <c r="H140">
        <f t="shared" si="26"/>
        <v>22975.027275450127</v>
      </c>
      <c r="I140">
        <f t="shared" si="27"/>
        <v>22975</v>
      </c>
      <c r="J140" s="1">
        <f t="shared" si="28"/>
        <v>1</v>
      </c>
      <c r="K140" s="1">
        <f t="shared" si="29"/>
        <v>22975</v>
      </c>
      <c r="L140" s="1">
        <f t="shared" si="30"/>
        <v>4441.833333333333</v>
      </c>
      <c r="M140" s="3">
        <f t="shared" si="31"/>
        <v>70.115892657541082</v>
      </c>
      <c r="N140" s="7">
        <f t="shared" si="36"/>
        <v>4442</v>
      </c>
      <c r="O140" s="7">
        <f t="shared" si="32"/>
        <v>70</v>
      </c>
      <c r="P140" s="3">
        <f>SUM($O$4:O140)</f>
        <v>3757</v>
      </c>
      <c r="T140" s="7">
        <v>45</v>
      </c>
      <c r="U140" s="3">
        <v>2.5314356435643566</v>
      </c>
      <c r="V140" s="3">
        <v>341.49887375891342</v>
      </c>
      <c r="Y140" s="3">
        <f t="shared" si="33"/>
        <v>137</v>
      </c>
      <c r="Z140" s="3">
        <f t="shared" si="34"/>
        <v>109561</v>
      </c>
      <c r="AB140" s="7">
        <f t="shared" si="35"/>
        <v>13040</v>
      </c>
    </row>
    <row r="141" spans="6:28" x14ac:dyDescent="0.15">
      <c r="F141">
        <f t="shared" si="25"/>
        <v>20</v>
      </c>
      <c r="G141">
        <v>138</v>
      </c>
      <c r="H141">
        <f t="shared" si="26"/>
        <v>22975.027275450127</v>
      </c>
      <c r="I141">
        <f t="shared" si="27"/>
        <v>22975</v>
      </c>
      <c r="J141" s="1">
        <f t="shared" si="28"/>
        <v>1</v>
      </c>
      <c r="K141" s="1">
        <f t="shared" si="29"/>
        <v>22975</v>
      </c>
      <c r="L141" s="1">
        <f t="shared" si="30"/>
        <v>4441.833333333333</v>
      </c>
      <c r="M141" s="3">
        <f t="shared" si="31"/>
        <v>70.115892657541082</v>
      </c>
      <c r="N141" s="7">
        <f t="shared" si="36"/>
        <v>4442</v>
      </c>
      <c r="O141" s="7">
        <f t="shared" si="32"/>
        <v>70</v>
      </c>
      <c r="P141" s="3">
        <f>SUM($O$4:O141)</f>
        <v>3827</v>
      </c>
      <c r="T141" s="7">
        <v>46</v>
      </c>
      <c r="U141" s="3">
        <v>2.3564516129032258</v>
      </c>
      <c r="V141" s="3">
        <v>343.85532537181666</v>
      </c>
      <c r="Y141" s="3">
        <f t="shared" si="33"/>
        <v>138</v>
      </c>
      <c r="Z141" s="3">
        <f t="shared" si="34"/>
        <v>115878</v>
      </c>
      <c r="AB141" s="7">
        <f t="shared" si="35"/>
        <v>13040</v>
      </c>
    </row>
    <row r="142" spans="6:28" x14ac:dyDescent="0.15">
      <c r="F142">
        <f t="shared" si="25"/>
        <v>20</v>
      </c>
      <c r="G142">
        <v>139</v>
      </c>
      <c r="H142">
        <f t="shared" si="26"/>
        <v>22975.027275450127</v>
      </c>
      <c r="I142">
        <f t="shared" si="27"/>
        <v>22975</v>
      </c>
      <c r="J142" s="1">
        <f t="shared" si="28"/>
        <v>1</v>
      </c>
      <c r="K142" s="1">
        <f t="shared" si="29"/>
        <v>22975</v>
      </c>
      <c r="L142" s="1">
        <f t="shared" si="30"/>
        <v>4441.833333333333</v>
      </c>
      <c r="M142" s="3">
        <f t="shared" si="31"/>
        <v>70.115892657541082</v>
      </c>
      <c r="N142" s="7">
        <f t="shared" si="36"/>
        <v>4442</v>
      </c>
      <c r="O142" s="7">
        <f t="shared" si="32"/>
        <v>70</v>
      </c>
      <c r="P142" s="3">
        <f>SUM($O$4:O142)</f>
        <v>3897</v>
      </c>
      <c r="T142" s="7">
        <v>46</v>
      </c>
      <c r="U142" s="3">
        <v>2.3564516129032258</v>
      </c>
      <c r="V142" s="3">
        <v>346.2117769847199</v>
      </c>
      <c r="Y142" s="3">
        <f t="shared" si="33"/>
        <v>139</v>
      </c>
      <c r="Z142" s="3">
        <f t="shared" si="34"/>
        <v>122554</v>
      </c>
      <c r="AB142" s="7">
        <f t="shared" si="35"/>
        <v>13040</v>
      </c>
    </row>
    <row r="143" spans="6:28" x14ac:dyDescent="0.15">
      <c r="F143">
        <f t="shared" si="25"/>
        <v>20</v>
      </c>
      <c r="G143">
        <v>140</v>
      </c>
      <c r="H143">
        <f t="shared" si="26"/>
        <v>22975.027275450127</v>
      </c>
      <c r="I143">
        <f t="shared" si="27"/>
        <v>22975</v>
      </c>
      <c r="J143" s="1">
        <f t="shared" si="28"/>
        <v>10</v>
      </c>
      <c r="K143" s="1">
        <f t="shared" si="29"/>
        <v>229750</v>
      </c>
      <c r="L143" s="1">
        <f t="shared" si="30"/>
        <v>44418.333333333328</v>
      </c>
      <c r="M143" s="3">
        <f t="shared" si="31"/>
        <v>701.15892657541076</v>
      </c>
      <c r="N143" s="7">
        <f t="shared" si="36"/>
        <v>44418</v>
      </c>
      <c r="O143" s="7">
        <f t="shared" si="32"/>
        <v>701</v>
      </c>
      <c r="P143" s="3">
        <f>SUM($O$4:O143)</f>
        <v>4598</v>
      </c>
      <c r="T143" s="7">
        <v>46</v>
      </c>
      <c r="U143" s="3">
        <v>16.495852534562211</v>
      </c>
      <c r="V143" s="3">
        <v>362.70762951928214</v>
      </c>
      <c r="Y143" s="3">
        <f t="shared" si="33"/>
        <v>140</v>
      </c>
      <c r="Z143" s="3">
        <f t="shared" si="34"/>
        <v>129607</v>
      </c>
      <c r="AB143" s="7">
        <f t="shared" si="35"/>
        <v>13040</v>
      </c>
    </row>
    <row r="144" spans="6:28" x14ac:dyDescent="0.15">
      <c r="F144">
        <f t="shared" si="25"/>
        <v>21</v>
      </c>
      <c r="G144">
        <v>141</v>
      </c>
      <c r="H144">
        <f t="shared" si="26"/>
        <v>36070.7928224567</v>
      </c>
      <c r="I144">
        <f t="shared" si="27"/>
        <v>36071</v>
      </c>
      <c r="J144" s="1">
        <f t="shared" si="28"/>
        <v>1</v>
      </c>
      <c r="K144" s="1">
        <f t="shared" si="29"/>
        <v>36071</v>
      </c>
      <c r="L144" s="1">
        <f t="shared" si="30"/>
        <v>7081.9396666666671</v>
      </c>
      <c r="M144" s="3">
        <f t="shared" si="31"/>
        <v>85.992995755711107</v>
      </c>
      <c r="N144" s="7">
        <f t="shared" si="36"/>
        <v>7082</v>
      </c>
      <c r="O144" s="7">
        <f t="shared" si="32"/>
        <v>85</v>
      </c>
      <c r="P144" s="3">
        <f>SUM($O$4:O144)</f>
        <v>4683</v>
      </c>
      <c r="T144" s="7">
        <v>49</v>
      </c>
      <c r="U144" s="3">
        <v>3.0013084112149531</v>
      </c>
      <c r="V144" s="3">
        <v>365.70893793049709</v>
      </c>
      <c r="Y144" s="3">
        <f t="shared" si="33"/>
        <v>141</v>
      </c>
      <c r="Z144" s="3">
        <f t="shared" si="34"/>
        <v>137060</v>
      </c>
      <c r="AB144" s="7">
        <f t="shared" si="35"/>
        <v>13040</v>
      </c>
    </row>
    <row r="145" spans="6:28" x14ac:dyDescent="0.15">
      <c r="F145">
        <f t="shared" si="25"/>
        <v>21</v>
      </c>
      <c r="G145">
        <v>142</v>
      </c>
      <c r="H145">
        <f t="shared" si="26"/>
        <v>36070.7928224567</v>
      </c>
      <c r="I145">
        <f t="shared" si="27"/>
        <v>36071</v>
      </c>
      <c r="J145" s="1">
        <f t="shared" si="28"/>
        <v>1</v>
      </c>
      <c r="K145" s="1">
        <f t="shared" si="29"/>
        <v>36071</v>
      </c>
      <c r="L145" s="1">
        <f t="shared" si="30"/>
        <v>7081.9396666666671</v>
      </c>
      <c r="M145" s="3">
        <f t="shared" si="31"/>
        <v>85.992995755711107</v>
      </c>
      <c r="N145" s="7">
        <f t="shared" si="36"/>
        <v>7082</v>
      </c>
      <c r="O145" s="7">
        <f t="shared" si="32"/>
        <v>85</v>
      </c>
      <c r="P145" s="3">
        <f>SUM($O$4:O145)</f>
        <v>4768</v>
      </c>
      <c r="T145" s="7">
        <v>49</v>
      </c>
      <c r="U145" s="3">
        <v>3.0013084112149531</v>
      </c>
      <c r="V145" s="3">
        <v>368.71024634171204</v>
      </c>
      <c r="Y145" s="3">
        <f t="shared" si="33"/>
        <v>142</v>
      </c>
      <c r="Z145" s="3">
        <f t="shared" si="34"/>
        <v>144934</v>
      </c>
      <c r="AB145" s="7">
        <f t="shared" si="35"/>
        <v>13040</v>
      </c>
    </row>
    <row r="146" spans="6:28" x14ac:dyDescent="0.15">
      <c r="F146">
        <f t="shared" si="25"/>
        <v>21</v>
      </c>
      <c r="G146">
        <v>143</v>
      </c>
      <c r="H146">
        <f t="shared" si="26"/>
        <v>36070.7928224567</v>
      </c>
      <c r="I146">
        <f t="shared" si="27"/>
        <v>36071</v>
      </c>
      <c r="J146" s="1">
        <f t="shared" si="28"/>
        <v>1</v>
      </c>
      <c r="K146" s="1">
        <f t="shared" si="29"/>
        <v>36071</v>
      </c>
      <c r="L146" s="1">
        <f t="shared" si="30"/>
        <v>7081.9396666666671</v>
      </c>
      <c r="M146" s="3">
        <f t="shared" si="31"/>
        <v>85.992995755711107</v>
      </c>
      <c r="N146" s="7">
        <f t="shared" si="36"/>
        <v>7082</v>
      </c>
      <c r="O146" s="7">
        <f t="shared" si="32"/>
        <v>85</v>
      </c>
      <c r="P146" s="3">
        <f>SUM($O$4:O146)</f>
        <v>4853</v>
      </c>
      <c r="T146" s="7">
        <v>50</v>
      </c>
      <c r="U146" s="3">
        <v>2.8022687609075043</v>
      </c>
      <c r="V146" s="3">
        <v>371.51251510261955</v>
      </c>
      <c r="Y146" s="3">
        <f t="shared" si="33"/>
        <v>143</v>
      </c>
      <c r="Z146" s="3">
        <f t="shared" si="34"/>
        <v>153252</v>
      </c>
      <c r="AB146" s="7">
        <f t="shared" si="35"/>
        <v>13040</v>
      </c>
    </row>
    <row r="147" spans="6:28" x14ac:dyDescent="0.15">
      <c r="F147">
        <f t="shared" si="25"/>
        <v>21</v>
      </c>
      <c r="G147">
        <v>144</v>
      </c>
      <c r="H147">
        <f t="shared" si="26"/>
        <v>36070.7928224567</v>
      </c>
      <c r="I147">
        <f t="shared" si="27"/>
        <v>36071</v>
      </c>
      <c r="J147" s="1">
        <f t="shared" si="28"/>
        <v>1</v>
      </c>
      <c r="K147" s="1">
        <f t="shared" si="29"/>
        <v>36071</v>
      </c>
      <c r="L147" s="1">
        <f t="shared" si="30"/>
        <v>7081.9396666666671</v>
      </c>
      <c r="M147" s="3">
        <f t="shared" si="31"/>
        <v>85.992995755711107</v>
      </c>
      <c r="N147" s="7">
        <f t="shared" si="36"/>
        <v>7082</v>
      </c>
      <c r="O147" s="7">
        <f t="shared" si="32"/>
        <v>85</v>
      </c>
      <c r="P147" s="3">
        <f>SUM($O$4:O147)</f>
        <v>4938</v>
      </c>
      <c r="T147" s="7">
        <v>50</v>
      </c>
      <c r="U147" s="3">
        <v>2.8022687609075043</v>
      </c>
      <c r="V147" s="3">
        <v>374.31478386352705</v>
      </c>
      <c r="Y147" s="3">
        <f t="shared" si="33"/>
        <v>144</v>
      </c>
      <c r="Z147" s="3">
        <f t="shared" si="34"/>
        <v>162040</v>
      </c>
      <c r="AB147" s="7">
        <f t="shared" si="35"/>
        <v>13040</v>
      </c>
    </row>
    <row r="148" spans="6:28" x14ac:dyDescent="0.15">
      <c r="F148">
        <f t="shared" si="25"/>
        <v>21</v>
      </c>
      <c r="G148">
        <v>145</v>
      </c>
      <c r="H148">
        <f t="shared" si="26"/>
        <v>36070.7928224567</v>
      </c>
      <c r="I148">
        <f t="shared" si="27"/>
        <v>36071</v>
      </c>
      <c r="J148" s="1">
        <f t="shared" si="28"/>
        <v>1</v>
      </c>
      <c r="K148" s="1">
        <f t="shared" si="29"/>
        <v>36071</v>
      </c>
      <c r="L148" s="1">
        <f t="shared" si="30"/>
        <v>7081.9396666666671</v>
      </c>
      <c r="M148" s="3">
        <f t="shared" si="31"/>
        <v>85.992995755711107</v>
      </c>
      <c r="N148" s="7">
        <f t="shared" si="36"/>
        <v>7082</v>
      </c>
      <c r="O148" s="7">
        <f t="shared" si="32"/>
        <v>85</v>
      </c>
      <c r="P148" s="3">
        <f>SUM($O$4:O148)</f>
        <v>5023</v>
      </c>
      <c r="T148" s="7">
        <v>51</v>
      </c>
      <c r="U148" s="3">
        <v>2.6151465798045601</v>
      </c>
      <c r="V148" s="3">
        <v>376.92993044333161</v>
      </c>
      <c r="Y148" s="3">
        <f t="shared" si="33"/>
        <v>145</v>
      </c>
      <c r="Z148" s="3">
        <f t="shared" si="34"/>
        <v>171323</v>
      </c>
      <c r="AB148" s="7">
        <f t="shared" si="35"/>
        <v>13040</v>
      </c>
    </row>
    <row r="149" spans="6:28" x14ac:dyDescent="0.15">
      <c r="F149">
        <f t="shared" si="25"/>
        <v>21</v>
      </c>
      <c r="G149">
        <v>146</v>
      </c>
      <c r="H149">
        <f t="shared" si="26"/>
        <v>36070.7928224567</v>
      </c>
      <c r="I149">
        <f t="shared" si="27"/>
        <v>36071</v>
      </c>
      <c r="J149" s="1">
        <f t="shared" si="28"/>
        <v>1</v>
      </c>
      <c r="K149" s="1">
        <f t="shared" si="29"/>
        <v>36071</v>
      </c>
      <c r="L149" s="1">
        <f t="shared" si="30"/>
        <v>7081.9396666666671</v>
      </c>
      <c r="M149" s="3">
        <f t="shared" si="31"/>
        <v>85.992995755711107</v>
      </c>
      <c r="N149" s="7">
        <f t="shared" si="36"/>
        <v>7082</v>
      </c>
      <c r="O149" s="7">
        <f t="shared" si="32"/>
        <v>85</v>
      </c>
      <c r="P149" s="3">
        <f>SUM($O$4:O149)</f>
        <v>5108</v>
      </c>
      <c r="T149" s="7">
        <v>51</v>
      </c>
      <c r="U149" s="3">
        <v>2.6151465798045601</v>
      </c>
      <c r="V149" s="3">
        <v>379.54507702313617</v>
      </c>
      <c r="Y149" s="3">
        <f t="shared" si="33"/>
        <v>146</v>
      </c>
      <c r="Z149" s="3">
        <f t="shared" si="34"/>
        <v>181130</v>
      </c>
      <c r="AB149" s="7">
        <f t="shared" si="35"/>
        <v>13040</v>
      </c>
    </row>
    <row r="150" spans="6:28" x14ac:dyDescent="0.15">
      <c r="F150">
        <f t="shared" si="25"/>
        <v>21</v>
      </c>
      <c r="G150">
        <v>147</v>
      </c>
      <c r="H150">
        <f t="shared" si="26"/>
        <v>36070.7928224567</v>
      </c>
      <c r="I150">
        <f t="shared" si="27"/>
        <v>36071</v>
      </c>
      <c r="J150" s="1">
        <f t="shared" si="28"/>
        <v>2</v>
      </c>
      <c r="K150" s="1">
        <f t="shared" si="29"/>
        <v>72142</v>
      </c>
      <c r="L150" s="1">
        <f t="shared" si="30"/>
        <v>14163.879333333334</v>
      </c>
      <c r="M150" s="3">
        <f t="shared" si="31"/>
        <v>171.98599151142221</v>
      </c>
      <c r="N150" s="7">
        <f t="shared" si="36"/>
        <v>14164</v>
      </c>
      <c r="O150" s="7">
        <f t="shared" si="32"/>
        <v>171</v>
      </c>
      <c r="P150" s="3">
        <f>SUM($O$4:O150)</f>
        <v>5279</v>
      </c>
      <c r="T150" s="7">
        <v>52</v>
      </c>
      <c r="U150" s="3">
        <v>2.4439878234398784</v>
      </c>
      <c r="V150" s="3">
        <v>381.98906484657607</v>
      </c>
      <c r="Y150" s="3">
        <f t="shared" si="33"/>
        <v>147</v>
      </c>
      <c r="Z150" s="3">
        <f t="shared" si="34"/>
        <v>191489</v>
      </c>
      <c r="AB150" s="7">
        <f t="shared" si="35"/>
        <v>13040</v>
      </c>
    </row>
    <row r="151" spans="6:28" x14ac:dyDescent="0.15">
      <c r="F151">
        <f t="shared" si="25"/>
        <v>22</v>
      </c>
      <c r="G151">
        <v>148</v>
      </c>
      <c r="H151">
        <f t="shared" si="26"/>
        <v>56631.144731257031</v>
      </c>
      <c r="I151">
        <f t="shared" si="27"/>
        <v>56631</v>
      </c>
      <c r="J151" s="1">
        <f t="shared" si="28"/>
        <v>1</v>
      </c>
      <c r="K151" s="1">
        <f t="shared" si="29"/>
        <v>56631</v>
      </c>
      <c r="L151" s="1">
        <f t="shared" si="30"/>
        <v>11288.446000000002</v>
      </c>
      <c r="M151" s="3">
        <f t="shared" si="31"/>
        <v>105.4390935748427</v>
      </c>
      <c r="N151" s="7">
        <f t="shared" si="36"/>
        <v>11288</v>
      </c>
      <c r="O151" s="7">
        <f t="shared" si="32"/>
        <v>105</v>
      </c>
      <c r="P151" s="3">
        <f>SUM($O$4:O151)</f>
        <v>5384</v>
      </c>
      <c r="T151" s="7">
        <v>52</v>
      </c>
      <c r="U151" s="3">
        <v>2.4439878234398784</v>
      </c>
      <c r="V151" s="3">
        <v>384.43305267001597</v>
      </c>
      <c r="Y151" s="3">
        <f t="shared" si="33"/>
        <v>148</v>
      </c>
      <c r="Z151" s="3">
        <f t="shared" si="34"/>
        <v>202431</v>
      </c>
      <c r="AB151" s="7">
        <f t="shared" si="35"/>
        <v>13040</v>
      </c>
    </row>
    <row r="152" spans="6:28" x14ac:dyDescent="0.15">
      <c r="F152">
        <f t="shared" si="25"/>
        <v>22</v>
      </c>
      <c r="G152">
        <v>149</v>
      </c>
      <c r="H152">
        <f t="shared" si="26"/>
        <v>56631.144731257031</v>
      </c>
      <c r="I152">
        <f t="shared" si="27"/>
        <v>56631</v>
      </c>
      <c r="J152" s="1">
        <f t="shared" si="28"/>
        <v>1</v>
      </c>
      <c r="K152" s="1">
        <f t="shared" si="29"/>
        <v>56631</v>
      </c>
      <c r="L152" s="1">
        <f t="shared" si="30"/>
        <v>11288.446000000002</v>
      </c>
      <c r="M152" s="3">
        <f t="shared" si="31"/>
        <v>105.4390935748427</v>
      </c>
      <c r="N152" s="7">
        <f t="shared" si="36"/>
        <v>11288</v>
      </c>
      <c r="O152" s="7">
        <f t="shared" si="32"/>
        <v>105</v>
      </c>
      <c r="P152" s="3">
        <f>SUM($O$4:O152)</f>
        <v>5489</v>
      </c>
      <c r="T152" s="7">
        <v>53</v>
      </c>
      <c r="U152" s="3">
        <v>2.2808238636363636</v>
      </c>
      <c r="V152" s="3">
        <v>386.71387653365235</v>
      </c>
      <c r="Y152" s="3">
        <f t="shared" si="33"/>
        <v>149</v>
      </c>
      <c r="Z152" s="3">
        <f t="shared" si="34"/>
        <v>213989</v>
      </c>
      <c r="AB152" s="7">
        <f t="shared" si="35"/>
        <v>13040</v>
      </c>
    </row>
    <row r="153" spans="6:28" x14ac:dyDescent="0.15">
      <c r="F153">
        <f t="shared" si="25"/>
        <v>22</v>
      </c>
      <c r="G153">
        <v>150</v>
      </c>
      <c r="H153">
        <f t="shared" si="26"/>
        <v>56631.144731257031</v>
      </c>
      <c r="I153">
        <f t="shared" si="27"/>
        <v>56631</v>
      </c>
      <c r="J153" s="1">
        <f t="shared" si="28"/>
        <v>1</v>
      </c>
      <c r="K153" s="1">
        <f t="shared" si="29"/>
        <v>56631</v>
      </c>
      <c r="L153" s="1">
        <f t="shared" si="30"/>
        <v>11288.446000000002</v>
      </c>
      <c r="M153" s="3">
        <f t="shared" si="31"/>
        <v>105.4390935748427</v>
      </c>
      <c r="N153" s="7">
        <f t="shared" si="36"/>
        <v>11288</v>
      </c>
      <c r="O153" s="7">
        <f t="shared" si="32"/>
        <v>105</v>
      </c>
      <c r="P153" s="3">
        <f>SUM($O$4:O153)</f>
        <v>5594</v>
      </c>
      <c r="T153" s="7">
        <v>53</v>
      </c>
      <c r="U153" s="3">
        <v>22.808380681818182</v>
      </c>
      <c r="V153" s="3">
        <v>409.52225721547052</v>
      </c>
      <c r="Y153" s="3">
        <f t="shared" si="33"/>
        <v>150</v>
      </c>
      <c r="Z153" s="3">
        <f t="shared" si="34"/>
        <v>226197</v>
      </c>
      <c r="AB153" s="7">
        <f t="shared" si="35"/>
        <v>13040</v>
      </c>
    </row>
    <row r="154" spans="6:28" x14ac:dyDescent="0.15">
      <c r="F154">
        <f t="shared" si="25"/>
        <v>22</v>
      </c>
      <c r="G154">
        <v>151</v>
      </c>
      <c r="H154">
        <f t="shared" si="26"/>
        <v>56631.144731257031</v>
      </c>
      <c r="I154">
        <f t="shared" si="27"/>
        <v>56631</v>
      </c>
      <c r="J154" s="1">
        <f t="shared" si="28"/>
        <v>1</v>
      </c>
      <c r="K154" s="1">
        <f t="shared" si="29"/>
        <v>56631</v>
      </c>
      <c r="L154" s="1">
        <f t="shared" si="30"/>
        <v>11288.446000000002</v>
      </c>
      <c r="M154" s="3">
        <f t="shared" si="31"/>
        <v>105.4390935748427</v>
      </c>
      <c r="N154" s="7">
        <f t="shared" si="36"/>
        <v>11288</v>
      </c>
      <c r="O154" s="7">
        <f t="shared" si="32"/>
        <v>105</v>
      </c>
      <c r="P154" s="3">
        <f>SUM($O$4:O154)</f>
        <v>5699</v>
      </c>
      <c r="T154" s="7">
        <v>56</v>
      </c>
      <c r="U154" s="3">
        <v>2.9279907084785135</v>
      </c>
      <c r="V154" s="3">
        <v>412.45024792394901</v>
      </c>
      <c r="Y154" s="3">
        <f t="shared" si="33"/>
        <v>151</v>
      </c>
      <c r="Z154" s="3">
        <f t="shared" si="34"/>
        <v>239090</v>
      </c>
      <c r="AB154" s="7">
        <f t="shared" si="35"/>
        <v>13040</v>
      </c>
    </row>
    <row r="155" spans="6:28" x14ac:dyDescent="0.15">
      <c r="F155">
        <f t="shared" si="25"/>
        <v>22</v>
      </c>
      <c r="G155">
        <v>152</v>
      </c>
      <c r="H155">
        <f t="shared" si="26"/>
        <v>56631.144731257031</v>
      </c>
      <c r="I155">
        <f t="shared" si="27"/>
        <v>56631</v>
      </c>
      <c r="J155" s="1">
        <f t="shared" si="28"/>
        <v>1</v>
      </c>
      <c r="K155" s="1">
        <f t="shared" si="29"/>
        <v>56631</v>
      </c>
      <c r="L155" s="1">
        <f t="shared" si="30"/>
        <v>11288.446000000002</v>
      </c>
      <c r="M155" s="3">
        <f t="shared" si="31"/>
        <v>105.4390935748427</v>
      </c>
      <c r="N155" s="7">
        <f t="shared" si="36"/>
        <v>11288</v>
      </c>
      <c r="O155" s="7">
        <f t="shared" si="32"/>
        <v>105</v>
      </c>
      <c r="P155" s="3">
        <f>SUM($O$4:O155)</f>
        <v>5804</v>
      </c>
      <c r="T155" s="7">
        <v>57</v>
      </c>
      <c r="U155" s="3">
        <v>2.7402173913043475</v>
      </c>
      <c r="V155" s="3">
        <v>415.19046531525333</v>
      </c>
      <c r="Y155" s="3">
        <f t="shared" si="33"/>
        <v>152</v>
      </c>
      <c r="Z155" s="3">
        <f t="shared" si="34"/>
        <v>252707</v>
      </c>
      <c r="AB155" s="7">
        <f t="shared" si="35"/>
        <v>13040</v>
      </c>
    </row>
    <row r="156" spans="6:28" x14ac:dyDescent="0.15">
      <c r="F156">
        <f t="shared" si="25"/>
        <v>22</v>
      </c>
      <c r="G156">
        <v>153</v>
      </c>
      <c r="H156">
        <f t="shared" si="26"/>
        <v>56631.144731257031</v>
      </c>
      <c r="I156">
        <f t="shared" si="27"/>
        <v>56631</v>
      </c>
      <c r="J156" s="1">
        <f t="shared" si="28"/>
        <v>1</v>
      </c>
      <c r="K156" s="1">
        <f t="shared" si="29"/>
        <v>56631</v>
      </c>
      <c r="L156" s="1">
        <f t="shared" si="30"/>
        <v>11288.446000000002</v>
      </c>
      <c r="M156" s="3">
        <f t="shared" si="31"/>
        <v>105.4390935748427</v>
      </c>
      <c r="N156" s="7">
        <f t="shared" si="36"/>
        <v>11288</v>
      </c>
      <c r="O156" s="7">
        <f t="shared" si="32"/>
        <v>105</v>
      </c>
      <c r="P156" s="3">
        <f>SUM($O$4:O156)</f>
        <v>5909</v>
      </c>
      <c r="T156" s="7">
        <v>57</v>
      </c>
      <c r="U156" s="3">
        <v>2.7402173913043475</v>
      </c>
      <c r="V156" s="3">
        <v>417.93068270655766</v>
      </c>
      <c r="Y156" s="3">
        <f t="shared" si="33"/>
        <v>153</v>
      </c>
      <c r="Z156" s="3">
        <f t="shared" si="34"/>
        <v>267088</v>
      </c>
      <c r="AB156" s="7">
        <f t="shared" si="35"/>
        <v>13040</v>
      </c>
    </row>
    <row r="157" spans="6:28" x14ac:dyDescent="0.15">
      <c r="F157">
        <f t="shared" si="25"/>
        <v>22</v>
      </c>
      <c r="G157">
        <v>154</v>
      </c>
      <c r="H157">
        <f t="shared" si="26"/>
        <v>56631.144731257031</v>
      </c>
      <c r="I157">
        <f t="shared" si="27"/>
        <v>56631</v>
      </c>
      <c r="J157" s="1">
        <f t="shared" si="28"/>
        <v>4</v>
      </c>
      <c r="K157" s="1">
        <f t="shared" si="29"/>
        <v>226524</v>
      </c>
      <c r="L157" s="1">
        <f t="shared" si="30"/>
        <v>45153.784000000007</v>
      </c>
      <c r="M157" s="3">
        <f t="shared" si="31"/>
        <v>421.7563742993708</v>
      </c>
      <c r="N157" s="7">
        <f t="shared" si="36"/>
        <v>45154</v>
      </c>
      <c r="O157" s="7">
        <f t="shared" si="32"/>
        <v>421</v>
      </c>
      <c r="P157" s="3">
        <f>SUM($O$4:O157)</f>
        <v>6330</v>
      </c>
      <c r="T157" s="7">
        <v>58</v>
      </c>
      <c r="U157" s="3">
        <v>2.5645981688708037</v>
      </c>
      <c r="V157" s="3">
        <v>420.49528087542848</v>
      </c>
      <c r="Y157" s="3">
        <f t="shared" si="33"/>
        <v>154</v>
      </c>
      <c r="Z157" s="3">
        <f t="shared" si="34"/>
        <v>282275</v>
      </c>
      <c r="AB157" s="7">
        <f t="shared" si="35"/>
        <v>13040</v>
      </c>
    </row>
    <row r="158" spans="6:28" x14ac:dyDescent="0.15">
      <c r="F158">
        <f t="shared" si="25"/>
        <v>23</v>
      </c>
      <c r="G158">
        <v>155</v>
      </c>
      <c r="H158">
        <f t="shared" si="26"/>
        <v>88910.897228073518</v>
      </c>
      <c r="I158">
        <f t="shared" si="27"/>
        <v>88911</v>
      </c>
      <c r="J158" s="1">
        <f t="shared" si="28"/>
        <v>1</v>
      </c>
      <c r="K158" s="1">
        <f t="shared" si="29"/>
        <v>88911</v>
      </c>
      <c r="L158" s="1">
        <f t="shared" si="30"/>
        <v>17989.659000000003</v>
      </c>
      <c r="M158" s="3">
        <f t="shared" si="31"/>
        <v>129.25491990663664</v>
      </c>
      <c r="N158" s="7">
        <f t="shared" si="36"/>
        <v>17990</v>
      </c>
      <c r="O158" s="7">
        <f t="shared" si="32"/>
        <v>129</v>
      </c>
      <c r="P158" s="3">
        <f>SUM($O$4:O158)</f>
        <v>6459</v>
      </c>
      <c r="T158" s="7">
        <v>58</v>
      </c>
      <c r="U158" s="3">
        <v>2.5645981688708037</v>
      </c>
      <c r="V158" s="3">
        <v>423.05987904429929</v>
      </c>
      <c r="Y158" s="3">
        <f t="shared" si="33"/>
        <v>155</v>
      </c>
      <c r="Z158" s="3">
        <f t="shared" si="34"/>
        <v>298314</v>
      </c>
      <c r="AB158" s="7">
        <f t="shared" si="35"/>
        <v>13040</v>
      </c>
    </row>
    <row r="159" spans="6:28" x14ac:dyDescent="0.15">
      <c r="F159">
        <f t="shared" si="25"/>
        <v>23</v>
      </c>
      <c r="G159">
        <v>156</v>
      </c>
      <c r="H159">
        <f t="shared" si="26"/>
        <v>88910.897228073518</v>
      </c>
      <c r="I159">
        <f t="shared" si="27"/>
        <v>88911</v>
      </c>
      <c r="J159" s="1">
        <f t="shared" si="28"/>
        <v>1</v>
      </c>
      <c r="K159" s="1">
        <f t="shared" si="29"/>
        <v>88911</v>
      </c>
      <c r="L159" s="1">
        <f t="shared" si="30"/>
        <v>17989.659000000003</v>
      </c>
      <c r="M159" s="3">
        <f t="shared" si="31"/>
        <v>129.25491990663664</v>
      </c>
      <c r="N159" s="7">
        <f t="shared" si="36"/>
        <v>17990</v>
      </c>
      <c r="O159" s="7">
        <f t="shared" si="32"/>
        <v>129</v>
      </c>
      <c r="P159" s="3">
        <f>SUM($O$4:O159)</f>
        <v>6588</v>
      </c>
      <c r="T159" s="7">
        <v>59</v>
      </c>
      <c r="U159" s="3">
        <v>2.4009523809523809</v>
      </c>
      <c r="V159" s="3">
        <v>425.46083142525168</v>
      </c>
      <c r="Y159" s="3">
        <f t="shared" si="33"/>
        <v>156</v>
      </c>
      <c r="Z159" s="3">
        <f t="shared" si="34"/>
        <v>315250</v>
      </c>
      <c r="AB159" s="7">
        <f t="shared" si="35"/>
        <v>13040</v>
      </c>
    </row>
    <row r="160" spans="6:28" x14ac:dyDescent="0.15">
      <c r="F160">
        <f t="shared" si="25"/>
        <v>23</v>
      </c>
      <c r="G160">
        <v>157</v>
      </c>
      <c r="H160">
        <f t="shared" si="26"/>
        <v>88910.897228073518</v>
      </c>
      <c r="I160">
        <f t="shared" si="27"/>
        <v>88911</v>
      </c>
      <c r="J160" s="1">
        <f t="shared" si="28"/>
        <v>1</v>
      </c>
      <c r="K160" s="1">
        <f t="shared" si="29"/>
        <v>88911</v>
      </c>
      <c r="L160" s="1">
        <f t="shared" si="30"/>
        <v>17989.659000000003</v>
      </c>
      <c r="M160" s="3">
        <f t="shared" si="31"/>
        <v>129.25491990663664</v>
      </c>
      <c r="N160" s="7">
        <f t="shared" si="36"/>
        <v>17990</v>
      </c>
      <c r="O160" s="7">
        <f t="shared" si="32"/>
        <v>129</v>
      </c>
      <c r="P160" s="3">
        <f>SUM($O$4:O160)</f>
        <v>6717</v>
      </c>
      <c r="T160" s="7">
        <v>59</v>
      </c>
      <c r="U160" s="3">
        <v>2.4009523809523809</v>
      </c>
      <c r="V160" s="3">
        <v>427.86178380620407</v>
      </c>
      <c r="Y160" s="3">
        <f t="shared" si="33"/>
        <v>157</v>
      </c>
      <c r="Z160" s="3">
        <f t="shared" si="34"/>
        <v>333134</v>
      </c>
      <c r="AB160" s="7">
        <f t="shared" si="35"/>
        <v>13040</v>
      </c>
    </row>
    <row r="161" spans="6:28" x14ac:dyDescent="0.15">
      <c r="F161">
        <f t="shared" si="25"/>
        <v>23</v>
      </c>
      <c r="G161">
        <v>158</v>
      </c>
      <c r="H161">
        <f t="shared" si="26"/>
        <v>88910.897228073518</v>
      </c>
      <c r="I161">
        <f t="shared" si="27"/>
        <v>88911</v>
      </c>
      <c r="J161" s="1">
        <f t="shared" si="28"/>
        <v>1</v>
      </c>
      <c r="K161" s="1">
        <f t="shared" si="29"/>
        <v>88911</v>
      </c>
      <c r="L161" s="1">
        <f t="shared" si="30"/>
        <v>17989.659000000003</v>
      </c>
      <c r="M161" s="3">
        <f t="shared" si="31"/>
        <v>129.25491990663664</v>
      </c>
      <c r="N161" s="7">
        <f t="shared" si="36"/>
        <v>17990</v>
      </c>
      <c r="O161" s="7">
        <f t="shared" si="32"/>
        <v>129</v>
      </c>
      <c r="P161" s="3">
        <f>SUM($O$4:O161)</f>
        <v>6846</v>
      </c>
      <c r="T161" s="7">
        <v>59</v>
      </c>
      <c r="U161" s="3">
        <v>2.4009523809523809</v>
      </c>
      <c r="V161" s="3">
        <v>430.26273618715646</v>
      </c>
      <c r="Y161" s="3">
        <f t="shared" si="33"/>
        <v>158</v>
      </c>
      <c r="Z161" s="3">
        <f t="shared" si="34"/>
        <v>352019</v>
      </c>
      <c r="AB161" s="7">
        <f t="shared" si="35"/>
        <v>13040</v>
      </c>
    </row>
    <row r="162" spans="6:28" x14ac:dyDescent="0.15">
      <c r="F162">
        <f t="shared" si="25"/>
        <v>23</v>
      </c>
      <c r="G162">
        <v>159</v>
      </c>
      <c r="H162">
        <f t="shared" si="26"/>
        <v>88910.897228073518</v>
      </c>
      <c r="I162">
        <f t="shared" si="27"/>
        <v>88911</v>
      </c>
      <c r="J162" s="1">
        <f t="shared" si="28"/>
        <v>1</v>
      </c>
      <c r="K162" s="1">
        <f t="shared" si="29"/>
        <v>88911</v>
      </c>
      <c r="L162" s="1">
        <f t="shared" si="30"/>
        <v>17989.659000000003</v>
      </c>
      <c r="M162" s="3">
        <f t="shared" si="31"/>
        <v>129.25491990663664</v>
      </c>
      <c r="N162" s="7">
        <f t="shared" si="36"/>
        <v>17990</v>
      </c>
      <c r="O162" s="7">
        <f t="shared" si="32"/>
        <v>129</v>
      </c>
      <c r="P162" s="3">
        <f>SUM($O$4:O162)</f>
        <v>6975</v>
      </c>
      <c r="T162" s="7">
        <v>60</v>
      </c>
      <c r="U162" s="3">
        <v>2.2488849241748441</v>
      </c>
      <c r="V162" s="3">
        <v>432.51162111133129</v>
      </c>
      <c r="Y162" s="3">
        <f t="shared" si="33"/>
        <v>159</v>
      </c>
      <c r="Z162" s="3">
        <f t="shared" si="34"/>
        <v>371960</v>
      </c>
      <c r="AB162" s="7">
        <f t="shared" si="35"/>
        <v>13040</v>
      </c>
    </row>
    <row r="163" spans="6:28" x14ac:dyDescent="0.15">
      <c r="F163">
        <f t="shared" si="25"/>
        <v>23</v>
      </c>
      <c r="G163">
        <v>160</v>
      </c>
      <c r="H163">
        <f t="shared" si="26"/>
        <v>88910.897228073518</v>
      </c>
      <c r="I163">
        <f t="shared" si="27"/>
        <v>88911</v>
      </c>
      <c r="J163" s="1">
        <f t="shared" si="28"/>
        <v>1</v>
      </c>
      <c r="K163" s="1">
        <f t="shared" si="29"/>
        <v>88911</v>
      </c>
      <c r="L163" s="1">
        <f t="shared" si="30"/>
        <v>17989.659000000003</v>
      </c>
      <c r="M163" s="3">
        <f t="shared" si="31"/>
        <v>129.25491990663664</v>
      </c>
      <c r="N163" s="7">
        <f t="shared" si="36"/>
        <v>17990</v>
      </c>
      <c r="O163" s="7">
        <f t="shared" si="32"/>
        <v>129</v>
      </c>
      <c r="P163" s="3">
        <f>SUM($O$4:O163)</f>
        <v>7104</v>
      </c>
      <c r="T163" s="7">
        <v>60</v>
      </c>
      <c r="U163" s="3">
        <v>4.497680642283675</v>
      </c>
      <c r="V163" s="3">
        <v>437.00930175361498</v>
      </c>
      <c r="Y163" s="3">
        <f t="shared" si="33"/>
        <v>160</v>
      </c>
      <c r="Z163" s="3">
        <f t="shared" si="34"/>
        <v>393014</v>
      </c>
      <c r="AB163" s="7">
        <f t="shared" si="35"/>
        <v>13040</v>
      </c>
    </row>
    <row r="164" spans="6:28" x14ac:dyDescent="0.15">
      <c r="F164">
        <f t="shared" si="25"/>
        <v>23</v>
      </c>
      <c r="G164">
        <v>161</v>
      </c>
      <c r="H164">
        <f t="shared" si="26"/>
        <v>88910.897228073518</v>
      </c>
      <c r="I164">
        <f t="shared" si="27"/>
        <v>88911</v>
      </c>
      <c r="J164" s="1">
        <f t="shared" si="28"/>
        <v>6</v>
      </c>
      <c r="K164" s="1">
        <f t="shared" si="29"/>
        <v>533466</v>
      </c>
      <c r="L164" s="1">
        <f t="shared" si="30"/>
        <v>107937.95400000001</v>
      </c>
      <c r="M164" s="3">
        <f t="shared" si="31"/>
        <v>775.52951943981986</v>
      </c>
      <c r="N164" s="7">
        <f t="shared" si="36"/>
        <v>107938</v>
      </c>
      <c r="O164" s="7">
        <f t="shared" si="32"/>
        <v>775</v>
      </c>
      <c r="P164" s="3">
        <f>SUM($O$4:O164)</f>
        <v>7879</v>
      </c>
      <c r="T164" s="7">
        <v>61</v>
      </c>
      <c r="U164" s="3">
        <v>3.3092809364548494</v>
      </c>
      <c r="V164" s="3">
        <v>440.31858269006983</v>
      </c>
      <c r="Y164" s="3">
        <f t="shared" si="33"/>
        <v>161</v>
      </c>
      <c r="Z164" s="3">
        <f t="shared" si="34"/>
        <v>415244</v>
      </c>
      <c r="AB164" s="7">
        <f t="shared" si="35"/>
        <v>13040</v>
      </c>
    </row>
    <row r="165" spans="6:28" x14ac:dyDescent="0.15">
      <c r="F165">
        <f t="shared" si="25"/>
        <v>24</v>
      </c>
      <c r="G165">
        <v>162</v>
      </c>
      <c r="H165">
        <f t="shared" si="26"/>
        <v>139590.10864807543</v>
      </c>
      <c r="I165">
        <f t="shared" si="27"/>
        <v>139590</v>
      </c>
      <c r="J165" s="1">
        <f t="shared" si="28"/>
        <v>1</v>
      </c>
      <c r="K165" s="1">
        <f t="shared" si="29"/>
        <v>139590</v>
      </c>
      <c r="L165" s="1">
        <f t="shared" si="30"/>
        <v>28662.480000000003</v>
      </c>
      <c r="M165" s="3">
        <f t="shared" si="31"/>
        <v>158.41436617839406</v>
      </c>
      <c r="N165" s="7">
        <f t="shared" si="36"/>
        <v>28662</v>
      </c>
      <c r="O165" s="7">
        <f t="shared" si="32"/>
        <v>158</v>
      </c>
      <c r="P165" s="3">
        <f>SUM($O$4:O165)</f>
        <v>8037</v>
      </c>
      <c r="T165" s="7">
        <v>62</v>
      </c>
      <c r="U165" s="3">
        <v>3.0993735317149569</v>
      </c>
      <c r="V165" s="3">
        <v>443.41795622178478</v>
      </c>
      <c r="Y165" s="3">
        <f t="shared" si="33"/>
        <v>162</v>
      </c>
      <c r="Z165" s="3">
        <f t="shared" si="34"/>
        <v>438714</v>
      </c>
      <c r="AB165" s="7">
        <f t="shared" si="35"/>
        <v>13040</v>
      </c>
    </row>
    <row r="166" spans="6:28" x14ac:dyDescent="0.15">
      <c r="F166">
        <f t="shared" si="25"/>
        <v>24</v>
      </c>
      <c r="G166">
        <v>163</v>
      </c>
      <c r="H166">
        <f t="shared" si="26"/>
        <v>139590.10864807543</v>
      </c>
      <c r="I166">
        <f t="shared" si="27"/>
        <v>139590</v>
      </c>
      <c r="J166" s="1">
        <f t="shared" si="28"/>
        <v>1</v>
      </c>
      <c r="K166" s="1">
        <f t="shared" si="29"/>
        <v>139590</v>
      </c>
      <c r="L166" s="1">
        <f t="shared" si="30"/>
        <v>28662.480000000003</v>
      </c>
      <c r="M166" s="3">
        <f t="shared" si="31"/>
        <v>158.41436617839406</v>
      </c>
      <c r="N166" s="7">
        <f t="shared" si="36"/>
        <v>28662</v>
      </c>
      <c r="O166" s="7">
        <f t="shared" si="32"/>
        <v>158</v>
      </c>
      <c r="P166" s="3">
        <f>SUM($O$4:O166)</f>
        <v>8195</v>
      </c>
      <c r="T166" s="7">
        <v>62</v>
      </c>
      <c r="U166" s="3">
        <v>3.0993735317149569</v>
      </c>
      <c r="V166" s="3">
        <v>446.51732975349972</v>
      </c>
      <c r="Y166" s="3">
        <f t="shared" si="33"/>
        <v>163</v>
      </c>
      <c r="Z166" s="3">
        <f t="shared" si="34"/>
        <v>463493</v>
      </c>
      <c r="AB166" s="7">
        <f t="shared" si="35"/>
        <v>13040</v>
      </c>
    </row>
    <row r="167" spans="6:28" x14ac:dyDescent="0.15">
      <c r="F167">
        <f t="shared" si="25"/>
        <v>24</v>
      </c>
      <c r="G167">
        <v>164</v>
      </c>
      <c r="H167">
        <f t="shared" si="26"/>
        <v>139590.10864807543</v>
      </c>
      <c r="I167">
        <f t="shared" si="27"/>
        <v>139590</v>
      </c>
      <c r="J167" s="1">
        <f t="shared" si="28"/>
        <v>1</v>
      </c>
      <c r="K167" s="1">
        <f t="shared" si="29"/>
        <v>139590</v>
      </c>
      <c r="L167" s="1">
        <f t="shared" si="30"/>
        <v>28662.480000000003</v>
      </c>
      <c r="M167" s="3">
        <f t="shared" si="31"/>
        <v>158.41436617839406</v>
      </c>
      <c r="N167" s="7">
        <f t="shared" si="36"/>
        <v>28662</v>
      </c>
      <c r="O167" s="7">
        <f t="shared" si="32"/>
        <v>158</v>
      </c>
      <c r="P167" s="3">
        <f>SUM($O$4:O167)</f>
        <v>8353</v>
      </c>
      <c r="T167" s="7">
        <v>63</v>
      </c>
      <c r="U167" s="3">
        <v>2.9059471365638769</v>
      </c>
      <c r="V167" s="3">
        <v>449.42327689006362</v>
      </c>
      <c r="Y167" s="3">
        <f t="shared" si="33"/>
        <v>164</v>
      </c>
      <c r="Z167" s="3">
        <f t="shared" si="34"/>
        <v>489654</v>
      </c>
      <c r="AB167" s="7">
        <f t="shared" si="35"/>
        <v>13040</v>
      </c>
    </row>
    <row r="168" spans="6:28" x14ac:dyDescent="0.15">
      <c r="F168">
        <f t="shared" si="25"/>
        <v>24</v>
      </c>
      <c r="G168">
        <v>165</v>
      </c>
      <c r="H168">
        <f t="shared" si="26"/>
        <v>139590.10864807543</v>
      </c>
      <c r="I168">
        <f t="shared" si="27"/>
        <v>139590</v>
      </c>
      <c r="J168" s="1">
        <f t="shared" si="28"/>
        <v>1</v>
      </c>
      <c r="K168" s="1">
        <f t="shared" si="29"/>
        <v>139590</v>
      </c>
      <c r="L168" s="1">
        <f t="shared" si="30"/>
        <v>28662.480000000003</v>
      </c>
      <c r="M168" s="3">
        <f t="shared" si="31"/>
        <v>158.41436617839406</v>
      </c>
      <c r="N168" s="7">
        <f t="shared" si="36"/>
        <v>28662</v>
      </c>
      <c r="O168" s="7">
        <f t="shared" si="32"/>
        <v>158</v>
      </c>
      <c r="P168" s="3">
        <f>SUM($O$4:O168)</f>
        <v>8511</v>
      </c>
      <c r="T168" s="7">
        <v>63</v>
      </c>
      <c r="U168" s="3">
        <v>2.9059471365638769</v>
      </c>
      <c r="V168" s="3">
        <v>452.32922402662751</v>
      </c>
      <c r="Y168" s="3">
        <f t="shared" si="33"/>
        <v>165</v>
      </c>
      <c r="Z168" s="3">
        <f t="shared" si="34"/>
        <v>517271</v>
      </c>
      <c r="AB168" s="7">
        <f t="shared" si="35"/>
        <v>13040</v>
      </c>
    </row>
    <row r="169" spans="6:28" x14ac:dyDescent="0.15">
      <c r="F169">
        <f t="shared" si="25"/>
        <v>24</v>
      </c>
      <c r="G169">
        <v>166</v>
      </c>
      <c r="H169">
        <f t="shared" si="26"/>
        <v>139590.10864807543</v>
      </c>
      <c r="I169">
        <f t="shared" si="27"/>
        <v>139590</v>
      </c>
      <c r="J169" s="1">
        <f t="shared" si="28"/>
        <v>1</v>
      </c>
      <c r="K169" s="1">
        <f t="shared" si="29"/>
        <v>139590</v>
      </c>
      <c r="L169" s="1">
        <f t="shared" si="30"/>
        <v>28662.480000000003</v>
      </c>
      <c r="M169" s="3">
        <f t="shared" si="31"/>
        <v>158.41436617839406</v>
      </c>
      <c r="N169" s="7">
        <f t="shared" si="36"/>
        <v>28662</v>
      </c>
      <c r="O169" s="7">
        <f t="shared" si="32"/>
        <v>158</v>
      </c>
      <c r="P169" s="3">
        <f>SUM($O$4:O169)</f>
        <v>8669</v>
      </c>
      <c r="T169" s="7">
        <v>64</v>
      </c>
      <c r="U169" s="3">
        <v>2.7239504473503096</v>
      </c>
      <c r="V169" s="3">
        <v>455.05317447397783</v>
      </c>
      <c r="Y169" s="3">
        <f t="shared" si="33"/>
        <v>166</v>
      </c>
      <c r="Z169" s="3">
        <f t="shared" si="34"/>
        <v>546426</v>
      </c>
      <c r="AB169" s="7">
        <f t="shared" si="35"/>
        <v>13040</v>
      </c>
    </row>
    <row r="170" spans="6:28" x14ac:dyDescent="0.15">
      <c r="F170">
        <f t="shared" si="25"/>
        <v>24</v>
      </c>
      <c r="G170">
        <v>167</v>
      </c>
      <c r="H170">
        <f t="shared" si="26"/>
        <v>139590.10864807543</v>
      </c>
      <c r="I170">
        <f t="shared" si="27"/>
        <v>139590</v>
      </c>
      <c r="J170" s="1">
        <f t="shared" si="28"/>
        <v>1</v>
      </c>
      <c r="K170" s="1">
        <f t="shared" si="29"/>
        <v>139590</v>
      </c>
      <c r="L170" s="1">
        <f t="shared" si="30"/>
        <v>28662.480000000003</v>
      </c>
      <c r="M170" s="3">
        <f t="shared" si="31"/>
        <v>158.41436617839406</v>
      </c>
      <c r="N170" s="7">
        <f t="shared" si="36"/>
        <v>28662</v>
      </c>
      <c r="O170" s="7">
        <f t="shared" si="32"/>
        <v>158</v>
      </c>
      <c r="P170" s="3">
        <f>SUM($O$4:O170)</f>
        <v>8827</v>
      </c>
      <c r="T170" s="7">
        <v>64</v>
      </c>
      <c r="U170" s="3">
        <v>2.7239504473503096</v>
      </c>
      <c r="V170" s="3">
        <v>457.77712492132815</v>
      </c>
      <c r="Y170" s="3">
        <f t="shared" si="33"/>
        <v>167</v>
      </c>
      <c r="Z170" s="3">
        <f t="shared" si="34"/>
        <v>577204</v>
      </c>
      <c r="AB170" s="7">
        <f t="shared" si="35"/>
        <v>13040</v>
      </c>
    </row>
    <row r="171" spans="6:28" x14ac:dyDescent="0.15">
      <c r="F171">
        <f t="shared" si="25"/>
        <v>24</v>
      </c>
      <c r="G171">
        <v>168</v>
      </c>
      <c r="H171">
        <f t="shared" si="26"/>
        <v>139590.10864807543</v>
      </c>
      <c r="I171">
        <f t="shared" si="27"/>
        <v>139590</v>
      </c>
      <c r="J171" s="1">
        <f t="shared" si="28"/>
        <v>7</v>
      </c>
      <c r="K171" s="1">
        <f t="shared" si="29"/>
        <v>977130</v>
      </c>
      <c r="L171" s="1">
        <f t="shared" si="30"/>
        <v>200637.36000000002</v>
      </c>
      <c r="M171" s="3">
        <f t="shared" si="31"/>
        <v>1108.9005632487583</v>
      </c>
      <c r="N171" s="7">
        <f t="shared" si="36"/>
        <v>200637</v>
      </c>
      <c r="O171" s="7">
        <f t="shared" si="32"/>
        <v>1108</v>
      </c>
      <c r="P171" s="3">
        <f>SUM($O$4:O171)</f>
        <v>9935</v>
      </c>
      <c r="T171" s="7">
        <v>64</v>
      </c>
      <c r="U171" s="3">
        <v>2.7239504473503096</v>
      </c>
      <c r="V171" s="3">
        <v>460.50107536867847</v>
      </c>
      <c r="Y171" s="3">
        <f t="shared" si="33"/>
        <v>168</v>
      </c>
      <c r="Z171" s="3">
        <f t="shared" si="34"/>
        <v>609693</v>
      </c>
      <c r="AB171" s="7">
        <f t="shared" si="35"/>
        <v>13040</v>
      </c>
    </row>
    <row r="172" spans="6:28" x14ac:dyDescent="0.15">
      <c r="F172">
        <f t="shared" si="25"/>
        <v>25</v>
      </c>
      <c r="G172">
        <v>169</v>
      </c>
      <c r="H172">
        <f t="shared" si="26"/>
        <v>219156.47057747844</v>
      </c>
      <c r="I172">
        <f t="shared" si="27"/>
        <v>219156</v>
      </c>
      <c r="J172" s="1">
        <f t="shared" si="28"/>
        <v>1</v>
      </c>
      <c r="K172" s="1">
        <f t="shared" si="29"/>
        <v>219156</v>
      </c>
      <c r="L172" s="1">
        <f t="shared" si="30"/>
        <v>45657.5</v>
      </c>
      <c r="M172" s="3">
        <f t="shared" si="31"/>
        <v>194.11074428982866</v>
      </c>
      <c r="N172" s="7">
        <f t="shared" si="36"/>
        <v>45658</v>
      </c>
      <c r="O172" s="7">
        <f t="shared" si="32"/>
        <v>194</v>
      </c>
      <c r="P172" s="3">
        <f>SUM($O$4:O172)</f>
        <v>10129</v>
      </c>
      <c r="T172" s="7">
        <v>65</v>
      </c>
      <c r="U172" s="3">
        <v>2.5534838709677419</v>
      </c>
      <c r="V172" s="3">
        <v>463.05455923964621</v>
      </c>
      <c r="Y172" s="3">
        <f t="shared" si="33"/>
        <v>169</v>
      </c>
      <c r="Z172" s="3">
        <f t="shared" si="34"/>
        <v>643989</v>
      </c>
      <c r="AB172" s="7">
        <f t="shared" si="35"/>
        <v>13040</v>
      </c>
    </row>
    <row r="173" spans="6:28" x14ac:dyDescent="0.15">
      <c r="F173">
        <f t="shared" si="25"/>
        <v>25</v>
      </c>
      <c r="G173">
        <v>170</v>
      </c>
      <c r="H173">
        <f t="shared" si="26"/>
        <v>219156.47057747844</v>
      </c>
      <c r="I173">
        <f t="shared" si="27"/>
        <v>219156</v>
      </c>
      <c r="J173" s="1">
        <f t="shared" si="28"/>
        <v>1</v>
      </c>
      <c r="K173" s="1">
        <f t="shared" si="29"/>
        <v>219156</v>
      </c>
      <c r="L173" s="1">
        <f t="shared" si="30"/>
        <v>45657.5</v>
      </c>
      <c r="M173" s="3">
        <f t="shared" si="31"/>
        <v>194.11074428982866</v>
      </c>
      <c r="N173" s="7">
        <f t="shared" si="36"/>
        <v>45658</v>
      </c>
      <c r="O173" s="7">
        <f t="shared" si="32"/>
        <v>194</v>
      </c>
      <c r="P173" s="3">
        <f>SUM($O$4:O173)</f>
        <v>10323</v>
      </c>
      <c r="T173" s="7">
        <v>65</v>
      </c>
      <c r="U173" s="3">
        <v>10.213935483870968</v>
      </c>
      <c r="V173" s="3">
        <v>473.26849472351716</v>
      </c>
      <c r="Y173" s="3">
        <f t="shared" si="33"/>
        <v>170</v>
      </c>
      <c r="Z173" s="3">
        <f t="shared" si="34"/>
        <v>680189</v>
      </c>
      <c r="AB173" s="7">
        <f t="shared" si="35"/>
        <v>13040</v>
      </c>
    </row>
    <row r="174" spans="6:28" x14ac:dyDescent="0.15">
      <c r="F174">
        <f t="shared" si="25"/>
        <v>25</v>
      </c>
      <c r="G174">
        <v>171</v>
      </c>
      <c r="H174">
        <f t="shared" si="26"/>
        <v>219156.47057747844</v>
      </c>
      <c r="I174">
        <f t="shared" si="27"/>
        <v>219156</v>
      </c>
      <c r="J174" s="1">
        <f t="shared" si="28"/>
        <v>1</v>
      </c>
      <c r="K174" s="1">
        <f t="shared" si="29"/>
        <v>219156</v>
      </c>
      <c r="L174" s="1">
        <f t="shared" si="30"/>
        <v>45657.5</v>
      </c>
      <c r="M174" s="3">
        <f t="shared" si="31"/>
        <v>194.11074428982866</v>
      </c>
      <c r="N174" s="7">
        <f t="shared" si="36"/>
        <v>45658</v>
      </c>
      <c r="O174" s="7">
        <f t="shared" si="32"/>
        <v>194</v>
      </c>
      <c r="P174" s="3">
        <f>SUM($O$4:O174)</f>
        <v>10517</v>
      </c>
      <c r="T174" s="7">
        <v>67</v>
      </c>
      <c r="U174" s="3">
        <v>3.5286201022146506</v>
      </c>
      <c r="V174" s="3">
        <v>476.7971148257318</v>
      </c>
      <c r="Y174" s="3">
        <f t="shared" si="33"/>
        <v>171</v>
      </c>
      <c r="Z174" s="3">
        <f t="shared" si="34"/>
        <v>718400</v>
      </c>
      <c r="AB174" s="7">
        <f t="shared" si="35"/>
        <v>13040</v>
      </c>
    </row>
    <row r="175" spans="6:28" x14ac:dyDescent="0.15">
      <c r="F175">
        <f t="shared" si="25"/>
        <v>25</v>
      </c>
      <c r="G175">
        <v>172</v>
      </c>
      <c r="H175">
        <f t="shared" si="26"/>
        <v>219156.47057747844</v>
      </c>
      <c r="I175">
        <f t="shared" si="27"/>
        <v>219156</v>
      </c>
      <c r="J175" s="1">
        <f t="shared" si="28"/>
        <v>1</v>
      </c>
      <c r="K175" s="1">
        <f t="shared" si="29"/>
        <v>219156</v>
      </c>
      <c r="L175" s="1">
        <f t="shared" si="30"/>
        <v>45657.5</v>
      </c>
      <c r="M175" s="3">
        <f t="shared" si="31"/>
        <v>194.11074428982866</v>
      </c>
      <c r="N175" s="7">
        <f t="shared" si="36"/>
        <v>45658</v>
      </c>
      <c r="O175" s="7">
        <f t="shared" si="32"/>
        <v>194</v>
      </c>
      <c r="P175" s="3">
        <f>SUM($O$4:O175)</f>
        <v>10711</v>
      </c>
      <c r="T175" s="7">
        <v>67</v>
      </c>
      <c r="U175" s="3">
        <v>3.5286201022146506</v>
      </c>
      <c r="V175" s="3">
        <v>480.32573492794643</v>
      </c>
      <c r="Y175" s="3">
        <f t="shared" si="33"/>
        <v>172</v>
      </c>
      <c r="Z175" s="3">
        <f t="shared" si="34"/>
        <v>758731</v>
      </c>
      <c r="AB175" s="7">
        <f t="shared" si="35"/>
        <v>13040</v>
      </c>
    </row>
    <row r="176" spans="6:28" x14ac:dyDescent="0.15">
      <c r="F176">
        <f t="shared" si="25"/>
        <v>25</v>
      </c>
      <c r="G176">
        <v>173</v>
      </c>
      <c r="H176">
        <f t="shared" si="26"/>
        <v>219156.47057747844</v>
      </c>
      <c r="I176">
        <f t="shared" si="27"/>
        <v>219156</v>
      </c>
      <c r="J176" s="1">
        <f t="shared" si="28"/>
        <v>1</v>
      </c>
      <c r="K176" s="1">
        <f t="shared" si="29"/>
        <v>219156</v>
      </c>
      <c r="L176" s="1">
        <f t="shared" si="30"/>
        <v>45657.5</v>
      </c>
      <c r="M176" s="3">
        <f t="shared" si="31"/>
        <v>194.11074428982866</v>
      </c>
      <c r="N176" s="7">
        <f t="shared" si="36"/>
        <v>45658</v>
      </c>
      <c r="O176" s="7">
        <f t="shared" si="32"/>
        <v>194</v>
      </c>
      <c r="P176" s="3">
        <f>SUM($O$4:O176)</f>
        <v>10905</v>
      </c>
      <c r="T176" s="7">
        <v>68</v>
      </c>
      <c r="U176" s="3">
        <v>3.3105487480021312</v>
      </c>
      <c r="V176" s="3">
        <v>483.63628367594856</v>
      </c>
      <c r="Y176" s="3">
        <f t="shared" si="33"/>
        <v>173</v>
      </c>
      <c r="Z176" s="3">
        <f t="shared" si="34"/>
        <v>801299</v>
      </c>
      <c r="AB176" s="7">
        <f t="shared" si="35"/>
        <v>13040</v>
      </c>
    </row>
    <row r="177" spans="6:28" x14ac:dyDescent="0.15">
      <c r="F177">
        <f t="shared" si="25"/>
        <v>25</v>
      </c>
      <c r="G177">
        <v>174</v>
      </c>
      <c r="H177">
        <f t="shared" si="26"/>
        <v>219156.47057747844</v>
      </c>
      <c r="I177">
        <f t="shared" si="27"/>
        <v>219156</v>
      </c>
      <c r="J177" s="1">
        <f t="shared" si="28"/>
        <v>1</v>
      </c>
      <c r="K177" s="1">
        <f t="shared" si="29"/>
        <v>219156</v>
      </c>
      <c r="L177" s="1">
        <f t="shared" si="30"/>
        <v>45657.5</v>
      </c>
      <c r="M177" s="3">
        <f t="shared" si="31"/>
        <v>194.11074428982866</v>
      </c>
      <c r="N177" s="7">
        <f t="shared" si="36"/>
        <v>45658</v>
      </c>
      <c r="O177" s="7">
        <f t="shared" si="32"/>
        <v>194</v>
      </c>
      <c r="P177" s="3">
        <f>SUM($O$4:O177)</f>
        <v>11099</v>
      </c>
      <c r="T177" s="7">
        <v>69</v>
      </c>
      <c r="U177" s="3">
        <v>3.1085042521260631</v>
      </c>
      <c r="V177" s="3">
        <v>486.74478792807463</v>
      </c>
      <c r="Y177" s="3">
        <f t="shared" si="33"/>
        <v>174</v>
      </c>
      <c r="Z177" s="3">
        <f t="shared" si="34"/>
        <v>846228</v>
      </c>
      <c r="AB177" s="7">
        <f t="shared" si="35"/>
        <v>13040</v>
      </c>
    </row>
    <row r="178" spans="6:28" x14ac:dyDescent="0.15">
      <c r="F178">
        <f t="shared" si="25"/>
        <v>25</v>
      </c>
      <c r="G178">
        <v>175</v>
      </c>
      <c r="H178">
        <f t="shared" si="26"/>
        <v>219156.47057747844</v>
      </c>
      <c r="I178">
        <f t="shared" si="27"/>
        <v>219156</v>
      </c>
      <c r="J178" s="1">
        <f t="shared" si="28"/>
        <v>10</v>
      </c>
      <c r="K178" s="1">
        <f t="shared" si="29"/>
        <v>2191560</v>
      </c>
      <c r="L178" s="1">
        <f t="shared" si="30"/>
        <v>456575</v>
      </c>
      <c r="M178" s="3">
        <f t="shared" si="31"/>
        <v>1941.1074428982865</v>
      </c>
      <c r="N178" s="7">
        <f t="shared" si="36"/>
        <v>456575</v>
      </c>
      <c r="O178" s="7">
        <f t="shared" si="32"/>
        <v>1941</v>
      </c>
      <c r="P178" s="3">
        <f>SUM($O$4:O178)</f>
        <v>13040</v>
      </c>
      <c r="T178" s="7">
        <v>69</v>
      </c>
      <c r="U178" s="3">
        <v>18.651075537768882</v>
      </c>
      <c r="V178" s="3">
        <v>505.39586346584349</v>
      </c>
      <c r="Y178" s="3">
        <f t="shared" si="33"/>
        <v>175</v>
      </c>
      <c r="Z178" s="3">
        <f t="shared" si="34"/>
        <v>893646</v>
      </c>
      <c r="AB178" s="7">
        <f t="shared" si="35"/>
        <v>13040</v>
      </c>
    </row>
    <row r="179" spans="6:28" x14ac:dyDescent="0.15">
      <c r="F179">
        <f t="shared" si="25"/>
        <v>26</v>
      </c>
      <c r="G179">
        <v>176</v>
      </c>
      <c r="H179">
        <f t="shared" si="26"/>
        <v>344075.65880664112</v>
      </c>
      <c r="I179">
        <f t="shared" si="27"/>
        <v>344076</v>
      </c>
      <c r="J179" s="1">
        <f t="shared" si="28"/>
        <v>1</v>
      </c>
      <c r="K179" s="1">
        <f t="shared" si="29"/>
        <v>344076</v>
      </c>
      <c r="L179" s="1">
        <f t="shared" si="30"/>
        <v>72714.728000000003</v>
      </c>
      <c r="M179" s="3">
        <f t="shared" si="31"/>
        <v>237.80253430285603</v>
      </c>
      <c r="N179" s="7">
        <f t="shared" si="36"/>
        <v>72715</v>
      </c>
      <c r="O179" s="7">
        <f t="shared" si="32"/>
        <v>237</v>
      </c>
      <c r="P179" s="3">
        <f>SUM($O$4:O179)</f>
        <v>13277</v>
      </c>
      <c r="Y179" s="3">
        <f t="shared" si="33"/>
        <v>176</v>
      </c>
      <c r="Z179" s="3">
        <f t="shared" si="34"/>
        <v>943690</v>
      </c>
      <c r="AB179" s="7">
        <f t="shared" si="35"/>
        <v>13040</v>
      </c>
    </row>
    <row r="180" spans="6:28" x14ac:dyDescent="0.15">
      <c r="F180">
        <f t="shared" si="25"/>
        <v>26</v>
      </c>
      <c r="G180">
        <v>177</v>
      </c>
      <c r="H180">
        <f t="shared" si="26"/>
        <v>344075.65880664112</v>
      </c>
      <c r="I180">
        <f t="shared" si="27"/>
        <v>344076</v>
      </c>
      <c r="J180" s="1">
        <f t="shared" si="28"/>
        <v>1</v>
      </c>
      <c r="K180" s="1">
        <f t="shared" si="29"/>
        <v>344076</v>
      </c>
      <c r="L180" s="1">
        <f t="shared" si="30"/>
        <v>72714.728000000003</v>
      </c>
      <c r="M180" s="3">
        <f t="shared" si="31"/>
        <v>237.80253430285603</v>
      </c>
      <c r="N180" s="7">
        <f t="shared" si="36"/>
        <v>72715</v>
      </c>
      <c r="O180" s="7">
        <f t="shared" si="32"/>
        <v>237</v>
      </c>
      <c r="P180" s="3">
        <f>SUM($O$4:O180)</f>
        <v>13514</v>
      </c>
      <c r="Y180" s="3">
        <f t="shared" si="33"/>
        <v>177</v>
      </c>
      <c r="Z180" s="3">
        <f t="shared" si="34"/>
        <v>996504</v>
      </c>
      <c r="AB180" s="7">
        <f t="shared" si="35"/>
        <v>13040</v>
      </c>
    </row>
    <row r="181" spans="6:28" x14ac:dyDescent="0.15">
      <c r="F181">
        <f t="shared" si="25"/>
        <v>26</v>
      </c>
      <c r="G181">
        <v>178</v>
      </c>
      <c r="H181">
        <f t="shared" si="26"/>
        <v>344075.65880664112</v>
      </c>
      <c r="I181">
        <f t="shared" si="27"/>
        <v>344076</v>
      </c>
      <c r="J181" s="1">
        <f t="shared" si="28"/>
        <v>1</v>
      </c>
      <c r="K181" s="1">
        <f t="shared" si="29"/>
        <v>344076</v>
      </c>
      <c r="L181" s="1">
        <f t="shared" si="30"/>
        <v>72714.728000000003</v>
      </c>
      <c r="M181" s="3">
        <f t="shared" si="31"/>
        <v>237.80253430285603</v>
      </c>
      <c r="N181" s="7">
        <f t="shared" si="36"/>
        <v>72715</v>
      </c>
      <c r="O181" s="7">
        <f t="shared" si="32"/>
        <v>237</v>
      </c>
      <c r="P181" s="3">
        <f>SUM($O$4:O181)</f>
        <v>13751</v>
      </c>
      <c r="Y181" s="3">
        <f t="shared" si="33"/>
        <v>178</v>
      </c>
      <c r="Z181" s="3">
        <f t="shared" si="34"/>
        <v>1052241</v>
      </c>
      <c r="AB181" s="7">
        <f t="shared" si="35"/>
        <v>13040</v>
      </c>
    </row>
    <row r="182" spans="6:28" x14ac:dyDescent="0.15">
      <c r="F182">
        <f t="shared" si="25"/>
        <v>26</v>
      </c>
      <c r="G182">
        <v>179</v>
      </c>
      <c r="H182">
        <f t="shared" si="26"/>
        <v>344075.65880664112</v>
      </c>
      <c r="I182">
        <f t="shared" si="27"/>
        <v>344076</v>
      </c>
      <c r="J182" s="1">
        <f t="shared" si="28"/>
        <v>1</v>
      </c>
      <c r="K182" s="1">
        <f t="shared" si="29"/>
        <v>344076</v>
      </c>
      <c r="L182" s="1">
        <f t="shared" si="30"/>
        <v>72714.728000000003</v>
      </c>
      <c r="M182" s="3">
        <f t="shared" si="31"/>
        <v>237.80253430285603</v>
      </c>
      <c r="N182" s="7">
        <f t="shared" si="36"/>
        <v>72715</v>
      </c>
      <c r="O182" s="7">
        <f t="shared" si="32"/>
        <v>237</v>
      </c>
      <c r="P182" s="3">
        <f>SUM($O$4:O182)</f>
        <v>13988</v>
      </c>
      <c r="Y182" s="3">
        <f t="shared" si="33"/>
        <v>179</v>
      </c>
      <c r="Z182" s="3">
        <f t="shared" si="34"/>
        <v>1111060</v>
      </c>
      <c r="AB182" s="7">
        <f t="shared" si="35"/>
        <v>13040</v>
      </c>
    </row>
    <row r="183" spans="6:28" x14ac:dyDescent="0.15">
      <c r="F183">
        <f t="shared" si="25"/>
        <v>26</v>
      </c>
      <c r="G183">
        <v>180</v>
      </c>
      <c r="H183">
        <f t="shared" si="26"/>
        <v>344075.65880664112</v>
      </c>
      <c r="I183">
        <f t="shared" si="27"/>
        <v>344076</v>
      </c>
      <c r="J183" s="1">
        <f t="shared" si="28"/>
        <v>1</v>
      </c>
      <c r="K183" s="1">
        <f t="shared" si="29"/>
        <v>344076</v>
      </c>
      <c r="L183" s="1">
        <f t="shared" si="30"/>
        <v>72714.728000000003</v>
      </c>
      <c r="M183" s="3">
        <f t="shared" si="31"/>
        <v>237.80253430285603</v>
      </c>
      <c r="N183" s="7">
        <f t="shared" si="36"/>
        <v>72715</v>
      </c>
      <c r="O183" s="7">
        <f t="shared" si="32"/>
        <v>237</v>
      </c>
      <c r="P183" s="3">
        <f>SUM($O$4:O183)</f>
        <v>14225</v>
      </c>
      <c r="Y183" s="3">
        <f t="shared" si="33"/>
        <v>180</v>
      </c>
      <c r="Z183" s="3">
        <f t="shared" si="34"/>
        <v>1173131</v>
      </c>
      <c r="AB183" s="7">
        <f t="shared" si="35"/>
        <v>13040</v>
      </c>
    </row>
    <row r="184" spans="6:28" x14ac:dyDescent="0.15">
      <c r="F184">
        <f t="shared" si="25"/>
        <v>26</v>
      </c>
      <c r="G184">
        <v>181</v>
      </c>
      <c r="H184">
        <f t="shared" si="26"/>
        <v>344075.65880664112</v>
      </c>
      <c r="I184">
        <f t="shared" si="27"/>
        <v>344076</v>
      </c>
      <c r="J184" s="1">
        <f t="shared" si="28"/>
        <v>1</v>
      </c>
      <c r="K184" s="1">
        <f t="shared" si="29"/>
        <v>344076</v>
      </c>
      <c r="L184" s="1">
        <f t="shared" si="30"/>
        <v>72714.728000000003</v>
      </c>
      <c r="M184" s="3">
        <f t="shared" si="31"/>
        <v>237.80253430285603</v>
      </c>
      <c r="N184" s="7">
        <f t="shared" si="36"/>
        <v>72715</v>
      </c>
      <c r="O184" s="7">
        <f t="shared" si="32"/>
        <v>237</v>
      </c>
      <c r="P184" s="3">
        <f>SUM($O$4:O184)</f>
        <v>14462</v>
      </c>
      <c r="Y184" s="3">
        <f t="shared" si="33"/>
        <v>181</v>
      </c>
      <c r="Z184" s="3">
        <f t="shared" si="34"/>
        <v>1238630</v>
      </c>
      <c r="AB184" s="7">
        <f t="shared" si="35"/>
        <v>13040</v>
      </c>
    </row>
    <row r="185" spans="6:28" x14ac:dyDescent="0.15">
      <c r="F185">
        <f t="shared" si="25"/>
        <v>26</v>
      </c>
      <c r="G185">
        <v>182</v>
      </c>
      <c r="H185">
        <f t="shared" si="26"/>
        <v>344075.65880664112</v>
      </c>
      <c r="I185">
        <f t="shared" si="27"/>
        <v>344076</v>
      </c>
      <c r="J185" s="1">
        <f t="shared" si="28"/>
        <v>2</v>
      </c>
      <c r="K185" s="1">
        <f t="shared" si="29"/>
        <v>688152</v>
      </c>
      <c r="L185" s="1">
        <f t="shared" si="30"/>
        <v>145429.45600000001</v>
      </c>
      <c r="M185" s="3">
        <f t="shared" si="31"/>
        <v>475.60506860571206</v>
      </c>
      <c r="N185" s="7">
        <f t="shared" si="36"/>
        <v>145429</v>
      </c>
      <c r="O185" s="7">
        <f t="shared" si="32"/>
        <v>475</v>
      </c>
      <c r="P185" s="3">
        <f>SUM($O$4:O185)</f>
        <v>14937</v>
      </c>
      <c r="Y185" s="3">
        <f t="shared" si="33"/>
        <v>182</v>
      </c>
      <c r="Z185" s="3">
        <f t="shared" si="34"/>
        <v>1307747</v>
      </c>
      <c r="AB185" s="7">
        <f t="shared" si="35"/>
        <v>13040</v>
      </c>
    </row>
    <row r="186" spans="6:28" x14ac:dyDescent="0.15">
      <c r="F186">
        <f t="shared" si="25"/>
        <v>27</v>
      </c>
      <c r="G186">
        <v>183</v>
      </c>
      <c r="H186">
        <f t="shared" si="26"/>
        <v>540198.78432642657</v>
      </c>
      <c r="I186">
        <f t="shared" si="27"/>
        <v>540199</v>
      </c>
      <c r="J186" s="1">
        <f t="shared" si="28"/>
        <v>1</v>
      </c>
      <c r="K186" s="1">
        <f t="shared" si="29"/>
        <v>540199</v>
      </c>
      <c r="L186" s="1">
        <f t="shared" si="30"/>
        <v>115782.65233333332</v>
      </c>
      <c r="M186" s="3">
        <f t="shared" si="31"/>
        <v>291.26898106818345</v>
      </c>
      <c r="N186" s="7">
        <f t="shared" si="36"/>
        <v>115783</v>
      </c>
      <c r="O186" s="7">
        <f t="shared" si="32"/>
        <v>291</v>
      </c>
      <c r="P186" s="3">
        <f>SUM($O$4:O186)</f>
        <v>15228</v>
      </c>
      <c r="Y186" s="3">
        <f t="shared" si="33"/>
        <v>183</v>
      </c>
      <c r="Z186" s="3">
        <f t="shared" si="34"/>
        <v>1380679</v>
      </c>
      <c r="AB186" s="7">
        <f t="shared" si="35"/>
        <v>13040</v>
      </c>
    </row>
    <row r="187" spans="6:28" x14ac:dyDescent="0.15">
      <c r="F187">
        <f t="shared" si="25"/>
        <v>27</v>
      </c>
      <c r="G187">
        <v>184</v>
      </c>
      <c r="H187">
        <f t="shared" si="26"/>
        <v>540198.78432642657</v>
      </c>
      <c r="I187">
        <f t="shared" si="27"/>
        <v>540199</v>
      </c>
      <c r="J187" s="1">
        <f t="shared" si="28"/>
        <v>1</v>
      </c>
      <c r="K187" s="1">
        <f t="shared" si="29"/>
        <v>540199</v>
      </c>
      <c r="L187" s="1">
        <f t="shared" si="30"/>
        <v>115782.65233333332</v>
      </c>
      <c r="M187" s="3">
        <f t="shared" si="31"/>
        <v>291.26898106818345</v>
      </c>
      <c r="N187" s="7">
        <f t="shared" si="36"/>
        <v>115783</v>
      </c>
      <c r="O187" s="7">
        <f t="shared" si="32"/>
        <v>291</v>
      </c>
      <c r="P187" s="3">
        <f>SUM($O$4:O187)</f>
        <v>15519</v>
      </c>
      <c r="Y187" s="3">
        <f t="shared" si="33"/>
        <v>184</v>
      </c>
      <c r="Z187" s="3">
        <f t="shared" si="34"/>
        <v>1457635</v>
      </c>
      <c r="AB187" s="7">
        <f t="shared" si="35"/>
        <v>13040</v>
      </c>
    </row>
    <row r="188" spans="6:28" x14ac:dyDescent="0.15">
      <c r="F188">
        <f t="shared" si="25"/>
        <v>27</v>
      </c>
      <c r="G188">
        <v>185</v>
      </c>
      <c r="H188">
        <f t="shared" si="26"/>
        <v>540198.78432642657</v>
      </c>
      <c r="I188">
        <f t="shared" si="27"/>
        <v>540199</v>
      </c>
      <c r="J188" s="1">
        <f t="shared" si="28"/>
        <v>1</v>
      </c>
      <c r="K188" s="1">
        <f t="shared" si="29"/>
        <v>540199</v>
      </c>
      <c r="L188" s="1">
        <f t="shared" si="30"/>
        <v>115782.65233333332</v>
      </c>
      <c r="M188" s="3">
        <f t="shared" si="31"/>
        <v>291.26898106818345</v>
      </c>
      <c r="N188" s="7">
        <f t="shared" si="36"/>
        <v>115783</v>
      </c>
      <c r="O188" s="7">
        <f t="shared" si="32"/>
        <v>291</v>
      </c>
      <c r="P188" s="3">
        <f>SUM($O$4:O188)</f>
        <v>15810</v>
      </c>
      <c r="Y188" s="3">
        <f t="shared" si="33"/>
        <v>185</v>
      </c>
      <c r="Z188" s="3">
        <f t="shared" si="34"/>
        <v>1538835</v>
      </c>
      <c r="AB188" s="7">
        <f t="shared" si="35"/>
        <v>13040</v>
      </c>
    </row>
    <row r="189" spans="6:28" x14ac:dyDescent="0.15">
      <c r="F189">
        <f t="shared" si="25"/>
        <v>27</v>
      </c>
      <c r="G189">
        <v>186</v>
      </c>
      <c r="H189">
        <f t="shared" si="26"/>
        <v>540198.78432642657</v>
      </c>
      <c r="I189">
        <f t="shared" si="27"/>
        <v>540199</v>
      </c>
      <c r="J189" s="1">
        <f t="shared" si="28"/>
        <v>1</v>
      </c>
      <c r="K189" s="1">
        <f t="shared" si="29"/>
        <v>540199</v>
      </c>
      <c r="L189" s="1">
        <f t="shared" si="30"/>
        <v>115782.65233333332</v>
      </c>
      <c r="M189" s="3">
        <f t="shared" si="31"/>
        <v>291.26898106818345</v>
      </c>
      <c r="N189" s="7">
        <f t="shared" si="36"/>
        <v>115783</v>
      </c>
      <c r="O189" s="7">
        <f t="shared" si="32"/>
        <v>291</v>
      </c>
      <c r="P189" s="3">
        <f>SUM($O$4:O189)</f>
        <v>16101</v>
      </c>
      <c r="Y189" s="3">
        <f t="shared" si="33"/>
        <v>186</v>
      </c>
      <c r="Z189" s="3">
        <f t="shared" si="34"/>
        <v>1624511</v>
      </c>
      <c r="AB189" s="7">
        <f t="shared" si="35"/>
        <v>13040</v>
      </c>
    </row>
    <row r="190" spans="6:28" x14ac:dyDescent="0.15">
      <c r="F190">
        <f t="shared" si="25"/>
        <v>27</v>
      </c>
      <c r="G190">
        <v>187</v>
      </c>
      <c r="H190">
        <f t="shared" si="26"/>
        <v>540198.78432642657</v>
      </c>
      <c r="I190">
        <f t="shared" si="27"/>
        <v>540199</v>
      </c>
      <c r="J190" s="1">
        <f t="shared" si="28"/>
        <v>1</v>
      </c>
      <c r="K190" s="1">
        <f t="shared" si="29"/>
        <v>540199</v>
      </c>
      <c r="L190" s="1">
        <f t="shared" si="30"/>
        <v>115782.65233333332</v>
      </c>
      <c r="M190" s="3">
        <f t="shared" si="31"/>
        <v>291.26898106818345</v>
      </c>
      <c r="N190" s="7">
        <f t="shared" si="36"/>
        <v>115783</v>
      </c>
      <c r="O190" s="7">
        <f t="shared" si="32"/>
        <v>291</v>
      </c>
      <c r="P190" s="3">
        <f>SUM($O$4:O190)</f>
        <v>16392</v>
      </c>
      <c r="Y190" s="3">
        <f t="shared" si="33"/>
        <v>187</v>
      </c>
      <c r="Z190" s="3">
        <f t="shared" si="34"/>
        <v>1714907</v>
      </c>
      <c r="AB190" s="7">
        <f t="shared" si="35"/>
        <v>13040</v>
      </c>
    </row>
    <row r="191" spans="6:28" x14ac:dyDescent="0.15">
      <c r="F191">
        <f t="shared" si="25"/>
        <v>27</v>
      </c>
      <c r="G191">
        <v>188</v>
      </c>
      <c r="H191">
        <f t="shared" si="26"/>
        <v>540198.78432642657</v>
      </c>
      <c r="I191">
        <f t="shared" si="27"/>
        <v>540199</v>
      </c>
      <c r="J191" s="1">
        <f t="shared" si="28"/>
        <v>1</v>
      </c>
      <c r="K191" s="1">
        <f t="shared" si="29"/>
        <v>540199</v>
      </c>
      <c r="L191" s="1">
        <f t="shared" si="30"/>
        <v>115782.65233333332</v>
      </c>
      <c r="M191" s="3">
        <f t="shared" si="31"/>
        <v>291.26898106818345</v>
      </c>
      <c r="N191" s="7">
        <f t="shared" si="36"/>
        <v>115783</v>
      </c>
      <c r="O191" s="7">
        <f t="shared" si="32"/>
        <v>291</v>
      </c>
      <c r="P191" s="3">
        <f>SUM($O$4:O191)</f>
        <v>16683</v>
      </c>
      <c r="Y191" s="3">
        <f t="shared" si="33"/>
        <v>188</v>
      </c>
      <c r="Z191" s="3">
        <f t="shared" si="34"/>
        <v>1810281</v>
      </c>
      <c r="AB191" s="7">
        <f t="shared" si="35"/>
        <v>13040</v>
      </c>
    </row>
    <row r="192" spans="6:28" x14ac:dyDescent="0.15">
      <c r="F192">
        <f t="shared" si="25"/>
        <v>27</v>
      </c>
      <c r="G192">
        <v>189</v>
      </c>
      <c r="H192">
        <f t="shared" si="26"/>
        <v>540198.78432642657</v>
      </c>
      <c r="I192">
        <f t="shared" si="27"/>
        <v>540199</v>
      </c>
      <c r="J192" s="1">
        <f t="shared" si="28"/>
        <v>4</v>
      </c>
      <c r="K192" s="1">
        <f t="shared" si="29"/>
        <v>2160796</v>
      </c>
      <c r="L192" s="1">
        <f t="shared" si="30"/>
        <v>463130.60933333327</v>
      </c>
      <c r="M192" s="3">
        <f t="shared" si="31"/>
        <v>1165.0759242727338</v>
      </c>
      <c r="N192" s="7">
        <f t="shared" si="36"/>
        <v>463131</v>
      </c>
      <c r="O192" s="7">
        <f t="shared" si="32"/>
        <v>1165</v>
      </c>
      <c r="P192" s="3">
        <f>SUM($O$4:O192)</f>
        <v>17848</v>
      </c>
      <c r="Y192" s="3">
        <f t="shared" si="33"/>
        <v>189</v>
      </c>
      <c r="Z192" s="3">
        <f t="shared" si="34"/>
        <v>1910906</v>
      </c>
      <c r="AB192" s="7">
        <f t="shared" si="35"/>
        <v>13040</v>
      </c>
    </row>
    <row r="193" spans="6:28" x14ac:dyDescent="0.15">
      <c r="F193">
        <f t="shared" si="25"/>
        <v>28</v>
      </c>
      <c r="G193">
        <v>190</v>
      </c>
      <c r="H193">
        <f t="shared" si="26"/>
        <v>848112.09139248973</v>
      </c>
      <c r="I193">
        <f t="shared" si="27"/>
        <v>848112</v>
      </c>
      <c r="J193" s="1">
        <f t="shared" si="28"/>
        <v>1</v>
      </c>
      <c r="K193" s="1">
        <f t="shared" si="29"/>
        <v>848112</v>
      </c>
      <c r="L193" s="1">
        <f t="shared" si="30"/>
        <v>184323.00800000003</v>
      </c>
      <c r="M193" s="3">
        <f t="shared" si="31"/>
        <v>356.68671924130081</v>
      </c>
      <c r="N193" s="7">
        <f t="shared" si="36"/>
        <v>184323</v>
      </c>
      <c r="O193" s="7">
        <f t="shared" si="32"/>
        <v>356</v>
      </c>
      <c r="P193" s="3">
        <f>SUM($O$4:O193)</f>
        <v>18204</v>
      </c>
      <c r="Y193" s="3">
        <f t="shared" si="33"/>
        <v>190</v>
      </c>
      <c r="Z193" s="3">
        <f t="shared" si="34"/>
        <v>2017067</v>
      </c>
      <c r="AB193" s="7">
        <f t="shared" si="35"/>
        <v>13040</v>
      </c>
    </row>
    <row r="194" spans="6:28" x14ac:dyDescent="0.15">
      <c r="F194">
        <f t="shared" si="25"/>
        <v>28</v>
      </c>
      <c r="G194">
        <v>191</v>
      </c>
      <c r="H194">
        <f t="shared" si="26"/>
        <v>848112.09139248973</v>
      </c>
      <c r="I194">
        <f t="shared" si="27"/>
        <v>848112</v>
      </c>
      <c r="J194" s="1">
        <f t="shared" si="28"/>
        <v>1</v>
      </c>
      <c r="K194" s="1">
        <f t="shared" si="29"/>
        <v>848112</v>
      </c>
      <c r="L194" s="1">
        <f t="shared" si="30"/>
        <v>184323.00800000003</v>
      </c>
      <c r="M194" s="3">
        <f t="shared" si="31"/>
        <v>356.68671924130081</v>
      </c>
      <c r="N194" s="7">
        <f t="shared" si="36"/>
        <v>184323</v>
      </c>
      <c r="O194" s="7">
        <f t="shared" si="32"/>
        <v>356</v>
      </c>
      <c r="P194" s="3">
        <f>SUM($O$4:O194)</f>
        <v>18560</v>
      </c>
      <c r="Y194" s="3">
        <f t="shared" si="33"/>
        <v>191</v>
      </c>
      <c r="Z194" s="3">
        <f t="shared" si="34"/>
        <v>2129068</v>
      </c>
      <c r="AB194" s="7">
        <f t="shared" si="35"/>
        <v>13040</v>
      </c>
    </row>
    <row r="195" spans="6:28" x14ac:dyDescent="0.15">
      <c r="F195">
        <f t="shared" si="25"/>
        <v>28</v>
      </c>
      <c r="G195">
        <v>192</v>
      </c>
      <c r="H195">
        <f t="shared" si="26"/>
        <v>848112.09139248973</v>
      </c>
      <c r="I195">
        <f t="shared" si="27"/>
        <v>848112</v>
      </c>
      <c r="J195" s="1">
        <f t="shared" si="28"/>
        <v>1</v>
      </c>
      <c r="K195" s="1">
        <f t="shared" si="29"/>
        <v>848112</v>
      </c>
      <c r="L195" s="1">
        <f t="shared" si="30"/>
        <v>184323.00800000003</v>
      </c>
      <c r="M195" s="3">
        <f t="shared" si="31"/>
        <v>356.68671924130081</v>
      </c>
      <c r="N195" s="7">
        <f t="shared" si="36"/>
        <v>184323</v>
      </c>
      <c r="O195" s="7">
        <f t="shared" si="32"/>
        <v>356</v>
      </c>
      <c r="P195" s="3">
        <f>SUM($O$4:O195)</f>
        <v>18916</v>
      </c>
      <c r="Y195" s="3">
        <f t="shared" si="33"/>
        <v>192</v>
      </c>
      <c r="Z195" s="3">
        <f t="shared" si="34"/>
        <v>2247225</v>
      </c>
      <c r="AB195" s="7">
        <f t="shared" si="35"/>
        <v>13040</v>
      </c>
    </row>
    <row r="196" spans="6:28" x14ac:dyDescent="0.15">
      <c r="F196">
        <f t="shared" si="25"/>
        <v>28</v>
      </c>
      <c r="G196">
        <v>193</v>
      </c>
      <c r="H196">
        <f t="shared" si="26"/>
        <v>848112.09139248973</v>
      </c>
      <c r="I196">
        <f t="shared" si="27"/>
        <v>848112</v>
      </c>
      <c r="J196" s="1">
        <f t="shared" si="28"/>
        <v>1</v>
      </c>
      <c r="K196" s="1">
        <f t="shared" si="29"/>
        <v>848112</v>
      </c>
      <c r="L196" s="1">
        <f t="shared" si="30"/>
        <v>184323.00800000003</v>
      </c>
      <c r="M196" s="3">
        <f t="shared" si="31"/>
        <v>356.68671924130081</v>
      </c>
      <c r="N196" s="7">
        <f t="shared" si="36"/>
        <v>184323</v>
      </c>
      <c r="O196" s="7">
        <f t="shared" si="32"/>
        <v>356</v>
      </c>
      <c r="P196" s="3">
        <f>SUM($O$4:O196)</f>
        <v>19272</v>
      </c>
      <c r="Y196" s="3">
        <f t="shared" si="33"/>
        <v>193</v>
      </c>
      <c r="Z196" s="3">
        <f t="shared" si="34"/>
        <v>2371876</v>
      </c>
      <c r="AB196" s="7">
        <f t="shared" si="35"/>
        <v>13040</v>
      </c>
    </row>
    <row r="197" spans="6:28" x14ac:dyDescent="0.15">
      <c r="F197">
        <f t="shared" ref="F197:F260" si="37">ROUNDUP(G197/$C$4,0)</f>
        <v>28</v>
      </c>
      <c r="G197">
        <v>194</v>
      </c>
      <c r="H197">
        <f t="shared" ref="H197:H260" si="38">18.5*1.57^MIN(F197,156)*1.17^MAX(F197-156,0)*$C$5</f>
        <v>848112.09139248973</v>
      </c>
      <c r="I197">
        <f t="shared" ref="I197:I260" si="39">ROUND(H197,0)</f>
        <v>848112</v>
      </c>
      <c r="J197" s="1">
        <f t="shared" ref="J197:J260" si="40">IF(F197=F198,1,LOOKUP(MOD(F197,5),$D$6:$D$10,$C$6:$C$10))</f>
        <v>1</v>
      </c>
      <c r="K197" s="1">
        <f t="shared" ref="K197:K260" si="41">J197*I197</f>
        <v>848112</v>
      </c>
      <c r="L197" s="1">
        <f t="shared" ref="L197:L260" si="42">K197*(0.02+0.00045*F197)/$C$5</f>
        <v>184323.00800000003</v>
      </c>
      <c r="M197" s="3">
        <f t="shared" ref="M197:M260" si="43">L197/(1.3^F197)*3</f>
        <v>356.68671924130081</v>
      </c>
      <c r="N197" s="7">
        <f t="shared" si="36"/>
        <v>184323</v>
      </c>
      <c r="O197" s="7">
        <f t="shared" ref="O197:O260" si="44">ROUNDDOWN(M197,0)</f>
        <v>356</v>
      </c>
      <c r="P197" s="3">
        <f>SUM($O$4:O197)</f>
        <v>19628</v>
      </c>
      <c r="Y197" s="3">
        <f t="shared" ref="Y197:Y260" si="45">G197</f>
        <v>194</v>
      </c>
      <c r="Z197" s="3">
        <f t="shared" ref="Z197:Z260" si="46">ROUND(1.05^Y197*Y197,0)</f>
        <v>2503374</v>
      </c>
      <c r="AB197" s="7">
        <f t="shared" ref="AB197:AB260" si="47">LOOKUP(Y197,T:T,P:P)</f>
        <v>13040</v>
      </c>
    </row>
    <row r="198" spans="6:28" x14ac:dyDescent="0.15">
      <c r="F198">
        <f t="shared" si="37"/>
        <v>28</v>
      </c>
      <c r="G198">
        <v>195</v>
      </c>
      <c r="H198">
        <f t="shared" si="38"/>
        <v>848112.09139248973</v>
      </c>
      <c r="I198">
        <f t="shared" si="39"/>
        <v>848112</v>
      </c>
      <c r="J198" s="1">
        <f t="shared" si="40"/>
        <v>1</v>
      </c>
      <c r="K198" s="1">
        <f t="shared" si="41"/>
        <v>848112</v>
      </c>
      <c r="L198" s="1">
        <f t="shared" si="42"/>
        <v>184323.00800000003</v>
      </c>
      <c r="M198" s="3">
        <f t="shared" si="43"/>
        <v>356.68671924130081</v>
      </c>
      <c r="N198" s="7">
        <f t="shared" si="36"/>
        <v>184323</v>
      </c>
      <c r="O198" s="7">
        <f t="shared" si="44"/>
        <v>356</v>
      </c>
      <c r="P198" s="3">
        <f>SUM($O$4:O198)</f>
        <v>19984</v>
      </c>
      <c r="Y198" s="3">
        <f t="shared" si="45"/>
        <v>195</v>
      </c>
      <c r="Z198" s="3">
        <f t="shared" si="46"/>
        <v>2642092</v>
      </c>
      <c r="AB198" s="7">
        <f t="shared" si="47"/>
        <v>13040</v>
      </c>
    </row>
    <row r="199" spans="6:28" x14ac:dyDescent="0.15">
      <c r="F199">
        <f t="shared" si="37"/>
        <v>28</v>
      </c>
      <c r="G199">
        <v>196</v>
      </c>
      <c r="H199">
        <f t="shared" si="38"/>
        <v>848112.09139248973</v>
      </c>
      <c r="I199">
        <f t="shared" si="39"/>
        <v>848112</v>
      </c>
      <c r="J199" s="1">
        <f t="shared" si="40"/>
        <v>6</v>
      </c>
      <c r="K199" s="1">
        <f t="shared" si="41"/>
        <v>5088672</v>
      </c>
      <c r="L199" s="1">
        <f t="shared" si="42"/>
        <v>1105938.0480000002</v>
      </c>
      <c r="M199" s="3">
        <f t="shared" si="43"/>
        <v>2140.1203154478044</v>
      </c>
      <c r="N199" s="7">
        <f t="shared" si="36"/>
        <v>1105938</v>
      </c>
      <c r="O199" s="7">
        <f t="shared" si="44"/>
        <v>2140</v>
      </c>
      <c r="P199" s="3">
        <f>SUM($O$4:O199)</f>
        <v>22124</v>
      </c>
      <c r="Y199" s="3">
        <f t="shared" si="45"/>
        <v>196</v>
      </c>
      <c r="Z199" s="3">
        <f t="shared" si="46"/>
        <v>2788423</v>
      </c>
      <c r="AB199" s="7">
        <f t="shared" si="47"/>
        <v>13040</v>
      </c>
    </row>
    <row r="200" spans="6:28" x14ac:dyDescent="0.15">
      <c r="F200">
        <f t="shared" si="37"/>
        <v>29</v>
      </c>
      <c r="G200">
        <v>197</v>
      </c>
      <c r="H200">
        <f t="shared" si="38"/>
        <v>1331535.9834862088</v>
      </c>
      <c r="I200">
        <f t="shared" si="39"/>
        <v>1331536</v>
      </c>
      <c r="J200" s="1">
        <f t="shared" si="40"/>
        <v>1</v>
      </c>
      <c r="K200" s="1">
        <f t="shared" si="41"/>
        <v>1331536</v>
      </c>
      <c r="L200" s="1">
        <f t="shared" si="42"/>
        <v>293381.76533333334</v>
      </c>
      <c r="M200" s="3">
        <f t="shared" si="43"/>
        <v>436.7140409462728</v>
      </c>
      <c r="N200" s="7">
        <f t="shared" ref="N200:N263" si="48">ROUND(L200,0)</f>
        <v>293382</v>
      </c>
      <c r="O200" s="7">
        <f t="shared" si="44"/>
        <v>436</v>
      </c>
      <c r="P200" s="3">
        <f>SUM($O$4:O200)</f>
        <v>22560</v>
      </c>
      <c r="Y200" s="3">
        <f t="shared" si="45"/>
        <v>197</v>
      </c>
      <c r="Z200" s="3">
        <f t="shared" si="46"/>
        <v>2942782</v>
      </c>
      <c r="AB200" s="7">
        <f t="shared" si="47"/>
        <v>13040</v>
      </c>
    </row>
    <row r="201" spans="6:28" x14ac:dyDescent="0.15">
      <c r="F201">
        <f t="shared" si="37"/>
        <v>29</v>
      </c>
      <c r="G201">
        <v>198</v>
      </c>
      <c r="H201">
        <f t="shared" si="38"/>
        <v>1331535.9834862088</v>
      </c>
      <c r="I201">
        <f t="shared" si="39"/>
        <v>1331536</v>
      </c>
      <c r="J201" s="1">
        <f t="shared" si="40"/>
        <v>1</v>
      </c>
      <c r="K201" s="1">
        <f t="shared" si="41"/>
        <v>1331536</v>
      </c>
      <c r="L201" s="1">
        <f t="shared" si="42"/>
        <v>293381.76533333334</v>
      </c>
      <c r="M201" s="3">
        <f t="shared" si="43"/>
        <v>436.7140409462728</v>
      </c>
      <c r="N201" s="7">
        <f t="shared" si="48"/>
        <v>293382</v>
      </c>
      <c r="O201" s="7">
        <f t="shared" si="44"/>
        <v>436</v>
      </c>
      <c r="P201" s="3">
        <f>SUM($O$4:O201)</f>
        <v>22996</v>
      </c>
      <c r="Y201" s="3">
        <f t="shared" si="45"/>
        <v>198</v>
      </c>
      <c r="Z201" s="3">
        <f t="shared" si="46"/>
        <v>3105606</v>
      </c>
      <c r="AB201" s="7">
        <f t="shared" si="47"/>
        <v>13040</v>
      </c>
    </row>
    <row r="202" spans="6:28" x14ac:dyDescent="0.15">
      <c r="F202">
        <f t="shared" si="37"/>
        <v>29</v>
      </c>
      <c r="G202">
        <v>199</v>
      </c>
      <c r="H202">
        <f t="shared" si="38"/>
        <v>1331535.9834862088</v>
      </c>
      <c r="I202">
        <f t="shared" si="39"/>
        <v>1331536</v>
      </c>
      <c r="J202" s="1">
        <f t="shared" si="40"/>
        <v>1</v>
      </c>
      <c r="K202" s="1">
        <f t="shared" si="41"/>
        <v>1331536</v>
      </c>
      <c r="L202" s="1">
        <f t="shared" si="42"/>
        <v>293381.76533333334</v>
      </c>
      <c r="M202" s="3">
        <f t="shared" si="43"/>
        <v>436.7140409462728</v>
      </c>
      <c r="N202" s="7">
        <f t="shared" si="48"/>
        <v>293382</v>
      </c>
      <c r="O202" s="7">
        <f t="shared" si="44"/>
        <v>436</v>
      </c>
      <c r="P202" s="3">
        <f>SUM($O$4:O202)</f>
        <v>23432</v>
      </c>
      <c r="Y202" s="3">
        <f t="shared" si="45"/>
        <v>199</v>
      </c>
      <c r="Z202" s="3">
        <f t="shared" si="46"/>
        <v>3277356</v>
      </c>
      <c r="AB202" s="7">
        <f t="shared" si="47"/>
        <v>13040</v>
      </c>
    </row>
    <row r="203" spans="6:28" x14ac:dyDescent="0.15">
      <c r="F203">
        <f t="shared" si="37"/>
        <v>29</v>
      </c>
      <c r="G203">
        <v>200</v>
      </c>
      <c r="H203">
        <f t="shared" si="38"/>
        <v>1331535.9834862088</v>
      </c>
      <c r="I203">
        <f t="shared" si="39"/>
        <v>1331536</v>
      </c>
      <c r="J203" s="1">
        <f t="shared" si="40"/>
        <v>1</v>
      </c>
      <c r="K203" s="1">
        <f t="shared" si="41"/>
        <v>1331536</v>
      </c>
      <c r="L203" s="1">
        <f t="shared" si="42"/>
        <v>293381.76533333334</v>
      </c>
      <c r="M203" s="3">
        <f t="shared" si="43"/>
        <v>436.7140409462728</v>
      </c>
      <c r="N203" s="7">
        <f t="shared" si="48"/>
        <v>293382</v>
      </c>
      <c r="O203" s="7">
        <f t="shared" si="44"/>
        <v>436</v>
      </c>
      <c r="P203" s="3">
        <f>SUM($O$4:O203)</f>
        <v>23868</v>
      </c>
      <c r="Y203" s="3">
        <f t="shared" si="45"/>
        <v>200</v>
      </c>
      <c r="Z203" s="3">
        <f t="shared" si="46"/>
        <v>3458516</v>
      </c>
      <c r="AB203" s="7">
        <f t="shared" si="47"/>
        <v>13040</v>
      </c>
    </row>
    <row r="204" spans="6:28" x14ac:dyDescent="0.15">
      <c r="F204">
        <f t="shared" si="37"/>
        <v>29</v>
      </c>
      <c r="G204">
        <v>201</v>
      </c>
      <c r="H204">
        <f t="shared" si="38"/>
        <v>1331535.9834862088</v>
      </c>
      <c r="I204">
        <f t="shared" si="39"/>
        <v>1331536</v>
      </c>
      <c r="J204" s="1">
        <f t="shared" si="40"/>
        <v>1</v>
      </c>
      <c r="K204" s="1">
        <f t="shared" si="41"/>
        <v>1331536</v>
      </c>
      <c r="L204" s="1">
        <f t="shared" si="42"/>
        <v>293381.76533333334</v>
      </c>
      <c r="M204" s="3">
        <f t="shared" si="43"/>
        <v>436.7140409462728</v>
      </c>
      <c r="N204" s="7">
        <f t="shared" si="48"/>
        <v>293382</v>
      </c>
      <c r="O204" s="7">
        <f t="shared" si="44"/>
        <v>436</v>
      </c>
      <c r="P204" s="3">
        <f>SUM($O$4:O204)</f>
        <v>24304</v>
      </c>
      <c r="Y204" s="3">
        <f t="shared" si="45"/>
        <v>201</v>
      </c>
      <c r="Z204" s="3">
        <f t="shared" si="46"/>
        <v>3649599</v>
      </c>
      <c r="AB204" s="7">
        <f t="shared" si="47"/>
        <v>13040</v>
      </c>
    </row>
    <row r="205" spans="6:28" x14ac:dyDescent="0.15">
      <c r="F205">
        <f t="shared" si="37"/>
        <v>29</v>
      </c>
      <c r="G205">
        <v>202</v>
      </c>
      <c r="H205">
        <f t="shared" si="38"/>
        <v>1331535.9834862088</v>
      </c>
      <c r="I205">
        <f t="shared" si="39"/>
        <v>1331536</v>
      </c>
      <c r="J205" s="1">
        <f t="shared" si="40"/>
        <v>1</v>
      </c>
      <c r="K205" s="1">
        <f t="shared" si="41"/>
        <v>1331536</v>
      </c>
      <c r="L205" s="1">
        <f t="shared" si="42"/>
        <v>293381.76533333334</v>
      </c>
      <c r="M205" s="3">
        <f t="shared" si="43"/>
        <v>436.7140409462728</v>
      </c>
      <c r="N205" s="7">
        <f t="shared" si="48"/>
        <v>293382</v>
      </c>
      <c r="O205" s="7">
        <f t="shared" si="44"/>
        <v>436</v>
      </c>
      <c r="P205" s="3">
        <f>SUM($O$4:O205)</f>
        <v>24740</v>
      </c>
      <c r="Y205" s="3">
        <f t="shared" si="45"/>
        <v>202</v>
      </c>
      <c r="Z205" s="3">
        <f t="shared" si="46"/>
        <v>3851144</v>
      </c>
      <c r="AB205" s="7">
        <f t="shared" si="47"/>
        <v>13040</v>
      </c>
    </row>
    <row r="206" spans="6:28" x14ac:dyDescent="0.15">
      <c r="F206">
        <f t="shared" si="37"/>
        <v>29</v>
      </c>
      <c r="G206">
        <v>203</v>
      </c>
      <c r="H206">
        <f t="shared" si="38"/>
        <v>1331535.9834862088</v>
      </c>
      <c r="I206">
        <f t="shared" si="39"/>
        <v>1331536</v>
      </c>
      <c r="J206" s="1">
        <f t="shared" si="40"/>
        <v>7</v>
      </c>
      <c r="K206" s="1">
        <f t="shared" si="41"/>
        <v>9320752</v>
      </c>
      <c r="L206" s="1">
        <f t="shared" si="42"/>
        <v>2053672.3573333332</v>
      </c>
      <c r="M206" s="3">
        <f t="shared" si="43"/>
        <v>3056.9982866239093</v>
      </c>
      <c r="N206" s="7">
        <f t="shared" si="48"/>
        <v>2053672</v>
      </c>
      <c r="O206" s="7">
        <f t="shared" si="44"/>
        <v>3056</v>
      </c>
      <c r="P206" s="3">
        <f>SUM($O$4:O206)</f>
        <v>27796</v>
      </c>
      <c r="Y206" s="3">
        <f t="shared" si="45"/>
        <v>203</v>
      </c>
      <c r="Z206" s="3">
        <f t="shared" si="46"/>
        <v>4063720</v>
      </c>
      <c r="AB206" s="7">
        <f t="shared" si="47"/>
        <v>13040</v>
      </c>
    </row>
    <row r="207" spans="6:28" x14ac:dyDescent="0.15">
      <c r="F207">
        <f t="shared" si="37"/>
        <v>30</v>
      </c>
      <c r="G207">
        <v>204</v>
      </c>
      <c r="H207">
        <f t="shared" si="38"/>
        <v>2090511.4940733481</v>
      </c>
      <c r="I207">
        <f t="shared" si="39"/>
        <v>2090511</v>
      </c>
      <c r="J207" s="1">
        <f t="shared" si="40"/>
        <v>1</v>
      </c>
      <c r="K207" s="1">
        <f t="shared" si="41"/>
        <v>2090511</v>
      </c>
      <c r="L207" s="1">
        <f t="shared" si="42"/>
        <v>466880.7900000001</v>
      </c>
      <c r="M207" s="3">
        <f t="shared" si="43"/>
        <v>534.59721331778553</v>
      </c>
      <c r="N207" s="7">
        <f t="shared" si="48"/>
        <v>466881</v>
      </c>
      <c r="O207" s="7">
        <f t="shared" si="44"/>
        <v>534</v>
      </c>
      <c r="P207" s="3">
        <f>SUM($O$4:O207)</f>
        <v>28330</v>
      </c>
      <c r="Y207" s="3">
        <f t="shared" si="45"/>
        <v>204</v>
      </c>
      <c r="Z207" s="3">
        <f t="shared" si="46"/>
        <v>4287925</v>
      </c>
      <c r="AB207" s="7">
        <f t="shared" si="47"/>
        <v>13040</v>
      </c>
    </row>
    <row r="208" spans="6:28" x14ac:dyDescent="0.15">
      <c r="F208">
        <f t="shared" si="37"/>
        <v>30</v>
      </c>
      <c r="G208">
        <v>205</v>
      </c>
      <c r="H208">
        <f t="shared" si="38"/>
        <v>2090511.4940733481</v>
      </c>
      <c r="I208">
        <f t="shared" si="39"/>
        <v>2090511</v>
      </c>
      <c r="J208" s="1">
        <f t="shared" si="40"/>
        <v>1</v>
      </c>
      <c r="K208" s="1">
        <f t="shared" si="41"/>
        <v>2090511</v>
      </c>
      <c r="L208" s="1">
        <f t="shared" si="42"/>
        <v>466880.7900000001</v>
      </c>
      <c r="M208" s="3">
        <f t="shared" si="43"/>
        <v>534.59721331778553</v>
      </c>
      <c r="N208" s="7">
        <f t="shared" si="48"/>
        <v>466881</v>
      </c>
      <c r="O208" s="7">
        <f t="shared" si="44"/>
        <v>534</v>
      </c>
      <c r="P208" s="3">
        <f>SUM($O$4:O208)</f>
        <v>28864</v>
      </c>
      <c r="Y208" s="3">
        <f t="shared" si="45"/>
        <v>205</v>
      </c>
      <c r="Z208" s="3">
        <f t="shared" si="46"/>
        <v>4524391</v>
      </c>
      <c r="AB208" s="7">
        <f t="shared" si="47"/>
        <v>13040</v>
      </c>
    </row>
    <row r="209" spans="6:28" x14ac:dyDescent="0.15">
      <c r="F209">
        <f t="shared" si="37"/>
        <v>30</v>
      </c>
      <c r="G209">
        <v>206</v>
      </c>
      <c r="H209">
        <f t="shared" si="38"/>
        <v>2090511.4940733481</v>
      </c>
      <c r="I209">
        <f t="shared" si="39"/>
        <v>2090511</v>
      </c>
      <c r="J209" s="1">
        <f t="shared" si="40"/>
        <v>1</v>
      </c>
      <c r="K209" s="1">
        <f t="shared" si="41"/>
        <v>2090511</v>
      </c>
      <c r="L209" s="1">
        <f t="shared" si="42"/>
        <v>466880.7900000001</v>
      </c>
      <c r="M209" s="3">
        <f t="shared" si="43"/>
        <v>534.59721331778553</v>
      </c>
      <c r="N209" s="7">
        <f t="shared" si="48"/>
        <v>466881</v>
      </c>
      <c r="O209" s="7">
        <f t="shared" si="44"/>
        <v>534</v>
      </c>
      <c r="P209" s="3">
        <f>SUM($O$4:O209)</f>
        <v>29398</v>
      </c>
      <c r="Y209" s="3">
        <f t="shared" si="45"/>
        <v>206</v>
      </c>
      <c r="Z209" s="3">
        <f t="shared" si="46"/>
        <v>4773785</v>
      </c>
      <c r="AB209" s="7">
        <f t="shared" si="47"/>
        <v>13040</v>
      </c>
    </row>
    <row r="210" spans="6:28" x14ac:dyDescent="0.15">
      <c r="F210">
        <f t="shared" si="37"/>
        <v>30</v>
      </c>
      <c r="G210">
        <v>207</v>
      </c>
      <c r="H210">
        <f t="shared" si="38"/>
        <v>2090511.4940733481</v>
      </c>
      <c r="I210">
        <f t="shared" si="39"/>
        <v>2090511</v>
      </c>
      <c r="J210" s="1">
        <f t="shared" si="40"/>
        <v>1</v>
      </c>
      <c r="K210" s="1">
        <f t="shared" si="41"/>
        <v>2090511</v>
      </c>
      <c r="L210" s="1">
        <f t="shared" si="42"/>
        <v>466880.7900000001</v>
      </c>
      <c r="M210" s="3">
        <f t="shared" si="43"/>
        <v>534.59721331778553</v>
      </c>
      <c r="N210" s="7">
        <f t="shared" si="48"/>
        <v>466881</v>
      </c>
      <c r="O210" s="7">
        <f t="shared" si="44"/>
        <v>534</v>
      </c>
      <c r="P210" s="3">
        <f>SUM($O$4:O210)</f>
        <v>29932</v>
      </c>
      <c r="Y210" s="3">
        <f t="shared" si="45"/>
        <v>207</v>
      </c>
      <c r="Z210" s="3">
        <f t="shared" si="46"/>
        <v>5036806</v>
      </c>
      <c r="AB210" s="7">
        <f t="shared" si="47"/>
        <v>13040</v>
      </c>
    </row>
    <row r="211" spans="6:28" x14ac:dyDescent="0.15">
      <c r="F211">
        <f t="shared" si="37"/>
        <v>30</v>
      </c>
      <c r="G211">
        <v>208</v>
      </c>
      <c r="H211">
        <f t="shared" si="38"/>
        <v>2090511.4940733481</v>
      </c>
      <c r="I211">
        <f t="shared" si="39"/>
        <v>2090511</v>
      </c>
      <c r="J211" s="1">
        <f t="shared" si="40"/>
        <v>1</v>
      </c>
      <c r="K211" s="1">
        <f t="shared" si="41"/>
        <v>2090511</v>
      </c>
      <c r="L211" s="1">
        <f t="shared" si="42"/>
        <v>466880.7900000001</v>
      </c>
      <c r="M211" s="3">
        <f t="shared" si="43"/>
        <v>534.59721331778553</v>
      </c>
      <c r="N211" s="7">
        <f t="shared" si="48"/>
        <v>466881</v>
      </c>
      <c r="O211" s="7">
        <f t="shared" si="44"/>
        <v>534</v>
      </c>
      <c r="P211" s="3">
        <f>SUM($O$4:O211)</f>
        <v>30466</v>
      </c>
      <c r="Y211" s="3">
        <f t="shared" si="45"/>
        <v>208</v>
      </c>
      <c r="Z211" s="3">
        <f t="shared" si="46"/>
        <v>5314196</v>
      </c>
      <c r="AB211" s="7">
        <f t="shared" si="47"/>
        <v>13040</v>
      </c>
    </row>
    <row r="212" spans="6:28" x14ac:dyDescent="0.15">
      <c r="F212">
        <f t="shared" si="37"/>
        <v>30</v>
      </c>
      <c r="G212">
        <v>209</v>
      </c>
      <c r="H212">
        <f t="shared" si="38"/>
        <v>2090511.4940733481</v>
      </c>
      <c r="I212">
        <f t="shared" si="39"/>
        <v>2090511</v>
      </c>
      <c r="J212" s="1">
        <f t="shared" si="40"/>
        <v>1</v>
      </c>
      <c r="K212" s="1">
        <f t="shared" si="41"/>
        <v>2090511</v>
      </c>
      <c r="L212" s="1">
        <f t="shared" si="42"/>
        <v>466880.7900000001</v>
      </c>
      <c r="M212" s="3">
        <f t="shared" si="43"/>
        <v>534.59721331778553</v>
      </c>
      <c r="N212" s="7">
        <f t="shared" si="48"/>
        <v>466881</v>
      </c>
      <c r="O212" s="7">
        <f t="shared" si="44"/>
        <v>534</v>
      </c>
      <c r="P212" s="3">
        <f>SUM($O$4:O212)</f>
        <v>31000</v>
      </c>
      <c r="Y212" s="3">
        <f t="shared" si="45"/>
        <v>209</v>
      </c>
      <c r="Z212" s="3">
        <f t="shared" si="46"/>
        <v>5606732</v>
      </c>
      <c r="AB212" s="7">
        <f t="shared" si="47"/>
        <v>13040</v>
      </c>
    </row>
    <row r="213" spans="6:28" x14ac:dyDescent="0.15">
      <c r="F213">
        <f t="shared" si="37"/>
        <v>30</v>
      </c>
      <c r="G213">
        <v>210</v>
      </c>
      <c r="H213">
        <f t="shared" si="38"/>
        <v>2090511.4940733481</v>
      </c>
      <c r="I213">
        <f t="shared" si="39"/>
        <v>2090511</v>
      </c>
      <c r="J213" s="1">
        <f t="shared" si="40"/>
        <v>10</v>
      </c>
      <c r="K213" s="1">
        <f t="shared" si="41"/>
        <v>20905110</v>
      </c>
      <c r="L213" s="1">
        <f t="shared" si="42"/>
        <v>4668807.9000000004</v>
      </c>
      <c r="M213" s="3">
        <f t="shared" si="43"/>
        <v>5345.9721331778546</v>
      </c>
      <c r="N213" s="7">
        <f t="shared" si="48"/>
        <v>4668808</v>
      </c>
      <c r="O213" s="7">
        <f t="shared" si="44"/>
        <v>5345</v>
      </c>
      <c r="P213" s="3">
        <f>SUM($O$4:O213)</f>
        <v>36345</v>
      </c>
      <c r="Y213" s="3">
        <f t="shared" si="45"/>
        <v>210</v>
      </c>
      <c r="Z213" s="3">
        <f t="shared" si="46"/>
        <v>5915236</v>
      </c>
      <c r="AB213" s="7">
        <f t="shared" si="47"/>
        <v>13040</v>
      </c>
    </row>
    <row r="214" spans="6:28" x14ac:dyDescent="0.15">
      <c r="F214">
        <f t="shared" si="37"/>
        <v>31</v>
      </c>
      <c r="G214">
        <v>211</v>
      </c>
      <c r="H214">
        <f t="shared" si="38"/>
        <v>3282103.0456951573</v>
      </c>
      <c r="I214">
        <f t="shared" si="39"/>
        <v>3282103</v>
      </c>
      <c r="J214" s="1">
        <f t="shared" si="40"/>
        <v>1</v>
      </c>
      <c r="K214" s="1">
        <f t="shared" si="41"/>
        <v>3282103</v>
      </c>
      <c r="L214" s="1">
        <f t="shared" si="42"/>
        <v>742849.31233333342</v>
      </c>
      <c r="M214" s="3">
        <f t="shared" si="43"/>
        <v>654.30171534865087</v>
      </c>
      <c r="N214" s="7">
        <f t="shared" si="48"/>
        <v>742849</v>
      </c>
      <c r="O214" s="7">
        <f t="shared" si="44"/>
        <v>654</v>
      </c>
      <c r="P214" s="3">
        <f>SUM($O$4:O214)</f>
        <v>36999</v>
      </c>
      <c r="Y214" s="3">
        <f t="shared" si="45"/>
        <v>211</v>
      </c>
      <c r="Z214" s="3">
        <f t="shared" si="46"/>
        <v>6240574</v>
      </c>
      <c r="AB214" s="7">
        <f t="shared" si="47"/>
        <v>13040</v>
      </c>
    </row>
    <row r="215" spans="6:28" x14ac:dyDescent="0.15">
      <c r="F215">
        <f t="shared" si="37"/>
        <v>31</v>
      </c>
      <c r="G215">
        <v>212</v>
      </c>
      <c r="H215">
        <f t="shared" si="38"/>
        <v>3282103.0456951573</v>
      </c>
      <c r="I215">
        <f t="shared" si="39"/>
        <v>3282103</v>
      </c>
      <c r="J215" s="1">
        <f t="shared" si="40"/>
        <v>1</v>
      </c>
      <c r="K215" s="1">
        <f t="shared" si="41"/>
        <v>3282103</v>
      </c>
      <c r="L215" s="1">
        <f t="shared" si="42"/>
        <v>742849.31233333342</v>
      </c>
      <c r="M215" s="3">
        <f t="shared" si="43"/>
        <v>654.30171534865087</v>
      </c>
      <c r="N215" s="7">
        <f t="shared" si="48"/>
        <v>742849</v>
      </c>
      <c r="O215" s="7">
        <f t="shared" si="44"/>
        <v>654</v>
      </c>
      <c r="P215" s="3">
        <f>SUM($O$4:O215)</f>
        <v>37653</v>
      </c>
      <c r="Y215" s="3">
        <f t="shared" si="45"/>
        <v>212</v>
      </c>
      <c r="Z215" s="3">
        <f t="shared" si="46"/>
        <v>6583658</v>
      </c>
      <c r="AB215" s="7">
        <f t="shared" si="47"/>
        <v>13040</v>
      </c>
    </row>
    <row r="216" spans="6:28" x14ac:dyDescent="0.15">
      <c r="F216">
        <f t="shared" si="37"/>
        <v>31</v>
      </c>
      <c r="G216">
        <v>213</v>
      </c>
      <c r="H216">
        <f t="shared" si="38"/>
        <v>3282103.0456951573</v>
      </c>
      <c r="I216">
        <f t="shared" si="39"/>
        <v>3282103</v>
      </c>
      <c r="J216" s="1">
        <f t="shared" si="40"/>
        <v>1</v>
      </c>
      <c r="K216" s="1">
        <f t="shared" si="41"/>
        <v>3282103</v>
      </c>
      <c r="L216" s="1">
        <f t="shared" si="42"/>
        <v>742849.31233333342</v>
      </c>
      <c r="M216" s="3">
        <f t="shared" si="43"/>
        <v>654.30171534865087</v>
      </c>
      <c r="N216" s="7">
        <f t="shared" si="48"/>
        <v>742849</v>
      </c>
      <c r="O216" s="7">
        <f t="shared" si="44"/>
        <v>654</v>
      </c>
      <c r="P216" s="3">
        <f>SUM($O$4:O216)</f>
        <v>38307</v>
      </c>
      <c r="Y216" s="3">
        <f t="shared" si="45"/>
        <v>213</v>
      </c>
      <c r="Z216" s="3">
        <f t="shared" si="46"/>
        <v>6945449</v>
      </c>
      <c r="AB216" s="7">
        <f t="shared" si="47"/>
        <v>13040</v>
      </c>
    </row>
    <row r="217" spans="6:28" x14ac:dyDescent="0.15">
      <c r="F217">
        <f t="shared" si="37"/>
        <v>31</v>
      </c>
      <c r="G217">
        <v>214</v>
      </c>
      <c r="H217">
        <f t="shared" si="38"/>
        <v>3282103.0456951573</v>
      </c>
      <c r="I217">
        <f t="shared" si="39"/>
        <v>3282103</v>
      </c>
      <c r="J217" s="1">
        <f t="shared" si="40"/>
        <v>1</v>
      </c>
      <c r="K217" s="1">
        <f t="shared" si="41"/>
        <v>3282103</v>
      </c>
      <c r="L217" s="1">
        <f t="shared" si="42"/>
        <v>742849.31233333342</v>
      </c>
      <c r="M217" s="3">
        <f t="shared" si="43"/>
        <v>654.30171534865087</v>
      </c>
      <c r="N217" s="7">
        <f t="shared" si="48"/>
        <v>742849</v>
      </c>
      <c r="O217" s="7">
        <f t="shared" si="44"/>
        <v>654</v>
      </c>
      <c r="P217" s="3">
        <f>SUM($O$4:O217)</f>
        <v>38961</v>
      </c>
      <c r="Y217" s="3">
        <f t="shared" si="45"/>
        <v>214</v>
      </c>
      <c r="Z217" s="3">
        <f t="shared" si="46"/>
        <v>7326959</v>
      </c>
      <c r="AB217" s="7">
        <f t="shared" si="47"/>
        <v>13040</v>
      </c>
    </row>
    <row r="218" spans="6:28" x14ac:dyDescent="0.15">
      <c r="F218">
        <f t="shared" si="37"/>
        <v>31</v>
      </c>
      <c r="G218">
        <v>215</v>
      </c>
      <c r="H218">
        <f t="shared" si="38"/>
        <v>3282103.0456951573</v>
      </c>
      <c r="I218">
        <f t="shared" si="39"/>
        <v>3282103</v>
      </c>
      <c r="J218" s="1">
        <f t="shared" si="40"/>
        <v>1</v>
      </c>
      <c r="K218" s="1">
        <f t="shared" si="41"/>
        <v>3282103</v>
      </c>
      <c r="L218" s="1">
        <f t="shared" si="42"/>
        <v>742849.31233333342</v>
      </c>
      <c r="M218" s="3">
        <f t="shared" si="43"/>
        <v>654.30171534865087</v>
      </c>
      <c r="N218" s="7">
        <f t="shared" si="48"/>
        <v>742849</v>
      </c>
      <c r="O218" s="7">
        <f t="shared" si="44"/>
        <v>654</v>
      </c>
      <c r="P218" s="3">
        <f>SUM($O$4:O218)</f>
        <v>39615</v>
      </c>
      <c r="Y218" s="3">
        <f t="shared" si="45"/>
        <v>215</v>
      </c>
      <c r="Z218" s="3">
        <f t="shared" si="46"/>
        <v>7729257</v>
      </c>
      <c r="AB218" s="7">
        <f t="shared" si="47"/>
        <v>13040</v>
      </c>
    </row>
    <row r="219" spans="6:28" x14ac:dyDescent="0.15">
      <c r="F219">
        <f t="shared" si="37"/>
        <v>31</v>
      </c>
      <c r="G219">
        <v>216</v>
      </c>
      <c r="H219">
        <f t="shared" si="38"/>
        <v>3282103.0456951573</v>
      </c>
      <c r="I219">
        <f t="shared" si="39"/>
        <v>3282103</v>
      </c>
      <c r="J219" s="1">
        <f t="shared" si="40"/>
        <v>1</v>
      </c>
      <c r="K219" s="1">
        <f t="shared" si="41"/>
        <v>3282103</v>
      </c>
      <c r="L219" s="1">
        <f t="shared" si="42"/>
        <v>742849.31233333342</v>
      </c>
      <c r="M219" s="3">
        <f t="shared" si="43"/>
        <v>654.30171534865087</v>
      </c>
      <c r="N219" s="7">
        <f t="shared" si="48"/>
        <v>742849</v>
      </c>
      <c r="O219" s="7">
        <f t="shared" si="44"/>
        <v>654</v>
      </c>
      <c r="P219" s="3">
        <f>SUM($O$4:O219)</f>
        <v>40269</v>
      </c>
      <c r="Y219" s="3">
        <f t="shared" si="45"/>
        <v>216</v>
      </c>
      <c r="Z219" s="3">
        <f t="shared" si="46"/>
        <v>8153468</v>
      </c>
      <c r="AB219" s="7">
        <f t="shared" si="47"/>
        <v>13040</v>
      </c>
    </row>
    <row r="220" spans="6:28" x14ac:dyDescent="0.15">
      <c r="F220">
        <f t="shared" si="37"/>
        <v>31</v>
      </c>
      <c r="G220">
        <v>217</v>
      </c>
      <c r="H220">
        <f t="shared" si="38"/>
        <v>3282103.0456951573</v>
      </c>
      <c r="I220">
        <f t="shared" si="39"/>
        <v>3282103</v>
      </c>
      <c r="J220" s="1">
        <f t="shared" si="40"/>
        <v>2</v>
      </c>
      <c r="K220" s="1">
        <f t="shared" si="41"/>
        <v>6564206</v>
      </c>
      <c r="L220" s="1">
        <f t="shared" si="42"/>
        <v>1485698.6246666668</v>
      </c>
      <c r="M220" s="3">
        <f t="shared" si="43"/>
        <v>1308.6034306973017</v>
      </c>
      <c r="N220" s="7">
        <f t="shared" si="48"/>
        <v>1485699</v>
      </c>
      <c r="O220" s="7">
        <f t="shared" si="44"/>
        <v>1308</v>
      </c>
      <c r="P220" s="3">
        <f>SUM($O$4:O220)</f>
        <v>41577</v>
      </c>
      <c r="Y220" s="3">
        <f t="shared" si="45"/>
        <v>217</v>
      </c>
      <c r="Z220" s="3">
        <f t="shared" si="46"/>
        <v>8600776</v>
      </c>
      <c r="AB220" s="7">
        <f t="shared" si="47"/>
        <v>13040</v>
      </c>
    </row>
    <row r="221" spans="6:28" x14ac:dyDescent="0.15">
      <c r="F221">
        <f t="shared" si="37"/>
        <v>32</v>
      </c>
      <c r="G221">
        <v>218</v>
      </c>
      <c r="H221">
        <f t="shared" si="38"/>
        <v>5152901.7817413956</v>
      </c>
      <c r="I221">
        <f t="shared" si="39"/>
        <v>5152902</v>
      </c>
      <c r="J221" s="1">
        <f t="shared" si="40"/>
        <v>1</v>
      </c>
      <c r="K221" s="1">
        <f t="shared" si="41"/>
        <v>5152902</v>
      </c>
      <c r="L221" s="1">
        <f t="shared" si="42"/>
        <v>1181732.192</v>
      </c>
      <c r="M221" s="3">
        <f t="shared" si="43"/>
        <v>800.66906154547519</v>
      </c>
      <c r="N221" s="7">
        <f t="shared" si="48"/>
        <v>1181732</v>
      </c>
      <c r="O221" s="7">
        <f t="shared" si="44"/>
        <v>800</v>
      </c>
      <c r="P221" s="3">
        <f>SUM($O$4:O221)</f>
        <v>42377</v>
      </c>
      <c r="Y221" s="3">
        <f t="shared" si="45"/>
        <v>218</v>
      </c>
      <c r="Z221" s="3">
        <f t="shared" si="46"/>
        <v>9072431</v>
      </c>
      <c r="AB221" s="7">
        <f t="shared" si="47"/>
        <v>13040</v>
      </c>
    </row>
    <row r="222" spans="6:28" x14ac:dyDescent="0.15">
      <c r="F222">
        <f t="shared" si="37"/>
        <v>32</v>
      </c>
      <c r="G222">
        <v>219</v>
      </c>
      <c r="H222">
        <f t="shared" si="38"/>
        <v>5152901.7817413956</v>
      </c>
      <c r="I222">
        <f t="shared" si="39"/>
        <v>5152902</v>
      </c>
      <c r="J222" s="1">
        <f t="shared" si="40"/>
        <v>1</v>
      </c>
      <c r="K222" s="1">
        <f t="shared" si="41"/>
        <v>5152902</v>
      </c>
      <c r="L222" s="1">
        <f t="shared" si="42"/>
        <v>1181732.192</v>
      </c>
      <c r="M222" s="3">
        <f t="shared" si="43"/>
        <v>800.66906154547519</v>
      </c>
      <c r="N222" s="7">
        <f t="shared" si="48"/>
        <v>1181732</v>
      </c>
      <c r="O222" s="7">
        <f t="shared" si="44"/>
        <v>800</v>
      </c>
      <c r="P222" s="3">
        <f>SUM($O$4:O222)</f>
        <v>43177</v>
      </c>
      <c r="Y222" s="3">
        <f t="shared" si="45"/>
        <v>219</v>
      </c>
      <c r="Z222" s="3">
        <f t="shared" si="46"/>
        <v>9569750</v>
      </c>
      <c r="AB222" s="7">
        <f t="shared" si="47"/>
        <v>13040</v>
      </c>
    </row>
    <row r="223" spans="6:28" x14ac:dyDescent="0.15">
      <c r="F223">
        <f t="shared" si="37"/>
        <v>32</v>
      </c>
      <c r="G223">
        <v>220</v>
      </c>
      <c r="H223">
        <f t="shared" si="38"/>
        <v>5152901.7817413956</v>
      </c>
      <c r="I223">
        <f t="shared" si="39"/>
        <v>5152902</v>
      </c>
      <c r="J223" s="1">
        <f t="shared" si="40"/>
        <v>1</v>
      </c>
      <c r="K223" s="1">
        <f t="shared" si="41"/>
        <v>5152902</v>
      </c>
      <c r="L223" s="1">
        <f t="shared" si="42"/>
        <v>1181732.192</v>
      </c>
      <c r="M223" s="3">
        <f t="shared" si="43"/>
        <v>800.66906154547519</v>
      </c>
      <c r="N223" s="7">
        <f t="shared" si="48"/>
        <v>1181732</v>
      </c>
      <c r="O223" s="7">
        <f t="shared" si="44"/>
        <v>800</v>
      </c>
      <c r="P223" s="3">
        <f>SUM($O$4:O223)</f>
        <v>43977</v>
      </c>
      <c r="Y223" s="3">
        <f t="shared" si="45"/>
        <v>220</v>
      </c>
      <c r="Z223" s="3">
        <f t="shared" si="46"/>
        <v>10094120</v>
      </c>
      <c r="AB223" s="7">
        <f t="shared" si="47"/>
        <v>13040</v>
      </c>
    </row>
    <row r="224" spans="6:28" x14ac:dyDescent="0.15">
      <c r="F224">
        <f t="shared" si="37"/>
        <v>32</v>
      </c>
      <c r="G224">
        <v>221</v>
      </c>
      <c r="H224">
        <f t="shared" si="38"/>
        <v>5152901.7817413956</v>
      </c>
      <c r="I224">
        <f t="shared" si="39"/>
        <v>5152902</v>
      </c>
      <c r="J224" s="1">
        <f t="shared" si="40"/>
        <v>1</v>
      </c>
      <c r="K224" s="1">
        <f t="shared" si="41"/>
        <v>5152902</v>
      </c>
      <c r="L224" s="1">
        <f t="shared" si="42"/>
        <v>1181732.192</v>
      </c>
      <c r="M224" s="3">
        <f t="shared" si="43"/>
        <v>800.66906154547519</v>
      </c>
      <c r="N224" s="7">
        <f t="shared" si="48"/>
        <v>1181732</v>
      </c>
      <c r="O224" s="7">
        <f t="shared" si="44"/>
        <v>800</v>
      </c>
      <c r="P224" s="3">
        <f>SUM($O$4:O224)</f>
        <v>44777</v>
      </c>
      <c r="Y224" s="3">
        <f t="shared" si="45"/>
        <v>221</v>
      </c>
      <c r="Z224" s="3">
        <f t="shared" si="46"/>
        <v>10647003</v>
      </c>
      <c r="AB224" s="7">
        <f t="shared" si="47"/>
        <v>13040</v>
      </c>
    </row>
    <row r="225" spans="6:28" x14ac:dyDescent="0.15">
      <c r="F225">
        <f t="shared" si="37"/>
        <v>32</v>
      </c>
      <c r="G225">
        <v>222</v>
      </c>
      <c r="H225">
        <f t="shared" si="38"/>
        <v>5152901.7817413956</v>
      </c>
      <c r="I225">
        <f t="shared" si="39"/>
        <v>5152902</v>
      </c>
      <c r="J225" s="1">
        <f t="shared" si="40"/>
        <v>1</v>
      </c>
      <c r="K225" s="1">
        <f t="shared" si="41"/>
        <v>5152902</v>
      </c>
      <c r="L225" s="1">
        <f t="shared" si="42"/>
        <v>1181732.192</v>
      </c>
      <c r="M225" s="3">
        <f t="shared" si="43"/>
        <v>800.66906154547519</v>
      </c>
      <c r="N225" s="7">
        <f t="shared" si="48"/>
        <v>1181732</v>
      </c>
      <c r="O225" s="7">
        <f t="shared" si="44"/>
        <v>800</v>
      </c>
      <c r="P225" s="3">
        <f>SUM($O$4:O225)</f>
        <v>45577</v>
      </c>
      <c r="Y225" s="3">
        <f t="shared" si="45"/>
        <v>222</v>
      </c>
      <c r="Z225" s="3">
        <f t="shared" si="46"/>
        <v>11229938</v>
      </c>
      <c r="AB225" s="7">
        <f t="shared" si="47"/>
        <v>13040</v>
      </c>
    </row>
    <row r="226" spans="6:28" x14ac:dyDescent="0.15">
      <c r="F226">
        <f t="shared" si="37"/>
        <v>32</v>
      </c>
      <c r="G226">
        <v>223</v>
      </c>
      <c r="H226">
        <f t="shared" si="38"/>
        <v>5152901.7817413956</v>
      </c>
      <c r="I226">
        <f t="shared" si="39"/>
        <v>5152902</v>
      </c>
      <c r="J226" s="1">
        <f t="shared" si="40"/>
        <v>1</v>
      </c>
      <c r="K226" s="1">
        <f t="shared" si="41"/>
        <v>5152902</v>
      </c>
      <c r="L226" s="1">
        <f t="shared" si="42"/>
        <v>1181732.192</v>
      </c>
      <c r="M226" s="3">
        <f t="shared" si="43"/>
        <v>800.66906154547519</v>
      </c>
      <c r="N226" s="7">
        <f t="shared" si="48"/>
        <v>1181732</v>
      </c>
      <c r="O226" s="7">
        <f t="shared" si="44"/>
        <v>800</v>
      </c>
      <c r="P226" s="3">
        <f>SUM($O$4:O226)</f>
        <v>46377</v>
      </c>
      <c r="Y226" s="3">
        <f t="shared" si="45"/>
        <v>223</v>
      </c>
      <c r="Z226" s="3">
        <f t="shared" si="46"/>
        <v>11844550</v>
      </c>
      <c r="AB226" s="7">
        <f t="shared" si="47"/>
        <v>13040</v>
      </c>
    </row>
    <row r="227" spans="6:28" x14ac:dyDescent="0.15">
      <c r="F227">
        <f t="shared" si="37"/>
        <v>32</v>
      </c>
      <c r="G227">
        <v>224</v>
      </c>
      <c r="H227">
        <f t="shared" si="38"/>
        <v>5152901.7817413956</v>
      </c>
      <c r="I227">
        <f t="shared" si="39"/>
        <v>5152902</v>
      </c>
      <c r="J227" s="1">
        <f t="shared" si="40"/>
        <v>4</v>
      </c>
      <c r="K227" s="1">
        <f t="shared" si="41"/>
        <v>20611608</v>
      </c>
      <c r="L227" s="1">
        <f t="shared" si="42"/>
        <v>4726928.7680000002</v>
      </c>
      <c r="M227" s="3">
        <f t="shared" si="43"/>
        <v>3202.6762461819008</v>
      </c>
      <c r="N227" s="7">
        <f t="shared" si="48"/>
        <v>4726929</v>
      </c>
      <c r="O227" s="7">
        <f t="shared" si="44"/>
        <v>3202</v>
      </c>
      <c r="P227" s="3">
        <f>SUM($O$4:O227)</f>
        <v>49579</v>
      </c>
      <c r="Y227" s="3">
        <f t="shared" si="45"/>
        <v>224</v>
      </c>
      <c r="Z227" s="3">
        <f t="shared" si="46"/>
        <v>12492548</v>
      </c>
      <c r="AB227" s="7">
        <f t="shared" si="47"/>
        <v>13040</v>
      </c>
    </row>
    <row r="228" spans="6:28" x14ac:dyDescent="0.15">
      <c r="F228">
        <f t="shared" si="37"/>
        <v>33</v>
      </c>
      <c r="G228">
        <v>225</v>
      </c>
      <c r="H228">
        <f t="shared" si="38"/>
        <v>8090055.7973339902</v>
      </c>
      <c r="I228">
        <f t="shared" si="39"/>
        <v>8090056</v>
      </c>
      <c r="J228" s="1">
        <f t="shared" si="40"/>
        <v>1</v>
      </c>
      <c r="K228" s="1">
        <f t="shared" si="41"/>
        <v>8090056</v>
      </c>
      <c r="L228" s="1">
        <f t="shared" si="42"/>
        <v>1879589.6773333333</v>
      </c>
      <c r="M228" s="3">
        <f t="shared" si="43"/>
        <v>979.61106014803954</v>
      </c>
      <c r="N228" s="7">
        <f t="shared" si="48"/>
        <v>1879590</v>
      </c>
      <c r="O228" s="7">
        <f t="shared" si="44"/>
        <v>979</v>
      </c>
      <c r="P228" s="3">
        <f>SUM($O$4:O228)</f>
        <v>50558</v>
      </c>
      <c r="Y228" s="3">
        <f t="shared" si="45"/>
        <v>225</v>
      </c>
      <c r="Z228" s="3">
        <f t="shared" si="46"/>
        <v>13175734</v>
      </c>
      <c r="AB228" s="7">
        <f t="shared" si="47"/>
        <v>13040</v>
      </c>
    </row>
    <row r="229" spans="6:28" x14ac:dyDescent="0.15">
      <c r="F229">
        <f t="shared" si="37"/>
        <v>33</v>
      </c>
      <c r="G229">
        <v>226</v>
      </c>
      <c r="H229">
        <f t="shared" si="38"/>
        <v>8090055.7973339902</v>
      </c>
      <c r="I229">
        <f t="shared" si="39"/>
        <v>8090056</v>
      </c>
      <c r="J229" s="1">
        <f t="shared" si="40"/>
        <v>1</v>
      </c>
      <c r="K229" s="1">
        <f t="shared" si="41"/>
        <v>8090056</v>
      </c>
      <c r="L229" s="1">
        <f t="shared" si="42"/>
        <v>1879589.6773333333</v>
      </c>
      <c r="M229" s="3">
        <f t="shared" si="43"/>
        <v>979.61106014803954</v>
      </c>
      <c r="N229" s="7">
        <f t="shared" si="48"/>
        <v>1879590</v>
      </c>
      <c r="O229" s="7">
        <f t="shared" si="44"/>
        <v>979</v>
      </c>
      <c r="P229" s="3">
        <f>SUM($O$4:O229)</f>
        <v>51537</v>
      </c>
      <c r="Y229" s="3">
        <f t="shared" si="45"/>
        <v>226</v>
      </c>
      <c r="Z229" s="3">
        <f t="shared" si="46"/>
        <v>13896007</v>
      </c>
      <c r="AB229" s="7">
        <f t="shared" si="47"/>
        <v>13040</v>
      </c>
    </row>
    <row r="230" spans="6:28" x14ac:dyDescent="0.15">
      <c r="F230">
        <f t="shared" si="37"/>
        <v>33</v>
      </c>
      <c r="G230">
        <v>227</v>
      </c>
      <c r="H230">
        <f t="shared" si="38"/>
        <v>8090055.7973339902</v>
      </c>
      <c r="I230">
        <f t="shared" si="39"/>
        <v>8090056</v>
      </c>
      <c r="J230" s="1">
        <f t="shared" si="40"/>
        <v>1</v>
      </c>
      <c r="K230" s="1">
        <f t="shared" si="41"/>
        <v>8090056</v>
      </c>
      <c r="L230" s="1">
        <f t="shared" si="42"/>
        <v>1879589.6773333333</v>
      </c>
      <c r="M230" s="3">
        <f t="shared" si="43"/>
        <v>979.61106014803954</v>
      </c>
      <c r="N230" s="7">
        <f t="shared" si="48"/>
        <v>1879590</v>
      </c>
      <c r="O230" s="7">
        <f t="shared" si="44"/>
        <v>979</v>
      </c>
      <c r="P230" s="3">
        <f>SUM($O$4:O230)</f>
        <v>52516</v>
      </c>
      <c r="Y230" s="3">
        <f t="shared" si="45"/>
        <v>227</v>
      </c>
      <c r="Z230" s="3">
        <f t="shared" si="46"/>
        <v>14655369</v>
      </c>
      <c r="AB230" s="7">
        <f t="shared" si="47"/>
        <v>13040</v>
      </c>
    </row>
    <row r="231" spans="6:28" x14ac:dyDescent="0.15">
      <c r="F231">
        <f t="shared" si="37"/>
        <v>33</v>
      </c>
      <c r="G231">
        <v>228</v>
      </c>
      <c r="H231">
        <f t="shared" si="38"/>
        <v>8090055.7973339902</v>
      </c>
      <c r="I231">
        <f t="shared" si="39"/>
        <v>8090056</v>
      </c>
      <c r="J231" s="1">
        <f t="shared" si="40"/>
        <v>1</v>
      </c>
      <c r="K231" s="1">
        <f t="shared" si="41"/>
        <v>8090056</v>
      </c>
      <c r="L231" s="1">
        <f t="shared" si="42"/>
        <v>1879589.6773333333</v>
      </c>
      <c r="M231" s="3">
        <f t="shared" si="43"/>
        <v>979.61106014803954</v>
      </c>
      <c r="N231" s="7">
        <f t="shared" si="48"/>
        <v>1879590</v>
      </c>
      <c r="O231" s="7">
        <f t="shared" si="44"/>
        <v>979</v>
      </c>
      <c r="P231" s="3">
        <f>SUM($O$4:O231)</f>
        <v>53495</v>
      </c>
      <c r="Y231" s="3">
        <f t="shared" si="45"/>
        <v>228</v>
      </c>
      <c r="Z231" s="3">
        <f t="shared" si="46"/>
        <v>15455926</v>
      </c>
      <c r="AB231" s="7">
        <f t="shared" si="47"/>
        <v>13040</v>
      </c>
    </row>
    <row r="232" spans="6:28" x14ac:dyDescent="0.15">
      <c r="F232">
        <f t="shared" si="37"/>
        <v>33</v>
      </c>
      <c r="G232">
        <v>229</v>
      </c>
      <c r="H232">
        <f t="shared" si="38"/>
        <v>8090055.7973339902</v>
      </c>
      <c r="I232">
        <f t="shared" si="39"/>
        <v>8090056</v>
      </c>
      <c r="J232" s="1">
        <f t="shared" si="40"/>
        <v>1</v>
      </c>
      <c r="K232" s="1">
        <f t="shared" si="41"/>
        <v>8090056</v>
      </c>
      <c r="L232" s="1">
        <f t="shared" si="42"/>
        <v>1879589.6773333333</v>
      </c>
      <c r="M232" s="3">
        <f t="shared" si="43"/>
        <v>979.61106014803954</v>
      </c>
      <c r="N232" s="7">
        <f t="shared" si="48"/>
        <v>1879590</v>
      </c>
      <c r="O232" s="7">
        <f t="shared" si="44"/>
        <v>979</v>
      </c>
      <c r="P232" s="3">
        <f>SUM($O$4:O232)</f>
        <v>54474</v>
      </c>
      <c r="Y232" s="3">
        <f t="shared" si="45"/>
        <v>229</v>
      </c>
      <c r="Z232" s="3">
        <f t="shared" si="46"/>
        <v>16299901</v>
      </c>
      <c r="AB232" s="7">
        <f t="shared" si="47"/>
        <v>13040</v>
      </c>
    </row>
    <row r="233" spans="6:28" x14ac:dyDescent="0.15">
      <c r="F233">
        <f t="shared" si="37"/>
        <v>33</v>
      </c>
      <c r="G233">
        <v>230</v>
      </c>
      <c r="H233">
        <f t="shared" si="38"/>
        <v>8090055.7973339902</v>
      </c>
      <c r="I233">
        <f t="shared" si="39"/>
        <v>8090056</v>
      </c>
      <c r="J233" s="1">
        <f t="shared" si="40"/>
        <v>1</v>
      </c>
      <c r="K233" s="1">
        <f t="shared" si="41"/>
        <v>8090056</v>
      </c>
      <c r="L233" s="1">
        <f t="shared" si="42"/>
        <v>1879589.6773333333</v>
      </c>
      <c r="M233" s="3">
        <f t="shared" si="43"/>
        <v>979.61106014803954</v>
      </c>
      <c r="N233" s="7">
        <f t="shared" si="48"/>
        <v>1879590</v>
      </c>
      <c r="O233" s="7">
        <f t="shared" si="44"/>
        <v>979</v>
      </c>
      <c r="P233" s="3">
        <f>SUM($O$4:O233)</f>
        <v>55453</v>
      </c>
      <c r="Y233" s="3">
        <f t="shared" si="45"/>
        <v>230</v>
      </c>
      <c r="Z233" s="3">
        <f t="shared" si="46"/>
        <v>17189634</v>
      </c>
      <c r="AB233" s="7">
        <f t="shared" si="47"/>
        <v>13040</v>
      </c>
    </row>
    <row r="234" spans="6:28" x14ac:dyDescent="0.15">
      <c r="F234">
        <f t="shared" si="37"/>
        <v>33</v>
      </c>
      <c r="G234">
        <v>231</v>
      </c>
      <c r="H234">
        <f t="shared" si="38"/>
        <v>8090055.7973339902</v>
      </c>
      <c r="I234">
        <f t="shared" si="39"/>
        <v>8090056</v>
      </c>
      <c r="J234" s="1">
        <f t="shared" si="40"/>
        <v>6</v>
      </c>
      <c r="K234" s="1">
        <f t="shared" si="41"/>
        <v>48540336</v>
      </c>
      <c r="L234" s="1">
        <f t="shared" si="42"/>
        <v>11277538.063999999</v>
      </c>
      <c r="M234" s="3">
        <f t="shared" si="43"/>
        <v>5877.6663608882373</v>
      </c>
      <c r="N234" s="7">
        <f t="shared" si="48"/>
        <v>11277538</v>
      </c>
      <c r="O234" s="7">
        <f t="shared" si="44"/>
        <v>5877</v>
      </c>
      <c r="P234" s="3">
        <f>SUM($O$4:O234)</f>
        <v>61330</v>
      </c>
      <c r="Y234" s="3">
        <f t="shared" si="45"/>
        <v>231</v>
      </c>
      <c r="Z234" s="3">
        <f t="shared" si="46"/>
        <v>18127590</v>
      </c>
      <c r="AB234" s="7">
        <f t="shared" si="47"/>
        <v>13040</v>
      </c>
    </row>
    <row r="235" spans="6:28" x14ac:dyDescent="0.15">
      <c r="F235">
        <f t="shared" si="37"/>
        <v>34</v>
      </c>
      <c r="G235">
        <v>232</v>
      </c>
      <c r="H235">
        <f t="shared" si="38"/>
        <v>12701387.601814365</v>
      </c>
      <c r="I235">
        <f t="shared" si="39"/>
        <v>12701388</v>
      </c>
      <c r="J235" s="1">
        <f t="shared" si="40"/>
        <v>1</v>
      </c>
      <c r="K235" s="1">
        <f t="shared" si="41"/>
        <v>12701388</v>
      </c>
      <c r="L235" s="1">
        <f t="shared" si="42"/>
        <v>2989059.9760000003</v>
      </c>
      <c r="M235" s="3">
        <f t="shared" si="43"/>
        <v>1198.3451033311519</v>
      </c>
      <c r="N235" s="7">
        <f t="shared" si="48"/>
        <v>2989060</v>
      </c>
      <c r="O235" s="7">
        <f t="shared" si="44"/>
        <v>1198</v>
      </c>
      <c r="P235" s="3">
        <f>SUM($O$4:O235)</f>
        <v>62528</v>
      </c>
      <c r="Y235" s="3">
        <f t="shared" si="45"/>
        <v>232</v>
      </c>
      <c r="Z235" s="3">
        <f t="shared" si="46"/>
        <v>19116367</v>
      </c>
      <c r="AB235" s="7">
        <f t="shared" si="47"/>
        <v>13040</v>
      </c>
    </row>
    <row r="236" spans="6:28" x14ac:dyDescent="0.15">
      <c r="F236">
        <f t="shared" si="37"/>
        <v>34</v>
      </c>
      <c r="G236">
        <v>233</v>
      </c>
      <c r="H236">
        <f t="shared" si="38"/>
        <v>12701387.601814365</v>
      </c>
      <c r="I236">
        <f t="shared" si="39"/>
        <v>12701388</v>
      </c>
      <c r="J236" s="1">
        <f t="shared" si="40"/>
        <v>1</v>
      </c>
      <c r="K236" s="1">
        <f t="shared" si="41"/>
        <v>12701388</v>
      </c>
      <c r="L236" s="1">
        <f t="shared" si="42"/>
        <v>2989059.9760000003</v>
      </c>
      <c r="M236" s="3">
        <f t="shared" si="43"/>
        <v>1198.3451033311519</v>
      </c>
      <c r="N236" s="7">
        <f t="shared" si="48"/>
        <v>2989060</v>
      </c>
      <c r="O236" s="7">
        <f t="shared" si="44"/>
        <v>1198</v>
      </c>
      <c r="P236" s="3">
        <f>SUM($O$4:O236)</f>
        <v>63726</v>
      </c>
      <c r="Y236" s="3">
        <f t="shared" si="45"/>
        <v>233</v>
      </c>
      <c r="Z236" s="3">
        <f t="shared" si="46"/>
        <v>20158704</v>
      </c>
      <c r="AB236" s="7">
        <f t="shared" si="47"/>
        <v>13040</v>
      </c>
    </row>
    <row r="237" spans="6:28" x14ac:dyDescent="0.15">
      <c r="F237">
        <f t="shared" si="37"/>
        <v>34</v>
      </c>
      <c r="G237">
        <v>234</v>
      </c>
      <c r="H237">
        <f t="shared" si="38"/>
        <v>12701387.601814365</v>
      </c>
      <c r="I237">
        <f t="shared" si="39"/>
        <v>12701388</v>
      </c>
      <c r="J237" s="1">
        <f t="shared" si="40"/>
        <v>1</v>
      </c>
      <c r="K237" s="1">
        <f t="shared" si="41"/>
        <v>12701388</v>
      </c>
      <c r="L237" s="1">
        <f t="shared" si="42"/>
        <v>2989059.9760000003</v>
      </c>
      <c r="M237" s="3">
        <f t="shared" si="43"/>
        <v>1198.3451033311519</v>
      </c>
      <c r="N237" s="7">
        <f t="shared" si="48"/>
        <v>2989060</v>
      </c>
      <c r="O237" s="7">
        <f t="shared" si="44"/>
        <v>1198</v>
      </c>
      <c r="P237" s="3">
        <f>SUM($O$4:O237)</f>
        <v>64924</v>
      </c>
      <c r="Y237" s="3">
        <f t="shared" si="45"/>
        <v>234</v>
      </c>
      <c r="Z237" s="3">
        <f t="shared" si="46"/>
        <v>21257483</v>
      </c>
      <c r="AB237" s="7">
        <f t="shared" si="47"/>
        <v>13040</v>
      </c>
    </row>
    <row r="238" spans="6:28" x14ac:dyDescent="0.15">
      <c r="F238">
        <f t="shared" si="37"/>
        <v>34</v>
      </c>
      <c r="G238">
        <v>235</v>
      </c>
      <c r="H238">
        <f t="shared" si="38"/>
        <v>12701387.601814365</v>
      </c>
      <c r="I238">
        <f t="shared" si="39"/>
        <v>12701388</v>
      </c>
      <c r="J238" s="1">
        <f t="shared" si="40"/>
        <v>1</v>
      </c>
      <c r="K238" s="1">
        <f t="shared" si="41"/>
        <v>12701388</v>
      </c>
      <c r="L238" s="1">
        <f t="shared" si="42"/>
        <v>2989059.9760000003</v>
      </c>
      <c r="M238" s="3">
        <f t="shared" si="43"/>
        <v>1198.3451033311519</v>
      </c>
      <c r="N238" s="7">
        <f t="shared" si="48"/>
        <v>2989060</v>
      </c>
      <c r="O238" s="7">
        <f t="shared" si="44"/>
        <v>1198</v>
      </c>
      <c r="P238" s="3">
        <f>SUM($O$4:O238)</f>
        <v>66122</v>
      </c>
      <c r="Y238" s="3">
        <f t="shared" si="45"/>
        <v>235</v>
      </c>
      <c r="Z238" s="3">
        <f t="shared" si="46"/>
        <v>22415743</v>
      </c>
      <c r="AB238" s="7">
        <f t="shared" si="47"/>
        <v>13040</v>
      </c>
    </row>
    <row r="239" spans="6:28" x14ac:dyDescent="0.15">
      <c r="F239">
        <f t="shared" si="37"/>
        <v>34</v>
      </c>
      <c r="G239">
        <v>236</v>
      </c>
      <c r="H239">
        <f t="shared" si="38"/>
        <v>12701387.601814365</v>
      </c>
      <c r="I239">
        <f t="shared" si="39"/>
        <v>12701388</v>
      </c>
      <c r="J239" s="1">
        <f t="shared" si="40"/>
        <v>1</v>
      </c>
      <c r="K239" s="1">
        <f t="shared" si="41"/>
        <v>12701388</v>
      </c>
      <c r="L239" s="1">
        <f t="shared" si="42"/>
        <v>2989059.9760000003</v>
      </c>
      <c r="M239" s="3">
        <f t="shared" si="43"/>
        <v>1198.3451033311519</v>
      </c>
      <c r="N239" s="7">
        <f t="shared" si="48"/>
        <v>2989060</v>
      </c>
      <c r="O239" s="7">
        <f t="shared" si="44"/>
        <v>1198</v>
      </c>
      <c r="P239" s="3">
        <f>SUM($O$4:O239)</f>
        <v>67320</v>
      </c>
      <c r="Y239" s="3">
        <f t="shared" si="45"/>
        <v>236</v>
      </c>
      <c r="Z239" s="3">
        <f t="shared" si="46"/>
        <v>23636686</v>
      </c>
      <c r="AB239" s="7">
        <f t="shared" si="47"/>
        <v>13040</v>
      </c>
    </row>
    <row r="240" spans="6:28" x14ac:dyDescent="0.15">
      <c r="F240">
        <f t="shared" si="37"/>
        <v>34</v>
      </c>
      <c r="G240">
        <v>237</v>
      </c>
      <c r="H240">
        <f t="shared" si="38"/>
        <v>12701387.601814365</v>
      </c>
      <c r="I240">
        <f t="shared" si="39"/>
        <v>12701388</v>
      </c>
      <c r="J240" s="1">
        <f t="shared" si="40"/>
        <v>1</v>
      </c>
      <c r="K240" s="1">
        <f t="shared" si="41"/>
        <v>12701388</v>
      </c>
      <c r="L240" s="1">
        <f t="shared" si="42"/>
        <v>2989059.9760000003</v>
      </c>
      <c r="M240" s="3">
        <f t="shared" si="43"/>
        <v>1198.3451033311519</v>
      </c>
      <c r="N240" s="7">
        <f t="shared" si="48"/>
        <v>2989060</v>
      </c>
      <c r="O240" s="7">
        <f t="shared" si="44"/>
        <v>1198</v>
      </c>
      <c r="P240" s="3">
        <f>SUM($O$4:O240)</f>
        <v>68518</v>
      </c>
      <c r="Y240" s="3">
        <f t="shared" si="45"/>
        <v>237</v>
      </c>
      <c r="Z240" s="3">
        <f t="shared" si="46"/>
        <v>24923683</v>
      </c>
      <c r="AB240" s="7">
        <f t="shared" si="47"/>
        <v>13040</v>
      </c>
    </row>
    <row r="241" spans="6:28" x14ac:dyDescent="0.15">
      <c r="F241">
        <f t="shared" si="37"/>
        <v>34</v>
      </c>
      <c r="G241">
        <v>238</v>
      </c>
      <c r="H241">
        <f t="shared" si="38"/>
        <v>12701387.601814365</v>
      </c>
      <c r="I241">
        <f t="shared" si="39"/>
        <v>12701388</v>
      </c>
      <c r="J241" s="1">
        <f t="shared" si="40"/>
        <v>7</v>
      </c>
      <c r="K241" s="1">
        <f t="shared" si="41"/>
        <v>88909716</v>
      </c>
      <c r="L241" s="1">
        <f t="shared" si="42"/>
        <v>20923419.832000002</v>
      </c>
      <c r="M241" s="3">
        <f t="shared" si="43"/>
        <v>8388.4157233180631</v>
      </c>
      <c r="N241" s="7">
        <f t="shared" si="48"/>
        <v>20923420</v>
      </c>
      <c r="O241" s="7">
        <f t="shared" si="44"/>
        <v>8388</v>
      </c>
      <c r="P241" s="3">
        <f>SUM($O$4:O241)</f>
        <v>76906</v>
      </c>
      <c r="Y241" s="3">
        <f t="shared" si="45"/>
        <v>238</v>
      </c>
      <c r="Z241" s="3">
        <f t="shared" si="46"/>
        <v>26280289</v>
      </c>
      <c r="AB241" s="7">
        <f t="shared" si="47"/>
        <v>13040</v>
      </c>
    </row>
    <row r="242" spans="6:28" x14ac:dyDescent="0.15">
      <c r="F242">
        <f t="shared" si="37"/>
        <v>35</v>
      </c>
      <c r="G242">
        <v>239</v>
      </c>
      <c r="H242">
        <f t="shared" si="38"/>
        <v>19941178.534848556</v>
      </c>
      <c r="I242">
        <f t="shared" si="39"/>
        <v>19941179</v>
      </c>
      <c r="J242" s="1">
        <f t="shared" si="40"/>
        <v>1</v>
      </c>
      <c r="K242" s="1">
        <f t="shared" si="41"/>
        <v>19941179</v>
      </c>
      <c r="L242" s="1">
        <f t="shared" si="42"/>
        <v>4752647.661666668</v>
      </c>
      <c r="M242" s="3">
        <f t="shared" si="43"/>
        <v>1465.6812867193535</v>
      </c>
      <c r="N242" s="7">
        <f t="shared" si="48"/>
        <v>4752648</v>
      </c>
      <c r="O242" s="7">
        <f t="shared" si="44"/>
        <v>1465</v>
      </c>
      <c r="P242" s="3">
        <f>SUM($O$4:O242)</f>
        <v>78371</v>
      </c>
      <c r="Y242" s="3">
        <f t="shared" si="45"/>
        <v>239</v>
      </c>
      <c r="Z242" s="3">
        <f t="shared" si="46"/>
        <v>27710246</v>
      </c>
      <c r="AB242" s="7">
        <f t="shared" si="47"/>
        <v>13040</v>
      </c>
    </row>
    <row r="243" spans="6:28" x14ac:dyDescent="0.15">
      <c r="F243">
        <f t="shared" si="37"/>
        <v>35</v>
      </c>
      <c r="G243">
        <v>240</v>
      </c>
      <c r="H243">
        <f t="shared" si="38"/>
        <v>19941178.534848556</v>
      </c>
      <c r="I243">
        <f t="shared" si="39"/>
        <v>19941179</v>
      </c>
      <c r="J243" s="1">
        <f t="shared" si="40"/>
        <v>1</v>
      </c>
      <c r="K243" s="1">
        <f t="shared" si="41"/>
        <v>19941179</v>
      </c>
      <c r="L243" s="1">
        <f t="shared" si="42"/>
        <v>4752647.661666668</v>
      </c>
      <c r="M243" s="3">
        <f t="shared" si="43"/>
        <v>1465.6812867193535</v>
      </c>
      <c r="N243" s="7">
        <f t="shared" si="48"/>
        <v>4752648</v>
      </c>
      <c r="O243" s="7">
        <f t="shared" si="44"/>
        <v>1465</v>
      </c>
      <c r="P243" s="3">
        <f>SUM($O$4:O243)</f>
        <v>79836</v>
      </c>
      <c r="Y243" s="3">
        <f t="shared" si="45"/>
        <v>240</v>
      </c>
      <c r="Z243" s="3">
        <f t="shared" si="46"/>
        <v>29217498</v>
      </c>
      <c r="AB243" s="7">
        <f t="shared" si="47"/>
        <v>13040</v>
      </c>
    </row>
    <row r="244" spans="6:28" x14ac:dyDescent="0.15">
      <c r="F244">
        <f t="shared" si="37"/>
        <v>35</v>
      </c>
      <c r="G244">
        <v>241</v>
      </c>
      <c r="H244">
        <f t="shared" si="38"/>
        <v>19941178.534848556</v>
      </c>
      <c r="I244">
        <f t="shared" si="39"/>
        <v>19941179</v>
      </c>
      <c r="J244" s="1">
        <f t="shared" si="40"/>
        <v>1</v>
      </c>
      <c r="K244" s="1">
        <f t="shared" si="41"/>
        <v>19941179</v>
      </c>
      <c r="L244" s="1">
        <f t="shared" si="42"/>
        <v>4752647.661666668</v>
      </c>
      <c r="M244" s="3">
        <f t="shared" si="43"/>
        <v>1465.6812867193535</v>
      </c>
      <c r="N244" s="7">
        <f t="shared" si="48"/>
        <v>4752648</v>
      </c>
      <c r="O244" s="7">
        <f t="shared" si="44"/>
        <v>1465</v>
      </c>
      <c r="P244" s="3">
        <f>SUM($O$4:O244)</f>
        <v>81301</v>
      </c>
      <c r="Y244" s="3">
        <f t="shared" si="45"/>
        <v>241</v>
      </c>
      <c r="Z244" s="3">
        <f t="shared" si="46"/>
        <v>30806199</v>
      </c>
      <c r="AB244" s="7">
        <f t="shared" si="47"/>
        <v>13040</v>
      </c>
    </row>
    <row r="245" spans="6:28" x14ac:dyDescent="0.15">
      <c r="F245">
        <f t="shared" si="37"/>
        <v>35</v>
      </c>
      <c r="G245">
        <v>242</v>
      </c>
      <c r="H245">
        <f t="shared" si="38"/>
        <v>19941178.534848556</v>
      </c>
      <c r="I245">
        <f t="shared" si="39"/>
        <v>19941179</v>
      </c>
      <c r="J245" s="1">
        <f t="shared" si="40"/>
        <v>1</v>
      </c>
      <c r="K245" s="1">
        <f t="shared" si="41"/>
        <v>19941179</v>
      </c>
      <c r="L245" s="1">
        <f t="shared" si="42"/>
        <v>4752647.661666668</v>
      </c>
      <c r="M245" s="3">
        <f t="shared" si="43"/>
        <v>1465.6812867193535</v>
      </c>
      <c r="N245" s="7">
        <f t="shared" si="48"/>
        <v>4752648</v>
      </c>
      <c r="O245" s="7">
        <f t="shared" si="44"/>
        <v>1465</v>
      </c>
      <c r="P245" s="3">
        <f>SUM($O$4:O245)</f>
        <v>82766</v>
      </c>
      <c r="Y245" s="3">
        <f t="shared" si="45"/>
        <v>242</v>
      </c>
      <c r="Z245" s="3">
        <f t="shared" si="46"/>
        <v>32480727</v>
      </c>
      <c r="AB245" s="7">
        <f t="shared" si="47"/>
        <v>13040</v>
      </c>
    </row>
    <row r="246" spans="6:28" x14ac:dyDescent="0.15">
      <c r="F246">
        <f t="shared" si="37"/>
        <v>35</v>
      </c>
      <c r="G246">
        <v>243</v>
      </c>
      <c r="H246">
        <f t="shared" si="38"/>
        <v>19941178.534848556</v>
      </c>
      <c r="I246">
        <f t="shared" si="39"/>
        <v>19941179</v>
      </c>
      <c r="J246" s="1">
        <f t="shared" si="40"/>
        <v>1</v>
      </c>
      <c r="K246" s="1">
        <f t="shared" si="41"/>
        <v>19941179</v>
      </c>
      <c r="L246" s="1">
        <f t="shared" si="42"/>
        <v>4752647.661666668</v>
      </c>
      <c r="M246" s="3">
        <f t="shared" si="43"/>
        <v>1465.6812867193535</v>
      </c>
      <c r="N246" s="7">
        <f t="shared" si="48"/>
        <v>4752648</v>
      </c>
      <c r="O246" s="7">
        <f t="shared" si="44"/>
        <v>1465</v>
      </c>
      <c r="P246" s="3">
        <f>SUM($O$4:O246)</f>
        <v>84231</v>
      </c>
      <c r="Y246" s="3">
        <f t="shared" si="45"/>
        <v>243</v>
      </c>
      <c r="Z246" s="3">
        <f t="shared" si="46"/>
        <v>34245692</v>
      </c>
      <c r="AB246" s="7">
        <f t="shared" si="47"/>
        <v>13040</v>
      </c>
    </row>
    <row r="247" spans="6:28" x14ac:dyDescent="0.15">
      <c r="F247">
        <f t="shared" si="37"/>
        <v>35</v>
      </c>
      <c r="G247">
        <v>244</v>
      </c>
      <c r="H247">
        <f t="shared" si="38"/>
        <v>19941178.534848556</v>
      </c>
      <c r="I247">
        <f t="shared" si="39"/>
        <v>19941179</v>
      </c>
      <c r="J247" s="1">
        <f t="shared" si="40"/>
        <v>1</v>
      </c>
      <c r="K247" s="1">
        <f t="shared" si="41"/>
        <v>19941179</v>
      </c>
      <c r="L247" s="1">
        <f t="shared" si="42"/>
        <v>4752647.661666668</v>
      </c>
      <c r="M247" s="3">
        <f t="shared" si="43"/>
        <v>1465.6812867193535</v>
      </c>
      <c r="N247" s="7">
        <f t="shared" si="48"/>
        <v>4752648</v>
      </c>
      <c r="O247" s="7">
        <f t="shared" si="44"/>
        <v>1465</v>
      </c>
      <c r="P247" s="3">
        <f>SUM($O$4:O247)</f>
        <v>85696</v>
      </c>
      <c r="Y247" s="3">
        <f t="shared" si="45"/>
        <v>244</v>
      </c>
      <c r="Z247" s="3">
        <f t="shared" si="46"/>
        <v>36105952</v>
      </c>
      <c r="AB247" s="7">
        <f t="shared" si="47"/>
        <v>13040</v>
      </c>
    </row>
    <row r="248" spans="6:28" x14ac:dyDescent="0.15">
      <c r="F248">
        <f t="shared" si="37"/>
        <v>35</v>
      </c>
      <c r="G248">
        <v>245</v>
      </c>
      <c r="H248">
        <f t="shared" si="38"/>
        <v>19941178.534848556</v>
      </c>
      <c r="I248">
        <f t="shared" si="39"/>
        <v>19941179</v>
      </c>
      <c r="J248" s="1">
        <f t="shared" si="40"/>
        <v>10</v>
      </c>
      <c r="K248" s="1">
        <f t="shared" si="41"/>
        <v>199411790</v>
      </c>
      <c r="L248" s="1">
        <f t="shared" si="42"/>
        <v>47526476.616666675</v>
      </c>
      <c r="M248" s="3">
        <f t="shared" si="43"/>
        <v>14656.81286719353</v>
      </c>
      <c r="N248" s="7">
        <f t="shared" si="48"/>
        <v>47526477</v>
      </c>
      <c r="O248" s="7">
        <f t="shared" si="44"/>
        <v>14656</v>
      </c>
      <c r="P248" s="3">
        <f>SUM($O$4:O248)</f>
        <v>100352</v>
      </c>
      <c r="Y248" s="3">
        <f t="shared" si="45"/>
        <v>245</v>
      </c>
      <c r="Z248" s="3">
        <f t="shared" si="46"/>
        <v>38066623</v>
      </c>
      <c r="AB248" s="7">
        <f t="shared" si="47"/>
        <v>13040</v>
      </c>
    </row>
    <row r="249" spans="6:28" x14ac:dyDescent="0.15">
      <c r="F249">
        <f t="shared" si="37"/>
        <v>36</v>
      </c>
      <c r="G249">
        <v>246</v>
      </c>
      <c r="H249">
        <f t="shared" si="38"/>
        <v>31307650.299712226</v>
      </c>
      <c r="I249">
        <f t="shared" si="39"/>
        <v>31307650</v>
      </c>
      <c r="J249" s="1">
        <f t="shared" si="40"/>
        <v>1</v>
      </c>
      <c r="K249" s="1">
        <f t="shared" si="41"/>
        <v>31307650</v>
      </c>
      <c r="L249" s="1">
        <f t="shared" si="42"/>
        <v>7555579.5333333332</v>
      </c>
      <c r="M249" s="3">
        <f t="shared" si="43"/>
        <v>1792.3728350484789</v>
      </c>
      <c r="N249" s="7">
        <f t="shared" si="48"/>
        <v>7555580</v>
      </c>
      <c r="O249" s="7">
        <f t="shared" si="44"/>
        <v>1792</v>
      </c>
      <c r="P249" s="3">
        <f>SUM($O$4:O249)</f>
        <v>102144</v>
      </c>
      <c r="Y249" s="3">
        <f t="shared" si="45"/>
        <v>246</v>
      </c>
      <c r="Z249" s="3">
        <f t="shared" si="46"/>
        <v>40133097</v>
      </c>
      <c r="AB249" s="7">
        <f t="shared" si="47"/>
        <v>13040</v>
      </c>
    </row>
    <row r="250" spans="6:28" x14ac:dyDescent="0.15">
      <c r="F250">
        <f t="shared" si="37"/>
        <v>36</v>
      </c>
      <c r="G250">
        <v>247</v>
      </c>
      <c r="H250">
        <f t="shared" si="38"/>
        <v>31307650.299712226</v>
      </c>
      <c r="I250">
        <f t="shared" si="39"/>
        <v>31307650</v>
      </c>
      <c r="J250" s="1">
        <f t="shared" si="40"/>
        <v>1</v>
      </c>
      <c r="K250" s="1">
        <f t="shared" si="41"/>
        <v>31307650</v>
      </c>
      <c r="L250" s="1">
        <f t="shared" si="42"/>
        <v>7555579.5333333332</v>
      </c>
      <c r="M250" s="3">
        <f t="shared" si="43"/>
        <v>1792.3728350484789</v>
      </c>
      <c r="N250" s="7">
        <f t="shared" si="48"/>
        <v>7555580</v>
      </c>
      <c r="O250" s="7">
        <f t="shared" si="44"/>
        <v>1792</v>
      </c>
      <c r="P250" s="3">
        <f>SUM($O$4:O250)</f>
        <v>103936</v>
      </c>
      <c r="Y250" s="3">
        <f t="shared" si="45"/>
        <v>247</v>
      </c>
      <c r="Z250" s="3">
        <f t="shared" si="46"/>
        <v>42311052</v>
      </c>
      <c r="AB250" s="7">
        <f t="shared" si="47"/>
        <v>13040</v>
      </c>
    </row>
    <row r="251" spans="6:28" x14ac:dyDescent="0.15">
      <c r="F251">
        <f t="shared" si="37"/>
        <v>36</v>
      </c>
      <c r="G251">
        <v>248</v>
      </c>
      <c r="H251">
        <f t="shared" si="38"/>
        <v>31307650.299712226</v>
      </c>
      <c r="I251">
        <f t="shared" si="39"/>
        <v>31307650</v>
      </c>
      <c r="J251" s="1">
        <f t="shared" si="40"/>
        <v>1</v>
      </c>
      <c r="K251" s="1">
        <f t="shared" si="41"/>
        <v>31307650</v>
      </c>
      <c r="L251" s="1">
        <f t="shared" si="42"/>
        <v>7555579.5333333332</v>
      </c>
      <c r="M251" s="3">
        <f t="shared" si="43"/>
        <v>1792.3728350484789</v>
      </c>
      <c r="N251" s="7">
        <f t="shared" si="48"/>
        <v>7555580</v>
      </c>
      <c r="O251" s="7">
        <f t="shared" si="44"/>
        <v>1792</v>
      </c>
      <c r="P251" s="3">
        <f>SUM($O$4:O251)</f>
        <v>105728</v>
      </c>
      <c r="Y251" s="3">
        <f t="shared" si="45"/>
        <v>248</v>
      </c>
      <c r="Z251" s="3">
        <f t="shared" si="46"/>
        <v>44606469</v>
      </c>
      <c r="AB251" s="7">
        <f t="shared" si="47"/>
        <v>13040</v>
      </c>
    </row>
    <row r="252" spans="6:28" x14ac:dyDescent="0.15">
      <c r="F252">
        <f t="shared" si="37"/>
        <v>36</v>
      </c>
      <c r="G252">
        <v>249</v>
      </c>
      <c r="H252">
        <f t="shared" si="38"/>
        <v>31307650.299712226</v>
      </c>
      <c r="I252">
        <f t="shared" si="39"/>
        <v>31307650</v>
      </c>
      <c r="J252" s="1">
        <f t="shared" si="40"/>
        <v>1</v>
      </c>
      <c r="K252" s="1">
        <f t="shared" si="41"/>
        <v>31307650</v>
      </c>
      <c r="L252" s="1">
        <f t="shared" si="42"/>
        <v>7555579.5333333332</v>
      </c>
      <c r="M252" s="3">
        <f t="shared" si="43"/>
        <v>1792.3728350484789</v>
      </c>
      <c r="N252" s="7">
        <f t="shared" si="48"/>
        <v>7555580</v>
      </c>
      <c r="O252" s="7">
        <f t="shared" si="44"/>
        <v>1792</v>
      </c>
      <c r="P252" s="3">
        <f>SUM($O$4:O252)</f>
        <v>107520</v>
      </c>
      <c r="Y252" s="3">
        <f t="shared" si="45"/>
        <v>249</v>
      </c>
      <c r="Z252" s="3">
        <f t="shared" si="46"/>
        <v>47025651</v>
      </c>
      <c r="AB252" s="7">
        <f t="shared" si="47"/>
        <v>13040</v>
      </c>
    </row>
    <row r="253" spans="6:28" x14ac:dyDescent="0.15">
      <c r="F253">
        <f t="shared" si="37"/>
        <v>36</v>
      </c>
      <c r="G253">
        <v>250</v>
      </c>
      <c r="H253">
        <f t="shared" si="38"/>
        <v>31307650.299712226</v>
      </c>
      <c r="I253">
        <f t="shared" si="39"/>
        <v>31307650</v>
      </c>
      <c r="J253" s="1">
        <f t="shared" si="40"/>
        <v>1</v>
      </c>
      <c r="K253" s="1">
        <f t="shared" si="41"/>
        <v>31307650</v>
      </c>
      <c r="L253" s="1">
        <f t="shared" si="42"/>
        <v>7555579.5333333332</v>
      </c>
      <c r="M253" s="3">
        <f t="shared" si="43"/>
        <v>1792.3728350484789</v>
      </c>
      <c r="N253" s="7">
        <f t="shared" si="48"/>
        <v>7555580</v>
      </c>
      <c r="O253" s="7">
        <f t="shared" si="44"/>
        <v>1792</v>
      </c>
      <c r="P253" s="3">
        <f>SUM($O$4:O253)</f>
        <v>109312</v>
      </c>
      <c r="Y253" s="3">
        <f t="shared" si="45"/>
        <v>250</v>
      </c>
      <c r="Z253" s="3">
        <f t="shared" si="46"/>
        <v>49575234</v>
      </c>
      <c r="AB253" s="7">
        <f t="shared" si="47"/>
        <v>13040</v>
      </c>
    </row>
    <row r="254" spans="6:28" x14ac:dyDescent="0.15">
      <c r="F254">
        <f t="shared" si="37"/>
        <v>36</v>
      </c>
      <c r="G254">
        <v>251</v>
      </c>
      <c r="H254">
        <f t="shared" si="38"/>
        <v>31307650.299712226</v>
      </c>
      <c r="I254">
        <f t="shared" si="39"/>
        <v>31307650</v>
      </c>
      <c r="J254" s="1">
        <f t="shared" si="40"/>
        <v>1</v>
      </c>
      <c r="K254" s="1">
        <f t="shared" si="41"/>
        <v>31307650</v>
      </c>
      <c r="L254" s="1">
        <f t="shared" si="42"/>
        <v>7555579.5333333332</v>
      </c>
      <c r="M254" s="3">
        <f t="shared" si="43"/>
        <v>1792.3728350484789</v>
      </c>
      <c r="N254" s="7">
        <f t="shared" si="48"/>
        <v>7555580</v>
      </c>
      <c r="O254" s="7">
        <f t="shared" si="44"/>
        <v>1792</v>
      </c>
      <c r="P254" s="3">
        <f>SUM($O$4:O254)</f>
        <v>111104</v>
      </c>
      <c r="Y254" s="3">
        <f t="shared" si="45"/>
        <v>251</v>
      </c>
      <c r="Z254" s="3">
        <f t="shared" si="46"/>
        <v>52262212</v>
      </c>
      <c r="AB254" s="7">
        <f t="shared" si="47"/>
        <v>13040</v>
      </c>
    </row>
    <row r="255" spans="6:28" x14ac:dyDescent="0.15">
      <c r="F255">
        <f t="shared" si="37"/>
        <v>36</v>
      </c>
      <c r="G255">
        <v>252</v>
      </c>
      <c r="H255">
        <f t="shared" si="38"/>
        <v>31307650.299712226</v>
      </c>
      <c r="I255">
        <f t="shared" si="39"/>
        <v>31307650</v>
      </c>
      <c r="J255" s="1">
        <f t="shared" si="40"/>
        <v>2</v>
      </c>
      <c r="K255" s="1">
        <f t="shared" si="41"/>
        <v>62615300</v>
      </c>
      <c r="L255" s="1">
        <f t="shared" si="42"/>
        <v>15111159.066666666</v>
      </c>
      <c r="M255" s="3">
        <f t="shared" si="43"/>
        <v>3584.7456700969578</v>
      </c>
      <c r="N255" s="7">
        <f t="shared" si="48"/>
        <v>15111159</v>
      </c>
      <c r="O255" s="7">
        <f t="shared" si="44"/>
        <v>3584</v>
      </c>
      <c r="P255" s="3">
        <f>SUM($O$4:O255)</f>
        <v>114688</v>
      </c>
      <c r="Y255" s="3">
        <f t="shared" si="45"/>
        <v>252</v>
      </c>
      <c r="Z255" s="3">
        <f t="shared" si="46"/>
        <v>55093949</v>
      </c>
      <c r="AB255" s="7">
        <f t="shared" si="47"/>
        <v>13040</v>
      </c>
    </row>
    <row r="256" spans="6:28" x14ac:dyDescent="0.15">
      <c r="F256">
        <f t="shared" si="37"/>
        <v>37</v>
      </c>
      <c r="G256">
        <v>253</v>
      </c>
      <c r="H256">
        <f t="shared" si="38"/>
        <v>49153010.970548205</v>
      </c>
      <c r="I256">
        <f t="shared" si="39"/>
        <v>49153011</v>
      </c>
      <c r="J256" s="1">
        <f t="shared" si="40"/>
        <v>1</v>
      </c>
      <c r="K256" s="1">
        <f t="shared" si="41"/>
        <v>49153011</v>
      </c>
      <c r="L256" s="1">
        <f t="shared" si="42"/>
        <v>12009719.021000002</v>
      </c>
      <c r="M256" s="3">
        <f t="shared" si="43"/>
        <v>2191.5433524058444</v>
      </c>
      <c r="N256" s="7">
        <f t="shared" si="48"/>
        <v>12009719</v>
      </c>
      <c r="O256" s="7">
        <f t="shared" si="44"/>
        <v>2191</v>
      </c>
      <c r="P256" s="3">
        <f>SUM($O$4:O256)</f>
        <v>116879</v>
      </c>
      <c r="Y256" s="3">
        <f t="shared" si="45"/>
        <v>253</v>
      </c>
      <c r="Z256" s="3">
        <f t="shared" si="46"/>
        <v>58078205</v>
      </c>
      <c r="AB256" s="7">
        <f t="shared" si="47"/>
        <v>13040</v>
      </c>
    </row>
    <row r="257" spans="6:28" x14ac:dyDescent="0.15">
      <c r="F257">
        <f t="shared" si="37"/>
        <v>37</v>
      </c>
      <c r="G257">
        <v>254</v>
      </c>
      <c r="H257">
        <f t="shared" si="38"/>
        <v>49153010.970548205</v>
      </c>
      <c r="I257">
        <f t="shared" si="39"/>
        <v>49153011</v>
      </c>
      <c r="J257" s="1">
        <f t="shared" si="40"/>
        <v>1</v>
      </c>
      <c r="K257" s="1">
        <f t="shared" si="41"/>
        <v>49153011</v>
      </c>
      <c r="L257" s="1">
        <f t="shared" si="42"/>
        <v>12009719.021000002</v>
      </c>
      <c r="M257" s="3">
        <f t="shared" si="43"/>
        <v>2191.5433524058444</v>
      </c>
      <c r="N257" s="7">
        <f t="shared" si="48"/>
        <v>12009719</v>
      </c>
      <c r="O257" s="7">
        <f t="shared" si="44"/>
        <v>2191</v>
      </c>
      <c r="P257" s="3">
        <f>SUM($O$4:O257)</f>
        <v>119070</v>
      </c>
      <c r="Y257" s="3">
        <f t="shared" si="45"/>
        <v>254</v>
      </c>
      <c r="Z257" s="3">
        <f t="shared" si="46"/>
        <v>61223151</v>
      </c>
      <c r="AB257" s="7">
        <f t="shared" si="47"/>
        <v>13040</v>
      </c>
    </row>
    <row r="258" spans="6:28" x14ac:dyDescent="0.15">
      <c r="F258">
        <f t="shared" si="37"/>
        <v>37</v>
      </c>
      <c r="G258">
        <v>255</v>
      </c>
      <c r="H258">
        <f t="shared" si="38"/>
        <v>49153010.970548205</v>
      </c>
      <c r="I258">
        <f t="shared" si="39"/>
        <v>49153011</v>
      </c>
      <c r="J258" s="1">
        <f t="shared" si="40"/>
        <v>1</v>
      </c>
      <c r="K258" s="1">
        <f t="shared" si="41"/>
        <v>49153011</v>
      </c>
      <c r="L258" s="1">
        <f t="shared" si="42"/>
        <v>12009719.021000002</v>
      </c>
      <c r="M258" s="3">
        <f t="shared" si="43"/>
        <v>2191.5433524058444</v>
      </c>
      <c r="N258" s="7">
        <f t="shared" si="48"/>
        <v>12009719</v>
      </c>
      <c r="O258" s="7">
        <f t="shared" si="44"/>
        <v>2191</v>
      </c>
      <c r="P258" s="3">
        <f>SUM($O$4:O258)</f>
        <v>121261</v>
      </c>
      <c r="Y258" s="3">
        <f t="shared" si="45"/>
        <v>255</v>
      </c>
      <c r="Z258" s="3">
        <f t="shared" si="46"/>
        <v>64537397</v>
      </c>
      <c r="AB258" s="7">
        <f t="shared" si="47"/>
        <v>13040</v>
      </c>
    </row>
    <row r="259" spans="6:28" x14ac:dyDescent="0.15">
      <c r="F259">
        <f t="shared" si="37"/>
        <v>37</v>
      </c>
      <c r="G259">
        <v>256</v>
      </c>
      <c r="H259">
        <f t="shared" si="38"/>
        <v>49153010.970548205</v>
      </c>
      <c r="I259">
        <f t="shared" si="39"/>
        <v>49153011</v>
      </c>
      <c r="J259" s="1">
        <f t="shared" si="40"/>
        <v>1</v>
      </c>
      <c r="K259" s="1">
        <f t="shared" si="41"/>
        <v>49153011</v>
      </c>
      <c r="L259" s="1">
        <f t="shared" si="42"/>
        <v>12009719.021000002</v>
      </c>
      <c r="M259" s="3">
        <f t="shared" si="43"/>
        <v>2191.5433524058444</v>
      </c>
      <c r="N259" s="7">
        <f t="shared" si="48"/>
        <v>12009719</v>
      </c>
      <c r="O259" s="7">
        <f t="shared" si="44"/>
        <v>2191</v>
      </c>
      <c r="P259" s="3">
        <f>SUM($O$4:O259)</f>
        <v>123452</v>
      </c>
      <c r="Y259" s="3">
        <f t="shared" si="45"/>
        <v>256</v>
      </c>
      <c r="Z259" s="3">
        <f t="shared" si="46"/>
        <v>68030009</v>
      </c>
      <c r="AB259" s="7">
        <f t="shared" si="47"/>
        <v>13040</v>
      </c>
    </row>
    <row r="260" spans="6:28" x14ac:dyDescent="0.15">
      <c r="F260">
        <f t="shared" si="37"/>
        <v>37</v>
      </c>
      <c r="G260">
        <v>257</v>
      </c>
      <c r="H260">
        <f t="shared" si="38"/>
        <v>49153010.970548205</v>
      </c>
      <c r="I260">
        <f t="shared" si="39"/>
        <v>49153011</v>
      </c>
      <c r="J260" s="1">
        <f t="shared" si="40"/>
        <v>1</v>
      </c>
      <c r="K260" s="1">
        <f t="shared" si="41"/>
        <v>49153011</v>
      </c>
      <c r="L260" s="1">
        <f t="shared" si="42"/>
        <v>12009719.021000002</v>
      </c>
      <c r="M260" s="3">
        <f t="shared" si="43"/>
        <v>2191.5433524058444</v>
      </c>
      <c r="N260" s="7">
        <f t="shared" si="48"/>
        <v>12009719</v>
      </c>
      <c r="O260" s="7">
        <f t="shared" si="44"/>
        <v>2191</v>
      </c>
      <c r="P260" s="3">
        <f>SUM($O$4:O260)</f>
        <v>125643</v>
      </c>
      <c r="Y260" s="3">
        <f t="shared" si="45"/>
        <v>257</v>
      </c>
      <c r="Z260" s="3">
        <f t="shared" si="46"/>
        <v>71710539</v>
      </c>
      <c r="AB260" s="7">
        <f t="shared" si="47"/>
        <v>13040</v>
      </c>
    </row>
    <row r="261" spans="6:28" x14ac:dyDescent="0.15">
      <c r="F261">
        <f t="shared" ref="F261:F324" si="49">ROUNDUP(G261/$C$4,0)</f>
        <v>37</v>
      </c>
      <c r="G261">
        <v>258</v>
      </c>
      <c r="H261">
        <f t="shared" ref="H261:H324" si="50">18.5*1.57^MIN(F261,156)*1.17^MAX(F261-156,0)*$C$5</f>
        <v>49153010.970548205</v>
      </c>
      <c r="I261">
        <f t="shared" ref="I261:I324" si="51">ROUND(H261,0)</f>
        <v>49153011</v>
      </c>
      <c r="J261" s="1">
        <f t="shared" ref="J261:J324" si="52">IF(F261=F262,1,LOOKUP(MOD(F261,5),$D$6:$D$10,$C$6:$C$10))</f>
        <v>1</v>
      </c>
      <c r="K261" s="1">
        <f t="shared" ref="K261:K324" si="53">J261*I261</f>
        <v>49153011</v>
      </c>
      <c r="L261" s="1">
        <f t="shared" ref="L261:L324" si="54">K261*(0.02+0.00045*F261)/$C$5</f>
        <v>12009719.021000002</v>
      </c>
      <c r="M261" s="3">
        <f t="shared" ref="M261:M324" si="55">L261/(1.3^F261)*3</f>
        <v>2191.5433524058444</v>
      </c>
      <c r="N261" s="7">
        <f t="shared" si="48"/>
        <v>12009719</v>
      </c>
      <c r="O261" s="7">
        <f t="shared" ref="O261:O324" si="56">ROUNDDOWN(M261,0)</f>
        <v>2191</v>
      </c>
      <c r="P261" s="3">
        <f>SUM($O$4:O261)</f>
        <v>127834</v>
      </c>
      <c r="Y261" s="3">
        <f t="shared" ref="Y261:Y324" si="57">G261</f>
        <v>258</v>
      </c>
      <c r="Z261" s="3">
        <f t="shared" ref="Z261:Z324" si="58">ROUND(1.05^Y261*Y261,0)</f>
        <v>75589046</v>
      </c>
      <c r="AB261" s="7">
        <f t="shared" ref="AB261:AB324" si="59">LOOKUP(Y261,T:T,P:P)</f>
        <v>13040</v>
      </c>
    </row>
    <row r="262" spans="6:28" x14ac:dyDescent="0.15">
      <c r="F262">
        <f t="shared" si="49"/>
        <v>37</v>
      </c>
      <c r="G262">
        <v>259</v>
      </c>
      <c r="H262">
        <f t="shared" si="50"/>
        <v>49153010.970548205</v>
      </c>
      <c r="I262">
        <f t="shared" si="51"/>
        <v>49153011</v>
      </c>
      <c r="J262" s="1">
        <f t="shared" si="52"/>
        <v>4</v>
      </c>
      <c r="K262" s="1">
        <f t="shared" si="53"/>
        <v>196612044</v>
      </c>
      <c r="L262" s="1">
        <f t="shared" si="54"/>
        <v>48038876.084000006</v>
      </c>
      <c r="M262" s="3">
        <f t="shared" si="55"/>
        <v>8766.1734096233777</v>
      </c>
      <c r="N262" s="7">
        <f t="shared" si="48"/>
        <v>48038876</v>
      </c>
      <c r="O262" s="7">
        <f t="shared" si="56"/>
        <v>8766</v>
      </c>
      <c r="P262" s="3">
        <f>SUM($O$4:O262)</f>
        <v>136600</v>
      </c>
      <c r="Y262" s="3">
        <f t="shared" si="57"/>
        <v>259</v>
      </c>
      <c r="Z262" s="3">
        <f t="shared" si="58"/>
        <v>79676128</v>
      </c>
      <c r="AB262" s="7">
        <f t="shared" si="59"/>
        <v>13040</v>
      </c>
    </row>
    <row r="263" spans="6:28" x14ac:dyDescent="0.15">
      <c r="F263">
        <f t="shared" si="49"/>
        <v>38</v>
      </c>
      <c r="G263">
        <v>260</v>
      </c>
      <c r="H263">
        <f t="shared" si="50"/>
        <v>77170227.223760679</v>
      </c>
      <c r="I263">
        <f t="shared" si="51"/>
        <v>77170227</v>
      </c>
      <c r="J263" s="1">
        <f t="shared" si="52"/>
        <v>1</v>
      </c>
      <c r="K263" s="1">
        <f t="shared" si="53"/>
        <v>77170227</v>
      </c>
      <c r="L263" s="1">
        <f t="shared" si="54"/>
        <v>19086769.478000004</v>
      </c>
      <c r="M263" s="3">
        <f t="shared" si="55"/>
        <v>2679.2071613173216</v>
      </c>
      <c r="N263" s="7">
        <f t="shared" si="48"/>
        <v>19086769</v>
      </c>
      <c r="O263" s="7">
        <f t="shared" si="56"/>
        <v>2679</v>
      </c>
      <c r="P263" s="3">
        <f>SUM($O$4:O263)</f>
        <v>139279</v>
      </c>
      <c r="Y263" s="3">
        <f t="shared" si="57"/>
        <v>260</v>
      </c>
      <c r="Z263" s="3">
        <f t="shared" si="58"/>
        <v>83982946</v>
      </c>
      <c r="AB263" s="7">
        <f t="shared" si="59"/>
        <v>13040</v>
      </c>
    </row>
    <row r="264" spans="6:28" x14ac:dyDescent="0.15">
      <c r="F264">
        <f t="shared" si="49"/>
        <v>38</v>
      </c>
      <c r="G264">
        <v>261</v>
      </c>
      <c r="H264">
        <f t="shared" si="50"/>
        <v>77170227.223760679</v>
      </c>
      <c r="I264">
        <f t="shared" si="51"/>
        <v>77170227</v>
      </c>
      <c r="J264" s="1">
        <f t="shared" si="52"/>
        <v>1</v>
      </c>
      <c r="K264" s="1">
        <f t="shared" si="53"/>
        <v>77170227</v>
      </c>
      <c r="L264" s="1">
        <f t="shared" si="54"/>
        <v>19086769.478000004</v>
      </c>
      <c r="M264" s="3">
        <f t="shared" si="55"/>
        <v>2679.2071613173216</v>
      </c>
      <c r="N264" s="7">
        <f t="shared" ref="N264:N327" si="60">ROUND(L264,0)</f>
        <v>19086769</v>
      </c>
      <c r="O264" s="7">
        <f t="shared" si="56"/>
        <v>2679</v>
      </c>
      <c r="P264" s="3">
        <f>SUM($O$4:O264)</f>
        <v>141958</v>
      </c>
      <c r="Y264" s="3">
        <f t="shared" si="57"/>
        <v>261</v>
      </c>
      <c r="Z264" s="3">
        <f t="shared" si="58"/>
        <v>88521255</v>
      </c>
      <c r="AB264" s="7">
        <f t="shared" si="59"/>
        <v>13040</v>
      </c>
    </row>
    <row r="265" spans="6:28" x14ac:dyDescent="0.15">
      <c r="F265">
        <f t="shared" si="49"/>
        <v>38</v>
      </c>
      <c r="G265">
        <v>262</v>
      </c>
      <c r="H265">
        <f t="shared" si="50"/>
        <v>77170227.223760679</v>
      </c>
      <c r="I265">
        <f t="shared" si="51"/>
        <v>77170227</v>
      </c>
      <c r="J265" s="1">
        <f t="shared" si="52"/>
        <v>1</v>
      </c>
      <c r="K265" s="1">
        <f t="shared" si="53"/>
        <v>77170227</v>
      </c>
      <c r="L265" s="1">
        <f t="shared" si="54"/>
        <v>19086769.478000004</v>
      </c>
      <c r="M265" s="3">
        <f t="shared" si="55"/>
        <v>2679.2071613173216</v>
      </c>
      <c r="N265" s="7">
        <f t="shared" si="60"/>
        <v>19086769</v>
      </c>
      <c r="O265" s="7">
        <f t="shared" si="56"/>
        <v>2679</v>
      </c>
      <c r="P265" s="3">
        <f>SUM($O$4:O265)</f>
        <v>144637</v>
      </c>
      <c r="Y265" s="3">
        <f t="shared" si="57"/>
        <v>262</v>
      </c>
      <c r="Z265" s="3">
        <f t="shared" si="58"/>
        <v>93303438</v>
      </c>
      <c r="AB265" s="7">
        <f t="shared" si="59"/>
        <v>13040</v>
      </c>
    </row>
    <row r="266" spans="6:28" x14ac:dyDescent="0.15">
      <c r="F266">
        <f t="shared" si="49"/>
        <v>38</v>
      </c>
      <c r="G266">
        <v>263</v>
      </c>
      <c r="H266">
        <f t="shared" si="50"/>
        <v>77170227.223760679</v>
      </c>
      <c r="I266">
        <f t="shared" si="51"/>
        <v>77170227</v>
      </c>
      <c r="J266" s="1">
        <f t="shared" si="52"/>
        <v>1</v>
      </c>
      <c r="K266" s="1">
        <f t="shared" si="53"/>
        <v>77170227</v>
      </c>
      <c r="L266" s="1">
        <f t="shared" si="54"/>
        <v>19086769.478000004</v>
      </c>
      <c r="M266" s="3">
        <f t="shared" si="55"/>
        <v>2679.2071613173216</v>
      </c>
      <c r="N266" s="7">
        <f t="shared" si="60"/>
        <v>19086769</v>
      </c>
      <c r="O266" s="7">
        <f t="shared" si="56"/>
        <v>2679</v>
      </c>
      <c r="P266" s="3">
        <f>SUM($O$4:O266)</f>
        <v>147316</v>
      </c>
      <c r="Y266" s="3">
        <f t="shared" si="57"/>
        <v>263</v>
      </c>
      <c r="Z266" s="3">
        <f t="shared" si="58"/>
        <v>98342536</v>
      </c>
      <c r="AB266" s="7">
        <f t="shared" si="59"/>
        <v>13040</v>
      </c>
    </row>
    <row r="267" spans="6:28" x14ac:dyDescent="0.15">
      <c r="F267">
        <f t="shared" si="49"/>
        <v>38</v>
      </c>
      <c r="G267">
        <v>264</v>
      </c>
      <c r="H267">
        <f t="shared" si="50"/>
        <v>77170227.223760679</v>
      </c>
      <c r="I267">
        <f t="shared" si="51"/>
        <v>77170227</v>
      </c>
      <c r="J267" s="1">
        <f t="shared" si="52"/>
        <v>1</v>
      </c>
      <c r="K267" s="1">
        <f t="shared" si="53"/>
        <v>77170227</v>
      </c>
      <c r="L267" s="1">
        <f t="shared" si="54"/>
        <v>19086769.478000004</v>
      </c>
      <c r="M267" s="3">
        <f t="shared" si="55"/>
        <v>2679.2071613173216</v>
      </c>
      <c r="N267" s="7">
        <f t="shared" si="60"/>
        <v>19086769</v>
      </c>
      <c r="O267" s="7">
        <f t="shared" si="56"/>
        <v>2679</v>
      </c>
      <c r="P267" s="3">
        <f>SUM($O$4:O267)</f>
        <v>149995</v>
      </c>
      <c r="Y267" s="3">
        <f t="shared" si="57"/>
        <v>264</v>
      </c>
      <c r="Z267" s="3">
        <f t="shared" si="58"/>
        <v>103652285</v>
      </c>
      <c r="AB267" s="7">
        <f t="shared" si="59"/>
        <v>13040</v>
      </c>
    </row>
    <row r="268" spans="6:28" x14ac:dyDescent="0.15">
      <c r="F268">
        <f t="shared" si="49"/>
        <v>38</v>
      </c>
      <c r="G268">
        <v>265</v>
      </c>
      <c r="H268">
        <f t="shared" si="50"/>
        <v>77170227.223760679</v>
      </c>
      <c r="I268">
        <f t="shared" si="51"/>
        <v>77170227</v>
      </c>
      <c r="J268" s="1">
        <f t="shared" si="52"/>
        <v>1</v>
      </c>
      <c r="K268" s="1">
        <f t="shared" si="53"/>
        <v>77170227</v>
      </c>
      <c r="L268" s="1">
        <f t="shared" si="54"/>
        <v>19086769.478000004</v>
      </c>
      <c r="M268" s="3">
        <f t="shared" si="55"/>
        <v>2679.2071613173216</v>
      </c>
      <c r="N268" s="7">
        <f t="shared" si="60"/>
        <v>19086769</v>
      </c>
      <c r="O268" s="7">
        <f t="shared" si="56"/>
        <v>2679</v>
      </c>
      <c r="P268" s="3">
        <f>SUM($O$4:O268)</f>
        <v>152674</v>
      </c>
      <c r="Y268" s="3">
        <f t="shared" si="57"/>
        <v>265</v>
      </c>
      <c r="Z268" s="3">
        <f t="shared" si="58"/>
        <v>109247153</v>
      </c>
      <c r="AB268" s="7">
        <f t="shared" si="59"/>
        <v>13040</v>
      </c>
    </row>
    <row r="269" spans="6:28" x14ac:dyDescent="0.15">
      <c r="F269">
        <f t="shared" si="49"/>
        <v>38</v>
      </c>
      <c r="G269">
        <v>266</v>
      </c>
      <c r="H269">
        <f t="shared" si="50"/>
        <v>77170227.223760679</v>
      </c>
      <c r="I269">
        <f t="shared" si="51"/>
        <v>77170227</v>
      </c>
      <c r="J269" s="1">
        <f t="shared" si="52"/>
        <v>6</v>
      </c>
      <c r="K269" s="1">
        <f t="shared" si="53"/>
        <v>463021362</v>
      </c>
      <c r="L269" s="1">
        <f t="shared" si="54"/>
        <v>114520616.86800002</v>
      </c>
      <c r="M269" s="3">
        <f t="shared" si="55"/>
        <v>16075.242967903927</v>
      </c>
      <c r="N269" s="7">
        <f t="shared" si="60"/>
        <v>114520617</v>
      </c>
      <c r="O269" s="7">
        <f t="shared" si="56"/>
        <v>16075</v>
      </c>
      <c r="P269" s="3">
        <f>SUM($O$4:O269)</f>
        <v>168749</v>
      </c>
      <c r="Y269" s="3">
        <f t="shared" si="57"/>
        <v>266</v>
      </c>
      <c r="Z269" s="3">
        <f t="shared" si="58"/>
        <v>115142377</v>
      </c>
      <c r="AB269" s="7">
        <f t="shared" si="59"/>
        <v>13040</v>
      </c>
    </row>
    <row r="270" spans="6:28" x14ac:dyDescent="0.15">
      <c r="F270">
        <f t="shared" si="49"/>
        <v>39</v>
      </c>
      <c r="G270">
        <v>267</v>
      </c>
      <c r="H270">
        <f t="shared" si="50"/>
        <v>121157256.74130428</v>
      </c>
      <c r="I270">
        <f t="shared" si="51"/>
        <v>121157257</v>
      </c>
      <c r="J270" s="1">
        <f t="shared" si="52"/>
        <v>1</v>
      </c>
      <c r="K270" s="1">
        <f t="shared" si="53"/>
        <v>121157257</v>
      </c>
      <c r="L270" s="1">
        <f t="shared" si="54"/>
        <v>30329700.002333336</v>
      </c>
      <c r="M270" s="3">
        <f t="shared" si="55"/>
        <v>3274.9044200696071</v>
      </c>
      <c r="N270" s="7">
        <f t="shared" si="60"/>
        <v>30329700</v>
      </c>
      <c r="O270" s="7">
        <f t="shared" si="56"/>
        <v>3274</v>
      </c>
      <c r="P270" s="3">
        <f>SUM($O$4:O270)</f>
        <v>172023</v>
      </c>
      <c r="Y270" s="3">
        <f t="shared" si="57"/>
        <v>267</v>
      </c>
      <c r="Z270" s="3">
        <f t="shared" si="58"/>
        <v>121354005</v>
      </c>
      <c r="AB270" s="7">
        <f t="shared" si="59"/>
        <v>13040</v>
      </c>
    </row>
    <row r="271" spans="6:28" x14ac:dyDescent="0.15">
      <c r="F271">
        <f t="shared" si="49"/>
        <v>39</v>
      </c>
      <c r="G271">
        <v>268</v>
      </c>
      <c r="H271">
        <f t="shared" si="50"/>
        <v>121157256.74130428</v>
      </c>
      <c r="I271">
        <f t="shared" si="51"/>
        <v>121157257</v>
      </c>
      <c r="J271" s="1">
        <f t="shared" si="52"/>
        <v>1</v>
      </c>
      <c r="K271" s="1">
        <f t="shared" si="53"/>
        <v>121157257</v>
      </c>
      <c r="L271" s="1">
        <f t="shared" si="54"/>
        <v>30329700.002333336</v>
      </c>
      <c r="M271" s="3">
        <f t="shared" si="55"/>
        <v>3274.9044200696071</v>
      </c>
      <c r="N271" s="7">
        <f t="shared" si="60"/>
        <v>30329700</v>
      </c>
      <c r="O271" s="7">
        <f t="shared" si="56"/>
        <v>3274</v>
      </c>
      <c r="P271" s="3">
        <f>SUM($O$4:O271)</f>
        <v>175297</v>
      </c>
      <c r="Y271" s="3">
        <f t="shared" si="57"/>
        <v>268</v>
      </c>
      <c r="Z271" s="3">
        <f t="shared" si="58"/>
        <v>127898940</v>
      </c>
      <c r="AB271" s="7">
        <f t="shared" si="59"/>
        <v>13040</v>
      </c>
    </row>
    <row r="272" spans="6:28" x14ac:dyDescent="0.15">
      <c r="F272">
        <f t="shared" si="49"/>
        <v>39</v>
      </c>
      <c r="G272">
        <v>269</v>
      </c>
      <c r="H272">
        <f t="shared" si="50"/>
        <v>121157256.74130428</v>
      </c>
      <c r="I272">
        <f t="shared" si="51"/>
        <v>121157257</v>
      </c>
      <c r="J272" s="1">
        <f t="shared" si="52"/>
        <v>1</v>
      </c>
      <c r="K272" s="1">
        <f t="shared" si="53"/>
        <v>121157257</v>
      </c>
      <c r="L272" s="1">
        <f t="shared" si="54"/>
        <v>30329700.002333336</v>
      </c>
      <c r="M272" s="3">
        <f t="shared" si="55"/>
        <v>3274.9044200696071</v>
      </c>
      <c r="N272" s="7">
        <f t="shared" si="60"/>
        <v>30329700</v>
      </c>
      <c r="O272" s="7">
        <f t="shared" si="56"/>
        <v>3274</v>
      </c>
      <c r="P272" s="3">
        <f>SUM($O$4:O272)</f>
        <v>178571</v>
      </c>
      <c r="Y272" s="3">
        <f t="shared" si="57"/>
        <v>269</v>
      </c>
      <c r="Z272" s="3">
        <f t="shared" si="58"/>
        <v>134794983</v>
      </c>
      <c r="AB272" s="7">
        <f t="shared" si="59"/>
        <v>13040</v>
      </c>
    </row>
    <row r="273" spans="6:28" x14ac:dyDescent="0.15">
      <c r="F273">
        <f t="shared" si="49"/>
        <v>39</v>
      </c>
      <c r="G273">
        <v>270</v>
      </c>
      <c r="H273">
        <f t="shared" si="50"/>
        <v>121157256.74130428</v>
      </c>
      <c r="I273">
        <f t="shared" si="51"/>
        <v>121157257</v>
      </c>
      <c r="J273" s="1">
        <f t="shared" si="52"/>
        <v>1</v>
      </c>
      <c r="K273" s="1">
        <f t="shared" si="53"/>
        <v>121157257</v>
      </c>
      <c r="L273" s="1">
        <f t="shared" si="54"/>
        <v>30329700.002333336</v>
      </c>
      <c r="M273" s="3">
        <f t="shared" si="55"/>
        <v>3274.9044200696071</v>
      </c>
      <c r="N273" s="7">
        <f t="shared" si="60"/>
        <v>30329700</v>
      </c>
      <c r="O273" s="7">
        <f t="shared" si="56"/>
        <v>3274</v>
      </c>
      <c r="P273" s="3">
        <f>SUM($O$4:O273)</f>
        <v>181845</v>
      </c>
      <c r="Y273" s="3">
        <f t="shared" si="57"/>
        <v>270</v>
      </c>
      <c r="Z273" s="3">
        <f t="shared" si="58"/>
        <v>142060884</v>
      </c>
      <c r="AB273" s="7">
        <f t="shared" si="59"/>
        <v>13040</v>
      </c>
    </row>
    <row r="274" spans="6:28" x14ac:dyDescent="0.15">
      <c r="F274">
        <f t="shared" si="49"/>
        <v>39</v>
      </c>
      <c r="G274">
        <v>271</v>
      </c>
      <c r="H274">
        <f t="shared" si="50"/>
        <v>121157256.74130428</v>
      </c>
      <c r="I274">
        <f t="shared" si="51"/>
        <v>121157257</v>
      </c>
      <c r="J274" s="1">
        <f t="shared" si="52"/>
        <v>1</v>
      </c>
      <c r="K274" s="1">
        <f t="shared" si="53"/>
        <v>121157257</v>
      </c>
      <c r="L274" s="1">
        <f t="shared" si="54"/>
        <v>30329700.002333336</v>
      </c>
      <c r="M274" s="3">
        <f t="shared" si="55"/>
        <v>3274.9044200696071</v>
      </c>
      <c r="N274" s="7">
        <f t="shared" si="60"/>
        <v>30329700</v>
      </c>
      <c r="O274" s="7">
        <f t="shared" si="56"/>
        <v>3274</v>
      </c>
      <c r="P274" s="3">
        <f>SUM($O$4:O274)</f>
        <v>185119</v>
      </c>
      <c r="Y274" s="3">
        <f t="shared" si="57"/>
        <v>271</v>
      </c>
      <c r="Z274" s="3">
        <f t="shared" si="58"/>
        <v>149716387</v>
      </c>
      <c r="AB274" s="7">
        <f t="shared" si="59"/>
        <v>13040</v>
      </c>
    </row>
    <row r="275" spans="6:28" x14ac:dyDescent="0.15">
      <c r="F275">
        <f t="shared" si="49"/>
        <v>39</v>
      </c>
      <c r="G275">
        <v>272</v>
      </c>
      <c r="H275">
        <f t="shared" si="50"/>
        <v>121157256.74130428</v>
      </c>
      <c r="I275">
        <f t="shared" si="51"/>
        <v>121157257</v>
      </c>
      <c r="J275" s="1">
        <f t="shared" si="52"/>
        <v>1</v>
      </c>
      <c r="K275" s="1">
        <f t="shared" si="53"/>
        <v>121157257</v>
      </c>
      <c r="L275" s="1">
        <f t="shared" si="54"/>
        <v>30329700.002333336</v>
      </c>
      <c r="M275" s="3">
        <f t="shared" si="55"/>
        <v>3274.9044200696071</v>
      </c>
      <c r="N275" s="7">
        <f t="shared" si="60"/>
        <v>30329700</v>
      </c>
      <c r="O275" s="7">
        <f t="shared" si="56"/>
        <v>3274</v>
      </c>
      <c r="P275" s="3">
        <f>SUM($O$4:O275)</f>
        <v>188393</v>
      </c>
      <c r="Y275" s="3">
        <f t="shared" si="57"/>
        <v>272</v>
      </c>
      <c r="Z275" s="3">
        <f t="shared" si="58"/>
        <v>157782289</v>
      </c>
      <c r="AB275" s="7">
        <f t="shared" si="59"/>
        <v>13040</v>
      </c>
    </row>
    <row r="276" spans="6:28" x14ac:dyDescent="0.15">
      <c r="F276">
        <f t="shared" si="49"/>
        <v>39</v>
      </c>
      <c r="G276">
        <v>273</v>
      </c>
      <c r="H276">
        <f t="shared" si="50"/>
        <v>121157256.74130428</v>
      </c>
      <c r="I276">
        <f t="shared" si="51"/>
        <v>121157257</v>
      </c>
      <c r="J276" s="1">
        <f t="shared" si="52"/>
        <v>7</v>
      </c>
      <c r="K276" s="1">
        <f t="shared" si="53"/>
        <v>848100799</v>
      </c>
      <c r="L276" s="1">
        <f t="shared" si="54"/>
        <v>212307900.01633334</v>
      </c>
      <c r="M276" s="3">
        <f t="shared" si="55"/>
        <v>22924.330940487249</v>
      </c>
      <c r="N276" s="7">
        <f t="shared" si="60"/>
        <v>212307900</v>
      </c>
      <c r="O276" s="7">
        <f t="shared" si="56"/>
        <v>22924</v>
      </c>
      <c r="P276" s="3">
        <f>SUM($O$4:O276)</f>
        <v>211317</v>
      </c>
      <c r="Y276" s="3">
        <f t="shared" si="57"/>
        <v>273</v>
      </c>
      <c r="Z276" s="3">
        <f t="shared" si="58"/>
        <v>166280489</v>
      </c>
      <c r="AB276" s="7">
        <f t="shared" si="59"/>
        <v>13040</v>
      </c>
    </row>
    <row r="277" spans="6:28" x14ac:dyDescent="0.15">
      <c r="F277">
        <f t="shared" si="49"/>
        <v>40</v>
      </c>
      <c r="G277">
        <v>274</v>
      </c>
      <c r="H277">
        <f t="shared" si="50"/>
        <v>190216893.0838477</v>
      </c>
      <c r="I277">
        <f t="shared" si="51"/>
        <v>190216893</v>
      </c>
      <c r="J277" s="1">
        <f t="shared" si="52"/>
        <v>1</v>
      </c>
      <c r="K277" s="1">
        <f t="shared" si="53"/>
        <v>190216893</v>
      </c>
      <c r="L277" s="1">
        <f t="shared" si="54"/>
        <v>48188279.559999995</v>
      </c>
      <c r="M277" s="3">
        <f t="shared" si="55"/>
        <v>4002.4745917863465</v>
      </c>
      <c r="N277" s="7">
        <f t="shared" si="60"/>
        <v>48188280</v>
      </c>
      <c r="O277" s="7">
        <f t="shared" si="56"/>
        <v>4002</v>
      </c>
      <c r="P277" s="3">
        <f>SUM($O$4:O277)</f>
        <v>215319</v>
      </c>
      <c r="Y277" s="3">
        <f t="shared" si="57"/>
        <v>274</v>
      </c>
      <c r="Z277" s="3">
        <f t="shared" si="58"/>
        <v>175234054</v>
      </c>
      <c r="AB277" s="7">
        <f t="shared" si="59"/>
        <v>13040</v>
      </c>
    </row>
    <row r="278" spans="6:28" x14ac:dyDescent="0.15">
      <c r="F278">
        <f t="shared" si="49"/>
        <v>40</v>
      </c>
      <c r="G278">
        <v>275</v>
      </c>
      <c r="H278">
        <f t="shared" si="50"/>
        <v>190216893.0838477</v>
      </c>
      <c r="I278">
        <f t="shared" si="51"/>
        <v>190216893</v>
      </c>
      <c r="J278" s="1">
        <f t="shared" si="52"/>
        <v>1</v>
      </c>
      <c r="K278" s="1">
        <f t="shared" si="53"/>
        <v>190216893</v>
      </c>
      <c r="L278" s="1">
        <f t="shared" si="54"/>
        <v>48188279.559999995</v>
      </c>
      <c r="M278" s="3">
        <f t="shared" si="55"/>
        <v>4002.4745917863465</v>
      </c>
      <c r="N278" s="7">
        <f t="shared" si="60"/>
        <v>48188280</v>
      </c>
      <c r="O278" s="7">
        <f t="shared" si="56"/>
        <v>4002</v>
      </c>
      <c r="P278" s="3">
        <f>SUM($O$4:O278)</f>
        <v>219321</v>
      </c>
      <c r="Y278" s="3">
        <f t="shared" si="57"/>
        <v>275</v>
      </c>
      <c r="Z278" s="3">
        <f t="shared" si="58"/>
        <v>184667274</v>
      </c>
      <c r="AB278" s="7">
        <f t="shared" si="59"/>
        <v>13040</v>
      </c>
    </row>
    <row r="279" spans="6:28" x14ac:dyDescent="0.15">
      <c r="F279">
        <f t="shared" si="49"/>
        <v>40</v>
      </c>
      <c r="G279">
        <v>276</v>
      </c>
      <c r="H279">
        <f t="shared" si="50"/>
        <v>190216893.0838477</v>
      </c>
      <c r="I279">
        <f t="shared" si="51"/>
        <v>190216893</v>
      </c>
      <c r="J279" s="1">
        <f t="shared" si="52"/>
        <v>1</v>
      </c>
      <c r="K279" s="1">
        <f t="shared" si="53"/>
        <v>190216893</v>
      </c>
      <c r="L279" s="1">
        <f t="shared" si="54"/>
        <v>48188279.559999995</v>
      </c>
      <c r="M279" s="3">
        <f t="shared" si="55"/>
        <v>4002.4745917863465</v>
      </c>
      <c r="N279" s="7">
        <f t="shared" si="60"/>
        <v>48188280</v>
      </c>
      <c r="O279" s="7">
        <f t="shared" si="56"/>
        <v>4002</v>
      </c>
      <c r="P279" s="3">
        <f>SUM($O$4:O279)</f>
        <v>223323</v>
      </c>
      <c r="Y279" s="3">
        <f t="shared" si="57"/>
        <v>276</v>
      </c>
      <c r="Z279" s="3">
        <f t="shared" si="58"/>
        <v>194605731</v>
      </c>
      <c r="AB279" s="7">
        <f t="shared" si="59"/>
        <v>13040</v>
      </c>
    </row>
    <row r="280" spans="6:28" x14ac:dyDescent="0.15">
      <c r="F280">
        <f t="shared" si="49"/>
        <v>40</v>
      </c>
      <c r="G280">
        <v>277</v>
      </c>
      <c r="H280">
        <f t="shared" si="50"/>
        <v>190216893.0838477</v>
      </c>
      <c r="I280">
        <f t="shared" si="51"/>
        <v>190216893</v>
      </c>
      <c r="J280" s="1">
        <f t="shared" si="52"/>
        <v>1</v>
      </c>
      <c r="K280" s="1">
        <f t="shared" si="53"/>
        <v>190216893</v>
      </c>
      <c r="L280" s="1">
        <f t="shared" si="54"/>
        <v>48188279.559999995</v>
      </c>
      <c r="M280" s="3">
        <f t="shared" si="55"/>
        <v>4002.4745917863465</v>
      </c>
      <c r="N280" s="7">
        <f t="shared" si="60"/>
        <v>48188280</v>
      </c>
      <c r="O280" s="7">
        <f t="shared" si="56"/>
        <v>4002</v>
      </c>
      <c r="P280" s="3">
        <f>SUM($O$4:O280)</f>
        <v>227325</v>
      </c>
      <c r="Y280" s="3">
        <f t="shared" si="57"/>
        <v>277</v>
      </c>
      <c r="Z280" s="3">
        <f t="shared" si="58"/>
        <v>205076365</v>
      </c>
      <c r="AB280" s="7">
        <f t="shared" si="59"/>
        <v>13040</v>
      </c>
    </row>
    <row r="281" spans="6:28" x14ac:dyDescent="0.15">
      <c r="F281">
        <f t="shared" si="49"/>
        <v>40</v>
      </c>
      <c r="G281">
        <v>278</v>
      </c>
      <c r="H281">
        <f t="shared" si="50"/>
        <v>190216893.0838477</v>
      </c>
      <c r="I281">
        <f t="shared" si="51"/>
        <v>190216893</v>
      </c>
      <c r="J281" s="1">
        <f t="shared" si="52"/>
        <v>1</v>
      </c>
      <c r="K281" s="1">
        <f t="shared" si="53"/>
        <v>190216893</v>
      </c>
      <c r="L281" s="1">
        <f t="shared" si="54"/>
        <v>48188279.559999995</v>
      </c>
      <c r="M281" s="3">
        <f t="shared" si="55"/>
        <v>4002.4745917863465</v>
      </c>
      <c r="N281" s="7">
        <f t="shared" si="60"/>
        <v>48188280</v>
      </c>
      <c r="O281" s="7">
        <f t="shared" si="56"/>
        <v>4002</v>
      </c>
      <c r="P281" s="3">
        <f>SUM($O$4:O281)</f>
        <v>231327</v>
      </c>
      <c r="Y281" s="3">
        <f t="shared" si="57"/>
        <v>278</v>
      </c>
      <c r="Z281" s="3">
        <f t="shared" si="58"/>
        <v>216107549</v>
      </c>
      <c r="AB281" s="7">
        <f t="shared" si="59"/>
        <v>13040</v>
      </c>
    </row>
    <row r="282" spans="6:28" x14ac:dyDescent="0.15">
      <c r="F282">
        <f t="shared" si="49"/>
        <v>40</v>
      </c>
      <c r="G282">
        <v>279</v>
      </c>
      <c r="H282">
        <f t="shared" si="50"/>
        <v>190216893.0838477</v>
      </c>
      <c r="I282">
        <f t="shared" si="51"/>
        <v>190216893</v>
      </c>
      <c r="J282" s="1">
        <f t="shared" si="52"/>
        <v>1</v>
      </c>
      <c r="K282" s="1">
        <f t="shared" si="53"/>
        <v>190216893</v>
      </c>
      <c r="L282" s="1">
        <f t="shared" si="54"/>
        <v>48188279.559999995</v>
      </c>
      <c r="M282" s="3">
        <f t="shared" si="55"/>
        <v>4002.4745917863465</v>
      </c>
      <c r="N282" s="7">
        <f t="shared" si="60"/>
        <v>48188280</v>
      </c>
      <c r="O282" s="7">
        <f t="shared" si="56"/>
        <v>4002</v>
      </c>
      <c r="P282" s="3">
        <f>SUM($O$4:O282)</f>
        <v>235329</v>
      </c>
      <c r="Y282" s="3">
        <f t="shared" si="57"/>
        <v>279</v>
      </c>
      <c r="Z282" s="3">
        <f t="shared" si="58"/>
        <v>227729160</v>
      </c>
      <c r="AB282" s="7">
        <f t="shared" si="59"/>
        <v>13040</v>
      </c>
    </row>
    <row r="283" spans="6:28" x14ac:dyDescent="0.15">
      <c r="F283">
        <f t="shared" si="49"/>
        <v>40</v>
      </c>
      <c r="G283">
        <v>280</v>
      </c>
      <c r="H283">
        <f t="shared" si="50"/>
        <v>190216893.0838477</v>
      </c>
      <c r="I283">
        <f t="shared" si="51"/>
        <v>190216893</v>
      </c>
      <c r="J283" s="1">
        <f t="shared" si="52"/>
        <v>10</v>
      </c>
      <c r="K283" s="1">
        <f t="shared" si="53"/>
        <v>1902168930</v>
      </c>
      <c r="L283" s="1">
        <f t="shared" si="54"/>
        <v>481882795.60000002</v>
      </c>
      <c r="M283" s="3">
        <f t="shared" si="55"/>
        <v>40024.745917863467</v>
      </c>
      <c r="N283" s="7">
        <f t="shared" si="60"/>
        <v>481882796</v>
      </c>
      <c r="O283" s="7">
        <f t="shared" si="56"/>
        <v>40024</v>
      </c>
      <c r="P283" s="3">
        <f>SUM($O$4:O283)</f>
        <v>275353</v>
      </c>
      <c r="Y283" s="3">
        <f t="shared" si="57"/>
        <v>280</v>
      </c>
      <c r="Z283" s="3">
        <f t="shared" si="58"/>
        <v>239972663</v>
      </c>
      <c r="AB283" s="7">
        <f t="shared" si="59"/>
        <v>13040</v>
      </c>
    </row>
    <row r="284" spans="6:28" x14ac:dyDescent="0.15">
      <c r="F284">
        <f t="shared" si="49"/>
        <v>41</v>
      </c>
      <c r="G284">
        <v>281</v>
      </c>
      <c r="H284">
        <f t="shared" si="50"/>
        <v>298640522.1416409</v>
      </c>
      <c r="I284">
        <f t="shared" si="51"/>
        <v>298640522</v>
      </c>
      <c r="J284" s="1">
        <f t="shared" si="52"/>
        <v>1</v>
      </c>
      <c r="K284" s="1">
        <f t="shared" si="53"/>
        <v>298640522</v>
      </c>
      <c r="L284" s="1">
        <f t="shared" si="54"/>
        <v>76551520.472666666</v>
      </c>
      <c r="M284" s="3">
        <f t="shared" si="55"/>
        <v>4890.9996444732797</v>
      </c>
      <c r="N284" s="7">
        <f t="shared" si="60"/>
        <v>76551520</v>
      </c>
      <c r="O284" s="7">
        <f t="shared" si="56"/>
        <v>4890</v>
      </c>
      <c r="P284" s="3">
        <f>SUM($O$4:O284)</f>
        <v>280243</v>
      </c>
      <c r="Y284" s="3">
        <f t="shared" si="57"/>
        <v>281</v>
      </c>
      <c r="Z284" s="3">
        <f t="shared" si="58"/>
        <v>252871194</v>
      </c>
      <c r="AB284" s="7">
        <f t="shared" si="59"/>
        <v>13040</v>
      </c>
    </row>
    <row r="285" spans="6:28" x14ac:dyDescent="0.15">
      <c r="F285">
        <f t="shared" si="49"/>
        <v>41</v>
      </c>
      <c r="G285">
        <v>282</v>
      </c>
      <c r="H285">
        <f t="shared" si="50"/>
        <v>298640522.1416409</v>
      </c>
      <c r="I285">
        <f t="shared" si="51"/>
        <v>298640522</v>
      </c>
      <c r="J285" s="1">
        <f t="shared" si="52"/>
        <v>1</v>
      </c>
      <c r="K285" s="1">
        <f t="shared" si="53"/>
        <v>298640522</v>
      </c>
      <c r="L285" s="1">
        <f t="shared" si="54"/>
        <v>76551520.472666666</v>
      </c>
      <c r="M285" s="3">
        <f t="shared" si="55"/>
        <v>4890.9996444732797</v>
      </c>
      <c r="N285" s="7">
        <f t="shared" si="60"/>
        <v>76551520</v>
      </c>
      <c r="O285" s="7">
        <f t="shared" si="56"/>
        <v>4890</v>
      </c>
      <c r="P285" s="3">
        <f>SUM($O$4:O285)</f>
        <v>285133</v>
      </c>
      <c r="Y285" s="3">
        <f t="shared" si="57"/>
        <v>282</v>
      </c>
      <c r="Z285" s="3">
        <f t="shared" si="58"/>
        <v>266459646</v>
      </c>
      <c r="AB285" s="7">
        <f t="shared" si="59"/>
        <v>13040</v>
      </c>
    </row>
    <row r="286" spans="6:28" x14ac:dyDescent="0.15">
      <c r="F286">
        <f t="shared" si="49"/>
        <v>41</v>
      </c>
      <c r="G286">
        <v>283</v>
      </c>
      <c r="H286">
        <f t="shared" si="50"/>
        <v>298640522.1416409</v>
      </c>
      <c r="I286">
        <f t="shared" si="51"/>
        <v>298640522</v>
      </c>
      <c r="J286" s="1">
        <f t="shared" si="52"/>
        <v>1</v>
      </c>
      <c r="K286" s="1">
        <f t="shared" si="53"/>
        <v>298640522</v>
      </c>
      <c r="L286" s="1">
        <f t="shared" si="54"/>
        <v>76551520.472666666</v>
      </c>
      <c r="M286" s="3">
        <f t="shared" si="55"/>
        <v>4890.9996444732797</v>
      </c>
      <c r="N286" s="7">
        <f t="shared" si="60"/>
        <v>76551520</v>
      </c>
      <c r="O286" s="7">
        <f t="shared" si="56"/>
        <v>4890</v>
      </c>
      <c r="P286" s="3">
        <f>SUM($O$4:O286)</f>
        <v>290023</v>
      </c>
      <c r="Y286" s="3">
        <f t="shared" si="57"/>
        <v>283</v>
      </c>
      <c r="Z286" s="3">
        <f t="shared" si="58"/>
        <v>280774765</v>
      </c>
      <c r="AB286" s="7">
        <f t="shared" si="59"/>
        <v>13040</v>
      </c>
    </row>
    <row r="287" spans="6:28" x14ac:dyDescent="0.15">
      <c r="F287">
        <f t="shared" si="49"/>
        <v>41</v>
      </c>
      <c r="G287">
        <v>284</v>
      </c>
      <c r="H287">
        <f t="shared" si="50"/>
        <v>298640522.1416409</v>
      </c>
      <c r="I287">
        <f t="shared" si="51"/>
        <v>298640522</v>
      </c>
      <c r="J287" s="1">
        <f t="shared" si="52"/>
        <v>1</v>
      </c>
      <c r="K287" s="1">
        <f t="shared" si="53"/>
        <v>298640522</v>
      </c>
      <c r="L287" s="1">
        <f t="shared" si="54"/>
        <v>76551520.472666666</v>
      </c>
      <c r="M287" s="3">
        <f t="shared" si="55"/>
        <v>4890.9996444732797</v>
      </c>
      <c r="N287" s="7">
        <f t="shared" si="60"/>
        <v>76551520</v>
      </c>
      <c r="O287" s="7">
        <f t="shared" si="56"/>
        <v>4890</v>
      </c>
      <c r="P287" s="3">
        <f>SUM($O$4:O287)</f>
        <v>294913</v>
      </c>
      <c r="Y287" s="3">
        <f t="shared" si="57"/>
        <v>284</v>
      </c>
      <c r="Z287" s="3">
        <f t="shared" si="58"/>
        <v>295855247</v>
      </c>
      <c r="AB287" s="7">
        <f t="shared" si="59"/>
        <v>13040</v>
      </c>
    </row>
    <row r="288" spans="6:28" x14ac:dyDescent="0.15">
      <c r="F288">
        <f t="shared" si="49"/>
        <v>41</v>
      </c>
      <c r="G288">
        <v>285</v>
      </c>
      <c r="H288">
        <f t="shared" si="50"/>
        <v>298640522.1416409</v>
      </c>
      <c r="I288">
        <f t="shared" si="51"/>
        <v>298640522</v>
      </c>
      <c r="J288" s="1">
        <f t="shared" si="52"/>
        <v>1</v>
      </c>
      <c r="K288" s="1">
        <f t="shared" si="53"/>
        <v>298640522</v>
      </c>
      <c r="L288" s="1">
        <f t="shared" si="54"/>
        <v>76551520.472666666</v>
      </c>
      <c r="M288" s="3">
        <f t="shared" si="55"/>
        <v>4890.9996444732797</v>
      </c>
      <c r="N288" s="7">
        <f t="shared" si="60"/>
        <v>76551520</v>
      </c>
      <c r="O288" s="7">
        <f t="shared" si="56"/>
        <v>4890</v>
      </c>
      <c r="P288" s="3">
        <f>SUM($O$4:O288)</f>
        <v>299803</v>
      </c>
      <c r="Y288" s="3">
        <f t="shared" si="57"/>
        <v>285</v>
      </c>
      <c r="Z288" s="3">
        <f t="shared" si="58"/>
        <v>311741840</v>
      </c>
      <c r="AB288" s="7">
        <f t="shared" si="59"/>
        <v>13040</v>
      </c>
    </row>
    <row r="289" spans="6:28" x14ac:dyDescent="0.15">
      <c r="F289">
        <f t="shared" si="49"/>
        <v>41</v>
      </c>
      <c r="G289">
        <v>286</v>
      </c>
      <c r="H289">
        <f t="shared" si="50"/>
        <v>298640522.1416409</v>
      </c>
      <c r="I289">
        <f t="shared" si="51"/>
        <v>298640522</v>
      </c>
      <c r="J289" s="1">
        <f t="shared" si="52"/>
        <v>1</v>
      </c>
      <c r="K289" s="1">
        <f t="shared" si="53"/>
        <v>298640522</v>
      </c>
      <c r="L289" s="1">
        <f t="shared" si="54"/>
        <v>76551520.472666666</v>
      </c>
      <c r="M289" s="3">
        <f t="shared" si="55"/>
        <v>4890.9996444732797</v>
      </c>
      <c r="N289" s="7">
        <f t="shared" si="60"/>
        <v>76551520</v>
      </c>
      <c r="O289" s="7">
        <f t="shared" si="56"/>
        <v>4890</v>
      </c>
      <c r="P289" s="3">
        <f>SUM($O$4:O289)</f>
        <v>304693</v>
      </c>
      <c r="Y289" s="3">
        <f t="shared" si="57"/>
        <v>286</v>
      </c>
      <c r="Z289" s="3">
        <f t="shared" si="58"/>
        <v>328477455</v>
      </c>
      <c r="AB289" s="7">
        <f t="shared" si="59"/>
        <v>13040</v>
      </c>
    </row>
    <row r="290" spans="6:28" x14ac:dyDescent="0.15">
      <c r="F290">
        <f t="shared" si="49"/>
        <v>41</v>
      </c>
      <c r="G290">
        <v>287</v>
      </c>
      <c r="H290">
        <f t="shared" si="50"/>
        <v>298640522.1416409</v>
      </c>
      <c r="I290">
        <f t="shared" si="51"/>
        <v>298640522</v>
      </c>
      <c r="J290" s="1">
        <f t="shared" si="52"/>
        <v>2</v>
      </c>
      <c r="K290" s="1">
        <f t="shared" si="53"/>
        <v>597281044</v>
      </c>
      <c r="L290" s="1">
        <f t="shared" si="54"/>
        <v>153103040.94533333</v>
      </c>
      <c r="M290" s="3">
        <f t="shared" si="55"/>
        <v>9781.9992889465593</v>
      </c>
      <c r="N290" s="7">
        <f t="shared" si="60"/>
        <v>153103041</v>
      </c>
      <c r="O290" s="7">
        <f t="shared" si="56"/>
        <v>9781</v>
      </c>
      <c r="P290" s="3">
        <f>SUM($O$4:O290)</f>
        <v>314474</v>
      </c>
      <c r="Y290" s="3">
        <f t="shared" si="57"/>
        <v>287</v>
      </c>
      <c r="Z290" s="3">
        <f t="shared" si="58"/>
        <v>346107276</v>
      </c>
      <c r="AB290" s="7">
        <f t="shared" si="59"/>
        <v>13040</v>
      </c>
    </row>
    <row r="291" spans="6:28" x14ac:dyDescent="0.15">
      <c r="F291">
        <f t="shared" si="49"/>
        <v>42</v>
      </c>
      <c r="G291">
        <v>288</v>
      </c>
      <c r="H291">
        <f t="shared" si="50"/>
        <v>468865619.76237613</v>
      </c>
      <c r="I291">
        <f t="shared" si="51"/>
        <v>468865620</v>
      </c>
      <c r="J291" s="1">
        <f t="shared" si="52"/>
        <v>1</v>
      </c>
      <c r="K291" s="1">
        <f t="shared" si="53"/>
        <v>468865620</v>
      </c>
      <c r="L291" s="1">
        <f t="shared" si="54"/>
        <v>121592484.12</v>
      </c>
      <c r="M291" s="3">
        <f t="shared" si="55"/>
        <v>5975.9532175647983</v>
      </c>
      <c r="N291" s="7">
        <f t="shared" si="60"/>
        <v>121592484</v>
      </c>
      <c r="O291" s="7">
        <f t="shared" si="56"/>
        <v>5975</v>
      </c>
      <c r="P291" s="3">
        <f>SUM($O$4:O291)</f>
        <v>320449</v>
      </c>
      <c r="Y291" s="3">
        <f t="shared" si="57"/>
        <v>288</v>
      </c>
      <c r="Z291" s="3">
        <f t="shared" si="58"/>
        <v>364678886</v>
      </c>
      <c r="AB291" s="7">
        <f t="shared" si="59"/>
        <v>13040</v>
      </c>
    </row>
    <row r="292" spans="6:28" x14ac:dyDescent="0.15">
      <c r="F292">
        <f t="shared" si="49"/>
        <v>42</v>
      </c>
      <c r="G292">
        <v>289</v>
      </c>
      <c r="H292">
        <f t="shared" si="50"/>
        <v>468865619.76237613</v>
      </c>
      <c r="I292">
        <f t="shared" si="51"/>
        <v>468865620</v>
      </c>
      <c r="J292" s="1">
        <f t="shared" si="52"/>
        <v>1</v>
      </c>
      <c r="K292" s="1">
        <f t="shared" si="53"/>
        <v>468865620</v>
      </c>
      <c r="L292" s="1">
        <f t="shared" si="54"/>
        <v>121592484.12</v>
      </c>
      <c r="M292" s="3">
        <f t="shared" si="55"/>
        <v>5975.9532175647983</v>
      </c>
      <c r="N292" s="7">
        <f t="shared" si="60"/>
        <v>121592484</v>
      </c>
      <c r="O292" s="7">
        <f t="shared" si="56"/>
        <v>5975</v>
      </c>
      <c r="P292" s="3">
        <f>SUM($O$4:O292)</f>
        <v>326424</v>
      </c>
      <c r="Y292" s="3">
        <f t="shared" si="57"/>
        <v>289</v>
      </c>
      <c r="Z292" s="3">
        <f t="shared" si="58"/>
        <v>384242389</v>
      </c>
      <c r="AB292" s="7">
        <f t="shared" si="59"/>
        <v>13040</v>
      </c>
    </row>
    <row r="293" spans="6:28" x14ac:dyDescent="0.15">
      <c r="F293">
        <f t="shared" si="49"/>
        <v>42</v>
      </c>
      <c r="G293">
        <v>290</v>
      </c>
      <c r="H293">
        <f t="shared" si="50"/>
        <v>468865619.76237613</v>
      </c>
      <c r="I293">
        <f t="shared" si="51"/>
        <v>468865620</v>
      </c>
      <c r="J293" s="1">
        <f t="shared" si="52"/>
        <v>1</v>
      </c>
      <c r="K293" s="1">
        <f t="shared" si="53"/>
        <v>468865620</v>
      </c>
      <c r="L293" s="1">
        <f t="shared" si="54"/>
        <v>121592484.12</v>
      </c>
      <c r="M293" s="3">
        <f t="shared" si="55"/>
        <v>5975.9532175647983</v>
      </c>
      <c r="N293" s="7">
        <f t="shared" si="60"/>
        <v>121592484</v>
      </c>
      <c r="O293" s="7">
        <f t="shared" si="56"/>
        <v>5975</v>
      </c>
      <c r="P293" s="3">
        <f>SUM($O$4:O293)</f>
        <v>332399</v>
      </c>
      <c r="Y293" s="3">
        <f t="shared" si="57"/>
        <v>290</v>
      </c>
      <c r="Z293" s="3">
        <f t="shared" si="58"/>
        <v>404850545</v>
      </c>
      <c r="AB293" s="7">
        <f t="shared" si="59"/>
        <v>13040</v>
      </c>
    </row>
    <row r="294" spans="6:28" x14ac:dyDescent="0.15">
      <c r="F294">
        <f t="shared" si="49"/>
        <v>42</v>
      </c>
      <c r="G294">
        <v>291</v>
      </c>
      <c r="H294">
        <f t="shared" si="50"/>
        <v>468865619.76237613</v>
      </c>
      <c r="I294">
        <f t="shared" si="51"/>
        <v>468865620</v>
      </c>
      <c r="J294" s="1">
        <f t="shared" si="52"/>
        <v>1</v>
      </c>
      <c r="K294" s="1">
        <f t="shared" si="53"/>
        <v>468865620</v>
      </c>
      <c r="L294" s="1">
        <f t="shared" si="54"/>
        <v>121592484.12</v>
      </c>
      <c r="M294" s="3">
        <f t="shared" si="55"/>
        <v>5975.9532175647983</v>
      </c>
      <c r="N294" s="7">
        <f t="shared" si="60"/>
        <v>121592484</v>
      </c>
      <c r="O294" s="7">
        <f t="shared" si="56"/>
        <v>5975</v>
      </c>
      <c r="P294" s="3">
        <f>SUM($O$4:O294)</f>
        <v>338374</v>
      </c>
      <c r="Y294" s="3">
        <f t="shared" si="57"/>
        <v>291</v>
      </c>
      <c r="Z294" s="3">
        <f t="shared" si="58"/>
        <v>426558910</v>
      </c>
      <c r="AB294" s="7">
        <f t="shared" si="59"/>
        <v>13040</v>
      </c>
    </row>
    <row r="295" spans="6:28" x14ac:dyDescent="0.15">
      <c r="F295">
        <f t="shared" si="49"/>
        <v>42</v>
      </c>
      <c r="G295">
        <v>292</v>
      </c>
      <c r="H295">
        <f t="shared" si="50"/>
        <v>468865619.76237613</v>
      </c>
      <c r="I295">
        <f t="shared" si="51"/>
        <v>468865620</v>
      </c>
      <c r="J295" s="1">
        <f t="shared" si="52"/>
        <v>1</v>
      </c>
      <c r="K295" s="1">
        <f t="shared" si="53"/>
        <v>468865620</v>
      </c>
      <c r="L295" s="1">
        <f t="shared" si="54"/>
        <v>121592484.12</v>
      </c>
      <c r="M295" s="3">
        <f t="shared" si="55"/>
        <v>5975.9532175647983</v>
      </c>
      <c r="N295" s="7">
        <f t="shared" si="60"/>
        <v>121592484</v>
      </c>
      <c r="O295" s="7">
        <f t="shared" si="56"/>
        <v>5975</v>
      </c>
      <c r="P295" s="3">
        <f>SUM($O$4:O295)</f>
        <v>344349</v>
      </c>
      <c r="Y295" s="3">
        <f t="shared" si="57"/>
        <v>292</v>
      </c>
      <c r="Z295" s="3">
        <f t="shared" si="58"/>
        <v>449425986</v>
      </c>
      <c r="AB295" s="7">
        <f t="shared" si="59"/>
        <v>13040</v>
      </c>
    </row>
    <row r="296" spans="6:28" x14ac:dyDescent="0.15">
      <c r="F296">
        <f t="shared" si="49"/>
        <v>42</v>
      </c>
      <c r="G296">
        <v>293</v>
      </c>
      <c r="H296">
        <f t="shared" si="50"/>
        <v>468865619.76237613</v>
      </c>
      <c r="I296">
        <f t="shared" si="51"/>
        <v>468865620</v>
      </c>
      <c r="J296" s="1">
        <f t="shared" si="52"/>
        <v>1</v>
      </c>
      <c r="K296" s="1">
        <f t="shared" si="53"/>
        <v>468865620</v>
      </c>
      <c r="L296" s="1">
        <f t="shared" si="54"/>
        <v>121592484.12</v>
      </c>
      <c r="M296" s="3">
        <f t="shared" si="55"/>
        <v>5975.9532175647983</v>
      </c>
      <c r="N296" s="7">
        <f t="shared" si="60"/>
        <v>121592484</v>
      </c>
      <c r="O296" s="7">
        <f t="shared" si="56"/>
        <v>5975</v>
      </c>
      <c r="P296" s="3">
        <f>SUM($O$4:O296)</f>
        <v>350324</v>
      </c>
      <c r="Y296" s="3">
        <f t="shared" si="57"/>
        <v>293</v>
      </c>
      <c r="Z296" s="3">
        <f t="shared" si="58"/>
        <v>473513372</v>
      </c>
      <c r="AB296" s="7">
        <f t="shared" si="59"/>
        <v>13040</v>
      </c>
    </row>
    <row r="297" spans="6:28" x14ac:dyDescent="0.15">
      <c r="F297">
        <f t="shared" si="49"/>
        <v>42</v>
      </c>
      <c r="G297">
        <v>294</v>
      </c>
      <c r="H297">
        <f t="shared" si="50"/>
        <v>468865619.76237613</v>
      </c>
      <c r="I297">
        <f t="shared" si="51"/>
        <v>468865620</v>
      </c>
      <c r="J297" s="1">
        <f t="shared" si="52"/>
        <v>4</v>
      </c>
      <c r="K297" s="1">
        <f t="shared" si="53"/>
        <v>1875462480</v>
      </c>
      <c r="L297" s="1">
        <f t="shared" si="54"/>
        <v>486369936.48000002</v>
      </c>
      <c r="M297" s="3">
        <f t="shared" si="55"/>
        <v>23903.812870259193</v>
      </c>
      <c r="N297" s="7">
        <f t="shared" si="60"/>
        <v>486369936</v>
      </c>
      <c r="O297" s="7">
        <f t="shared" si="56"/>
        <v>23903</v>
      </c>
      <c r="P297" s="3">
        <f>SUM($O$4:O297)</f>
        <v>374227</v>
      </c>
      <c r="Y297" s="3">
        <f t="shared" si="57"/>
        <v>294</v>
      </c>
      <c r="Z297" s="3">
        <f t="shared" si="58"/>
        <v>498885931</v>
      </c>
      <c r="AB297" s="7">
        <f t="shared" si="59"/>
        <v>13040</v>
      </c>
    </row>
    <row r="298" spans="6:28" x14ac:dyDescent="0.15">
      <c r="F298">
        <f t="shared" si="49"/>
        <v>43</v>
      </c>
      <c r="G298">
        <v>295</v>
      </c>
      <c r="H298">
        <f t="shared" si="50"/>
        <v>736119023.02693057</v>
      </c>
      <c r="I298">
        <f t="shared" si="51"/>
        <v>736119023</v>
      </c>
      <c r="J298" s="1">
        <f t="shared" si="52"/>
        <v>1</v>
      </c>
      <c r="K298" s="1">
        <f t="shared" si="53"/>
        <v>736119023</v>
      </c>
      <c r="L298" s="1">
        <f t="shared" si="54"/>
        <v>193108557.03366664</v>
      </c>
      <c r="M298" s="3">
        <f t="shared" si="55"/>
        <v>7300.6011786420659</v>
      </c>
      <c r="N298" s="7">
        <f t="shared" si="60"/>
        <v>193108557</v>
      </c>
      <c r="O298" s="7">
        <f t="shared" si="56"/>
        <v>7300</v>
      </c>
      <c r="P298" s="3">
        <f>SUM($O$4:O298)</f>
        <v>381527</v>
      </c>
      <c r="Y298" s="3">
        <f t="shared" si="57"/>
        <v>295</v>
      </c>
      <c r="Z298" s="3">
        <f t="shared" si="58"/>
        <v>525611963</v>
      </c>
      <c r="AB298" s="7">
        <f t="shared" si="59"/>
        <v>13040</v>
      </c>
    </row>
    <row r="299" spans="6:28" x14ac:dyDescent="0.15">
      <c r="F299">
        <f t="shared" si="49"/>
        <v>43</v>
      </c>
      <c r="G299">
        <v>296</v>
      </c>
      <c r="H299">
        <f t="shared" si="50"/>
        <v>736119023.02693057</v>
      </c>
      <c r="I299">
        <f t="shared" si="51"/>
        <v>736119023</v>
      </c>
      <c r="J299" s="1">
        <f t="shared" si="52"/>
        <v>1</v>
      </c>
      <c r="K299" s="1">
        <f t="shared" si="53"/>
        <v>736119023</v>
      </c>
      <c r="L299" s="1">
        <f t="shared" si="54"/>
        <v>193108557.03366664</v>
      </c>
      <c r="M299" s="3">
        <f t="shared" si="55"/>
        <v>7300.6011786420659</v>
      </c>
      <c r="N299" s="7">
        <f t="shared" si="60"/>
        <v>193108557</v>
      </c>
      <c r="O299" s="7">
        <f t="shared" si="56"/>
        <v>7300</v>
      </c>
      <c r="P299" s="3">
        <f>SUM($O$4:O299)</f>
        <v>388827</v>
      </c>
      <c r="Y299" s="3">
        <f t="shared" si="57"/>
        <v>296</v>
      </c>
      <c r="Z299" s="3">
        <f t="shared" si="58"/>
        <v>553763384</v>
      </c>
      <c r="AB299" s="7">
        <f t="shared" si="59"/>
        <v>13040</v>
      </c>
    </row>
    <row r="300" spans="6:28" x14ac:dyDescent="0.15">
      <c r="F300">
        <f t="shared" si="49"/>
        <v>43</v>
      </c>
      <c r="G300">
        <v>297</v>
      </c>
      <c r="H300">
        <f t="shared" si="50"/>
        <v>736119023.02693057</v>
      </c>
      <c r="I300">
        <f t="shared" si="51"/>
        <v>736119023</v>
      </c>
      <c r="J300" s="1">
        <f t="shared" si="52"/>
        <v>1</v>
      </c>
      <c r="K300" s="1">
        <f t="shared" si="53"/>
        <v>736119023</v>
      </c>
      <c r="L300" s="1">
        <f t="shared" si="54"/>
        <v>193108557.03366664</v>
      </c>
      <c r="M300" s="3">
        <f t="shared" si="55"/>
        <v>7300.6011786420659</v>
      </c>
      <c r="N300" s="7">
        <f t="shared" si="60"/>
        <v>193108557</v>
      </c>
      <c r="O300" s="7">
        <f t="shared" si="56"/>
        <v>7300</v>
      </c>
      <c r="P300" s="3">
        <f>SUM($O$4:O300)</f>
        <v>396127</v>
      </c>
      <c r="Y300" s="3">
        <f t="shared" si="57"/>
        <v>297</v>
      </c>
      <c r="Z300" s="3">
        <f t="shared" si="58"/>
        <v>583415916</v>
      </c>
      <c r="AB300" s="7">
        <f t="shared" si="59"/>
        <v>13040</v>
      </c>
    </row>
    <row r="301" spans="6:28" x14ac:dyDescent="0.15">
      <c r="F301">
        <f t="shared" si="49"/>
        <v>43</v>
      </c>
      <c r="G301">
        <v>298</v>
      </c>
      <c r="H301">
        <f t="shared" si="50"/>
        <v>736119023.02693057</v>
      </c>
      <c r="I301">
        <f t="shared" si="51"/>
        <v>736119023</v>
      </c>
      <c r="J301" s="1">
        <f t="shared" si="52"/>
        <v>1</v>
      </c>
      <c r="K301" s="1">
        <f t="shared" si="53"/>
        <v>736119023</v>
      </c>
      <c r="L301" s="1">
        <f t="shared" si="54"/>
        <v>193108557.03366664</v>
      </c>
      <c r="M301" s="3">
        <f t="shared" si="55"/>
        <v>7300.6011786420659</v>
      </c>
      <c r="N301" s="7">
        <f t="shared" si="60"/>
        <v>193108557</v>
      </c>
      <c r="O301" s="7">
        <f t="shared" si="56"/>
        <v>7300</v>
      </c>
      <c r="P301" s="3">
        <f>SUM($O$4:O301)</f>
        <v>403427</v>
      </c>
      <c r="Y301" s="3">
        <f t="shared" si="57"/>
        <v>298</v>
      </c>
      <c r="Z301" s="3">
        <f t="shared" si="58"/>
        <v>614649294</v>
      </c>
      <c r="AB301" s="7">
        <f t="shared" si="59"/>
        <v>13040</v>
      </c>
    </row>
    <row r="302" spans="6:28" x14ac:dyDescent="0.15">
      <c r="F302">
        <f t="shared" si="49"/>
        <v>43</v>
      </c>
      <c r="G302">
        <v>299</v>
      </c>
      <c r="H302">
        <f t="shared" si="50"/>
        <v>736119023.02693057</v>
      </c>
      <c r="I302">
        <f t="shared" si="51"/>
        <v>736119023</v>
      </c>
      <c r="J302" s="1">
        <f t="shared" si="52"/>
        <v>1</v>
      </c>
      <c r="K302" s="1">
        <f t="shared" si="53"/>
        <v>736119023</v>
      </c>
      <c r="L302" s="1">
        <f t="shared" si="54"/>
        <v>193108557.03366664</v>
      </c>
      <c r="M302" s="3">
        <f t="shared" si="55"/>
        <v>7300.6011786420659</v>
      </c>
      <c r="N302" s="7">
        <f t="shared" si="60"/>
        <v>193108557</v>
      </c>
      <c r="O302" s="7">
        <f t="shared" si="56"/>
        <v>7300</v>
      </c>
      <c r="P302" s="3">
        <f>SUM($O$4:O302)</f>
        <v>410727</v>
      </c>
      <c r="Y302" s="3">
        <f t="shared" si="57"/>
        <v>299</v>
      </c>
      <c r="Z302" s="3">
        <f t="shared" si="58"/>
        <v>647547469</v>
      </c>
      <c r="AB302" s="7">
        <f t="shared" si="59"/>
        <v>13040</v>
      </c>
    </row>
    <row r="303" spans="6:28" x14ac:dyDescent="0.15">
      <c r="F303">
        <f t="shared" si="49"/>
        <v>43</v>
      </c>
      <c r="G303">
        <v>300</v>
      </c>
      <c r="H303">
        <f t="shared" si="50"/>
        <v>736119023.02693057</v>
      </c>
      <c r="I303">
        <f t="shared" si="51"/>
        <v>736119023</v>
      </c>
      <c r="J303" s="1">
        <f t="shared" si="52"/>
        <v>1</v>
      </c>
      <c r="K303" s="1">
        <f t="shared" si="53"/>
        <v>736119023</v>
      </c>
      <c r="L303" s="1">
        <f t="shared" si="54"/>
        <v>193108557.03366664</v>
      </c>
      <c r="M303" s="3">
        <f t="shared" si="55"/>
        <v>7300.6011786420659</v>
      </c>
      <c r="N303" s="7">
        <f t="shared" si="60"/>
        <v>193108557</v>
      </c>
      <c r="O303" s="7">
        <f t="shared" si="56"/>
        <v>7300</v>
      </c>
      <c r="P303" s="3">
        <f>SUM($O$4:O303)</f>
        <v>418027</v>
      </c>
      <c r="Y303" s="3">
        <f t="shared" si="57"/>
        <v>300</v>
      </c>
      <c r="Z303" s="3">
        <f t="shared" si="58"/>
        <v>682198839</v>
      </c>
      <c r="AB303" s="7">
        <f t="shared" si="59"/>
        <v>13040</v>
      </c>
    </row>
    <row r="304" spans="6:28" x14ac:dyDescent="0.15">
      <c r="F304">
        <f t="shared" si="49"/>
        <v>43</v>
      </c>
      <c r="G304">
        <v>301</v>
      </c>
      <c r="H304">
        <f t="shared" si="50"/>
        <v>736119023.02693057</v>
      </c>
      <c r="I304">
        <f t="shared" si="51"/>
        <v>736119023</v>
      </c>
      <c r="J304" s="1">
        <f t="shared" si="52"/>
        <v>6</v>
      </c>
      <c r="K304" s="1">
        <f t="shared" si="53"/>
        <v>4416714138</v>
      </c>
      <c r="L304" s="1">
        <f t="shared" si="54"/>
        <v>1158651342.2019999</v>
      </c>
      <c r="M304" s="3">
        <f t="shared" si="55"/>
        <v>43803.607071852399</v>
      </c>
      <c r="N304" s="7">
        <f t="shared" si="60"/>
        <v>1158651342</v>
      </c>
      <c r="O304" s="7">
        <f t="shared" si="56"/>
        <v>43803</v>
      </c>
      <c r="P304" s="3">
        <f>SUM($O$4:O304)</f>
        <v>461830</v>
      </c>
      <c r="Y304" s="3">
        <f t="shared" si="57"/>
        <v>301</v>
      </c>
      <c r="Z304" s="3">
        <f t="shared" si="58"/>
        <v>718696476</v>
      </c>
      <c r="AB304" s="7">
        <f t="shared" si="59"/>
        <v>13040</v>
      </c>
    </row>
    <row r="305" spans="6:28" x14ac:dyDescent="0.15">
      <c r="F305">
        <f t="shared" si="49"/>
        <v>44</v>
      </c>
      <c r="G305">
        <v>302</v>
      </c>
      <c r="H305">
        <f t="shared" si="50"/>
        <v>1155706866.152281</v>
      </c>
      <c r="I305">
        <f t="shared" si="51"/>
        <v>1155706866</v>
      </c>
      <c r="J305" s="1">
        <f t="shared" si="52"/>
        <v>1</v>
      </c>
      <c r="K305" s="1">
        <f t="shared" si="53"/>
        <v>1155706866</v>
      </c>
      <c r="L305" s="1">
        <f t="shared" si="54"/>
        <v>306647555.11200005</v>
      </c>
      <c r="M305" s="3">
        <f t="shared" si="55"/>
        <v>8917.7082436752735</v>
      </c>
      <c r="N305" s="7">
        <f t="shared" si="60"/>
        <v>306647555</v>
      </c>
      <c r="O305" s="7">
        <f t="shared" si="56"/>
        <v>8917</v>
      </c>
      <c r="P305" s="3">
        <f>SUM($O$4:O305)</f>
        <v>470747</v>
      </c>
      <c r="Y305" s="3">
        <f t="shared" si="57"/>
        <v>302</v>
      </c>
      <c r="Z305" s="3">
        <f t="shared" si="58"/>
        <v>757138381</v>
      </c>
      <c r="AB305" s="7">
        <f t="shared" si="59"/>
        <v>13040</v>
      </c>
    </row>
    <row r="306" spans="6:28" x14ac:dyDescent="0.15">
      <c r="F306">
        <f t="shared" si="49"/>
        <v>44</v>
      </c>
      <c r="G306">
        <v>303</v>
      </c>
      <c r="H306">
        <f t="shared" si="50"/>
        <v>1155706866.152281</v>
      </c>
      <c r="I306">
        <f t="shared" si="51"/>
        <v>1155706866</v>
      </c>
      <c r="J306" s="1">
        <f t="shared" si="52"/>
        <v>1</v>
      </c>
      <c r="K306" s="1">
        <f t="shared" si="53"/>
        <v>1155706866</v>
      </c>
      <c r="L306" s="1">
        <f t="shared" si="54"/>
        <v>306647555.11200005</v>
      </c>
      <c r="M306" s="3">
        <f t="shared" si="55"/>
        <v>8917.7082436752735</v>
      </c>
      <c r="N306" s="7">
        <f t="shared" si="60"/>
        <v>306647555</v>
      </c>
      <c r="O306" s="7">
        <f t="shared" si="56"/>
        <v>8917</v>
      </c>
      <c r="P306" s="3">
        <f>SUM($O$4:O306)</f>
        <v>479664</v>
      </c>
      <c r="Y306" s="3">
        <f t="shared" si="57"/>
        <v>303</v>
      </c>
      <c r="Z306" s="3">
        <f t="shared" si="58"/>
        <v>797627735</v>
      </c>
      <c r="AB306" s="7">
        <f t="shared" si="59"/>
        <v>13040</v>
      </c>
    </row>
    <row r="307" spans="6:28" x14ac:dyDescent="0.15">
      <c r="F307">
        <f t="shared" si="49"/>
        <v>44</v>
      </c>
      <c r="G307">
        <v>304</v>
      </c>
      <c r="H307">
        <f t="shared" si="50"/>
        <v>1155706866.152281</v>
      </c>
      <c r="I307">
        <f t="shared" si="51"/>
        <v>1155706866</v>
      </c>
      <c r="J307" s="1">
        <f t="shared" si="52"/>
        <v>1</v>
      </c>
      <c r="K307" s="1">
        <f t="shared" si="53"/>
        <v>1155706866</v>
      </c>
      <c r="L307" s="1">
        <f t="shared" si="54"/>
        <v>306647555.11200005</v>
      </c>
      <c r="M307" s="3">
        <f t="shared" si="55"/>
        <v>8917.7082436752735</v>
      </c>
      <c r="N307" s="7">
        <f t="shared" si="60"/>
        <v>306647555</v>
      </c>
      <c r="O307" s="7">
        <f t="shared" si="56"/>
        <v>8917</v>
      </c>
      <c r="P307" s="3">
        <f>SUM($O$4:O307)</f>
        <v>488581</v>
      </c>
      <c r="Y307" s="3">
        <f t="shared" si="57"/>
        <v>304</v>
      </c>
      <c r="Z307" s="3">
        <f t="shared" si="58"/>
        <v>840273178</v>
      </c>
      <c r="AB307" s="7">
        <f t="shared" si="59"/>
        <v>13040</v>
      </c>
    </row>
    <row r="308" spans="6:28" x14ac:dyDescent="0.15">
      <c r="F308">
        <f t="shared" si="49"/>
        <v>44</v>
      </c>
      <c r="G308">
        <v>305</v>
      </c>
      <c r="H308">
        <f t="shared" si="50"/>
        <v>1155706866.152281</v>
      </c>
      <c r="I308">
        <f t="shared" si="51"/>
        <v>1155706866</v>
      </c>
      <c r="J308" s="1">
        <f t="shared" si="52"/>
        <v>1</v>
      </c>
      <c r="K308" s="1">
        <f t="shared" si="53"/>
        <v>1155706866</v>
      </c>
      <c r="L308" s="1">
        <f t="shared" si="54"/>
        <v>306647555.11200005</v>
      </c>
      <c r="M308" s="3">
        <f t="shared" si="55"/>
        <v>8917.7082436752735</v>
      </c>
      <c r="N308" s="7">
        <f t="shared" si="60"/>
        <v>306647555</v>
      </c>
      <c r="O308" s="7">
        <f t="shared" si="56"/>
        <v>8917</v>
      </c>
      <c r="P308" s="3">
        <f>SUM($O$4:O308)</f>
        <v>497498</v>
      </c>
      <c r="Y308" s="3">
        <f t="shared" si="57"/>
        <v>305</v>
      </c>
      <c r="Z308" s="3">
        <f t="shared" si="58"/>
        <v>885189096</v>
      </c>
      <c r="AB308" s="7">
        <f t="shared" si="59"/>
        <v>13040</v>
      </c>
    </row>
    <row r="309" spans="6:28" x14ac:dyDescent="0.15">
      <c r="F309">
        <f t="shared" si="49"/>
        <v>44</v>
      </c>
      <c r="G309">
        <v>306</v>
      </c>
      <c r="H309">
        <f t="shared" si="50"/>
        <v>1155706866.152281</v>
      </c>
      <c r="I309">
        <f t="shared" si="51"/>
        <v>1155706866</v>
      </c>
      <c r="J309" s="1">
        <f t="shared" si="52"/>
        <v>1</v>
      </c>
      <c r="K309" s="1">
        <f t="shared" si="53"/>
        <v>1155706866</v>
      </c>
      <c r="L309" s="1">
        <f t="shared" si="54"/>
        <v>306647555.11200005</v>
      </c>
      <c r="M309" s="3">
        <f t="shared" si="55"/>
        <v>8917.7082436752735</v>
      </c>
      <c r="N309" s="7">
        <f t="shared" si="60"/>
        <v>306647555</v>
      </c>
      <c r="O309" s="7">
        <f t="shared" si="56"/>
        <v>8917</v>
      </c>
      <c r="P309" s="3">
        <f>SUM($O$4:O309)</f>
        <v>506415</v>
      </c>
      <c r="Y309" s="3">
        <f t="shared" si="57"/>
        <v>306</v>
      </c>
      <c r="Z309" s="3">
        <f t="shared" si="58"/>
        <v>932495923</v>
      </c>
      <c r="AB309" s="7">
        <f t="shared" si="59"/>
        <v>13040</v>
      </c>
    </row>
    <row r="310" spans="6:28" x14ac:dyDescent="0.15">
      <c r="F310">
        <f t="shared" si="49"/>
        <v>44</v>
      </c>
      <c r="G310">
        <v>307</v>
      </c>
      <c r="H310">
        <f t="shared" si="50"/>
        <v>1155706866.152281</v>
      </c>
      <c r="I310">
        <f t="shared" si="51"/>
        <v>1155706866</v>
      </c>
      <c r="J310" s="1">
        <f t="shared" si="52"/>
        <v>1</v>
      </c>
      <c r="K310" s="1">
        <f t="shared" si="53"/>
        <v>1155706866</v>
      </c>
      <c r="L310" s="1">
        <f t="shared" si="54"/>
        <v>306647555.11200005</v>
      </c>
      <c r="M310" s="3">
        <f t="shared" si="55"/>
        <v>8917.7082436752735</v>
      </c>
      <c r="N310" s="7">
        <f t="shared" si="60"/>
        <v>306647555</v>
      </c>
      <c r="O310" s="7">
        <f t="shared" si="56"/>
        <v>8917</v>
      </c>
      <c r="P310" s="3">
        <f>SUM($O$4:O310)</f>
        <v>515332</v>
      </c>
      <c r="Y310" s="3">
        <f t="shared" si="57"/>
        <v>307</v>
      </c>
      <c r="Z310" s="3">
        <f t="shared" si="58"/>
        <v>982320460</v>
      </c>
      <c r="AB310" s="7">
        <f t="shared" si="59"/>
        <v>13040</v>
      </c>
    </row>
    <row r="311" spans="6:28" x14ac:dyDescent="0.15">
      <c r="F311">
        <f t="shared" si="49"/>
        <v>44</v>
      </c>
      <c r="G311">
        <v>308</v>
      </c>
      <c r="H311">
        <f t="shared" si="50"/>
        <v>1155706866.152281</v>
      </c>
      <c r="I311">
        <f t="shared" si="51"/>
        <v>1155706866</v>
      </c>
      <c r="J311" s="1">
        <f t="shared" si="52"/>
        <v>7</v>
      </c>
      <c r="K311" s="1">
        <f t="shared" si="53"/>
        <v>8089948062</v>
      </c>
      <c r="L311" s="1">
        <f t="shared" si="54"/>
        <v>2146532885.7840002</v>
      </c>
      <c r="M311" s="3">
        <f t="shared" si="55"/>
        <v>62423.957705726905</v>
      </c>
      <c r="N311" s="7">
        <f t="shared" si="60"/>
        <v>2146532886</v>
      </c>
      <c r="O311" s="7">
        <f t="shared" si="56"/>
        <v>62423</v>
      </c>
      <c r="P311" s="3">
        <f>SUM($O$4:O311)</f>
        <v>577755</v>
      </c>
      <c r="Y311" s="3">
        <f t="shared" si="57"/>
        <v>308</v>
      </c>
      <c r="Z311" s="3">
        <f t="shared" si="58"/>
        <v>1034796211</v>
      </c>
      <c r="AB311" s="7">
        <f t="shared" si="59"/>
        <v>13040</v>
      </c>
    </row>
    <row r="312" spans="6:28" x14ac:dyDescent="0.15">
      <c r="F312">
        <f t="shared" si="49"/>
        <v>45</v>
      </c>
      <c r="G312">
        <v>309</v>
      </c>
      <c r="H312">
        <f t="shared" si="50"/>
        <v>1814459779.8590813</v>
      </c>
      <c r="I312">
        <f t="shared" si="51"/>
        <v>1814459780</v>
      </c>
      <c r="J312" s="1">
        <f t="shared" si="52"/>
        <v>1</v>
      </c>
      <c r="K312" s="1">
        <f t="shared" si="53"/>
        <v>1814459780</v>
      </c>
      <c r="L312" s="1">
        <f t="shared" si="54"/>
        <v>486880040.96666664</v>
      </c>
      <c r="M312" s="3">
        <f t="shared" si="55"/>
        <v>10891.617284624455</v>
      </c>
      <c r="N312" s="7">
        <f t="shared" si="60"/>
        <v>486880041</v>
      </c>
      <c r="O312" s="7">
        <f t="shared" si="56"/>
        <v>10891</v>
      </c>
      <c r="P312" s="3">
        <f>SUM($O$4:O312)</f>
        <v>588646</v>
      </c>
      <c r="Y312" s="3">
        <f t="shared" si="57"/>
        <v>309</v>
      </c>
      <c r="Z312" s="3">
        <f t="shared" si="58"/>
        <v>1090063736</v>
      </c>
      <c r="AB312" s="7">
        <f t="shared" si="59"/>
        <v>13040</v>
      </c>
    </row>
    <row r="313" spans="6:28" x14ac:dyDescent="0.15">
      <c r="F313">
        <f t="shared" si="49"/>
        <v>45</v>
      </c>
      <c r="G313">
        <v>310</v>
      </c>
      <c r="H313">
        <f t="shared" si="50"/>
        <v>1814459779.8590813</v>
      </c>
      <c r="I313">
        <f t="shared" si="51"/>
        <v>1814459780</v>
      </c>
      <c r="J313" s="1">
        <f t="shared" si="52"/>
        <v>1</v>
      </c>
      <c r="K313" s="1">
        <f t="shared" si="53"/>
        <v>1814459780</v>
      </c>
      <c r="L313" s="1">
        <f t="shared" si="54"/>
        <v>486880040.96666664</v>
      </c>
      <c r="M313" s="3">
        <f t="shared" si="55"/>
        <v>10891.617284624455</v>
      </c>
      <c r="N313" s="7">
        <f t="shared" si="60"/>
        <v>486880041</v>
      </c>
      <c r="O313" s="7">
        <f t="shared" si="56"/>
        <v>10891</v>
      </c>
      <c r="P313" s="3">
        <f>SUM($O$4:O313)</f>
        <v>599537</v>
      </c>
      <c r="Y313" s="3">
        <f t="shared" si="57"/>
        <v>310</v>
      </c>
      <c r="Z313" s="3">
        <f t="shared" si="58"/>
        <v>1148271023</v>
      </c>
      <c r="AB313" s="7">
        <f t="shared" si="59"/>
        <v>13040</v>
      </c>
    </row>
    <row r="314" spans="6:28" x14ac:dyDescent="0.15">
      <c r="F314">
        <f t="shared" si="49"/>
        <v>45</v>
      </c>
      <c r="G314">
        <v>311</v>
      </c>
      <c r="H314">
        <f t="shared" si="50"/>
        <v>1814459779.8590813</v>
      </c>
      <c r="I314">
        <f t="shared" si="51"/>
        <v>1814459780</v>
      </c>
      <c r="J314" s="1">
        <f t="shared" si="52"/>
        <v>1</v>
      </c>
      <c r="K314" s="1">
        <f t="shared" si="53"/>
        <v>1814459780</v>
      </c>
      <c r="L314" s="1">
        <f t="shared" si="54"/>
        <v>486880040.96666664</v>
      </c>
      <c r="M314" s="3">
        <f t="shared" si="55"/>
        <v>10891.617284624455</v>
      </c>
      <c r="N314" s="7">
        <f t="shared" si="60"/>
        <v>486880041</v>
      </c>
      <c r="O314" s="7">
        <f t="shared" si="56"/>
        <v>10891</v>
      </c>
      <c r="P314" s="3">
        <f>SUM($O$4:O314)</f>
        <v>610428</v>
      </c>
      <c r="Y314" s="3">
        <f t="shared" si="57"/>
        <v>311</v>
      </c>
      <c r="Z314" s="3">
        <f t="shared" si="58"/>
        <v>1209573880</v>
      </c>
      <c r="AB314" s="7">
        <f t="shared" si="59"/>
        <v>13040</v>
      </c>
    </row>
    <row r="315" spans="6:28" x14ac:dyDescent="0.15">
      <c r="F315">
        <f t="shared" si="49"/>
        <v>45</v>
      </c>
      <c r="G315">
        <v>312</v>
      </c>
      <c r="H315">
        <f t="shared" si="50"/>
        <v>1814459779.8590813</v>
      </c>
      <c r="I315">
        <f t="shared" si="51"/>
        <v>1814459780</v>
      </c>
      <c r="J315" s="1">
        <f t="shared" si="52"/>
        <v>1</v>
      </c>
      <c r="K315" s="1">
        <f t="shared" si="53"/>
        <v>1814459780</v>
      </c>
      <c r="L315" s="1">
        <f t="shared" si="54"/>
        <v>486880040.96666664</v>
      </c>
      <c r="M315" s="3">
        <f t="shared" si="55"/>
        <v>10891.617284624455</v>
      </c>
      <c r="N315" s="7">
        <f t="shared" si="60"/>
        <v>486880041</v>
      </c>
      <c r="O315" s="7">
        <f t="shared" si="56"/>
        <v>10891</v>
      </c>
      <c r="P315" s="3">
        <f>SUM($O$4:O315)</f>
        <v>621319</v>
      </c>
      <c r="Y315" s="3">
        <f t="shared" si="57"/>
        <v>312</v>
      </c>
      <c r="Z315" s="3">
        <f t="shared" si="58"/>
        <v>1274136344</v>
      </c>
      <c r="AB315" s="7">
        <f t="shared" si="59"/>
        <v>13040</v>
      </c>
    </row>
    <row r="316" spans="6:28" x14ac:dyDescent="0.15">
      <c r="F316">
        <f t="shared" si="49"/>
        <v>45</v>
      </c>
      <c r="G316">
        <v>313</v>
      </c>
      <c r="H316">
        <f t="shared" si="50"/>
        <v>1814459779.8590813</v>
      </c>
      <c r="I316">
        <f t="shared" si="51"/>
        <v>1814459780</v>
      </c>
      <c r="J316" s="1">
        <f t="shared" si="52"/>
        <v>1</v>
      </c>
      <c r="K316" s="1">
        <f t="shared" si="53"/>
        <v>1814459780</v>
      </c>
      <c r="L316" s="1">
        <f t="shared" si="54"/>
        <v>486880040.96666664</v>
      </c>
      <c r="M316" s="3">
        <f t="shared" si="55"/>
        <v>10891.617284624455</v>
      </c>
      <c r="N316" s="7">
        <f t="shared" si="60"/>
        <v>486880041</v>
      </c>
      <c r="O316" s="7">
        <f t="shared" si="56"/>
        <v>10891</v>
      </c>
      <c r="P316" s="3">
        <f>SUM($O$4:O316)</f>
        <v>632210</v>
      </c>
      <c r="Y316" s="3">
        <f t="shared" si="57"/>
        <v>313</v>
      </c>
      <c r="Z316" s="3">
        <f t="shared" si="58"/>
        <v>1342131120</v>
      </c>
      <c r="AB316" s="7">
        <f t="shared" si="59"/>
        <v>13040</v>
      </c>
    </row>
    <row r="317" spans="6:28" x14ac:dyDescent="0.15">
      <c r="F317">
        <f t="shared" si="49"/>
        <v>45</v>
      </c>
      <c r="G317">
        <v>314</v>
      </c>
      <c r="H317">
        <f t="shared" si="50"/>
        <v>1814459779.8590813</v>
      </c>
      <c r="I317">
        <f t="shared" si="51"/>
        <v>1814459780</v>
      </c>
      <c r="J317" s="1">
        <f t="shared" si="52"/>
        <v>1</v>
      </c>
      <c r="K317" s="1">
        <f t="shared" si="53"/>
        <v>1814459780</v>
      </c>
      <c r="L317" s="1">
        <f t="shared" si="54"/>
        <v>486880040.96666664</v>
      </c>
      <c r="M317" s="3">
        <f t="shared" si="55"/>
        <v>10891.617284624455</v>
      </c>
      <c r="N317" s="7">
        <f t="shared" si="60"/>
        <v>486880041</v>
      </c>
      <c r="O317" s="7">
        <f t="shared" si="56"/>
        <v>10891</v>
      </c>
      <c r="P317" s="3">
        <f>SUM($O$4:O317)</f>
        <v>643101</v>
      </c>
      <c r="Y317" s="3">
        <f t="shared" si="57"/>
        <v>314</v>
      </c>
      <c r="Z317" s="3">
        <f t="shared" si="58"/>
        <v>1413740033</v>
      </c>
      <c r="AB317" s="7">
        <f t="shared" si="59"/>
        <v>13040</v>
      </c>
    </row>
    <row r="318" spans="6:28" x14ac:dyDescent="0.15">
      <c r="F318">
        <f t="shared" si="49"/>
        <v>45</v>
      </c>
      <c r="G318">
        <v>315</v>
      </c>
      <c r="H318">
        <f t="shared" si="50"/>
        <v>1814459779.8590813</v>
      </c>
      <c r="I318">
        <f t="shared" si="51"/>
        <v>1814459780</v>
      </c>
      <c r="J318" s="1">
        <f t="shared" si="52"/>
        <v>10</v>
      </c>
      <c r="K318" s="1">
        <f t="shared" si="53"/>
        <v>18144597800</v>
      </c>
      <c r="L318" s="1">
        <f t="shared" si="54"/>
        <v>4868800409.666667</v>
      </c>
      <c r="M318" s="3">
        <f t="shared" si="55"/>
        <v>108916.17284624459</v>
      </c>
      <c r="N318" s="7">
        <f t="shared" si="60"/>
        <v>4868800410</v>
      </c>
      <c r="O318" s="7">
        <f t="shared" si="56"/>
        <v>108916</v>
      </c>
      <c r="P318" s="3">
        <f>SUM($O$4:O318)</f>
        <v>752017</v>
      </c>
      <c r="Y318" s="3">
        <f t="shared" si="57"/>
        <v>315</v>
      </c>
      <c r="Z318" s="3">
        <f t="shared" si="58"/>
        <v>1489154509</v>
      </c>
      <c r="AB318" s="7">
        <f t="shared" si="59"/>
        <v>13040</v>
      </c>
    </row>
    <row r="319" spans="6:28" x14ac:dyDescent="0.15">
      <c r="F319">
        <f t="shared" si="49"/>
        <v>46</v>
      </c>
      <c r="G319">
        <v>316</v>
      </c>
      <c r="H319">
        <f t="shared" si="50"/>
        <v>2848701854.378758</v>
      </c>
      <c r="I319">
        <f t="shared" si="51"/>
        <v>2848701854</v>
      </c>
      <c r="J319" s="1">
        <f t="shared" si="52"/>
        <v>1</v>
      </c>
      <c r="K319" s="1">
        <f t="shared" si="53"/>
        <v>2848701854</v>
      </c>
      <c r="L319" s="1">
        <f t="shared" si="54"/>
        <v>772947769.71866667</v>
      </c>
      <c r="M319" s="3">
        <f t="shared" si="55"/>
        <v>13300.78266074788</v>
      </c>
      <c r="N319" s="7">
        <f t="shared" si="60"/>
        <v>772947770</v>
      </c>
      <c r="O319" s="7">
        <f t="shared" si="56"/>
        <v>13300</v>
      </c>
      <c r="P319" s="3">
        <f>SUM($O$4:O319)</f>
        <v>765317</v>
      </c>
      <c r="Y319" s="3">
        <f t="shared" si="57"/>
        <v>316</v>
      </c>
      <c r="Z319" s="3">
        <f t="shared" si="58"/>
        <v>1568576083</v>
      </c>
      <c r="AB319" s="7">
        <f t="shared" si="59"/>
        <v>13040</v>
      </c>
    </row>
    <row r="320" spans="6:28" x14ac:dyDescent="0.15">
      <c r="F320">
        <f t="shared" si="49"/>
        <v>46</v>
      </c>
      <c r="G320">
        <v>317</v>
      </c>
      <c r="H320">
        <f t="shared" si="50"/>
        <v>2848701854.378758</v>
      </c>
      <c r="I320">
        <f t="shared" si="51"/>
        <v>2848701854</v>
      </c>
      <c r="J320" s="1">
        <f t="shared" si="52"/>
        <v>1</v>
      </c>
      <c r="K320" s="1">
        <f t="shared" si="53"/>
        <v>2848701854</v>
      </c>
      <c r="L320" s="1">
        <f t="shared" si="54"/>
        <v>772947769.71866667</v>
      </c>
      <c r="M320" s="3">
        <f t="shared" si="55"/>
        <v>13300.78266074788</v>
      </c>
      <c r="N320" s="7">
        <f t="shared" si="60"/>
        <v>772947770</v>
      </c>
      <c r="O320" s="7">
        <f t="shared" si="56"/>
        <v>13300</v>
      </c>
      <c r="P320" s="3">
        <f>SUM($O$4:O320)</f>
        <v>778617</v>
      </c>
      <c r="Y320" s="3">
        <f t="shared" si="57"/>
        <v>317</v>
      </c>
      <c r="Z320" s="3">
        <f t="shared" si="58"/>
        <v>1652216928</v>
      </c>
      <c r="AB320" s="7">
        <f t="shared" si="59"/>
        <v>13040</v>
      </c>
    </row>
    <row r="321" spans="6:28" x14ac:dyDescent="0.15">
      <c r="F321">
        <f t="shared" si="49"/>
        <v>46</v>
      </c>
      <c r="G321">
        <v>318</v>
      </c>
      <c r="H321">
        <f t="shared" si="50"/>
        <v>2848701854.378758</v>
      </c>
      <c r="I321">
        <f t="shared" si="51"/>
        <v>2848701854</v>
      </c>
      <c r="J321" s="1">
        <f t="shared" si="52"/>
        <v>1</v>
      </c>
      <c r="K321" s="1">
        <f t="shared" si="53"/>
        <v>2848701854</v>
      </c>
      <c r="L321" s="1">
        <f t="shared" si="54"/>
        <v>772947769.71866667</v>
      </c>
      <c r="M321" s="3">
        <f t="shared" si="55"/>
        <v>13300.78266074788</v>
      </c>
      <c r="N321" s="7">
        <f t="shared" si="60"/>
        <v>772947770</v>
      </c>
      <c r="O321" s="7">
        <f t="shared" si="56"/>
        <v>13300</v>
      </c>
      <c r="P321" s="3">
        <f>SUM($O$4:O321)</f>
        <v>791917</v>
      </c>
      <c r="Y321" s="3">
        <f t="shared" si="57"/>
        <v>318</v>
      </c>
      <c r="Z321" s="3">
        <f t="shared" si="58"/>
        <v>1740300417</v>
      </c>
      <c r="AB321" s="7">
        <f t="shared" si="59"/>
        <v>13040</v>
      </c>
    </row>
    <row r="322" spans="6:28" x14ac:dyDescent="0.15">
      <c r="F322">
        <f t="shared" si="49"/>
        <v>46</v>
      </c>
      <c r="G322">
        <v>319</v>
      </c>
      <c r="H322">
        <f t="shared" si="50"/>
        <v>2848701854.378758</v>
      </c>
      <c r="I322">
        <f t="shared" si="51"/>
        <v>2848701854</v>
      </c>
      <c r="J322" s="1">
        <f t="shared" si="52"/>
        <v>1</v>
      </c>
      <c r="K322" s="1">
        <f t="shared" si="53"/>
        <v>2848701854</v>
      </c>
      <c r="L322" s="1">
        <f t="shared" si="54"/>
        <v>772947769.71866667</v>
      </c>
      <c r="M322" s="3">
        <f t="shared" si="55"/>
        <v>13300.78266074788</v>
      </c>
      <c r="N322" s="7">
        <f t="shared" si="60"/>
        <v>772947770</v>
      </c>
      <c r="O322" s="7">
        <f t="shared" si="56"/>
        <v>13300</v>
      </c>
      <c r="P322" s="3">
        <f>SUM($O$4:O322)</f>
        <v>805217</v>
      </c>
      <c r="Y322" s="3">
        <f t="shared" si="57"/>
        <v>319</v>
      </c>
      <c r="Z322" s="3">
        <f t="shared" si="58"/>
        <v>1833061713</v>
      </c>
      <c r="AB322" s="7">
        <f t="shared" si="59"/>
        <v>13040</v>
      </c>
    </row>
    <row r="323" spans="6:28" x14ac:dyDescent="0.15">
      <c r="F323">
        <f t="shared" si="49"/>
        <v>46</v>
      </c>
      <c r="G323">
        <v>320</v>
      </c>
      <c r="H323">
        <f t="shared" si="50"/>
        <v>2848701854.378758</v>
      </c>
      <c r="I323">
        <f t="shared" si="51"/>
        <v>2848701854</v>
      </c>
      <c r="J323" s="1">
        <f t="shared" si="52"/>
        <v>1</v>
      </c>
      <c r="K323" s="1">
        <f t="shared" si="53"/>
        <v>2848701854</v>
      </c>
      <c r="L323" s="1">
        <f t="shared" si="54"/>
        <v>772947769.71866667</v>
      </c>
      <c r="M323" s="3">
        <f t="shared" si="55"/>
        <v>13300.78266074788</v>
      </c>
      <c r="N323" s="7">
        <f t="shared" si="60"/>
        <v>772947770</v>
      </c>
      <c r="O323" s="7">
        <f t="shared" si="56"/>
        <v>13300</v>
      </c>
      <c r="P323" s="3">
        <f>SUM($O$4:O323)</f>
        <v>818517</v>
      </c>
      <c r="Y323" s="3">
        <f t="shared" si="57"/>
        <v>320</v>
      </c>
      <c r="Z323" s="3">
        <f t="shared" si="58"/>
        <v>1930748387</v>
      </c>
      <c r="AB323" s="7">
        <f t="shared" si="59"/>
        <v>13040</v>
      </c>
    </row>
    <row r="324" spans="6:28" x14ac:dyDescent="0.15">
      <c r="F324">
        <f t="shared" si="49"/>
        <v>46</v>
      </c>
      <c r="G324">
        <v>321</v>
      </c>
      <c r="H324">
        <f t="shared" si="50"/>
        <v>2848701854.378758</v>
      </c>
      <c r="I324">
        <f t="shared" si="51"/>
        <v>2848701854</v>
      </c>
      <c r="J324" s="1">
        <f t="shared" si="52"/>
        <v>1</v>
      </c>
      <c r="K324" s="1">
        <f t="shared" si="53"/>
        <v>2848701854</v>
      </c>
      <c r="L324" s="1">
        <f t="shared" si="54"/>
        <v>772947769.71866667</v>
      </c>
      <c r="M324" s="3">
        <f t="shared" si="55"/>
        <v>13300.78266074788</v>
      </c>
      <c r="N324" s="7">
        <f t="shared" si="60"/>
        <v>772947770</v>
      </c>
      <c r="O324" s="7">
        <f t="shared" si="56"/>
        <v>13300</v>
      </c>
      <c r="P324" s="3">
        <f>SUM($O$4:O324)</f>
        <v>831817</v>
      </c>
      <c r="Y324" s="3">
        <f t="shared" si="57"/>
        <v>321</v>
      </c>
      <c r="Z324" s="3">
        <f t="shared" si="58"/>
        <v>2033621075</v>
      </c>
      <c r="AB324" s="7">
        <f t="shared" si="59"/>
        <v>13040</v>
      </c>
    </row>
    <row r="325" spans="6:28" x14ac:dyDescent="0.15">
      <c r="F325">
        <f t="shared" ref="F325:F388" si="61">ROUNDUP(G325/$C$4,0)</f>
        <v>46</v>
      </c>
      <c r="G325">
        <v>322</v>
      </c>
      <c r="H325">
        <f t="shared" ref="H325:H388" si="62">18.5*1.57^MIN(F325,156)*1.17^MAX(F325-156,0)*$C$5</f>
        <v>2848701854.378758</v>
      </c>
      <c r="I325">
        <f t="shared" ref="I325:I388" si="63">ROUND(H325,0)</f>
        <v>2848701854</v>
      </c>
      <c r="J325" s="1">
        <f t="shared" ref="J325:J388" si="64">IF(F325=F326,1,LOOKUP(MOD(F325,5),$D$6:$D$10,$C$6:$C$10))</f>
        <v>2</v>
      </c>
      <c r="K325" s="1">
        <f t="shared" ref="K325:K388" si="65">J325*I325</f>
        <v>5697403708</v>
      </c>
      <c r="L325" s="1">
        <f t="shared" ref="L325:L388" si="66">K325*(0.02+0.00045*F325)/$C$5</f>
        <v>1545895539.4373333</v>
      </c>
      <c r="M325" s="3">
        <f t="shared" ref="M325:M388" si="67">L325/(1.3^F325)*3</f>
        <v>26601.56532149576</v>
      </c>
      <c r="N325" s="7">
        <f t="shared" si="60"/>
        <v>1545895539</v>
      </c>
      <c r="O325" s="7">
        <f t="shared" ref="O325:O388" si="68">ROUNDDOWN(M325,0)</f>
        <v>26601</v>
      </c>
      <c r="P325" s="3">
        <f>SUM($O$4:O325)</f>
        <v>858418</v>
      </c>
      <c r="Y325" s="3">
        <f t="shared" ref="Y325:Y388" si="69">G325</f>
        <v>322</v>
      </c>
      <c r="Z325" s="3">
        <f t="shared" ref="Z325:Z388" si="70">ROUND(1.05^Y325*Y325,0)</f>
        <v>2141954160</v>
      </c>
      <c r="AB325" s="7">
        <f t="shared" ref="AB325:AB388" si="71">LOOKUP(Y325,T:T,P:P)</f>
        <v>13040</v>
      </c>
    </row>
    <row r="326" spans="6:28" x14ac:dyDescent="0.15">
      <c r="F326">
        <f t="shared" si="61"/>
        <v>47</v>
      </c>
      <c r="G326">
        <v>323</v>
      </c>
      <c r="H326">
        <f t="shared" si="62"/>
        <v>4472461911.37465</v>
      </c>
      <c r="I326">
        <f t="shared" si="63"/>
        <v>4472461911</v>
      </c>
      <c r="J326" s="1">
        <f t="shared" si="64"/>
        <v>1</v>
      </c>
      <c r="K326" s="1">
        <f t="shared" si="65"/>
        <v>4472461911</v>
      </c>
      <c r="L326" s="1">
        <f t="shared" si="66"/>
        <v>1226945384.2509999</v>
      </c>
      <c r="M326" s="3">
        <f t="shared" si="67"/>
        <v>16240.856439826423</v>
      </c>
      <c r="N326" s="7">
        <f t="shared" si="60"/>
        <v>1226945384</v>
      </c>
      <c r="O326" s="7">
        <f t="shared" si="68"/>
        <v>16240</v>
      </c>
      <c r="P326" s="3">
        <f>SUM($O$4:O326)</f>
        <v>874658</v>
      </c>
      <c r="Y326" s="3">
        <f t="shared" si="69"/>
        <v>323</v>
      </c>
      <c r="Z326" s="3">
        <f t="shared" si="70"/>
        <v>2256036501</v>
      </c>
      <c r="AB326" s="7">
        <f t="shared" si="71"/>
        <v>13040</v>
      </c>
    </row>
    <row r="327" spans="6:28" x14ac:dyDescent="0.15">
      <c r="F327">
        <f t="shared" si="61"/>
        <v>47</v>
      </c>
      <c r="G327">
        <v>324</v>
      </c>
      <c r="H327">
        <f t="shared" si="62"/>
        <v>4472461911.37465</v>
      </c>
      <c r="I327">
        <f t="shared" si="63"/>
        <v>4472461911</v>
      </c>
      <c r="J327" s="1">
        <f t="shared" si="64"/>
        <v>1</v>
      </c>
      <c r="K327" s="1">
        <f t="shared" si="65"/>
        <v>4472461911</v>
      </c>
      <c r="L327" s="1">
        <f t="shared" si="66"/>
        <v>1226945384.2509999</v>
      </c>
      <c r="M327" s="3">
        <f t="shared" si="67"/>
        <v>16240.856439826423</v>
      </c>
      <c r="N327" s="7">
        <f t="shared" si="60"/>
        <v>1226945384</v>
      </c>
      <c r="O327" s="7">
        <f t="shared" si="68"/>
        <v>16240</v>
      </c>
      <c r="P327" s="3">
        <f>SUM($O$4:O327)</f>
        <v>890898</v>
      </c>
      <c r="Y327" s="3">
        <f t="shared" si="69"/>
        <v>324</v>
      </c>
      <c r="Z327" s="3">
        <f t="shared" si="70"/>
        <v>2376172191</v>
      </c>
      <c r="AB327" s="7">
        <f t="shared" si="71"/>
        <v>13040</v>
      </c>
    </row>
    <row r="328" spans="6:28" x14ac:dyDescent="0.15">
      <c r="F328">
        <f t="shared" si="61"/>
        <v>47</v>
      </c>
      <c r="G328">
        <v>325</v>
      </c>
      <c r="H328">
        <f t="shared" si="62"/>
        <v>4472461911.37465</v>
      </c>
      <c r="I328">
        <f t="shared" si="63"/>
        <v>4472461911</v>
      </c>
      <c r="J328" s="1">
        <f t="shared" si="64"/>
        <v>1</v>
      </c>
      <c r="K328" s="1">
        <f t="shared" si="65"/>
        <v>4472461911</v>
      </c>
      <c r="L328" s="1">
        <f t="shared" si="66"/>
        <v>1226945384.2509999</v>
      </c>
      <c r="M328" s="3">
        <f t="shared" si="67"/>
        <v>16240.856439826423</v>
      </c>
      <c r="N328" s="7">
        <f t="shared" ref="N328:N391" si="72">ROUND(L328,0)</f>
        <v>1226945384</v>
      </c>
      <c r="O328" s="7">
        <f t="shared" si="68"/>
        <v>16240</v>
      </c>
      <c r="P328" s="3">
        <f>SUM($O$4:O328)</f>
        <v>907138</v>
      </c>
      <c r="Y328" s="3">
        <f t="shared" si="69"/>
        <v>325</v>
      </c>
      <c r="Z328" s="3">
        <f t="shared" si="70"/>
        <v>2502681358</v>
      </c>
      <c r="AB328" s="7">
        <f t="shared" si="71"/>
        <v>13040</v>
      </c>
    </row>
    <row r="329" spans="6:28" x14ac:dyDescent="0.15">
      <c r="F329">
        <f t="shared" si="61"/>
        <v>47</v>
      </c>
      <c r="G329">
        <v>326</v>
      </c>
      <c r="H329">
        <f t="shared" si="62"/>
        <v>4472461911.37465</v>
      </c>
      <c r="I329">
        <f t="shared" si="63"/>
        <v>4472461911</v>
      </c>
      <c r="J329" s="1">
        <f t="shared" si="64"/>
        <v>1</v>
      </c>
      <c r="K329" s="1">
        <f t="shared" si="65"/>
        <v>4472461911</v>
      </c>
      <c r="L329" s="1">
        <f t="shared" si="66"/>
        <v>1226945384.2509999</v>
      </c>
      <c r="M329" s="3">
        <f t="shared" si="67"/>
        <v>16240.856439826423</v>
      </c>
      <c r="N329" s="7">
        <f t="shared" si="72"/>
        <v>1226945384</v>
      </c>
      <c r="O329" s="7">
        <f t="shared" si="68"/>
        <v>16240</v>
      </c>
      <c r="P329" s="3">
        <f>SUM($O$4:O329)</f>
        <v>923378</v>
      </c>
      <c r="Y329" s="3">
        <f t="shared" si="69"/>
        <v>326</v>
      </c>
      <c r="Z329" s="3">
        <f t="shared" si="70"/>
        <v>2635901012</v>
      </c>
      <c r="AB329" s="7">
        <f t="shared" si="71"/>
        <v>13040</v>
      </c>
    </row>
    <row r="330" spans="6:28" x14ac:dyDescent="0.15">
      <c r="F330">
        <f t="shared" si="61"/>
        <v>47</v>
      </c>
      <c r="G330">
        <v>327</v>
      </c>
      <c r="H330">
        <f t="shared" si="62"/>
        <v>4472461911.37465</v>
      </c>
      <c r="I330">
        <f t="shared" si="63"/>
        <v>4472461911</v>
      </c>
      <c r="J330" s="1">
        <f t="shared" si="64"/>
        <v>1</v>
      </c>
      <c r="K330" s="1">
        <f t="shared" si="65"/>
        <v>4472461911</v>
      </c>
      <c r="L330" s="1">
        <f t="shared" si="66"/>
        <v>1226945384.2509999</v>
      </c>
      <c r="M330" s="3">
        <f t="shared" si="67"/>
        <v>16240.856439826423</v>
      </c>
      <c r="N330" s="7">
        <f t="shared" si="72"/>
        <v>1226945384</v>
      </c>
      <c r="O330" s="7">
        <f t="shared" si="68"/>
        <v>16240</v>
      </c>
      <c r="P330" s="3">
        <f>SUM($O$4:O330)</f>
        <v>939618</v>
      </c>
      <c r="Y330" s="3">
        <f t="shared" si="69"/>
        <v>327</v>
      </c>
      <c r="Z330" s="3">
        <f t="shared" si="70"/>
        <v>2776185928</v>
      </c>
      <c r="AB330" s="7">
        <f t="shared" si="71"/>
        <v>13040</v>
      </c>
    </row>
    <row r="331" spans="6:28" x14ac:dyDescent="0.15">
      <c r="F331">
        <f t="shared" si="61"/>
        <v>47</v>
      </c>
      <c r="G331">
        <v>328</v>
      </c>
      <c r="H331">
        <f t="shared" si="62"/>
        <v>4472461911.37465</v>
      </c>
      <c r="I331">
        <f t="shared" si="63"/>
        <v>4472461911</v>
      </c>
      <c r="J331" s="1">
        <f t="shared" si="64"/>
        <v>1</v>
      </c>
      <c r="K331" s="1">
        <f t="shared" si="65"/>
        <v>4472461911</v>
      </c>
      <c r="L331" s="1">
        <f t="shared" si="66"/>
        <v>1226945384.2509999</v>
      </c>
      <c r="M331" s="3">
        <f t="shared" si="67"/>
        <v>16240.856439826423</v>
      </c>
      <c r="N331" s="7">
        <f t="shared" si="72"/>
        <v>1226945384</v>
      </c>
      <c r="O331" s="7">
        <f t="shared" si="68"/>
        <v>16240</v>
      </c>
      <c r="P331" s="3">
        <f>SUM($O$4:O331)</f>
        <v>955858</v>
      </c>
      <c r="Y331" s="3">
        <f t="shared" si="69"/>
        <v>328</v>
      </c>
      <c r="Z331" s="3">
        <f t="shared" si="70"/>
        <v>2923909583</v>
      </c>
      <c r="AB331" s="7">
        <f t="shared" si="71"/>
        <v>13040</v>
      </c>
    </row>
    <row r="332" spans="6:28" x14ac:dyDescent="0.15">
      <c r="F332">
        <f t="shared" si="61"/>
        <v>47</v>
      </c>
      <c r="G332">
        <v>329</v>
      </c>
      <c r="H332">
        <f t="shared" si="62"/>
        <v>4472461911.37465</v>
      </c>
      <c r="I332">
        <f t="shared" si="63"/>
        <v>4472461911</v>
      </c>
      <c r="J332" s="1">
        <f t="shared" si="64"/>
        <v>4</v>
      </c>
      <c r="K332" s="1">
        <f t="shared" si="65"/>
        <v>17889847644</v>
      </c>
      <c r="L332" s="1">
        <f t="shared" si="66"/>
        <v>4907781537.0039997</v>
      </c>
      <c r="M332" s="3">
        <f t="shared" si="67"/>
        <v>64963.42575930569</v>
      </c>
      <c r="N332" s="7">
        <f t="shared" si="72"/>
        <v>4907781537</v>
      </c>
      <c r="O332" s="7">
        <f t="shared" si="68"/>
        <v>64963</v>
      </c>
      <c r="P332" s="3">
        <f>SUM($O$4:O332)</f>
        <v>1020821</v>
      </c>
      <c r="Y332" s="3">
        <f t="shared" si="69"/>
        <v>329</v>
      </c>
      <c r="Z332" s="3">
        <f t="shared" si="70"/>
        <v>3079465138</v>
      </c>
      <c r="AB332" s="7">
        <f t="shared" si="71"/>
        <v>13040</v>
      </c>
    </row>
    <row r="333" spans="6:28" x14ac:dyDescent="0.15">
      <c r="F333">
        <f t="shared" si="61"/>
        <v>48</v>
      </c>
      <c r="G333">
        <v>330</v>
      </c>
      <c r="H333">
        <f t="shared" si="62"/>
        <v>7021765200.8581991</v>
      </c>
      <c r="I333">
        <f t="shared" si="63"/>
        <v>7021765201</v>
      </c>
      <c r="J333" s="1">
        <f t="shared" si="64"/>
        <v>1</v>
      </c>
      <c r="K333" s="1">
        <f t="shared" si="65"/>
        <v>7021765201</v>
      </c>
      <c r="L333" s="1">
        <f t="shared" si="66"/>
        <v>1947369549.0773332</v>
      </c>
      <c r="M333" s="3">
        <f t="shared" si="67"/>
        <v>19828.447815837346</v>
      </c>
      <c r="N333" s="7">
        <f t="shared" si="72"/>
        <v>1947369549</v>
      </c>
      <c r="O333" s="7">
        <f t="shared" si="68"/>
        <v>19828</v>
      </c>
      <c r="P333" s="3">
        <f>SUM($O$4:O333)</f>
        <v>1040649</v>
      </c>
      <c r="Y333" s="3">
        <f t="shared" si="69"/>
        <v>330</v>
      </c>
      <c r="Z333" s="3">
        <f t="shared" si="70"/>
        <v>3243266476</v>
      </c>
      <c r="AB333" s="7">
        <f t="shared" si="71"/>
        <v>13040</v>
      </c>
    </row>
    <row r="334" spans="6:28" x14ac:dyDescent="0.15">
      <c r="F334">
        <f t="shared" si="61"/>
        <v>48</v>
      </c>
      <c r="G334">
        <v>331</v>
      </c>
      <c r="H334">
        <f t="shared" si="62"/>
        <v>7021765200.8581991</v>
      </c>
      <c r="I334">
        <f t="shared" si="63"/>
        <v>7021765201</v>
      </c>
      <c r="J334" s="1">
        <f t="shared" si="64"/>
        <v>1</v>
      </c>
      <c r="K334" s="1">
        <f t="shared" si="65"/>
        <v>7021765201</v>
      </c>
      <c r="L334" s="1">
        <f t="shared" si="66"/>
        <v>1947369549.0773332</v>
      </c>
      <c r="M334" s="3">
        <f t="shared" si="67"/>
        <v>19828.447815837346</v>
      </c>
      <c r="N334" s="7">
        <f t="shared" si="72"/>
        <v>1947369549</v>
      </c>
      <c r="O334" s="7">
        <f t="shared" si="68"/>
        <v>19828</v>
      </c>
      <c r="P334" s="3">
        <f>SUM($O$4:O334)</f>
        <v>1060477</v>
      </c>
      <c r="Y334" s="3">
        <f t="shared" si="69"/>
        <v>331</v>
      </c>
      <c r="Z334" s="3">
        <f t="shared" si="70"/>
        <v>3415749284</v>
      </c>
      <c r="AB334" s="7">
        <f t="shared" si="71"/>
        <v>13040</v>
      </c>
    </row>
    <row r="335" spans="6:28" x14ac:dyDescent="0.15">
      <c r="F335">
        <f t="shared" si="61"/>
        <v>48</v>
      </c>
      <c r="G335">
        <v>332</v>
      </c>
      <c r="H335">
        <f t="shared" si="62"/>
        <v>7021765200.8581991</v>
      </c>
      <c r="I335">
        <f t="shared" si="63"/>
        <v>7021765201</v>
      </c>
      <c r="J335" s="1">
        <f t="shared" si="64"/>
        <v>1</v>
      </c>
      <c r="K335" s="1">
        <f t="shared" si="65"/>
        <v>7021765201</v>
      </c>
      <c r="L335" s="1">
        <f t="shared" si="66"/>
        <v>1947369549.0773332</v>
      </c>
      <c r="M335" s="3">
        <f t="shared" si="67"/>
        <v>19828.447815837346</v>
      </c>
      <c r="N335" s="7">
        <f t="shared" si="72"/>
        <v>1947369549</v>
      </c>
      <c r="O335" s="7">
        <f t="shared" si="68"/>
        <v>19828</v>
      </c>
      <c r="P335" s="3">
        <f>SUM($O$4:O335)</f>
        <v>1080305</v>
      </c>
      <c r="Y335" s="3">
        <f t="shared" si="69"/>
        <v>332</v>
      </c>
      <c r="Z335" s="3">
        <f t="shared" si="70"/>
        <v>3597372206</v>
      </c>
      <c r="AB335" s="7">
        <f t="shared" si="71"/>
        <v>13040</v>
      </c>
    </row>
    <row r="336" spans="6:28" x14ac:dyDescent="0.15">
      <c r="F336">
        <f t="shared" si="61"/>
        <v>48</v>
      </c>
      <c r="G336">
        <v>333</v>
      </c>
      <c r="H336">
        <f t="shared" si="62"/>
        <v>7021765200.8581991</v>
      </c>
      <c r="I336">
        <f t="shared" si="63"/>
        <v>7021765201</v>
      </c>
      <c r="J336" s="1">
        <f t="shared" si="64"/>
        <v>1</v>
      </c>
      <c r="K336" s="1">
        <f t="shared" si="65"/>
        <v>7021765201</v>
      </c>
      <c r="L336" s="1">
        <f t="shared" si="66"/>
        <v>1947369549.0773332</v>
      </c>
      <c r="M336" s="3">
        <f t="shared" si="67"/>
        <v>19828.447815837346</v>
      </c>
      <c r="N336" s="7">
        <f t="shared" si="72"/>
        <v>1947369549</v>
      </c>
      <c r="O336" s="7">
        <f t="shared" si="68"/>
        <v>19828</v>
      </c>
      <c r="P336" s="3">
        <f>SUM($O$4:O336)</f>
        <v>1100133</v>
      </c>
      <c r="Y336" s="3">
        <f t="shared" si="69"/>
        <v>333</v>
      </c>
      <c r="Z336" s="3">
        <f t="shared" si="70"/>
        <v>3788618048</v>
      </c>
      <c r="AB336" s="7">
        <f t="shared" si="71"/>
        <v>13040</v>
      </c>
    </row>
    <row r="337" spans="6:28" x14ac:dyDescent="0.15">
      <c r="F337">
        <f t="shared" si="61"/>
        <v>48</v>
      </c>
      <c r="G337">
        <v>334</v>
      </c>
      <c r="H337">
        <f t="shared" si="62"/>
        <v>7021765200.8581991</v>
      </c>
      <c r="I337">
        <f t="shared" si="63"/>
        <v>7021765201</v>
      </c>
      <c r="J337" s="1">
        <f t="shared" si="64"/>
        <v>1</v>
      </c>
      <c r="K337" s="1">
        <f t="shared" si="65"/>
        <v>7021765201</v>
      </c>
      <c r="L337" s="1">
        <f t="shared" si="66"/>
        <v>1947369549.0773332</v>
      </c>
      <c r="M337" s="3">
        <f t="shared" si="67"/>
        <v>19828.447815837346</v>
      </c>
      <c r="N337" s="7">
        <f t="shared" si="72"/>
        <v>1947369549</v>
      </c>
      <c r="O337" s="7">
        <f t="shared" si="68"/>
        <v>19828</v>
      </c>
      <c r="P337" s="3">
        <f>SUM($O$4:O337)</f>
        <v>1119961</v>
      </c>
      <c r="Y337" s="3">
        <f t="shared" si="69"/>
        <v>334</v>
      </c>
      <c r="Z337" s="3">
        <f t="shared" si="70"/>
        <v>3989995043</v>
      </c>
      <c r="AB337" s="7">
        <f t="shared" si="71"/>
        <v>13040</v>
      </c>
    </row>
    <row r="338" spans="6:28" x14ac:dyDescent="0.15">
      <c r="F338">
        <f t="shared" si="61"/>
        <v>48</v>
      </c>
      <c r="G338">
        <v>335</v>
      </c>
      <c r="H338">
        <f t="shared" si="62"/>
        <v>7021765200.8581991</v>
      </c>
      <c r="I338">
        <f t="shared" si="63"/>
        <v>7021765201</v>
      </c>
      <c r="J338" s="1">
        <f t="shared" si="64"/>
        <v>1</v>
      </c>
      <c r="K338" s="1">
        <f t="shared" si="65"/>
        <v>7021765201</v>
      </c>
      <c r="L338" s="1">
        <f t="shared" si="66"/>
        <v>1947369549.0773332</v>
      </c>
      <c r="M338" s="3">
        <f t="shared" si="67"/>
        <v>19828.447815837346</v>
      </c>
      <c r="N338" s="7">
        <f t="shared" si="72"/>
        <v>1947369549</v>
      </c>
      <c r="O338" s="7">
        <f t="shared" si="68"/>
        <v>19828</v>
      </c>
      <c r="P338" s="3">
        <f>SUM($O$4:O338)</f>
        <v>1139789</v>
      </c>
      <c r="Y338" s="3">
        <f t="shared" si="69"/>
        <v>335</v>
      </c>
      <c r="Z338" s="3">
        <f t="shared" si="70"/>
        <v>4202038193</v>
      </c>
      <c r="AB338" s="7">
        <f t="shared" si="71"/>
        <v>13040</v>
      </c>
    </row>
    <row r="339" spans="6:28" x14ac:dyDescent="0.15">
      <c r="F339">
        <f t="shared" si="61"/>
        <v>48</v>
      </c>
      <c r="G339">
        <v>336</v>
      </c>
      <c r="H339">
        <f t="shared" si="62"/>
        <v>7021765200.8581991</v>
      </c>
      <c r="I339">
        <f t="shared" si="63"/>
        <v>7021765201</v>
      </c>
      <c r="J339" s="1">
        <f t="shared" si="64"/>
        <v>6</v>
      </c>
      <c r="K339" s="1">
        <f t="shared" si="65"/>
        <v>42130591206</v>
      </c>
      <c r="L339" s="1">
        <f t="shared" si="66"/>
        <v>11684217294.464001</v>
      </c>
      <c r="M339" s="3">
        <f t="shared" si="67"/>
        <v>118970.68689502408</v>
      </c>
      <c r="N339" s="7">
        <f t="shared" si="72"/>
        <v>11684217294</v>
      </c>
      <c r="O339" s="7">
        <f t="shared" si="68"/>
        <v>118970</v>
      </c>
      <c r="P339" s="3">
        <f>SUM($O$4:O339)</f>
        <v>1258759</v>
      </c>
      <c r="Y339" s="3">
        <f t="shared" si="69"/>
        <v>336</v>
      </c>
      <c r="Z339" s="3">
        <f t="shared" si="70"/>
        <v>4425310670</v>
      </c>
      <c r="AB339" s="7">
        <f t="shared" si="71"/>
        <v>13040</v>
      </c>
    </row>
    <row r="340" spans="6:28" x14ac:dyDescent="0.15">
      <c r="F340">
        <f t="shared" si="61"/>
        <v>49</v>
      </c>
      <c r="G340">
        <v>337</v>
      </c>
      <c r="H340">
        <f t="shared" si="62"/>
        <v>11024171365.347372</v>
      </c>
      <c r="I340">
        <f t="shared" si="63"/>
        <v>11024171365</v>
      </c>
      <c r="J340" s="1">
        <f t="shared" si="64"/>
        <v>1</v>
      </c>
      <c r="K340" s="1">
        <f t="shared" si="65"/>
        <v>11024171365</v>
      </c>
      <c r="L340" s="1">
        <f t="shared" si="66"/>
        <v>3090442705.9883337</v>
      </c>
      <c r="M340" s="3">
        <f t="shared" si="67"/>
        <v>24205.702331031331</v>
      </c>
      <c r="N340" s="7">
        <f t="shared" si="72"/>
        <v>3090442706</v>
      </c>
      <c r="O340" s="7">
        <f t="shared" si="68"/>
        <v>24205</v>
      </c>
      <c r="P340" s="3">
        <f>SUM($O$4:O340)</f>
        <v>1282964</v>
      </c>
      <c r="Y340" s="3">
        <f t="shared" si="69"/>
        <v>337</v>
      </c>
      <c r="Z340" s="3">
        <f t="shared" si="70"/>
        <v>4660405300</v>
      </c>
      <c r="AB340" s="7">
        <f t="shared" si="71"/>
        <v>13040</v>
      </c>
    </row>
    <row r="341" spans="6:28" x14ac:dyDescent="0.15">
      <c r="F341">
        <f t="shared" si="61"/>
        <v>49</v>
      </c>
      <c r="G341">
        <v>338</v>
      </c>
      <c r="H341">
        <f t="shared" si="62"/>
        <v>11024171365.347372</v>
      </c>
      <c r="I341">
        <f t="shared" si="63"/>
        <v>11024171365</v>
      </c>
      <c r="J341" s="1">
        <f t="shared" si="64"/>
        <v>1</v>
      </c>
      <c r="K341" s="1">
        <f t="shared" si="65"/>
        <v>11024171365</v>
      </c>
      <c r="L341" s="1">
        <f t="shared" si="66"/>
        <v>3090442705.9883337</v>
      </c>
      <c r="M341" s="3">
        <f t="shared" si="67"/>
        <v>24205.702331031331</v>
      </c>
      <c r="N341" s="7">
        <f t="shared" si="72"/>
        <v>3090442706</v>
      </c>
      <c r="O341" s="7">
        <f t="shared" si="68"/>
        <v>24205</v>
      </c>
      <c r="P341" s="3">
        <f>SUM($O$4:O341)</f>
        <v>1307169</v>
      </c>
      <c r="Y341" s="3">
        <f t="shared" si="69"/>
        <v>338</v>
      </c>
      <c r="Z341" s="3">
        <f t="shared" si="70"/>
        <v>4907946115</v>
      </c>
      <c r="AB341" s="7">
        <f t="shared" si="71"/>
        <v>13040</v>
      </c>
    </row>
    <row r="342" spans="6:28" x14ac:dyDescent="0.15">
      <c r="F342">
        <f t="shared" si="61"/>
        <v>49</v>
      </c>
      <c r="G342">
        <v>339</v>
      </c>
      <c r="H342">
        <f t="shared" si="62"/>
        <v>11024171365.347372</v>
      </c>
      <c r="I342">
        <f t="shared" si="63"/>
        <v>11024171365</v>
      </c>
      <c r="J342" s="1">
        <f t="shared" si="64"/>
        <v>1</v>
      </c>
      <c r="K342" s="1">
        <f t="shared" si="65"/>
        <v>11024171365</v>
      </c>
      <c r="L342" s="1">
        <f t="shared" si="66"/>
        <v>3090442705.9883337</v>
      </c>
      <c r="M342" s="3">
        <f t="shared" si="67"/>
        <v>24205.702331031331</v>
      </c>
      <c r="N342" s="7">
        <f t="shared" si="72"/>
        <v>3090442706</v>
      </c>
      <c r="O342" s="7">
        <f t="shared" si="68"/>
        <v>24205</v>
      </c>
      <c r="P342" s="3">
        <f>SUM($O$4:O342)</f>
        <v>1331374</v>
      </c>
      <c r="Y342" s="3">
        <f t="shared" si="69"/>
        <v>339</v>
      </c>
      <c r="Z342" s="3">
        <f t="shared" si="70"/>
        <v>5168589999</v>
      </c>
      <c r="AB342" s="7">
        <f t="shared" si="71"/>
        <v>13040</v>
      </c>
    </row>
    <row r="343" spans="6:28" x14ac:dyDescent="0.15">
      <c r="F343">
        <f t="shared" si="61"/>
        <v>49</v>
      </c>
      <c r="G343">
        <v>340</v>
      </c>
      <c r="H343">
        <f t="shared" si="62"/>
        <v>11024171365.347372</v>
      </c>
      <c r="I343">
        <f t="shared" si="63"/>
        <v>11024171365</v>
      </c>
      <c r="J343" s="1">
        <f t="shared" si="64"/>
        <v>1</v>
      </c>
      <c r="K343" s="1">
        <f t="shared" si="65"/>
        <v>11024171365</v>
      </c>
      <c r="L343" s="1">
        <f t="shared" si="66"/>
        <v>3090442705.9883337</v>
      </c>
      <c r="M343" s="3">
        <f t="shared" si="67"/>
        <v>24205.702331031331</v>
      </c>
      <c r="N343" s="7">
        <f t="shared" si="72"/>
        <v>3090442706</v>
      </c>
      <c r="O343" s="7">
        <f t="shared" si="68"/>
        <v>24205</v>
      </c>
      <c r="P343" s="3">
        <f>SUM($O$4:O343)</f>
        <v>1355579</v>
      </c>
      <c r="Y343" s="3">
        <f t="shared" si="69"/>
        <v>340</v>
      </c>
      <c r="Z343" s="3">
        <f t="shared" si="70"/>
        <v>5443028406</v>
      </c>
      <c r="AB343" s="7">
        <f t="shared" si="71"/>
        <v>13040</v>
      </c>
    </row>
    <row r="344" spans="6:28" x14ac:dyDescent="0.15">
      <c r="F344">
        <f t="shared" si="61"/>
        <v>49</v>
      </c>
      <c r="G344">
        <v>341</v>
      </c>
      <c r="H344">
        <f t="shared" si="62"/>
        <v>11024171365.347372</v>
      </c>
      <c r="I344">
        <f t="shared" si="63"/>
        <v>11024171365</v>
      </c>
      <c r="J344" s="1">
        <f t="shared" si="64"/>
        <v>1</v>
      </c>
      <c r="K344" s="1">
        <f t="shared" si="65"/>
        <v>11024171365</v>
      </c>
      <c r="L344" s="1">
        <f t="shared" si="66"/>
        <v>3090442705.9883337</v>
      </c>
      <c r="M344" s="3">
        <f t="shared" si="67"/>
        <v>24205.702331031331</v>
      </c>
      <c r="N344" s="7">
        <f t="shared" si="72"/>
        <v>3090442706</v>
      </c>
      <c r="O344" s="7">
        <f t="shared" si="68"/>
        <v>24205</v>
      </c>
      <c r="P344" s="3">
        <f>SUM($O$4:O344)</f>
        <v>1379784</v>
      </c>
      <c r="Y344" s="3">
        <f t="shared" si="69"/>
        <v>341</v>
      </c>
      <c r="Z344" s="3">
        <f t="shared" si="70"/>
        <v>5731989179</v>
      </c>
      <c r="AB344" s="7">
        <f t="shared" si="71"/>
        <v>13040</v>
      </c>
    </row>
    <row r="345" spans="6:28" x14ac:dyDescent="0.15">
      <c r="F345">
        <f t="shared" si="61"/>
        <v>49</v>
      </c>
      <c r="G345">
        <v>342</v>
      </c>
      <c r="H345">
        <f t="shared" si="62"/>
        <v>11024171365.347372</v>
      </c>
      <c r="I345">
        <f t="shared" si="63"/>
        <v>11024171365</v>
      </c>
      <c r="J345" s="1">
        <f t="shared" si="64"/>
        <v>1</v>
      </c>
      <c r="K345" s="1">
        <f t="shared" si="65"/>
        <v>11024171365</v>
      </c>
      <c r="L345" s="1">
        <f t="shared" si="66"/>
        <v>3090442705.9883337</v>
      </c>
      <c r="M345" s="3">
        <f t="shared" si="67"/>
        <v>24205.702331031331</v>
      </c>
      <c r="N345" s="7">
        <f t="shared" si="72"/>
        <v>3090442706</v>
      </c>
      <c r="O345" s="7">
        <f t="shared" si="68"/>
        <v>24205</v>
      </c>
      <c r="P345" s="3">
        <f>SUM($O$4:O345)</f>
        <v>1403989</v>
      </c>
      <c r="Y345" s="3">
        <f t="shared" si="69"/>
        <v>342</v>
      </c>
      <c r="Z345" s="3">
        <f t="shared" si="70"/>
        <v>6036238458</v>
      </c>
      <c r="AB345" s="7">
        <f t="shared" si="71"/>
        <v>13040</v>
      </c>
    </row>
    <row r="346" spans="6:28" x14ac:dyDescent="0.15">
      <c r="F346">
        <f t="shared" si="61"/>
        <v>49</v>
      </c>
      <c r="G346">
        <v>343</v>
      </c>
      <c r="H346">
        <f t="shared" si="62"/>
        <v>11024171365.347372</v>
      </c>
      <c r="I346">
        <f t="shared" si="63"/>
        <v>11024171365</v>
      </c>
      <c r="J346" s="1">
        <f t="shared" si="64"/>
        <v>7</v>
      </c>
      <c r="K346" s="1">
        <f t="shared" si="65"/>
        <v>77169199555</v>
      </c>
      <c r="L346" s="1">
        <f t="shared" si="66"/>
        <v>21633098941.918335</v>
      </c>
      <c r="M346" s="3">
        <f t="shared" si="67"/>
        <v>169439.91631721932</v>
      </c>
      <c r="N346" s="7">
        <f t="shared" si="72"/>
        <v>21633098942</v>
      </c>
      <c r="O346" s="7">
        <f t="shared" si="68"/>
        <v>169439</v>
      </c>
      <c r="P346" s="3">
        <f>SUM($O$4:O346)</f>
        <v>1573428</v>
      </c>
      <c r="Y346" s="3">
        <f t="shared" si="69"/>
        <v>343</v>
      </c>
      <c r="Z346" s="3">
        <f t="shared" si="70"/>
        <v>6356582692</v>
      </c>
      <c r="AB346" s="7">
        <f t="shared" si="71"/>
        <v>13040</v>
      </c>
    </row>
    <row r="347" spans="6:28" x14ac:dyDescent="0.15">
      <c r="F347">
        <f t="shared" si="61"/>
        <v>50</v>
      </c>
      <c r="G347">
        <v>344</v>
      </c>
      <c r="H347">
        <f t="shared" si="62"/>
        <v>17307949043.595379</v>
      </c>
      <c r="I347">
        <f t="shared" si="63"/>
        <v>17307949044</v>
      </c>
      <c r="J347" s="1">
        <f t="shared" si="64"/>
        <v>1</v>
      </c>
      <c r="K347" s="1">
        <f t="shared" si="65"/>
        <v>17307949044</v>
      </c>
      <c r="L347" s="1">
        <f t="shared" si="66"/>
        <v>4903918895.7999992</v>
      </c>
      <c r="M347" s="3">
        <f t="shared" si="67"/>
        <v>29545.879230343293</v>
      </c>
      <c r="N347" s="7">
        <f t="shared" si="72"/>
        <v>4903918896</v>
      </c>
      <c r="O347" s="7">
        <f t="shared" si="68"/>
        <v>29545</v>
      </c>
      <c r="P347" s="3">
        <f>SUM($O$4:O347)</f>
        <v>1602973</v>
      </c>
      <c r="Y347" s="3">
        <f t="shared" si="69"/>
        <v>344</v>
      </c>
      <c r="Z347" s="3">
        <f t="shared" si="70"/>
        <v>6693870753</v>
      </c>
      <c r="AB347" s="7">
        <f t="shared" si="71"/>
        <v>13040</v>
      </c>
    </row>
    <row r="348" spans="6:28" x14ac:dyDescent="0.15">
      <c r="F348">
        <f t="shared" si="61"/>
        <v>50</v>
      </c>
      <c r="G348">
        <v>345</v>
      </c>
      <c r="H348">
        <f t="shared" si="62"/>
        <v>17307949043.595379</v>
      </c>
      <c r="I348">
        <f t="shared" si="63"/>
        <v>17307949044</v>
      </c>
      <c r="J348" s="1">
        <f t="shared" si="64"/>
        <v>1</v>
      </c>
      <c r="K348" s="1">
        <f t="shared" si="65"/>
        <v>17307949044</v>
      </c>
      <c r="L348" s="1">
        <f t="shared" si="66"/>
        <v>4903918895.7999992</v>
      </c>
      <c r="M348" s="3">
        <f t="shared" si="67"/>
        <v>29545.879230343293</v>
      </c>
      <c r="N348" s="7">
        <f t="shared" si="72"/>
        <v>4903918896</v>
      </c>
      <c r="O348" s="7">
        <f t="shared" si="68"/>
        <v>29545</v>
      </c>
      <c r="P348" s="3">
        <f>SUM($O$4:O348)</f>
        <v>1632518</v>
      </c>
      <c r="Y348" s="3">
        <f t="shared" si="69"/>
        <v>345</v>
      </c>
      <c r="Z348" s="3">
        <f t="shared" si="70"/>
        <v>7048996164</v>
      </c>
      <c r="AB348" s="7">
        <f t="shared" si="71"/>
        <v>13040</v>
      </c>
    </row>
    <row r="349" spans="6:28" x14ac:dyDescent="0.15">
      <c r="F349">
        <f t="shared" si="61"/>
        <v>50</v>
      </c>
      <c r="G349">
        <v>346</v>
      </c>
      <c r="H349">
        <f t="shared" si="62"/>
        <v>17307949043.595379</v>
      </c>
      <c r="I349">
        <f t="shared" si="63"/>
        <v>17307949044</v>
      </c>
      <c r="J349" s="1">
        <f t="shared" si="64"/>
        <v>1</v>
      </c>
      <c r="K349" s="1">
        <f t="shared" si="65"/>
        <v>17307949044</v>
      </c>
      <c r="L349" s="1">
        <f t="shared" si="66"/>
        <v>4903918895.7999992</v>
      </c>
      <c r="M349" s="3">
        <f t="shared" si="67"/>
        <v>29545.879230343293</v>
      </c>
      <c r="N349" s="7">
        <f t="shared" si="72"/>
        <v>4903918896</v>
      </c>
      <c r="O349" s="7">
        <f t="shared" si="68"/>
        <v>29545</v>
      </c>
      <c r="P349" s="3">
        <f>SUM($O$4:O349)</f>
        <v>1662063</v>
      </c>
      <c r="Y349" s="3">
        <f t="shared" si="69"/>
        <v>346</v>
      </c>
      <c r="Z349" s="3">
        <f t="shared" si="70"/>
        <v>7422899438</v>
      </c>
      <c r="AB349" s="7">
        <f t="shared" si="71"/>
        <v>13040</v>
      </c>
    </row>
    <row r="350" spans="6:28" x14ac:dyDescent="0.15">
      <c r="F350">
        <f t="shared" si="61"/>
        <v>50</v>
      </c>
      <c r="G350">
        <v>347</v>
      </c>
      <c r="H350">
        <f t="shared" si="62"/>
        <v>17307949043.595379</v>
      </c>
      <c r="I350">
        <f t="shared" si="63"/>
        <v>17307949044</v>
      </c>
      <c r="J350" s="1">
        <f t="shared" si="64"/>
        <v>1</v>
      </c>
      <c r="K350" s="1">
        <f t="shared" si="65"/>
        <v>17307949044</v>
      </c>
      <c r="L350" s="1">
        <f t="shared" si="66"/>
        <v>4903918895.7999992</v>
      </c>
      <c r="M350" s="3">
        <f t="shared" si="67"/>
        <v>29545.879230343293</v>
      </c>
      <c r="N350" s="7">
        <f t="shared" si="72"/>
        <v>4903918896</v>
      </c>
      <c r="O350" s="7">
        <f t="shared" si="68"/>
        <v>29545</v>
      </c>
      <c r="P350" s="3">
        <f>SUM($O$4:O350)</f>
        <v>1691608</v>
      </c>
      <c r="Y350" s="3">
        <f t="shared" si="69"/>
        <v>347</v>
      </c>
      <c r="Z350" s="3">
        <f t="shared" si="70"/>
        <v>7816570550</v>
      </c>
      <c r="AB350" s="7">
        <f t="shared" si="71"/>
        <v>13040</v>
      </c>
    </row>
    <row r="351" spans="6:28" x14ac:dyDescent="0.15">
      <c r="F351">
        <f t="shared" si="61"/>
        <v>50</v>
      </c>
      <c r="G351">
        <v>348</v>
      </c>
      <c r="H351">
        <f t="shared" si="62"/>
        <v>17307949043.595379</v>
      </c>
      <c r="I351">
        <f t="shared" si="63"/>
        <v>17307949044</v>
      </c>
      <c r="J351" s="1">
        <f t="shared" si="64"/>
        <v>1</v>
      </c>
      <c r="K351" s="1">
        <f t="shared" si="65"/>
        <v>17307949044</v>
      </c>
      <c r="L351" s="1">
        <f t="shared" si="66"/>
        <v>4903918895.7999992</v>
      </c>
      <c r="M351" s="3">
        <f t="shared" si="67"/>
        <v>29545.879230343293</v>
      </c>
      <c r="N351" s="7">
        <f t="shared" si="72"/>
        <v>4903918896</v>
      </c>
      <c r="O351" s="7">
        <f t="shared" si="68"/>
        <v>29545</v>
      </c>
      <c r="P351" s="3">
        <f>SUM($O$4:O351)</f>
        <v>1721153</v>
      </c>
      <c r="Y351" s="3">
        <f t="shared" si="69"/>
        <v>348</v>
      </c>
      <c r="Z351" s="3">
        <f t="shared" si="70"/>
        <v>8231051525</v>
      </c>
      <c r="AB351" s="7">
        <f t="shared" si="71"/>
        <v>13040</v>
      </c>
    </row>
    <row r="352" spans="6:28" x14ac:dyDescent="0.15">
      <c r="F352">
        <f t="shared" si="61"/>
        <v>50</v>
      </c>
      <c r="G352">
        <v>349</v>
      </c>
      <c r="H352">
        <f t="shared" si="62"/>
        <v>17307949043.595379</v>
      </c>
      <c r="I352">
        <f t="shared" si="63"/>
        <v>17307949044</v>
      </c>
      <c r="J352" s="1">
        <f t="shared" si="64"/>
        <v>1</v>
      </c>
      <c r="K352" s="1">
        <f t="shared" si="65"/>
        <v>17307949044</v>
      </c>
      <c r="L352" s="1">
        <f t="shared" si="66"/>
        <v>4903918895.7999992</v>
      </c>
      <c r="M352" s="3">
        <f t="shared" si="67"/>
        <v>29545.879230343293</v>
      </c>
      <c r="N352" s="7">
        <f t="shared" si="72"/>
        <v>4903918896</v>
      </c>
      <c r="O352" s="7">
        <f t="shared" si="68"/>
        <v>29545</v>
      </c>
      <c r="P352" s="3">
        <f>SUM($O$4:O352)</f>
        <v>1750698</v>
      </c>
      <c r="Y352" s="3">
        <f t="shared" si="69"/>
        <v>349</v>
      </c>
      <c r="Z352" s="3">
        <f t="shared" si="70"/>
        <v>8667439170</v>
      </c>
      <c r="AB352" s="7">
        <f t="shared" si="71"/>
        <v>13040</v>
      </c>
    </row>
    <row r="353" spans="6:28" x14ac:dyDescent="0.15">
      <c r="F353">
        <f t="shared" si="61"/>
        <v>50</v>
      </c>
      <c r="G353">
        <v>350</v>
      </c>
      <c r="H353">
        <f t="shared" si="62"/>
        <v>17307949043.595379</v>
      </c>
      <c r="I353">
        <f t="shared" si="63"/>
        <v>17307949044</v>
      </c>
      <c r="J353" s="1">
        <f t="shared" si="64"/>
        <v>10</v>
      </c>
      <c r="K353" s="1">
        <f t="shared" si="65"/>
        <v>173079490440</v>
      </c>
      <c r="L353" s="1">
        <f t="shared" si="66"/>
        <v>49039188957.999992</v>
      </c>
      <c r="M353" s="3">
        <f t="shared" si="67"/>
        <v>295458.79230343294</v>
      </c>
      <c r="N353" s="7">
        <f t="shared" si="72"/>
        <v>49039188958</v>
      </c>
      <c r="O353" s="7">
        <f t="shared" si="68"/>
        <v>295458</v>
      </c>
      <c r="P353" s="3">
        <f>SUM($O$4:O353)</f>
        <v>2046156</v>
      </c>
      <c r="Y353" s="3">
        <f t="shared" si="69"/>
        <v>350</v>
      </c>
      <c r="Z353" s="3">
        <f t="shared" si="70"/>
        <v>9126887951</v>
      </c>
      <c r="AB353" s="7">
        <f t="shared" si="71"/>
        <v>13040</v>
      </c>
    </row>
    <row r="354" spans="6:28" x14ac:dyDescent="0.15">
      <c r="F354">
        <f t="shared" si="61"/>
        <v>51</v>
      </c>
      <c r="G354">
        <v>351</v>
      </c>
      <c r="H354">
        <f t="shared" si="62"/>
        <v>27173479998.444744</v>
      </c>
      <c r="I354">
        <f t="shared" si="63"/>
        <v>27173479998</v>
      </c>
      <c r="J354" s="1">
        <f t="shared" si="64"/>
        <v>1</v>
      </c>
      <c r="K354" s="1">
        <f t="shared" si="65"/>
        <v>27173479998</v>
      </c>
      <c r="L354" s="1">
        <f t="shared" si="66"/>
        <v>7780673106.0940018</v>
      </c>
      <c r="M354" s="3">
        <f t="shared" si="67"/>
        <v>36060.143986275296</v>
      </c>
      <c r="N354" s="7">
        <f t="shared" si="72"/>
        <v>7780673106</v>
      </c>
      <c r="O354" s="7">
        <f t="shared" si="68"/>
        <v>36060</v>
      </c>
      <c r="P354" s="3">
        <f>SUM($O$4:O354)</f>
        <v>2082216</v>
      </c>
      <c r="Y354" s="3">
        <f t="shared" si="69"/>
        <v>351</v>
      </c>
      <c r="Z354" s="3">
        <f t="shared" si="70"/>
        <v>9610613013</v>
      </c>
      <c r="AB354" s="7">
        <f t="shared" si="71"/>
        <v>13040</v>
      </c>
    </row>
    <row r="355" spans="6:28" x14ac:dyDescent="0.15">
      <c r="F355">
        <f t="shared" si="61"/>
        <v>51</v>
      </c>
      <c r="G355">
        <v>352</v>
      </c>
      <c r="H355">
        <f t="shared" si="62"/>
        <v>27173479998.444744</v>
      </c>
      <c r="I355">
        <f t="shared" si="63"/>
        <v>27173479998</v>
      </c>
      <c r="J355" s="1">
        <f t="shared" si="64"/>
        <v>1</v>
      </c>
      <c r="K355" s="1">
        <f t="shared" si="65"/>
        <v>27173479998</v>
      </c>
      <c r="L355" s="1">
        <f t="shared" si="66"/>
        <v>7780673106.0940018</v>
      </c>
      <c r="M355" s="3">
        <f t="shared" si="67"/>
        <v>36060.143986275296</v>
      </c>
      <c r="N355" s="7">
        <f t="shared" si="72"/>
        <v>7780673106</v>
      </c>
      <c r="O355" s="7">
        <f t="shared" si="68"/>
        <v>36060</v>
      </c>
      <c r="P355" s="3">
        <f>SUM($O$4:O355)</f>
        <v>2118276</v>
      </c>
      <c r="Y355" s="3">
        <f t="shared" si="69"/>
        <v>352</v>
      </c>
      <c r="Z355" s="3">
        <f t="shared" si="70"/>
        <v>10119893360</v>
      </c>
      <c r="AB355" s="7">
        <f t="shared" si="71"/>
        <v>13040</v>
      </c>
    </row>
    <row r="356" spans="6:28" x14ac:dyDescent="0.15">
      <c r="F356">
        <f t="shared" si="61"/>
        <v>51</v>
      </c>
      <c r="G356">
        <v>353</v>
      </c>
      <c r="H356">
        <f t="shared" si="62"/>
        <v>27173479998.444744</v>
      </c>
      <c r="I356">
        <f t="shared" si="63"/>
        <v>27173479998</v>
      </c>
      <c r="J356" s="1">
        <f t="shared" si="64"/>
        <v>1</v>
      </c>
      <c r="K356" s="1">
        <f t="shared" si="65"/>
        <v>27173479998</v>
      </c>
      <c r="L356" s="1">
        <f t="shared" si="66"/>
        <v>7780673106.0940018</v>
      </c>
      <c r="M356" s="3">
        <f t="shared" si="67"/>
        <v>36060.143986275296</v>
      </c>
      <c r="N356" s="7">
        <f t="shared" si="72"/>
        <v>7780673106</v>
      </c>
      <c r="O356" s="7">
        <f t="shared" si="68"/>
        <v>36060</v>
      </c>
      <c r="P356" s="3">
        <f>SUM($O$4:O356)</f>
        <v>2154336</v>
      </c>
      <c r="Y356" s="3">
        <f t="shared" si="69"/>
        <v>353</v>
      </c>
      <c r="Z356" s="3">
        <f t="shared" si="70"/>
        <v>10656075210</v>
      </c>
      <c r="AB356" s="7">
        <f t="shared" si="71"/>
        <v>13040</v>
      </c>
    </row>
    <row r="357" spans="6:28" x14ac:dyDescent="0.15">
      <c r="F357">
        <f t="shared" si="61"/>
        <v>51</v>
      </c>
      <c r="G357">
        <v>354</v>
      </c>
      <c r="H357">
        <f t="shared" si="62"/>
        <v>27173479998.444744</v>
      </c>
      <c r="I357">
        <f t="shared" si="63"/>
        <v>27173479998</v>
      </c>
      <c r="J357" s="1">
        <f t="shared" si="64"/>
        <v>1</v>
      </c>
      <c r="K357" s="1">
        <f t="shared" si="65"/>
        <v>27173479998</v>
      </c>
      <c r="L357" s="1">
        <f t="shared" si="66"/>
        <v>7780673106.0940018</v>
      </c>
      <c r="M357" s="3">
        <f t="shared" si="67"/>
        <v>36060.143986275296</v>
      </c>
      <c r="N357" s="7">
        <f t="shared" si="72"/>
        <v>7780673106</v>
      </c>
      <c r="O357" s="7">
        <f t="shared" si="68"/>
        <v>36060</v>
      </c>
      <c r="P357" s="3">
        <f>SUM($O$4:O357)</f>
        <v>2190396</v>
      </c>
      <c r="Y357" s="3">
        <f t="shared" si="69"/>
        <v>354</v>
      </c>
      <c r="Z357" s="3">
        <f t="shared" si="70"/>
        <v>11220575512</v>
      </c>
      <c r="AB357" s="7">
        <f t="shared" si="71"/>
        <v>13040</v>
      </c>
    </row>
    <row r="358" spans="6:28" x14ac:dyDescent="0.15">
      <c r="F358">
        <f t="shared" si="61"/>
        <v>51</v>
      </c>
      <c r="G358">
        <v>355</v>
      </c>
      <c r="H358">
        <f t="shared" si="62"/>
        <v>27173479998.444744</v>
      </c>
      <c r="I358">
        <f t="shared" si="63"/>
        <v>27173479998</v>
      </c>
      <c r="J358" s="1">
        <f t="shared" si="64"/>
        <v>1</v>
      </c>
      <c r="K358" s="1">
        <f t="shared" si="65"/>
        <v>27173479998</v>
      </c>
      <c r="L358" s="1">
        <f t="shared" si="66"/>
        <v>7780673106.0940018</v>
      </c>
      <c r="M358" s="3">
        <f t="shared" si="67"/>
        <v>36060.143986275296</v>
      </c>
      <c r="N358" s="7">
        <f t="shared" si="72"/>
        <v>7780673106</v>
      </c>
      <c r="O358" s="7">
        <f t="shared" si="68"/>
        <v>36060</v>
      </c>
      <c r="P358" s="3">
        <f>SUM($O$4:O358)</f>
        <v>2226456</v>
      </c>
      <c r="Y358" s="3">
        <f t="shared" si="69"/>
        <v>355</v>
      </c>
      <c r="Z358" s="3">
        <f t="shared" si="70"/>
        <v>11814885655</v>
      </c>
      <c r="AB358" s="7">
        <f t="shared" si="71"/>
        <v>13040</v>
      </c>
    </row>
    <row r="359" spans="6:28" x14ac:dyDescent="0.15">
      <c r="F359">
        <f t="shared" si="61"/>
        <v>51</v>
      </c>
      <c r="G359">
        <v>356</v>
      </c>
      <c r="H359">
        <f t="shared" si="62"/>
        <v>27173479998.444744</v>
      </c>
      <c r="I359">
        <f t="shared" si="63"/>
        <v>27173479998</v>
      </c>
      <c r="J359" s="1">
        <f t="shared" si="64"/>
        <v>1</v>
      </c>
      <c r="K359" s="1">
        <f t="shared" si="65"/>
        <v>27173479998</v>
      </c>
      <c r="L359" s="1">
        <f t="shared" si="66"/>
        <v>7780673106.0940018</v>
      </c>
      <c r="M359" s="3">
        <f t="shared" si="67"/>
        <v>36060.143986275296</v>
      </c>
      <c r="N359" s="7">
        <f t="shared" si="72"/>
        <v>7780673106</v>
      </c>
      <c r="O359" s="7">
        <f t="shared" si="68"/>
        <v>36060</v>
      </c>
      <c r="P359" s="3">
        <f>SUM($O$4:O359)</f>
        <v>2262516</v>
      </c>
      <c r="Y359" s="3">
        <f t="shared" si="69"/>
        <v>356</v>
      </c>
      <c r="Z359" s="3">
        <f t="shared" si="70"/>
        <v>12440575375</v>
      </c>
      <c r="AB359" s="7">
        <f t="shared" si="71"/>
        <v>13040</v>
      </c>
    </row>
    <row r="360" spans="6:28" x14ac:dyDescent="0.15">
      <c r="F360">
        <f t="shared" si="61"/>
        <v>51</v>
      </c>
      <c r="G360">
        <v>357</v>
      </c>
      <c r="H360">
        <f t="shared" si="62"/>
        <v>27173479998.444744</v>
      </c>
      <c r="I360">
        <f t="shared" si="63"/>
        <v>27173479998</v>
      </c>
      <c r="J360" s="1">
        <f t="shared" si="64"/>
        <v>2</v>
      </c>
      <c r="K360" s="1">
        <f t="shared" si="65"/>
        <v>54346959996</v>
      </c>
      <c r="L360" s="1">
        <f t="shared" si="66"/>
        <v>15561346212.188004</v>
      </c>
      <c r="M360" s="3">
        <f t="shared" si="67"/>
        <v>72120.287972550592</v>
      </c>
      <c r="N360" s="7">
        <f t="shared" si="72"/>
        <v>15561346212</v>
      </c>
      <c r="O360" s="7">
        <f t="shared" si="68"/>
        <v>72120</v>
      </c>
      <c r="P360" s="3">
        <f>SUM($O$4:O360)</f>
        <v>2334636</v>
      </c>
      <c r="Y360" s="3">
        <f t="shared" si="69"/>
        <v>357</v>
      </c>
      <c r="Z360" s="3">
        <f t="shared" si="70"/>
        <v>13099296852</v>
      </c>
      <c r="AB360" s="7">
        <f t="shared" si="71"/>
        <v>13040</v>
      </c>
    </row>
    <row r="361" spans="6:28" x14ac:dyDescent="0.15">
      <c r="F361">
        <f t="shared" si="61"/>
        <v>52</v>
      </c>
      <c r="G361">
        <v>358</v>
      </c>
      <c r="H361">
        <f t="shared" si="62"/>
        <v>42662363597.55825</v>
      </c>
      <c r="I361">
        <f t="shared" si="63"/>
        <v>42662363598</v>
      </c>
      <c r="J361" s="1">
        <f t="shared" si="64"/>
        <v>1</v>
      </c>
      <c r="K361" s="1">
        <f t="shared" si="65"/>
        <v>42662363598</v>
      </c>
      <c r="L361" s="1">
        <f t="shared" si="66"/>
        <v>12343643867.688002</v>
      </c>
      <c r="M361" s="3">
        <f t="shared" si="67"/>
        <v>44005.840261529193</v>
      </c>
      <c r="N361" s="7">
        <f t="shared" si="72"/>
        <v>12343643868</v>
      </c>
      <c r="O361" s="7">
        <f t="shared" si="68"/>
        <v>44005</v>
      </c>
      <c r="P361" s="3">
        <f>SUM($O$4:O361)</f>
        <v>2378641</v>
      </c>
      <c r="Y361" s="3">
        <f t="shared" si="69"/>
        <v>358</v>
      </c>
      <c r="Z361" s="3">
        <f t="shared" si="70"/>
        <v>13792789038</v>
      </c>
      <c r="AB361" s="7">
        <f t="shared" si="71"/>
        <v>13040</v>
      </c>
    </row>
    <row r="362" spans="6:28" x14ac:dyDescent="0.15">
      <c r="F362">
        <f t="shared" si="61"/>
        <v>52</v>
      </c>
      <c r="G362">
        <v>359</v>
      </c>
      <c r="H362">
        <f t="shared" si="62"/>
        <v>42662363597.55825</v>
      </c>
      <c r="I362">
        <f t="shared" si="63"/>
        <v>42662363598</v>
      </c>
      <c r="J362" s="1">
        <f t="shared" si="64"/>
        <v>1</v>
      </c>
      <c r="K362" s="1">
        <f t="shared" si="65"/>
        <v>42662363598</v>
      </c>
      <c r="L362" s="1">
        <f t="shared" si="66"/>
        <v>12343643867.688002</v>
      </c>
      <c r="M362" s="3">
        <f t="shared" si="67"/>
        <v>44005.840261529193</v>
      </c>
      <c r="N362" s="7">
        <f t="shared" si="72"/>
        <v>12343643868</v>
      </c>
      <c r="O362" s="7">
        <f t="shared" si="68"/>
        <v>44005</v>
      </c>
      <c r="P362" s="3">
        <f>SUM($O$4:O362)</f>
        <v>2422646</v>
      </c>
      <c r="Y362" s="3">
        <f t="shared" si="69"/>
        <v>359</v>
      </c>
      <c r="Z362" s="3">
        <f t="shared" si="70"/>
        <v>14522882201</v>
      </c>
      <c r="AB362" s="7">
        <f t="shared" si="71"/>
        <v>13040</v>
      </c>
    </row>
    <row r="363" spans="6:28" x14ac:dyDescent="0.15">
      <c r="F363">
        <f t="shared" si="61"/>
        <v>52</v>
      </c>
      <c r="G363">
        <v>360</v>
      </c>
      <c r="H363">
        <f t="shared" si="62"/>
        <v>42662363597.55825</v>
      </c>
      <c r="I363">
        <f t="shared" si="63"/>
        <v>42662363598</v>
      </c>
      <c r="J363" s="1">
        <f t="shared" si="64"/>
        <v>1</v>
      </c>
      <c r="K363" s="1">
        <f t="shared" si="65"/>
        <v>42662363598</v>
      </c>
      <c r="L363" s="1">
        <f t="shared" si="66"/>
        <v>12343643867.688002</v>
      </c>
      <c r="M363" s="3">
        <f t="shared" si="67"/>
        <v>44005.840261529193</v>
      </c>
      <c r="N363" s="7">
        <f t="shared" si="72"/>
        <v>12343643868</v>
      </c>
      <c r="O363" s="7">
        <f t="shared" si="68"/>
        <v>44005</v>
      </c>
      <c r="P363" s="3">
        <f>SUM($O$4:O363)</f>
        <v>2466651</v>
      </c>
      <c r="Y363" s="3">
        <f t="shared" si="69"/>
        <v>360</v>
      </c>
      <c r="Z363" s="3">
        <f t="shared" si="70"/>
        <v>15291502707</v>
      </c>
      <c r="AB363" s="7">
        <f t="shared" si="71"/>
        <v>13040</v>
      </c>
    </row>
    <row r="364" spans="6:28" x14ac:dyDescent="0.15">
      <c r="F364">
        <f t="shared" si="61"/>
        <v>52</v>
      </c>
      <c r="G364">
        <v>361</v>
      </c>
      <c r="H364">
        <f t="shared" si="62"/>
        <v>42662363597.55825</v>
      </c>
      <c r="I364">
        <f t="shared" si="63"/>
        <v>42662363598</v>
      </c>
      <c r="J364" s="1">
        <f t="shared" si="64"/>
        <v>1</v>
      </c>
      <c r="K364" s="1">
        <f t="shared" si="65"/>
        <v>42662363598</v>
      </c>
      <c r="L364" s="1">
        <f t="shared" si="66"/>
        <v>12343643867.688002</v>
      </c>
      <c r="M364" s="3">
        <f t="shared" si="67"/>
        <v>44005.840261529193</v>
      </c>
      <c r="N364" s="7">
        <f t="shared" si="72"/>
        <v>12343643868</v>
      </c>
      <c r="O364" s="7">
        <f t="shared" si="68"/>
        <v>44005</v>
      </c>
      <c r="P364" s="3">
        <f>SUM($O$4:O364)</f>
        <v>2510656</v>
      </c>
      <c r="Y364" s="3">
        <f t="shared" si="69"/>
        <v>361</v>
      </c>
      <c r="Z364" s="3">
        <f t="shared" si="70"/>
        <v>16100678059</v>
      </c>
      <c r="AB364" s="7">
        <f t="shared" si="71"/>
        <v>13040</v>
      </c>
    </row>
    <row r="365" spans="6:28" x14ac:dyDescent="0.15">
      <c r="F365">
        <f t="shared" si="61"/>
        <v>52</v>
      </c>
      <c r="G365">
        <v>362</v>
      </c>
      <c r="H365">
        <f t="shared" si="62"/>
        <v>42662363597.55825</v>
      </c>
      <c r="I365">
        <f t="shared" si="63"/>
        <v>42662363598</v>
      </c>
      <c r="J365" s="1">
        <f t="shared" si="64"/>
        <v>1</v>
      </c>
      <c r="K365" s="1">
        <f t="shared" si="65"/>
        <v>42662363598</v>
      </c>
      <c r="L365" s="1">
        <f t="shared" si="66"/>
        <v>12343643867.688002</v>
      </c>
      <c r="M365" s="3">
        <f t="shared" si="67"/>
        <v>44005.840261529193</v>
      </c>
      <c r="N365" s="7">
        <f t="shared" si="72"/>
        <v>12343643868</v>
      </c>
      <c r="O365" s="7">
        <f t="shared" si="68"/>
        <v>44005</v>
      </c>
      <c r="P365" s="3">
        <f>SUM($O$4:O365)</f>
        <v>2554661</v>
      </c>
      <c r="Y365" s="3">
        <f t="shared" si="69"/>
        <v>362</v>
      </c>
      <c r="Z365" s="3">
        <f t="shared" si="70"/>
        <v>16952542189</v>
      </c>
      <c r="AB365" s="7">
        <f t="shared" si="71"/>
        <v>13040</v>
      </c>
    </row>
    <row r="366" spans="6:28" x14ac:dyDescent="0.15">
      <c r="F366">
        <f t="shared" si="61"/>
        <v>52</v>
      </c>
      <c r="G366">
        <v>363</v>
      </c>
      <c r="H366">
        <f t="shared" si="62"/>
        <v>42662363597.55825</v>
      </c>
      <c r="I366">
        <f t="shared" si="63"/>
        <v>42662363598</v>
      </c>
      <c r="J366" s="1">
        <f t="shared" si="64"/>
        <v>1</v>
      </c>
      <c r="K366" s="1">
        <f t="shared" si="65"/>
        <v>42662363598</v>
      </c>
      <c r="L366" s="1">
        <f t="shared" si="66"/>
        <v>12343643867.688002</v>
      </c>
      <c r="M366" s="3">
        <f t="shared" si="67"/>
        <v>44005.840261529193</v>
      </c>
      <c r="N366" s="7">
        <f t="shared" si="72"/>
        <v>12343643868</v>
      </c>
      <c r="O366" s="7">
        <f t="shared" si="68"/>
        <v>44005</v>
      </c>
      <c r="P366" s="3">
        <f>SUM($O$4:O366)</f>
        <v>2598666</v>
      </c>
      <c r="Y366" s="3">
        <f t="shared" si="69"/>
        <v>363</v>
      </c>
      <c r="Z366" s="3">
        <f t="shared" si="70"/>
        <v>17849341037</v>
      </c>
      <c r="AB366" s="7">
        <f t="shared" si="71"/>
        <v>13040</v>
      </c>
    </row>
    <row r="367" spans="6:28" x14ac:dyDescent="0.15">
      <c r="F367">
        <f t="shared" si="61"/>
        <v>52</v>
      </c>
      <c r="G367">
        <v>364</v>
      </c>
      <c r="H367">
        <f t="shared" si="62"/>
        <v>42662363597.55825</v>
      </c>
      <c r="I367">
        <f t="shared" si="63"/>
        <v>42662363598</v>
      </c>
      <c r="J367" s="1">
        <f t="shared" si="64"/>
        <v>4</v>
      </c>
      <c r="K367" s="1">
        <f t="shared" si="65"/>
        <v>170649454392</v>
      </c>
      <c r="L367" s="1">
        <f t="shared" si="66"/>
        <v>49374575470.752007</v>
      </c>
      <c r="M367" s="3">
        <f t="shared" si="67"/>
        <v>176023.36104611677</v>
      </c>
      <c r="N367" s="7">
        <f t="shared" si="72"/>
        <v>49374575471</v>
      </c>
      <c r="O367" s="7">
        <f t="shared" si="68"/>
        <v>176023</v>
      </c>
      <c r="P367" s="3">
        <f>SUM($O$4:O367)</f>
        <v>2774689</v>
      </c>
      <c r="Y367" s="3">
        <f t="shared" si="69"/>
        <v>364</v>
      </c>
      <c r="Z367" s="3">
        <f t="shared" si="70"/>
        <v>18793438414</v>
      </c>
      <c r="AB367" s="7">
        <f t="shared" si="71"/>
        <v>13040</v>
      </c>
    </row>
    <row r="368" spans="6:28" x14ac:dyDescent="0.15">
      <c r="F368">
        <f t="shared" si="61"/>
        <v>53</v>
      </c>
      <c r="G368">
        <v>365</v>
      </c>
      <c r="H368">
        <f t="shared" si="62"/>
        <v>66979910848.166443</v>
      </c>
      <c r="I368">
        <f t="shared" si="63"/>
        <v>66979910848</v>
      </c>
      <c r="J368" s="1">
        <f t="shared" si="64"/>
        <v>1</v>
      </c>
      <c r="K368" s="1">
        <f t="shared" si="65"/>
        <v>66979910848</v>
      </c>
      <c r="L368" s="1">
        <f t="shared" si="66"/>
        <v>19580460604.565334</v>
      </c>
      <c r="M368" s="3">
        <f t="shared" si="67"/>
        <v>53696.562740977446</v>
      </c>
      <c r="N368" s="7">
        <f t="shared" si="72"/>
        <v>19580460605</v>
      </c>
      <c r="O368" s="7">
        <f t="shared" si="68"/>
        <v>53696</v>
      </c>
      <c r="P368" s="3">
        <f>SUM($O$4:O368)</f>
        <v>2828385</v>
      </c>
      <c r="Y368" s="3">
        <f t="shared" si="69"/>
        <v>365</v>
      </c>
      <c r="Z368" s="3">
        <f t="shared" si="70"/>
        <v>19787322176</v>
      </c>
      <c r="AB368" s="7">
        <f t="shared" si="71"/>
        <v>13040</v>
      </c>
    </row>
    <row r="369" spans="6:28" x14ac:dyDescent="0.15">
      <c r="F369">
        <f t="shared" si="61"/>
        <v>53</v>
      </c>
      <c r="G369">
        <v>366</v>
      </c>
      <c r="H369">
        <f t="shared" si="62"/>
        <v>66979910848.166443</v>
      </c>
      <c r="I369">
        <f t="shared" si="63"/>
        <v>66979910848</v>
      </c>
      <c r="J369" s="1">
        <f t="shared" si="64"/>
        <v>1</v>
      </c>
      <c r="K369" s="1">
        <f t="shared" si="65"/>
        <v>66979910848</v>
      </c>
      <c r="L369" s="1">
        <f t="shared" si="66"/>
        <v>19580460604.565334</v>
      </c>
      <c r="M369" s="3">
        <f t="shared" si="67"/>
        <v>53696.562740977446</v>
      </c>
      <c r="N369" s="7">
        <f t="shared" si="72"/>
        <v>19580460605</v>
      </c>
      <c r="O369" s="7">
        <f t="shared" si="68"/>
        <v>53696</v>
      </c>
      <c r="P369" s="3">
        <f>SUM($O$4:O369)</f>
        <v>2882081</v>
      </c>
      <c r="Y369" s="3">
        <f t="shared" si="69"/>
        <v>366</v>
      </c>
      <c r="Z369" s="3">
        <f t="shared" si="70"/>
        <v>20833610718</v>
      </c>
      <c r="AB369" s="7">
        <f t="shared" si="71"/>
        <v>13040</v>
      </c>
    </row>
    <row r="370" spans="6:28" x14ac:dyDescent="0.15">
      <c r="F370">
        <f t="shared" si="61"/>
        <v>53</v>
      </c>
      <c r="G370">
        <v>367</v>
      </c>
      <c r="H370">
        <f t="shared" si="62"/>
        <v>66979910848.166443</v>
      </c>
      <c r="I370">
        <f t="shared" si="63"/>
        <v>66979910848</v>
      </c>
      <c r="J370" s="1">
        <f t="shared" si="64"/>
        <v>1</v>
      </c>
      <c r="K370" s="1">
        <f t="shared" si="65"/>
        <v>66979910848</v>
      </c>
      <c r="L370" s="1">
        <f t="shared" si="66"/>
        <v>19580460604.565334</v>
      </c>
      <c r="M370" s="3">
        <f t="shared" si="67"/>
        <v>53696.562740977446</v>
      </c>
      <c r="N370" s="7">
        <f t="shared" si="72"/>
        <v>19580460605</v>
      </c>
      <c r="O370" s="7">
        <f t="shared" si="68"/>
        <v>53696</v>
      </c>
      <c r="P370" s="3">
        <f>SUM($O$4:O370)</f>
        <v>2935777</v>
      </c>
      <c r="Y370" s="3">
        <f t="shared" si="69"/>
        <v>367</v>
      </c>
      <c r="Z370" s="3">
        <f t="shared" si="70"/>
        <v>21935059810</v>
      </c>
      <c r="AB370" s="7">
        <f t="shared" si="71"/>
        <v>13040</v>
      </c>
    </row>
    <row r="371" spans="6:28" x14ac:dyDescent="0.15">
      <c r="F371">
        <f t="shared" si="61"/>
        <v>53</v>
      </c>
      <c r="G371">
        <v>368</v>
      </c>
      <c r="H371">
        <f t="shared" si="62"/>
        <v>66979910848.166443</v>
      </c>
      <c r="I371">
        <f t="shared" si="63"/>
        <v>66979910848</v>
      </c>
      <c r="J371" s="1">
        <f t="shared" si="64"/>
        <v>1</v>
      </c>
      <c r="K371" s="1">
        <f t="shared" si="65"/>
        <v>66979910848</v>
      </c>
      <c r="L371" s="1">
        <f t="shared" si="66"/>
        <v>19580460604.565334</v>
      </c>
      <c r="M371" s="3">
        <f t="shared" si="67"/>
        <v>53696.562740977446</v>
      </c>
      <c r="N371" s="7">
        <f t="shared" si="72"/>
        <v>19580460605</v>
      </c>
      <c r="O371" s="7">
        <f t="shared" si="68"/>
        <v>53696</v>
      </c>
      <c r="P371" s="3">
        <f>SUM($O$4:O371)</f>
        <v>2989473</v>
      </c>
      <c r="Y371" s="3">
        <f t="shared" si="69"/>
        <v>368</v>
      </c>
      <c r="Z371" s="3">
        <f t="shared" si="70"/>
        <v>23094569783</v>
      </c>
      <c r="AB371" s="7">
        <f t="shared" si="71"/>
        <v>13040</v>
      </c>
    </row>
    <row r="372" spans="6:28" x14ac:dyDescent="0.15">
      <c r="F372">
        <f t="shared" si="61"/>
        <v>53</v>
      </c>
      <c r="G372">
        <v>369</v>
      </c>
      <c r="H372">
        <f t="shared" si="62"/>
        <v>66979910848.166443</v>
      </c>
      <c r="I372">
        <f t="shared" si="63"/>
        <v>66979910848</v>
      </c>
      <c r="J372" s="1">
        <f t="shared" si="64"/>
        <v>1</v>
      </c>
      <c r="K372" s="1">
        <f t="shared" si="65"/>
        <v>66979910848</v>
      </c>
      <c r="L372" s="1">
        <f t="shared" si="66"/>
        <v>19580460604.565334</v>
      </c>
      <c r="M372" s="3">
        <f t="shared" si="67"/>
        <v>53696.562740977446</v>
      </c>
      <c r="N372" s="7">
        <f t="shared" si="72"/>
        <v>19580460605</v>
      </c>
      <c r="O372" s="7">
        <f t="shared" si="68"/>
        <v>53696</v>
      </c>
      <c r="P372" s="3">
        <f>SUM($O$4:O372)</f>
        <v>3043169</v>
      </c>
      <c r="Y372" s="3">
        <f t="shared" si="69"/>
        <v>369</v>
      </c>
      <c r="Z372" s="3">
        <f t="shared" si="70"/>
        <v>24315193105</v>
      </c>
      <c r="AB372" s="7">
        <f t="shared" si="71"/>
        <v>13040</v>
      </c>
    </row>
    <row r="373" spans="6:28" x14ac:dyDescent="0.15">
      <c r="F373">
        <f t="shared" si="61"/>
        <v>53</v>
      </c>
      <c r="G373">
        <v>370</v>
      </c>
      <c r="H373">
        <f t="shared" si="62"/>
        <v>66979910848.166443</v>
      </c>
      <c r="I373">
        <f t="shared" si="63"/>
        <v>66979910848</v>
      </c>
      <c r="J373" s="1">
        <f t="shared" si="64"/>
        <v>1</v>
      </c>
      <c r="K373" s="1">
        <f t="shared" si="65"/>
        <v>66979910848</v>
      </c>
      <c r="L373" s="1">
        <f t="shared" si="66"/>
        <v>19580460604.565334</v>
      </c>
      <c r="M373" s="3">
        <f t="shared" si="67"/>
        <v>53696.562740977446</v>
      </c>
      <c r="N373" s="7">
        <f t="shared" si="72"/>
        <v>19580460605</v>
      </c>
      <c r="O373" s="7">
        <f t="shared" si="68"/>
        <v>53696</v>
      </c>
      <c r="P373" s="3">
        <f>SUM($O$4:O373)</f>
        <v>3096865</v>
      </c>
      <c r="Y373" s="3">
        <f t="shared" si="69"/>
        <v>370</v>
      </c>
      <c r="Z373" s="3">
        <f t="shared" si="70"/>
        <v>25600142334</v>
      </c>
      <c r="AB373" s="7">
        <f t="shared" si="71"/>
        <v>13040</v>
      </c>
    </row>
    <row r="374" spans="6:28" x14ac:dyDescent="0.15">
      <c r="F374">
        <f t="shared" si="61"/>
        <v>53</v>
      </c>
      <c r="G374">
        <v>371</v>
      </c>
      <c r="H374">
        <f t="shared" si="62"/>
        <v>66979910848.166443</v>
      </c>
      <c r="I374">
        <f t="shared" si="63"/>
        <v>66979910848</v>
      </c>
      <c r="J374" s="1">
        <f t="shared" si="64"/>
        <v>6</v>
      </c>
      <c r="K374" s="1">
        <f t="shared" si="65"/>
        <v>401879465088</v>
      </c>
      <c r="L374" s="1">
        <f t="shared" si="66"/>
        <v>117482763627.392</v>
      </c>
      <c r="M374" s="3">
        <f t="shared" si="67"/>
        <v>322179.37644586468</v>
      </c>
      <c r="N374" s="7">
        <f t="shared" si="72"/>
        <v>117482763627</v>
      </c>
      <c r="O374" s="7">
        <f t="shared" si="68"/>
        <v>322179</v>
      </c>
      <c r="P374" s="3">
        <f>SUM($O$4:O374)</f>
        <v>3419044</v>
      </c>
      <c r="Y374" s="3">
        <f t="shared" si="69"/>
        <v>371</v>
      </c>
      <c r="Z374" s="3">
        <f t="shared" si="70"/>
        <v>26952798503</v>
      </c>
      <c r="AB374" s="7">
        <f t="shared" si="71"/>
        <v>13040</v>
      </c>
    </row>
    <row r="375" spans="6:28" x14ac:dyDescent="0.15">
      <c r="F375">
        <f t="shared" si="61"/>
        <v>54</v>
      </c>
      <c r="G375">
        <v>372</v>
      </c>
      <c r="H375">
        <f t="shared" si="62"/>
        <v>105158460031.62132</v>
      </c>
      <c r="I375">
        <f t="shared" si="63"/>
        <v>105158460032</v>
      </c>
      <c r="J375" s="1">
        <f t="shared" si="64"/>
        <v>1</v>
      </c>
      <c r="K375" s="1">
        <f t="shared" si="65"/>
        <v>105158460032</v>
      </c>
      <c r="L375" s="1">
        <f t="shared" si="66"/>
        <v>31056798529.450665</v>
      </c>
      <c r="M375" s="3">
        <f t="shared" si="67"/>
        <v>65514.422159818452</v>
      </c>
      <c r="N375" s="7">
        <f t="shared" si="72"/>
        <v>31056798529</v>
      </c>
      <c r="O375" s="7">
        <f t="shared" si="68"/>
        <v>65514</v>
      </c>
      <c r="P375" s="3">
        <f>SUM($O$4:O375)</f>
        <v>3484558</v>
      </c>
      <c r="Y375" s="3">
        <f t="shared" si="69"/>
        <v>372</v>
      </c>
      <c r="Z375" s="3">
        <f t="shared" si="70"/>
        <v>28376719933</v>
      </c>
      <c r="AB375" s="7">
        <f t="shared" si="71"/>
        <v>13040</v>
      </c>
    </row>
    <row r="376" spans="6:28" x14ac:dyDescent="0.15">
      <c r="F376">
        <f t="shared" si="61"/>
        <v>54</v>
      </c>
      <c r="G376">
        <v>373</v>
      </c>
      <c r="H376">
        <f t="shared" si="62"/>
        <v>105158460031.62132</v>
      </c>
      <c r="I376">
        <f t="shared" si="63"/>
        <v>105158460032</v>
      </c>
      <c r="J376" s="1">
        <f t="shared" si="64"/>
        <v>1</v>
      </c>
      <c r="K376" s="1">
        <f t="shared" si="65"/>
        <v>105158460032</v>
      </c>
      <c r="L376" s="1">
        <f t="shared" si="66"/>
        <v>31056798529.450665</v>
      </c>
      <c r="M376" s="3">
        <f t="shared" si="67"/>
        <v>65514.422159818452</v>
      </c>
      <c r="N376" s="7">
        <f t="shared" si="72"/>
        <v>31056798529</v>
      </c>
      <c r="O376" s="7">
        <f t="shared" si="68"/>
        <v>65514</v>
      </c>
      <c r="P376" s="3">
        <f>SUM($O$4:O376)</f>
        <v>3550072</v>
      </c>
      <c r="Y376" s="3">
        <f t="shared" si="69"/>
        <v>373</v>
      </c>
      <c r="Z376" s="3">
        <f t="shared" si="70"/>
        <v>29875651510</v>
      </c>
      <c r="AB376" s="7">
        <f t="shared" si="71"/>
        <v>13040</v>
      </c>
    </row>
    <row r="377" spans="6:28" x14ac:dyDescent="0.15">
      <c r="F377">
        <f t="shared" si="61"/>
        <v>54</v>
      </c>
      <c r="G377">
        <v>374</v>
      </c>
      <c r="H377">
        <f t="shared" si="62"/>
        <v>105158460031.62132</v>
      </c>
      <c r="I377">
        <f t="shared" si="63"/>
        <v>105158460032</v>
      </c>
      <c r="J377" s="1">
        <f t="shared" si="64"/>
        <v>1</v>
      </c>
      <c r="K377" s="1">
        <f t="shared" si="65"/>
        <v>105158460032</v>
      </c>
      <c r="L377" s="1">
        <f t="shared" si="66"/>
        <v>31056798529.450665</v>
      </c>
      <c r="M377" s="3">
        <f t="shared" si="67"/>
        <v>65514.422159818452</v>
      </c>
      <c r="N377" s="7">
        <f t="shared" si="72"/>
        <v>31056798529</v>
      </c>
      <c r="O377" s="7">
        <f t="shared" si="68"/>
        <v>65514</v>
      </c>
      <c r="P377" s="3">
        <f>SUM($O$4:O377)</f>
        <v>3615586</v>
      </c>
      <c r="Y377" s="3">
        <f t="shared" si="69"/>
        <v>374</v>
      </c>
      <c r="Z377" s="3">
        <f t="shared" si="70"/>
        <v>31453534445</v>
      </c>
      <c r="AB377" s="7">
        <f t="shared" si="71"/>
        <v>13040</v>
      </c>
    </row>
    <row r="378" spans="6:28" x14ac:dyDescent="0.15">
      <c r="F378">
        <f t="shared" si="61"/>
        <v>54</v>
      </c>
      <c r="G378">
        <v>375</v>
      </c>
      <c r="H378">
        <f t="shared" si="62"/>
        <v>105158460031.62132</v>
      </c>
      <c r="I378">
        <f t="shared" si="63"/>
        <v>105158460032</v>
      </c>
      <c r="J378" s="1">
        <f t="shared" si="64"/>
        <v>1</v>
      </c>
      <c r="K378" s="1">
        <f t="shared" si="65"/>
        <v>105158460032</v>
      </c>
      <c r="L378" s="1">
        <f t="shared" si="66"/>
        <v>31056798529.450665</v>
      </c>
      <c r="M378" s="3">
        <f t="shared" si="67"/>
        <v>65514.422159818452</v>
      </c>
      <c r="N378" s="7">
        <f t="shared" si="72"/>
        <v>31056798529</v>
      </c>
      <c r="O378" s="7">
        <f t="shared" si="68"/>
        <v>65514</v>
      </c>
      <c r="P378" s="3">
        <f>SUM($O$4:O378)</f>
        <v>3681100</v>
      </c>
      <c r="Y378" s="3">
        <f t="shared" si="69"/>
        <v>375</v>
      </c>
      <c r="Z378" s="3">
        <f t="shared" si="70"/>
        <v>33114516545</v>
      </c>
      <c r="AB378" s="7">
        <f t="shared" si="71"/>
        <v>13040</v>
      </c>
    </row>
    <row r="379" spans="6:28" x14ac:dyDescent="0.15">
      <c r="F379">
        <f t="shared" si="61"/>
        <v>54</v>
      </c>
      <c r="G379">
        <v>376</v>
      </c>
      <c r="H379">
        <f t="shared" si="62"/>
        <v>105158460031.62132</v>
      </c>
      <c r="I379">
        <f t="shared" si="63"/>
        <v>105158460032</v>
      </c>
      <c r="J379" s="1">
        <f t="shared" si="64"/>
        <v>1</v>
      </c>
      <c r="K379" s="1">
        <f t="shared" si="65"/>
        <v>105158460032</v>
      </c>
      <c r="L379" s="1">
        <f t="shared" si="66"/>
        <v>31056798529.450665</v>
      </c>
      <c r="M379" s="3">
        <f t="shared" si="67"/>
        <v>65514.422159818452</v>
      </c>
      <c r="N379" s="7">
        <f t="shared" si="72"/>
        <v>31056798529</v>
      </c>
      <c r="O379" s="7">
        <f t="shared" si="68"/>
        <v>65514</v>
      </c>
      <c r="P379" s="3">
        <f>SUM($O$4:O379)</f>
        <v>3746614</v>
      </c>
      <c r="Y379" s="3">
        <f t="shared" si="69"/>
        <v>376</v>
      </c>
      <c r="Z379" s="3">
        <f t="shared" si="70"/>
        <v>34862963019</v>
      </c>
      <c r="AB379" s="7">
        <f t="shared" si="71"/>
        <v>13040</v>
      </c>
    </row>
    <row r="380" spans="6:28" x14ac:dyDescent="0.15">
      <c r="F380">
        <f t="shared" si="61"/>
        <v>54</v>
      </c>
      <c r="G380">
        <v>377</v>
      </c>
      <c r="H380">
        <f t="shared" si="62"/>
        <v>105158460031.62132</v>
      </c>
      <c r="I380">
        <f t="shared" si="63"/>
        <v>105158460032</v>
      </c>
      <c r="J380" s="1">
        <f t="shared" si="64"/>
        <v>1</v>
      </c>
      <c r="K380" s="1">
        <f t="shared" si="65"/>
        <v>105158460032</v>
      </c>
      <c r="L380" s="1">
        <f t="shared" si="66"/>
        <v>31056798529.450665</v>
      </c>
      <c r="M380" s="3">
        <f t="shared" si="67"/>
        <v>65514.422159818452</v>
      </c>
      <c r="N380" s="7">
        <f t="shared" si="72"/>
        <v>31056798529</v>
      </c>
      <c r="O380" s="7">
        <f t="shared" si="68"/>
        <v>65514</v>
      </c>
      <c r="P380" s="3">
        <f>SUM($O$4:O380)</f>
        <v>3812128</v>
      </c>
      <c r="Y380" s="3">
        <f t="shared" si="69"/>
        <v>377</v>
      </c>
      <c r="Z380" s="3">
        <f t="shared" si="70"/>
        <v>36703467848</v>
      </c>
      <c r="AB380" s="7">
        <f t="shared" si="71"/>
        <v>13040</v>
      </c>
    </row>
    <row r="381" spans="6:28" x14ac:dyDescent="0.15">
      <c r="F381">
        <f t="shared" si="61"/>
        <v>54</v>
      </c>
      <c r="G381">
        <v>378</v>
      </c>
      <c r="H381">
        <f t="shared" si="62"/>
        <v>105158460031.62132</v>
      </c>
      <c r="I381">
        <f t="shared" si="63"/>
        <v>105158460032</v>
      </c>
      <c r="J381" s="1">
        <f t="shared" si="64"/>
        <v>7</v>
      </c>
      <c r="K381" s="1">
        <f t="shared" si="65"/>
        <v>736109220224</v>
      </c>
      <c r="L381" s="1">
        <f t="shared" si="66"/>
        <v>217397589706.15466</v>
      </c>
      <c r="M381" s="3">
        <f t="shared" si="67"/>
        <v>458600.95511872915</v>
      </c>
      <c r="N381" s="7">
        <f t="shared" si="72"/>
        <v>217397589706</v>
      </c>
      <c r="O381" s="7">
        <f t="shared" si="68"/>
        <v>458600</v>
      </c>
      <c r="P381" s="3">
        <f>SUM($O$4:O381)</f>
        <v>4270728</v>
      </c>
      <c r="Y381" s="3">
        <f t="shared" si="69"/>
        <v>378</v>
      </c>
      <c r="Z381" s="3">
        <f t="shared" si="70"/>
        <v>38640865753</v>
      </c>
      <c r="AB381" s="7">
        <f t="shared" si="71"/>
        <v>13040</v>
      </c>
    </row>
    <row r="382" spans="6:28" x14ac:dyDescent="0.15">
      <c r="F382">
        <f t="shared" si="61"/>
        <v>55</v>
      </c>
      <c r="G382">
        <v>379</v>
      </c>
      <c r="H382">
        <f t="shared" si="62"/>
        <v>165098782249.64545</v>
      </c>
      <c r="I382">
        <f t="shared" si="63"/>
        <v>165098782250</v>
      </c>
      <c r="J382" s="1">
        <f t="shared" si="64"/>
        <v>1</v>
      </c>
      <c r="K382" s="1">
        <f t="shared" si="65"/>
        <v>165098782250</v>
      </c>
      <c r="L382" s="1">
        <f t="shared" si="66"/>
        <v>49254470037.916672</v>
      </c>
      <c r="M382" s="3">
        <f t="shared" si="67"/>
        <v>79924.978553338326</v>
      </c>
      <c r="N382" s="7">
        <f t="shared" si="72"/>
        <v>49254470038</v>
      </c>
      <c r="O382" s="7">
        <f t="shared" si="68"/>
        <v>79924</v>
      </c>
      <c r="P382" s="3">
        <f>SUM($O$4:O382)</f>
        <v>4350652</v>
      </c>
      <c r="Y382" s="3">
        <f t="shared" si="69"/>
        <v>379</v>
      </c>
      <c r="Z382" s="3">
        <f t="shared" si="70"/>
        <v>40680244779</v>
      </c>
      <c r="AB382" s="7">
        <f t="shared" si="71"/>
        <v>13040</v>
      </c>
    </row>
    <row r="383" spans="6:28" x14ac:dyDescent="0.15">
      <c r="F383">
        <f t="shared" si="61"/>
        <v>55</v>
      </c>
      <c r="G383">
        <v>380</v>
      </c>
      <c r="H383">
        <f t="shared" si="62"/>
        <v>165098782249.64545</v>
      </c>
      <c r="I383">
        <f t="shared" si="63"/>
        <v>165098782250</v>
      </c>
      <c r="J383" s="1">
        <f t="shared" si="64"/>
        <v>1</v>
      </c>
      <c r="K383" s="1">
        <f t="shared" si="65"/>
        <v>165098782250</v>
      </c>
      <c r="L383" s="1">
        <f t="shared" si="66"/>
        <v>49254470037.916672</v>
      </c>
      <c r="M383" s="3">
        <f t="shared" si="67"/>
        <v>79924.978553338326</v>
      </c>
      <c r="N383" s="7">
        <f t="shared" si="72"/>
        <v>49254470038</v>
      </c>
      <c r="O383" s="7">
        <f t="shared" si="68"/>
        <v>79924</v>
      </c>
      <c r="P383" s="3">
        <f>SUM($O$4:O383)</f>
        <v>4430576</v>
      </c>
      <c r="Y383" s="3">
        <f t="shared" si="69"/>
        <v>380</v>
      </c>
      <c r="Z383" s="3">
        <f t="shared" si="70"/>
        <v>42826959543</v>
      </c>
      <c r="AB383" s="7">
        <f t="shared" si="71"/>
        <v>13040</v>
      </c>
    </row>
    <row r="384" spans="6:28" x14ac:dyDescent="0.15">
      <c r="F384">
        <f t="shared" si="61"/>
        <v>55</v>
      </c>
      <c r="G384">
        <v>381</v>
      </c>
      <c r="H384">
        <f t="shared" si="62"/>
        <v>165098782249.64545</v>
      </c>
      <c r="I384">
        <f t="shared" si="63"/>
        <v>165098782250</v>
      </c>
      <c r="J384" s="1">
        <f t="shared" si="64"/>
        <v>1</v>
      </c>
      <c r="K384" s="1">
        <f t="shared" si="65"/>
        <v>165098782250</v>
      </c>
      <c r="L384" s="1">
        <f t="shared" si="66"/>
        <v>49254470037.916672</v>
      </c>
      <c r="M384" s="3">
        <f t="shared" si="67"/>
        <v>79924.978553338326</v>
      </c>
      <c r="N384" s="7">
        <f t="shared" si="72"/>
        <v>49254470038</v>
      </c>
      <c r="O384" s="7">
        <f t="shared" si="68"/>
        <v>79924</v>
      </c>
      <c r="P384" s="3">
        <f>SUM($O$4:O384)</f>
        <v>4510500</v>
      </c>
      <c r="Y384" s="3">
        <f t="shared" si="69"/>
        <v>381</v>
      </c>
      <c r="Z384" s="3">
        <f t="shared" si="70"/>
        <v>45086645172</v>
      </c>
      <c r="AB384" s="7">
        <f t="shared" si="71"/>
        <v>13040</v>
      </c>
    </row>
    <row r="385" spans="6:28" x14ac:dyDescent="0.15">
      <c r="F385">
        <f t="shared" si="61"/>
        <v>55</v>
      </c>
      <c r="G385">
        <v>382</v>
      </c>
      <c r="H385">
        <f t="shared" si="62"/>
        <v>165098782249.64545</v>
      </c>
      <c r="I385">
        <f t="shared" si="63"/>
        <v>165098782250</v>
      </c>
      <c r="J385" s="1">
        <f t="shared" si="64"/>
        <v>1</v>
      </c>
      <c r="K385" s="1">
        <f t="shared" si="65"/>
        <v>165098782250</v>
      </c>
      <c r="L385" s="1">
        <f t="shared" si="66"/>
        <v>49254470037.916672</v>
      </c>
      <c r="M385" s="3">
        <f t="shared" si="67"/>
        <v>79924.978553338326</v>
      </c>
      <c r="N385" s="7">
        <f t="shared" si="72"/>
        <v>49254470038</v>
      </c>
      <c r="O385" s="7">
        <f t="shared" si="68"/>
        <v>79924</v>
      </c>
      <c r="P385" s="3">
        <f>SUM($O$4:O385)</f>
        <v>4590424</v>
      </c>
      <c r="Y385" s="3">
        <f t="shared" si="69"/>
        <v>382</v>
      </c>
      <c r="Z385" s="3">
        <f t="shared" si="70"/>
        <v>47465231964</v>
      </c>
      <c r="AB385" s="7">
        <f t="shared" si="71"/>
        <v>13040</v>
      </c>
    </row>
    <row r="386" spans="6:28" x14ac:dyDescent="0.15">
      <c r="F386">
        <f t="shared" si="61"/>
        <v>55</v>
      </c>
      <c r="G386">
        <v>383</v>
      </c>
      <c r="H386">
        <f t="shared" si="62"/>
        <v>165098782249.64545</v>
      </c>
      <c r="I386">
        <f t="shared" si="63"/>
        <v>165098782250</v>
      </c>
      <c r="J386" s="1">
        <f t="shared" si="64"/>
        <v>1</v>
      </c>
      <c r="K386" s="1">
        <f t="shared" si="65"/>
        <v>165098782250</v>
      </c>
      <c r="L386" s="1">
        <f t="shared" si="66"/>
        <v>49254470037.916672</v>
      </c>
      <c r="M386" s="3">
        <f t="shared" si="67"/>
        <v>79924.978553338326</v>
      </c>
      <c r="N386" s="7">
        <f t="shared" si="72"/>
        <v>49254470038</v>
      </c>
      <c r="O386" s="7">
        <f t="shared" si="68"/>
        <v>79924</v>
      </c>
      <c r="P386" s="3">
        <f>SUM($O$4:O386)</f>
        <v>4670348</v>
      </c>
      <c r="Y386" s="3">
        <f t="shared" si="69"/>
        <v>383</v>
      </c>
      <c r="Z386" s="3">
        <f t="shared" si="70"/>
        <v>49968960823</v>
      </c>
      <c r="AB386" s="7">
        <f t="shared" si="71"/>
        <v>13040</v>
      </c>
    </row>
    <row r="387" spans="6:28" x14ac:dyDescent="0.15">
      <c r="F387">
        <f t="shared" si="61"/>
        <v>55</v>
      </c>
      <c r="G387">
        <v>384</v>
      </c>
      <c r="H387">
        <f t="shared" si="62"/>
        <v>165098782249.64545</v>
      </c>
      <c r="I387">
        <f t="shared" si="63"/>
        <v>165098782250</v>
      </c>
      <c r="J387" s="1">
        <f t="shared" si="64"/>
        <v>1</v>
      </c>
      <c r="K387" s="1">
        <f t="shared" si="65"/>
        <v>165098782250</v>
      </c>
      <c r="L387" s="1">
        <f t="shared" si="66"/>
        <v>49254470037.916672</v>
      </c>
      <c r="M387" s="3">
        <f t="shared" si="67"/>
        <v>79924.978553338326</v>
      </c>
      <c r="N387" s="7">
        <f t="shared" si="72"/>
        <v>49254470038</v>
      </c>
      <c r="O387" s="7">
        <f t="shared" si="68"/>
        <v>79924</v>
      </c>
      <c r="P387" s="3">
        <f>SUM($O$4:O387)</f>
        <v>4750272</v>
      </c>
      <c r="Y387" s="3">
        <f t="shared" si="69"/>
        <v>384</v>
      </c>
      <c r="Z387" s="3">
        <f t="shared" si="70"/>
        <v>52604399488</v>
      </c>
      <c r="AB387" s="7">
        <f t="shared" si="71"/>
        <v>13040</v>
      </c>
    </row>
    <row r="388" spans="6:28" x14ac:dyDescent="0.15">
      <c r="F388">
        <f t="shared" si="61"/>
        <v>55</v>
      </c>
      <c r="G388">
        <v>385</v>
      </c>
      <c r="H388">
        <f t="shared" si="62"/>
        <v>165098782249.64545</v>
      </c>
      <c r="I388">
        <f t="shared" si="63"/>
        <v>165098782250</v>
      </c>
      <c r="J388" s="1">
        <f t="shared" si="64"/>
        <v>10</v>
      </c>
      <c r="K388" s="1">
        <f t="shared" si="65"/>
        <v>1650987822500</v>
      </c>
      <c r="L388" s="1">
        <f t="shared" si="66"/>
        <v>492544700379.16669</v>
      </c>
      <c r="M388" s="3">
        <f t="shared" si="67"/>
        <v>799249.78553338326</v>
      </c>
      <c r="N388" s="7">
        <f t="shared" si="72"/>
        <v>492544700379</v>
      </c>
      <c r="O388" s="7">
        <f t="shared" si="68"/>
        <v>799249</v>
      </c>
      <c r="P388" s="3">
        <f>SUM($O$4:O388)</f>
        <v>5549521</v>
      </c>
      <c r="Y388" s="3">
        <f t="shared" si="69"/>
        <v>385</v>
      </c>
      <c r="Z388" s="3">
        <f t="shared" si="70"/>
        <v>55378459617</v>
      </c>
      <c r="AB388" s="7">
        <f t="shared" si="71"/>
        <v>13040</v>
      </c>
    </row>
    <row r="389" spans="6:28" x14ac:dyDescent="0.15">
      <c r="F389">
        <f t="shared" ref="F389:F452" si="73">ROUNDUP(G389/$C$4,0)</f>
        <v>56</v>
      </c>
      <c r="G389">
        <v>386</v>
      </c>
      <c r="H389">
        <f t="shared" ref="H389:H452" si="74">18.5*1.57^MIN(F389,156)*1.17^MAX(F389-156,0)*$C$5</f>
        <v>259205088131.94336</v>
      </c>
      <c r="I389">
        <f t="shared" ref="I389:I452" si="75">ROUND(H389,0)</f>
        <v>259205088132</v>
      </c>
      <c r="J389" s="1">
        <f t="shared" ref="J389:J452" si="76">IF(F389=F390,1,LOOKUP(MOD(F389,5),$D$6:$D$10,$C$6:$C$10))</f>
        <v>1</v>
      </c>
      <c r="K389" s="1">
        <f t="shared" ref="K389:K452" si="77">J389*I389</f>
        <v>259205088132</v>
      </c>
      <c r="L389" s="1">
        <f t="shared" ref="L389:L452" si="78">K389*(0.02+0.00045*F389)/$C$5</f>
        <v>78107133223.776001</v>
      </c>
      <c r="M389" s="3">
        <f t="shared" ref="M389:M452" si="79">L389/(1.3^F389)*3</f>
        <v>97495.422054974828</v>
      </c>
      <c r="N389" s="7">
        <f t="shared" si="72"/>
        <v>78107133224</v>
      </c>
      <c r="O389" s="7">
        <f t="shared" ref="O389:O452" si="80">ROUNDDOWN(M389,0)</f>
        <v>97495</v>
      </c>
      <c r="P389" s="3">
        <f>SUM($O$4:O389)</f>
        <v>5647016</v>
      </c>
      <c r="Y389" s="3">
        <f t="shared" ref="Y389:Y452" si="81">G389</f>
        <v>386</v>
      </c>
      <c r="Z389" s="3">
        <f t="shared" ref="Z389:Z452" si="82">ROUND(1.05^Y389*Y389,0)</f>
        <v>58298414761</v>
      </c>
      <c r="AB389" s="7">
        <f t="shared" ref="AB389:AB452" si="83">LOOKUP(Y389,T:T,P:P)</f>
        <v>13040</v>
      </c>
    </row>
    <row r="390" spans="6:28" x14ac:dyDescent="0.15">
      <c r="F390">
        <f t="shared" si="73"/>
        <v>56</v>
      </c>
      <c r="G390">
        <v>387</v>
      </c>
      <c r="H390">
        <f t="shared" si="74"/>
        <v>259205088131.94336</v>
      </c>
      <c r="I390">
        <f t="shared" si="75"/>
        <v>259205088132</v>
      </c>
      <c r="J390" s="1">
        <f t="shared" si="76"/>
        <v>1</v>
      </c>
      <c r="K390" s="1">
        <f t="shared" si="77"/>
        <v>259205088132</v>
      </c>
      <c r="L390" s="1">
        <f t="shared" si="78"/>
        <v>78107133223.776001</v>
      </c>
      <c r="M390" s="3">
        <f t="shared" si="79"/>
        <v>97495.422054974828</v>
      </c>
      <c r="N390" s="7">
        <f t="shared" si="72"/>
        <v>78107133224</v>
      </c>
      <c r="O390" s="7">
        <f t="shared" si="80"/>
        <v>97495</v>
      </c>
      <c r="P390" s="3">
        <f>SUM($O$4:O390)</f>
        <v>5744511</v>
      </c>
      <c r="Y390" s="3">
        <f t="shared" si="81"/>
        <v>387</v>
      </c>
      <c r="Z390" s="3">
        <f t="shared" si="82"/>
        <v>61371919270</v>
      </c>
      <c r="AB390" s="7">
        <f t="shared" si="83"/>
        <v>13040</v>
      </c>
    </row>
    <row r="391" spans="6:28" x14ac:dyDescent="0.15">
      <c r="F391">
        <f t="shared" si="73"/>
        <v>56</v>
      </c>
      <c r="G391">
        <v>388</v>
      </c>
      <c r="H391">
        <f t="shared" si="74"/>
        <v>259205088131.94336</v>
      </c>
      <c r="I391">
        <f t="shared" si="75"/>
        <v>259205088132</v>
      </c>
      <c r="J391" s="1">
        <f t="shared" si="76"/>
        <v>1</v>
      </c>
      <c r="K391" s="1">
        <f t="shared" si="77"/>
        <v>259205088132</v>
      </c>
      <c r="L391" s="1">
        <f t="shared" si="78"/>
        <v>78107133223.776001</v>
      </c>
      <c r="M391" s="3">
        <f t="shared" si="79"/>
        <v>97495.422054974828</v>
      </c>
      <c r="N391" s="7">
        <f t="shared" si="72"/>
        <v>78107133224</v>
      </c>
      <c r="O391" s="7">
        <f t="shared" si="80"/>
        <v>97495</v>
      </c>
      <c r="P391" s="3">
        <f>SUM($O$4:O391)</f>
        <v>5842006</v>
      </c>
      <c r="Y391" s="3">
        <f t="shared" si="81"/>
        <v>388</v>
      </c>
      <c r="Z391" s="3">
        <f t="shared" si="82"/>
        <v>64607028192</v>
      </c>
      <c r="AB391" s="7">
        <f t="shared" si="83"/>
        <v>13040</v>
      </c>
    </row>
    <row r="392" spans="6:28" x14ac:dyDescent="0.15">
      <c r="F392">
        <f t="shared" si="73"/>
        <v>56</v>
      </c>
      <c r="G392">
        <v>389</v>
      </c>
      <c r="H392">
        <f t="shared" si="74"/>
        <v>259205088131.94336</v>
      </c>
      <c r="I392">
        <f t="shared" si="75"/>
        <v>259205088132</v>
      </c>
      <c r="J392" s="1">
        <f t="shared" si="76"/>
        <v>1</v>
      </c>
      <c r="K392" s="1">
        <f t="shared" si="77"/>
        <v>259205088132</v>
      </c>
      <c r="L392" s="1">
        <f t="shared" si="78"/>
        <v>78107133223.776001</v>
      </c>
      <c r="M392" s="3">
        <f t="shared" si="79"/>
        <v>97495.422054974828</v>
      </c>
      <c r="N392" s="7">
        <f t="shared" ref="N392:N455" si="84">ROUND(L392,0)</f>
        <v>78107133224</v>
      </c>
      <c r="O392" s="7">
        <f t="shared" si="80"/>
        <v>97495</v>
      </c>
      <c r="P392" s="3">
        <f>SUM($O$4:O392)</f>
        <v>5939501</v>
      </c>
      <c r="Y392" s="3">
        <f t="shared" si="81"/>
        <v>389</v>
      </c>
      <c r="Z392" s="3">
        <f t="shared" si="82"/>
        <v>68012218209</v>
      </c>
      <c r="AB392" s="7">
        <f t="shared" si="83"/>
        <v>13040</v>
      </c>
    </row>
    <row r="393" spans="6:28" x14ac:dyDescent="0.15">
      <c r="F393">
        <f t="shared" si="73"/>
        <v>56</v>
      </c>
      <c r="G393">
        <v>390</v>
      </c>
      <c r="H393">
        <f t="shared" si="74"/>
        <v>259205088131.94336</v>
      </c>
      <c r="I393">
        <f t="shared" si="75"/>
        <v>259205088132</v>
      </c>
      <c r="J393" s="1">
        <f t="shared" si="76"/>
        <v>1</v>
      </c>
      <c r="K393" s="1">
        <f t="shared" si="77"/>
        <v>259205088132</v>
      </c>
      <c r="L393" s="1">
        <f t="shared" si="78"/>
        <v>78107133223.776001</v>
      </c>
      <c r="M393" s="3">
        <f t="shared" si="79"/>
        <v>97495.422054974828</v>
      </c>
      <c r="N393" s="7">
        <f t="shared" si="84"/>
        <v>78107133224</v>
      </c>
      <c r="O393" s="7">
        <f t="shared" si="80"/>
        <v>97495</v>
      </c>
      <c r="P393" s="3">
        <f>SUM($O$4:O393)</f>
        <v>6036996</v>
      </c>
      <c r="Y393" s="3">
        <f t="shared" si="81"/>
        <v>390</v>
      </c>
      <c r="Z393" s="3">
        <f t="shared" si="82"/>
        <v>71596409657</v>
      </c>
      <c r="AB393" s="7">
        <f t="shared" si="83"/>
        <v>13040</v>
      </c>
    </row>
    <row r="394" spans="6:28" x14ac:dyDescent="0.15">
      <c r="F394">
        <f t="shared" si="73"/>
        <v>56</v>
      </c>
      <c r="G394">
        <v>391</v>
      </c>
      <c r="H394">
        <f t="shared" si="74"/>
        <v>259205088131.94336</v>
      </c>
      <c r="I394">
        <f t="shared" si="75"/>
        <v>259205088132</v>
      </c>
      <c r="J394" s="1">
        <f t="shared" si="76"/>
        <v>1</v>
      </c>
      <c r="K394" s="1">
        <f t="shared" si="77"/>
        <v>259205088132</v>
      </c>
      <c r="L394" s="1">
        <f t="shared" si="78"/>
        <v>78107133223.776001</v>
      </c>
      <c r="M394" s="3">
        <f t="shared" si="79"/>
        <v>97495.422054974828</v>
      </c>
      <c r="N394" s="7">
        <f t="shared" si="84"/>
        <v>78107133224</v>
      </c>
      <c r="O394" s="7">
        <f t="shared" si="80"/>
        <v>97495</v>
      </c>
      <c r="P394" s="3">
        <f>SUM($O$4:O394)</f>
        <v>6134491</v>
      </c>
      <c r="Y394" s="3">
        <f t="shared" si="81"/>
        <v>391</v>
      </c>
      <c r="Z394" s="3">
        <f t="shared" si="82"/>
        <v>75368989704</v>
      </c>
      <c r="AB394" s="7">
        <f t="shared" si="83"/>
        <v>13040</v>
      </c>
    </row>
    <row r="395" spans="6:28" x14ac:dyDescent="0.15">
      <c r="F395">
        <f t="shared" si="73"/>
        <v>56</v>
      </c>
      <c r="G395">
        <v>392</v>
      </c>
      <c r="H395">
        <f t="shared" si="74"/>
        <v>259205088131.94336</v>
      </c>
      <c r="I395">
        <f t="shared" si="75"/>
        <v>259205088132</v>
      </c>
      <c r="J395" s="1">
        <f t="shared" si="76"/>
        <v>2</v>
      </c>
      <c r="K395" s="1">
        <f t="shared" si="77"/>
        <v>518410176264</v>
      </c>
      <c r="L395" s="1">
        <f t="shared" si="78"/>
        <v>156214266447.552</v>
      </c>
      <c r="M395" s="3">
        <f t="shared" si="79"/>
        <v>194990.84410994966</v>
      </c>
      <c r="N395" s="7">
        <f t="shared" si="84"/>
        <v>156214266448</v>
      </c>
      <c r="O395" s="7">
        <f t="shared" si="80"/>
        <v>194990</v>
      </c>
      <c r="P395" s="3">
        <f>SUM($O$4:O395)</f>
        <v>6329481</v>
      </c>
      <c r="Y395" s="3">
        <f t="shared" si="81"/>
        <v>392</v>
      </c>
      <c r="Z395" s="3">
        <f t="shared" si="82"/>
        <v>79339836732</v>
      </c>
      <c r="AB395" s="7">
        <f t="shared" si="83"/>
        <v>13040</v>
      </c>
    </row>
    <row r="396" spans="6:28" x14ac:dyDescent="0.15">
      <c r="F396">
        <f t="shared" si="73"/>
        <v>57</v>
      </c>
      <c r="G396">
        <v>393</v>
      </c>
      <c r="H396">
        <f t="shared" si="74"/>
        <v>406951988367.15118</v>
      </c>
      <c r="I396">
        <f t="shared" si="75"/>
        <v>406951988367</v>
      </c>
      <c r="J396" s="1">
        <f t="shared" si="76"/>
        <v>1</v>
      </c>
      <c r="K396" s="1">
        <f t="shared" si="77"/>
        <v>406951988367</v>
      </c>
      <c r="L396" s="1">
        <f t="shared" si="78"/>
        <v>123849055126.35699</v>
      </c>
      <c r="M396" s="3">
        <f t="shared" si="79"/>
        <v>118916.70603109174</v>
      </c>
      <c r="N396" s="7">
        <f t="shared" si="84"/>
        <v>123849055126</v>
      </c>
      <c r="O396" s="7">
        <f t="shared" si="80"/>
        <v>118916</v>
      </c>
      <c r="P396" s="3">
        <f>SUM($O$4:O396)</f>
        <v>6448397</v>
      </c>
      <c r="Y396" s="3">
        <f t="shared" si="81"/>
        <v>393</v>
      </c>
      <c r="Z396" s="3">
        <f t="shared" si="82"/>
        <v>83519345989</v>
      </c>
      <c r="AB396" s="7">
        <f t="shared" si="83"/>
        <v>13040</v>
      </c>
    </row>
    <row r="397" spans="6:28" x14ac:dyDescent="0.15">
      <c r="F397">
        <f t="shared" si="73"/>
        <v>57</v>
      </c>
      <c r="G397">
        <v>394</v>
      </c>
      <c r="H397">
        <f t="shared" si="74"/>
        <v>406951988367.15118</v>
      </c>
      <c r="I397">
        <f t="shared" si="75"/>
        <v>406951988367</v>
      </c>
      <c r="J397" s="1">
        <f t="shared" si="76"/>
        <v>1</v>
      </c>
      <c r="K397" s="1">
        <f t="shared" si="77"/>
        <v>406951988367</v>
      </c>
      <c r="L397" s="1">
        <f t="shared" si="78"/>
        <v>123849055126.35699</v>
      </c>
      <c r="M397" s="3">
        <f t="shared" si="79"/>
        <v>118916.70603109174</v>
      </c>
      <c r="N397" s="7">
        <f t="shared" si="84"/>
        <v>123849055126</v>
      </c>
      <c r="O397" s="7">
        <f t="shared" si="80"/>
        <v>118916</v>
      </c>
      <c r="P397" s="3">
        <f>SUM($O$4:O397)</f>
        <v>6567313</v>
      </c>
      <c r="Y397" s="3">
        <f t="shared" si="81"/>
        <v>394</v>
      </c>
      <c r="Z397" s="3">
        <f t="shared" si="82"/>
        <v>87918456579</v>
      </c>
      <c r="AB397" s="7">
        <f t="shared" si="83"/>
        <v>13040</v>
      </c>
    </row>
    <row r="398" spans="6:28" x14ac:dyDescent="0.15">
      <c r="F398">
        <f t="shared" si="73"/>
        <v>57</v>
      </c>
      <c r="G398">
        <v>395</v>
      </c>
      <c r="H398">
        <f t="shared" si="74"/>
        <v>406951988367.15118</v>
      </c>
      <c r="I398">
        <f t="shared" si="75"/>
        <v>406951988367</v>
      </c>
      <c r="J398" s="1">
        <f t="shared" si="76"/>
        <v>1</v>
      </c>
      <c r="K398" s="1">
        <f t="shared" si="77"/>
        <v>406951988367</v>
      </c>
      <c r="L398" s="1">
        <f t="shared" si="78"/>
        <v>123849055126.35699</v>
      </c>
      <c r="M398" s="3">
        <f t="shared" si="79"/>
        <v>118916.70603109174</v>
      </c>
      <c r="N398" s="7">
        <f t="shared" si="84"/>
        <v>123849055126</v>
      </c>
      <c r="O398" s="7">
        <f t="shared" si="80"/>
        <v>118916</v>
      </c>
      <c r="P398" s="3">
        <f>SUM($O$4:O398)</f>
        <v>6686229</v>
      </c>
      <c r="Y398" s="3">
        <f t="shared" si="81"/>
        <v>395</v>
      </c>
      <c r="Z398" s="3">
        <f t="shared" si="82"/>
        <v>92548679863</v>
      </c>
      <c r="AB398" s="7">
        <f t="shared" si="83"/>
        <v>13040</v>
      </c>
    </row>
    <row r="399" spans="6:28" x14ac:dyDescent="0.15">
      <c r="F399">
        <f t="shared" si="73"/>
        <v>57</v>
      </c>
      <c r="G399">
        <v>396</v>
      </c>
      <c r="H399">
        <f t="shared" si="74"/>
        <v>406951988367.15118</v>
      </c>
      <c r="I399">
        <f t="shared" si="75"/>
        <v>406951988367</v>
      </c>
      <c r="J399" s="1">
        <f t="shared" si="76"/>
        <v>1</v>
      </c>
      <c r="K399" s="1">
        <f t="shared" si="77"/>
        <v>406951988367</v>
      </c>
      <c r="L399" s="1">
        <f t="shared" si="78"/>
        <v>123849055126.35699</v>
      </c>
      <c r="M399" s="3">
        <f t="shared" si="79"/>
        <v>118916.70603109174</v>
      </c>
      <c r="N399" s="7">
        <f t="shared" si="84"/>
        <v>123849055126</v>
      </c>
      <c r="O399" s="7">
        <f t="shared" si="80"/>
        <v>118916</v>
      </c>
      <c r="P399" s="3">
        <f>SUM($O$4:O399)</f>
        <v>6805145</v>
      </c>
      <c r="Y399" s="3">
        <f t="shared" si="81"/>
        <v>396</v>
      </c>
      <c r="Z399" s="3">
        <f t="shared" si="82"/>
        <v>97422129335</v>
      </c>
      <c r="AB399" s="7">
        <f t="shared" si="83"/>
        <v>13040</v>
      </c>
    </row>
    <row r="400" spans="6:28" x14ac:dyDescent="0.15">
      <c r="F400">
        <f t="shared" si="73"/>
        <v>57</v>
      </c>
      <c r="G400">
        <v>397</v>
      </c>
      <c r="H400">
        <f t="shared" si="74"/>
        <v>406951988367.15118</v>
      </c>
      <c r="I400">
        <f t="shared" si="75"/>
        <v>406951988367</v>
      </c>
      <c r="J400" s="1">
        <f t="shared" si="76"/>
        <v>1</v>
      </c>
      <c r="K400" s="1">
        <f t="shared" si="77"/>
        <v>406951988367</v>
      </c>
      <c r="L400" s="1">
        <f t="shared" si="78"/>
        <v>123849055126.35699</v>
      </c>
      <c r="M400" s="3">
        <f t="shared" si="79"/>
        <v>118916.70603109174</v>
      </c>
      <c r="N400" s="7">
        <f t="shared" si="84"/>
        <v>123849055126</v>
      </c>
      <c r="O400" s="7">
        <f t="shared" si="80"/>
        <v>118916</v>
      </c>
      <c r="P400" s="3">
        <f>SUM($O$4:O400)</f>
        <v>6924061</v>
      </c>
      <c r="Y400" s="3">
        <f t="shared" si="81"/>
        <v>397</v>
      </c>
      <c r="Z400" s="3">
        <f t="shared" si="82"/>
        <v>102551552053</v>
      </c>
      <c r="AB400" s="7">
        <f t="shared" si="83"/>
        <v>13040</v>
      </c>
    </row>
    <row r="401" spans="6:28" x14ac:dyDescent="0.15">
      <c r="F401">
        <f t="shared" si="73"/>
        <v>57</v>
      </c>
      <c r="G401">
        <v>398</v>
      </c>
      <c r="H401">
        <f t="shared" si="74"/>
        <v>406951988367.15118</v>
      </c>
      <c r="I401">
        <f t="shared" si="75"/>
        <v>406951988367</v>
      </c>
      <c r="J401" s="1">
        <f t="shared" si="76"/>
        <v>1</v>
      </c>
      <c r="K401" s="1">
        <f t="shared" si="77"/>
        <v>406951988367</v>
      </c>
      <c r="L401" s="1">
        <f t="shared" si="78"/>
        <v>123849055126.35699</v>
      </c>
      <c r="M401" s="3">
        <f t="shared" si="79"/>
        <v>118916.70603109174</v>
      </c>
      <c r="N401" s="7">
        <f t="shared" si="84"/>
        <v>123849055126</v>
      </c>
      <c r="O401" s="7">
        <f t="shared" si="80"/>
        <v>118916</v>
      </c>
      <c r="P401" s="3">
        <f>SUM($O$4:O401)</f>
        <v>7042977</v>
      </c>
      <c r="Y401" s="3">
        <f t="shared" si="81"/>
        <v>398</v>
      </c>
      <c r="Z401" s="3">
        <f t="shared" si="82"/>
        <v>107950361721</v>
      </c>
      <c r="AB401" s="7">
        <f t="shared" si="83"/>
        <v>13040</v>
      </c>
    </row>
    <row r="402" spans="6:28" x14ac:dyDescent="0.15">
      <c r="F402">
        <f t="shared" si="73"/>
        <v>57</v>
      </c>
      <c r="G402">
        <v>399</v>
      </c>
      <c r="H402">
        <f t="shared" si="74"/>
        <v>406951988367.15118</v>
      </c>
      <c r="I402">
        <f t="shared" si="75"/>
        <v>406951988367</v>
      </c>
      <c r="J402" s="1">
        <f t="shared" si="76"/>
        <v>4</v>
      </c>
      <c r="K402" s="1">
        <f t="shared" si="77"/>
        <v>1627807953468</v>
      </c>
      <c r="L402" s="1">
        <f t="shared" si="78"/>
        <v>495396220505.42798</v>
      </c>
      <c r="M402" s="3">
        <f t="shared" si="79"/>
        <v>475666.82412436698</v>
      </c>
      <c r="N402" s="7">
        <f t="shared" si="84"/>
        <v>495396220505</v>
      </c>
      <c r="O402" s="7">
        <f t="shared" si="80"/>
        <v>475666</v>
      </c>
      <c r="P402" s="3">
        <f>SUM($O$4:O402)</f>
        <v>7518643</v>
      </c>
      <c r="Y402" s="3">
        <f t="shared" si="81"/>
        <v>399</v>
      </c>
      <c r="Z402" s="3">
        <f t="shared" si="82"/>
        <v>113632673475</v>
      </c>
      <c r="AB402" s="7">
        <f t="shared" si="83"/>
        <v>13040</v>
      </c>
    </row>
    <row r="403" spans="6:28" x14ac:dyDescent="0.15">
      <c r="F403">
        <f t="shared" si="73"/>
        <v>58</v>
      </c>
      <c r="G403">
        <v>400</v>
      </c>
      <c r="H403">
        <f t="shared" si="74"/>
        <v>638914621736.42725</v>
      </c>
      <c r="I403">
        <f t="shared" si="75"/>
        <v>638914621736</v>
      </c>
      <c r="J403" s="1">
        <f t="shared" si="76"/>
        <v>1</v>
      </c>
      <c r="K403" s="1">
        <f t="shared" si="77"/>
        <v>638914621736</v>
      </c>
      <c r="L403" s="1">
        <f t="shared" si="78"/>
        <v>196359760413.5307</v>
      </c>
      <c r="M403" s="3">
        <f t="shared" si="79"/>
        <v>145030.49005661419</v>
      </c>
      <c r="N403" s="7">
        <f t="shared" si="84"/>
        <v>196359760414</v>
      </c>
      <c r="O403" s="7">
        <f t="shared" si="80"/>
        <v>145030</v>
      </c>
      <c r="P403" s="3">
        <f>SUM($O$4:O403)</f>
        <v>7663673</v>
      </c>
      <c r="Y403" s="3">
        <f t="shared" si="81"/>
        <v>400</v>
      </c>
      <c r="Z403" s="3">
        <f t="shared" si="82"/>
        <v>119613340500</v>
      </c>
      <c r="AB403" s="7">
        <f t="shared" si="83"/>
        <v>13040</v>
      </c>
    </row>
    <row r="404" spans="6:28" x14ac:dyDescent="0.15">
      <c r="F404">
        <f t="shared" si="73"/>
        <v>58</v>
      </c>
      <c r="G404">
        <v>401</v>
      </c>
      <c r="H404">
        <f t="shared" si="74"/>
        <v>638914621736.42725</v>
      </c>
      <c r="I404">
        <f t="shared" si="75"/>
        <v>638914621736</v>
      </c>
      <c r="J404" s="1">
        <f t="shared" si="76"/>
        <v>1</v>
      </c>
      <c r="K404" s="1">
        <f t="shared" si="77"/>
        <v>638914621736</v>
      </c>
      <c r="L404" s="1">
        <f t="shared" si="78"/>
        <v>196359760413.5307</v>
      </c>
      <c r="M404" s="3">
        <f t="shared" si="79"/>
        <v>145030.49005661419</v>
      </c>
      <c r="N404" s="7">
        <f t="shared" si="84"/>
        <v>196359760414</v>
      </c>
      <c r="O404" s="7">
        <f t="shared" si="80"/>
        <v>145030</v>
      </c>
      <c r="P404" s="3">
        <f>SUM($O$4:O404)</f>
        <v>7808703</v>
      </c>
      <c r="Y404" s="3">
        <f t="shared" si="81"/>
        <v>401</v>
      </c>
      <c r="Z404" s="3">
        <f t="shared" si="82"/>
        <v>125907992543</v>
      </c>
      <c r="AB404" s="7">
        <f t="shared" si="83"/>
        <v>13040</v>
      </c>
    </row>
    <row r="405" spans="6:28" x14ac:dyDescent="0.15">
      <c r="F405">
        <f t="shared" si="73"/>
        <v>58</v>
      </c>
      <c r="G405">
        <v>402</v>
      </c>
      <c r="H405">
        <f t="shared" si="74"/>
        <v>638914621736.42725</v>
      </c>
      <c r="I405">
        <f t="shared" si="75"/>
        <v>638914621736</v>
      </c>
      <c r="J405" s="1">
        <f t="shared" si="76"/>
        <v>1</v>
      </c>
      <c r="K405" s="1">
        <f t="shared" si="77"/>
        <v>638914621736</v>
      </c>
      <c r="L405" s="1">
        <f t="shared" si="78"/>
        <v>196359760413.5307</v>
      </c>
      <c r="M405" s="3">
        <f t="shared" si="79"/>
        <v>145030.49005661419</v>
      </c>
      <c r="N405" s="7">
        <f t="shared" si="84"/>
        <v>196359760414</v>
      </c>
      <c r="O405" s="7">
        <f t="shared" si="80"/>
        <v>145030</v>
      </c>
      <c r="P405" s="3">
        <f>SUM($O$4:O405)</f>
        <v>7953733</v>
      </c>
      <c r="Y405" s="3">
        <f t="shared" si="81"/>
        <v>402</v>
      </c>
      <c r="Z405" s="3">
        <f t="shared" si="82"/>
        <v>132533076440</v>
      </c>
      <c r="AB405" s="7">
        <f t="shared" si="83"/>
        <v>13040</v>
      </c>
    </row>
    <row r="406" spans="6:28" x14ac:dyDescent="0.15">
      <c r="F406">
        <f t="shared" si="73"/>
        <v>58</v>
      </c>
      <c r="G406">
        <v>403</v>
      </c>
      <c r="H406">
        <f t="shared" si="74"/>
        <v>638914621736.42725</v>
      </c>
      <c r="I406">
        <f t="shared" si="75"/>
        <v>638914621736</v>
      </c>
      <c r="J406" s="1">
        <f t="shared" si="76"/>
        <v>1</v>
      </c>
      <c r="K406" s="1">
        <f t="shared" si="77"/>
        <v>638914621736</v>
      </c>
      <c r="L406" s="1">
        <f t="shared" si="78"/>
        <v>196359760413.5307</v>
      </c>
      <c r="M406" s="3">
        <f t="shared" si="79"/>
        <v>145030.49005661419</v>
      </c>
      <c r="N406" s="7">
        <f t="shared" si="84"/>
        <v>196359760414</v>
      </c>
      <c r="O406" s="7">
        <f t="shared" si="80"/>
        <v>145030</v>
      </c>
      <c r="P406" s="3">
        <f>SUM($O$4:O406)</f>
        <v>8098763</v>
      </c>
      <c r="Y406" s="3">
        <f t="shared" si="81"/>
        <v>403</v>
      </c>
      <c r="Z406" s="3">
        <f t="shared" si="82"/>
        <v>139505898745</v>
      </c>
      <c r="AB406" s="7">
        <f t="shared" si="83"/>
        <v>13040</v>
      </c>
    </row>
    <row r="407" spans="6:28" x14ac:dyDescent="0.15">
      <c r="F407">
        <f t="shared" si="73"/>
        <v>58</v>
      </c>
      <c r="G407">
        <v>404</v>
      </c>
      <c r="H407">
        <f t="shared" si="74"/>
        <v>638914621736.42725</v>
      </c>
      <c r="I407">
        <f t="shared" si="75"/>
        <v>638914621736</v>
      </c>
      <c r="J407" s="1">
        <f t="shared" si="76"/>
        <v>1</v>
      </c>
      <c r="K407" s="1">
        <f t="shared" si="77"/>
        <v>638914621736</v>
      </c>
      <c r="L407" s="1">
        <f t="shared" si="78"/>
        <v>196359760413.5307</v>
      </c>
      <c r="M407" s="3">
        <f t="shared" si="79"/>
        <v>145030.49005661419</v>
      </c>
      <c r="N407" s="7">
        <f t="shared" si="84"/>
        <v>196359760414</v>
      </c>
      <c r="O407" s="7">
        <f t="shared" si="80"/>
        <v>145030</v>
      </c>
      <c r="P407" s="3">
        <f>SUM($O$4:O407)</f>
        <v>8243793</v>
      </c>
      <c r="Y407" s="3">
        <f t="shared" si="81"/>
        <v>404</v>
      </c>
      <c r="Z407" s="3">
        <f t="shared" si="82"/>
        <v>146844670590</v>
      </c>
      <c r="AB407" s="7">
        <f t="shared" si="83"/>
        <v>13040</v>
      </c>
    </row>
    <row r="408" spans="6:28" x14ac:dyDescent="0.15">
      <c r="F408">
        <f t="shared" si="73"/>
        <v>58</v>
      </c>
      <c r="G408">
        <v>405</v>
      </c>
      <c r="H408">
        <f t="shared" si="74"/>
        <v>638914621736.42725</v>
      </c>
      <c r="I408">
        <f t="shared" si="75"/>
        <v>638914621736</v>
      </c>
      <c r="J408" s="1">
        <f t="shared" si="76"/>
        <v>1</v>
      </c>
      <c r="K408" s="1">
        <f t="shared" si="77"/>
        <v>638914621736</v>
      </c>
      <c r="L408" s="1">
        <f t="shared" si="78"/>
        <v>196359760413.5307</v>
      </c>
      <c r="M408" s="3">
        <f t="shared" si="79"/>
        <v>145030.49005661419</v>
      </c>
      <c r="N408" s="7">
        <f t="shared" si="84"/>
        <v>196359760414</v>
      </c>
      <c r="O408" s="7">
        <f t="shared" si="80"/>
        <v>145030</v>
      </c>
      <c r="P408" s="3">
        <f>SUM($O$4:O408)</f>
        <v>8388823</v>
      </c>
      <c r="Y408" s="3">
        <f t="shared" si="81"/>
        <v>405</v>
      </c>
      <c r="Z408" s="3">
        <f t="shared" si="82"/>
        <v>154568554872</v>
      </c>
      <c r="AB408" s="7">
        <f t="shared" si="83"/>
        <v>13040</v>
      </c>
    </row>
    <row r="409" spans="6:28" x14ac:dyDescent="0.15">
      <c r="F409">
        <f t="shared" si="73"/>
        <v>58</v>
      </c>
      <c r="G409">
        <v>406</v>
      </c>
      <c r="H409">
        <f t="shared" si="74"/>
        <v>638914621736.42725</v>
      </c>
      <c r="I409">
        <f t="shared" si="75"/>
        <v>638914621736</v>
      </c>
      <c r="J409" s="1">
        <f t="shared" si="76"/>
        <v>6</v>
      </c>
      <c r="K409" s="1">
        <f t="shared" si="77"/>
        <v>3833487730416</v>
      </c>
      <c r="L409" s="1">
        <f t="shared" si="78"/>
        <v>1178158562481.1841</v>
      </c>
      <c r="M409" s="3">
        <f t="shared" si="79"/>
        <v>870182.94033968518</v>
      </c>
      <c r="N409" s="7">
        <f t="shared" si="84"/>
        <v>1178158562481</v>
      </c>
      <c r="O409" s="7">
        <f t="shared" si="80"/>
        <v>870182</v>
      </c>
      <c r="P409" s="3">
        <f>SUM($O$4:O409)</f>
        <v>9259005</v>
      </c>
      <c r="Y409" s="3">
        <f t="shared" si="81"/>
        <v>406</v>
      </c>
      <c r="Z409" s="3">
        <f t="shared" si="82"/>
        <v>162697715906</v>
      </c>
      <c r="AB409" s="7">
        <f t="shared" si="83"/>
        <v>13040</v>
      </c>
    </row>
    <row r="410" spans="6:28" x14ac:dyDescent="0.15">
      <c r="F410">
        <f t="shared" si="73"/>
        <v>59</v>
      </c>
      <c r="G410">
        <v>407</v>
      </c>
      <c r="H410">
        <f t="shared" si="74"/>
        <v>1003095956126.1908</v>
      </c>
      <c r="I410">
        <f t="shared" si="75"/>
        <v>1003095956126</v>
      </c>
      <c r="J410" s="1">
        <f t="shared" si="76"/>
        <v>1</v>
      </c>
      <c r="K410" s="1">
        <f t="shared" si="77"/>
        <v>1003095956126</v>
      </c>
      <c r="L410" s="1">
        <f t="shared" si="78"/>
        <v>311294111717.76868</v>
      </c>
      <c r="M410" s="3">
        <f t="shared" si="79"/>
        <v>176861.93592620778</v>
      </c>
      <c r="N410" s="7">
        <f t="shared" si="84"/>
        <v>311294111718</v>
      </c>
      <c r="O410" s="7">
        <f t="shared" si="80"/>
        <v>176861</v>
      </c>
      <c r="P410" s="3">
        <f>SUM($O$4:O410)</f>
        <v>9435866</v>
      </c>
      <c r="Y410" s="3">
        <f t="shared" si="81"/>
        <v>407</v>
      </c>
      <c r="Z410" s="3">
        <f t="shared" si="82"/>
        <v>171253371657</v>
      </c>
      <c r="AB410" s="7">
        <f t="shared" si="83"/>
        <v>13040</v>
      </c>
    </row>
    <row r="411" spans="6:28" x14ac:dyDescent="0.15">
      <c r="F411">
        <f t="shared" si="73"/>
        <v>59</v>
      </c>
      <c r="G411">
        <v>408</v>
      </c>
      <c r="H411">
        <f t="shared" si="74"/>
        <v>1003095956126.1908</v>
      </c>
      <c r="I411">
        <f t="shared" si="75"/>
        <v>1003095956126</v>
      </c>
      <c r="J411" s="1">
        <f t="shared" si="76"/>
        <v>1</v>
      </c>
      <c r="K411" s="1">
        <f t="shared" si="77"/>
        <v>1003095956126</v>
      </c>
      <c r="L411" s="1">
        <f t="shared" si="78"/>
        <v>311294111717.76868</v>
      </c>
      <c r="M411" s="3">
        <f t="shared" si="79"/>
        <v>176861.93592620778</v>
      </c>
      <c r="N411" s="7">
        <f t="shared" si="84"/>
        <v>311294111718</v>
      </c>
      <c r="O411" s="7">
        <f t="shared" si="80"/>
        <v>176861</v>
      </c>
      <c r="P411" s="3">
        <f>SUM($O$4:O411)</f>
        <v>9612727</v>
      </c>
      <c r="Y411" s="3">
        <f t="shared" si="81"/>
        <v>408</v>
      </c>
      <c r="Z411" s="3">
        <f t="shared" si="82"/>
        <v>180257848692</v>
      </c>
      <c r="AB411" s="7">
        <f t="shared" si="83"/>
        <v>13040</v>
      </c>
    </row>
    <row r="412" spans="6:28" x14ac:dyDescent="0.15">
      <c r="F412">
        <f t="shared" si="73"/>
        <v>59</v>
      </c>
      <c r="G412">
        <v>409</v>
      </c>
      <c r="H412">
        <f t="shared" si="74"/>
        <v>1003095956126.1908</v>
      </c>
      <c r="I412">
        <f t="shared" si="75"/>
        <v>1003095956126</v>
      </c>
      <c r="J412" s="1">
        <f t="shared" si="76"/>
        <v>1</v>
      </c>
      <c r="K412" s="1">
        <f t="shared" si="77"/>
        <v>1003095956126</v>
      </c>
      <c r="L412" s="1">
        <f t="shared" si="78"/>
        <v>311294111717.76868</v>
      </c>
      <c r="M412" s="3">
        <f t="shared" si="79"/>
        <v>176861.93592620778</v>
      </c>
      <c r="N412" s="7">
        <f t="shared" si="84"/>
        <v>311294111718</v>
      </c>
      <c r="O412" s="7">
        <f t="shared" si="80"/>
        <v>176861</v>
      </c>
      <c r="P412" s="3">
        <f>SUM($O$4:O412)</f>
        <v>9789588</v>
      </c>
      <c r="Y412" s="3">
        <f t="shared" si="81"/>
        <v>409</v>
      </c>
      <c r="Z412" s="3">
        <f t="shared" si="82"/>
        <v>189734640002</v>
      </c>
      <c r="AB412" s="7">
        <f t="shared" si="83"/>
        <v>13040</v>
      </c>
    </row>
    <row r="413" spans="6:28" x14ac:dyDescent="0.15">
      <c r="F413">
        <f t="shared" si="73"/>
        <v>59</v>
      </c>
      <c r="G413">
        <v>410</v>
      </c>
      <c r="H413">
        <f t="shared" si="74"/>
        <v>1003095956126.1908</v>
      </c>
      <c r="I413">
        <f t="shared" si="75"/>
        <v>1003095956126</v>
      </c>
      <c r="J413" s="1">
        <f t="shared" si="76"/>
        <v>1</v>
      </c>
      <c r="K413" s="1">
        <f t="shared" si="77"/>
        <v>1003095956126</v>
      </c>
      <c r="L413" s="1">
        <f t="shared" si="78"/>
        <v>311294111717.76868</v>
      </c>
      <c r="M413" s="3">
        <f t="shared" si="79"/>
        <v>176861.93592620778</v>
      </c>
      <c r="N413" s="7">
        <f t="shared" si="84"/>
        <v>311294111718</v>
      </c>
      <c r="O413" s="7">
        <f t="shared" si="80"/>
        <v>176861</v>
      </c>
      <c r="P413" s="3">
        <f>SUM($O$4:O413)</f>
        <v>9966449</v>
      </c>
      <c r="Y413" s="3">
        <f t="shared" si="81"/>
        <v>410</v>
      </c>
      <c r="Z413" s="3">
        <f t="shared" si="82"/>
        <v>199708465821</v>
      </c>
      <c r="AB413" s="7">
        <f t="shared" si="83"/>
        <v>13040</v>
      </c>
    </row>
    <row r="414" spans="6:28" x14ac:dyDescent="0.15">
      <c r="F414">
        <f t="shared" si="73"/>
        <v>59</v>
      </c>
      <c r="G414">
        <v>411</v>
      </c>
      <c r="H414">
        <f t="shared" si="74"/>
        <v>1003095956126.1908</v>
      </c>
      <c r="I414">
        <f t="shared" si="75"/>
        <v>1003095956126</v>
      </c>
      <c r="J414" s="1">
        <f t="shared" si="76"/>
        <v>1</v>
      </c>
      <c r="K414" s="1">
        <f t="shared" si="77"/>
        <v>1003095956126</v>
      </c>
      <c r="L414" s="1">
        <f t="shared" si="78"/>
        <v>311294111717.76868</v>
      </c>
      <c r="M414" s="3">
        <f t="shared" si="79"/>
        <v>176861.93592620778</v>
      </c>
      <c r="N414" s="7">
        <f t="shared" si="84"/>
        <v>311294111718</v>
      </c>
      <c r="O414" s="7">
        <f t="shared" si="80"/>
        <v>176861</v>
      </c>
      <c r="P414" s="3">
        <f>SUM($O$4:O414)</f>
        <v>10143310</v>
      </c>
      <c r="Y414" s="3">
        <f t="shared" si="81"/>
        <v>411</v>
      </c>
      <c r="Z414" s="3">
        <f t="shared" si="82"/>
        <v>210205337622</v>
      </c>
      <c r="AB414" s="7">
        <f t="shared" si="83"/>
        <v>13040</v>
      </c>
    </row>
    <row r="415" spans="6:28" x14ac:dyDescent="0.15">
      <c r="F415">
        <f t="shared" si="73"/>
        <v>59</v>
      </c>
      <c r="G415">
        <v>412</v>
      </c>
      <c r="H415">
        <f t="shared" si="74"/>
        <v>1003095956126.1908</v>
      </c>
      <c r="I415">
        <f t="shared" si="75"/>
        <v>1003095956126</v>
      </c>
      <c r="J415" s="1">
        <f t="shared" si="76"/>
        <v>1</v>
      </c>
      <c r="K415" s="1">
        <f t="shared" si="77"/>
        <v>1003095956126</v>
      </c>
      <c r="L415" s="1">
        <f t="shared" si="78"/>
        <v>311294111717.76868</v>
      </c>
      <c r="M415" s="3">
        <f t="shared" si="79"/>
        <v>176861.93592620778</v>
      </c>
      <c r="N415" s="7">
        <f t="shared" si="84"/>
        <v>311294111718</v>
      </c>
      <c r="O415" s="7">
        <f t="shared" si="80"/>
        <v>176861</v>
      </c>
      <c r="P415" s="3">
        <f>SUM($O$4:O415)</f>
        <v>10320171</v>
      </c>
      <c r="Y415" s="3">
        <f t="shared" si="81"/>
        <v>412</v>
      </c>
      <c r="Z415" s="3">
        <f t="shared" si="82"/>
        <v>221252625439</v>
      </c>
      <c r="AB415" s="7">
        <f t="shared" si="83"/>
        <v>13040</v>
      </c>
    </row>
    <row r="416" spans="6:28" x14ac:dyDescent="0.15">
      <c r="F416">
        <f t="shared" si="73"/>
        <v>59</v>
      </c>
      <c r="G416">
        <v>413</v>
      </c>
      <c r="H416">
        <f t="shared" si="74"/>
        <v>1003095956126.1908</v>
      </c>
      <c r="I416">
        <f t="shared" si="75"/>
        <v>1003095956126</v>
      </c>
      <c r="J416" s="1">
        <f t="shared" si="76"/>
        <v>7</v>
      </c>
      <c r="K416" s="1">
        <f t="shared" si="77"/>
        <v>7021671692882</v>
      </c>
      <c r="L416" s="1">
        <f t="shared" si="78"/>
        <v>2179058782024.3809</v>
      </c>
      <c r="M416" s="3">
        <f t="shared" si="79"/>
        <v>1238033.5514834546</v>
      </c>
      <c r="N416" s="7">
        <f t="shared" si="84"/>
        <v>2179058782024</v>
      </c>
      <c r="O416" s="7">
        <f t="shared" si="80"/>
        <v>1238033</v>
      </c>
      <c r="P416" s="3">
        <f>SUM($O$4:O416)</f>
        <v>11558204</v>
      </c>
      <c r="Y416" s="3">
        <f t="shared" si="81"/>
        <v>413</v>
      </c>
      <c r="Z416" s="3">
        <f t="shared" si="82"/>
        <v>232879128693</v>
      </c>
      <c r="AB416" s="7">
        <f t="shared" si="83"/>
        <v>13040</v>
      </c>
    </row>
    <row r="417" spans="6:28" x14ac:dyDescent="0.15">
      <c r="F417">
        <f t="shared" si="73"/>
        <v>60</v>
      </c>
      <c r="G417">
        <v>414</v>
      </c>
      <c r="H417">
        <f t="shared" si="74"/>
        <v>1574860651118.1196</v>
      </c>
      <c r="I417">
        <f t="shared" si="75"/>
        <v>1574860651118</v>
      </c>
      <c r="J417" s="1">
        <f t="shared" si="76"/>
        <v>1</v>
      </c>
      <c r="K417" s="1">
        <f t="shared" si="77"/>
        <v>1574860651118</v>
      </c>
      <c r="L417" s="1">
        <f t="shared" si="78"/>
        <v>493456337350.3067</v>
      </c>
      <c r="M417" s="3">
        <f t="shared" si="79"/>
        <v>215659.62574562282</v>
      </c>
      <c r="N417" s="7">
        <f t="shared" si="84"/>
        <v>493456337350</v>
      </c>
      <c r="O417" s="7">
        <f t="shared" si="80"/>
        <v>215659</v>
      </c>
      <c r="P417" s="3">
        <f>SUM($O$4:O417)</f>
        <v>11773863</v>
      </c>
      <c r="Y417" s="3">
        <f t="shared" si="81"/>
        <v>414</v>
      </c>
      <c r="Z417" s="3">
        <f t="shared" si="82"/>
        <v>245115150709</v>
      </c>
      <c r="AB417" s="7">
        <f t="shared" si="83"/>
        <v>13040</v>
      </c>
    </row>
    <row r="418" spans="6:28" x14ac:dyDescent="0.15">
      <c r="F418">
        <f t="shared" si="73"/>
        <v>60</v>
      </c>
      <c r="G418">
        <v>415</v>
      </c>
      <c r="H418">
        <f t="shared" si="74"/>
        <v>1574860651118.1196</v>
      </c>
      <c r="I418">
        <f t="shared" si="75"/>
        <v>1574860651118</v>
      </c>
      <c r="J418" s="1">
        <f t="shared" si="76"/>
        <v>1</v>
      </c>
      <c r="K418" s="1">
        <f t="shared" si="77"/>
        <v>1574860651118</v>
      </c>
      <c r="L418" s="1">
        <f t="shared" si="78"/>
        <v>493456337350.3067</v>
      </c>
      <c r="M418" s="3">
        <f t="shared" si="79"/>
        <v>215659.62574562282</v>
      </c>
      <c r="N418" s="7">
        <f t="shared" si="84"/>
        <v>493456337350</v>
      </c>
      <c r="O418" s="7">
        <f t="shared" si="80"/>
        <v>215659</v>
      </c>
      <c r="P418" s="3">
        <f>SUM($O$4:O418)</f>
        <v>11989522</v>
      </c>
      <c r="Y418" s="3">
        <f t="shared" si="81"/>
        <v>415</v>
      </c>
      <c r="Z418" s="3">
        <f t="shared" si="82"/>
        <v>257992577105</v>
      </c>
      <c r="AB418" s="7">
        <f t="shared" si="83"/>
        <v>13040</v>
      </c>
    </row>
    <row r="419" spans="6:28" x14ac:dyDescent="0.15">
      <c r="F419">
        <f t="shared" si="73"/>
        <v>60</v>
      </c>
      <c r="G419">
        <v>416</v>
      </c>
      <c r="H419">
        <f t="shared" si="74"/>
        <v>1574860651118.1196</v>
      </c>
      <c r="I419">
        <f t="shared" si="75"/>
        <v>1574860651118</v>
      </c>
      <c r="J419" s="1">
        <f t="shared" si="76"/>
        <v>1</v>
      </c>
      <c r="K419" s="1">
        <f t="shared" si="77"/>
        <v>1574860651118</v>
      </c>
      <c r="L419" s="1">
        <f t="shared" si="78"/>
        <v>493456337350.3067</v>
      </c>
      <c r="M419" s="3">
        <f t="shared" si="79"/>
        <v>215659.62574562282</v>
      </c>
      <c r="N419" s="7">
        <f t="shared" si="84"/>
        <v>493456337350</v>
      </c>
      <c r="O419" s="7">
        <f t="shared" si="80"/>
        <v>215659</v>
      </c>
      <c r="P419" s="3">
        <f>SUM($O$4:O419)</f>
        <v>12205181</v>
      </c>
      <c r="Y419" s="3">
        <f t="shared" si="81"/>
        <v>416</v>
      </c>
      <c r="Z419" s="3">
        <f t="shared" si="82"/>
        <v>271544958264</v>
      </c>
      <c r="AB419" s="7">
        <f t="shared" si="83"/>
        <v>13040</v>
      </c>
    </row>
    <row r="420" spans="6:28" x14ac:dyDescent="0.15">
      <c r="F420">
        <f t="shared" si="73"/>
        <v>60</v>
      </c>
      <c r="G420">
        <v>417</v>
      </c>
      <c r="H420">
        <f t="shared" si="74"/>
        <v>1574860651118.1196</v>
      </c>
      <c r="I420">
        <f t="shared" si="75"/>
        <v>1574860651118</v>
      </c>
      <c r="J420" s="1">
        <f t="shared" si="76"/>
        <v>1</v>
      </c>
      <c r="K420" s="1">
        <f t="shared" si="77"/>
        <v>1574860651118</v>
      </c>
      <c r="L420" s="1">
        <f t="shared" si="78"/>
        <v>493456337350.3067</v>
      </c>
      <c r="M420" s="3">
        <f t="shared" si="79"/>
        <v>215659.62574562282</v>
      </c>
      <c r="N420" s="7">
        <f t="shared" si="84"/>
        <v>493456337350</v>
      </c>
      <c r="O420" s="7">
        <f t="shared" si="80"/>
        <v>215659</v>
      </c>
      <c r="P420" s="3">
        <f>SUM($O$4:O420)</f>
        <v>12420840</v>
      </c>
      <c r="Y420" s="3">
        <f t="shared" si="81"/>
        <v>417</v>
      </c>
      <c r="Z420" s="3">
        <f t="shared" si="82"/>
        <v>285807596096</v>
      </c>
      <c r="AB420" s="7">
        <f t="shared" si="83"/>
        <v>13040</v>
      </c>
    </row>
    <row r="421" spans="6:28" x14ac:dyDescent="0.15">
      <c r="F421">
        <f t="shared" si="73"/>
        <v>60</v>
      </c>
      <c r="G421">
        <v>418</v>
      </c>
      <c r="H421">
        <f t="shared" si="74"/>
        <v>1574860651118.1196</v>
      </c>
      <c r="I421">
        <f t="shared" si="75"/>
        <v>1574860651118</v>
      </c>
      <c r="J421" s="1">
        <f t="shared" si="76"/>
        <v>1</v>
      </c>
      <c r="K421" s="1">
        <f t="shared" si="77"/>
        <v>1574860651118</v>
      </c>
      <c r="L421" s="1">
        <f t="shared" si="78"/>
        <v>493456337350.3067</v>
      </c>
      <c r="M421" s="3">
        <f t="shared" si="79"/>
        <v>215659.62574562282</v>
      </c>
      <c r="N421" s="7">
        <f t="shared" si="84"/>
        <v>493456337350</v>
      </c>
      <c r="O421" s="7">
        <f t="shared" si="80"/>
        <v>215659</v>
      </c>
      <c r="P421" s="3">
        <f>SUM($O$4:O421)</f>
        <v>12636499</v>
      </c>
      <c r="Y421" s="3">
        <f t="shared" si="81"/>
        <v>418</v>
      </c>
      <c r="Z421" s="3">
        <f t="shared" si="82"/>
        <v>300817635316</v>
      </c>
      <c r="AB421" s="7">
        <f t="shared" si="83"/>
        <v>13040</v>
      </c>
    </row>
    <row r="422" spans="6:28" x14ac:dyDescent="0.15">
      <c r="F422">
        <f t="shared" si="73"/>
        <v>60</v>
      </c>
      <c r="G422">
        <v>419</v>
      </c>
      <c r="H422">
        <f t="shared" si="74"/>
        <v>1574860651118.1196</v>
      </c>
      <c r="I422">
        <f t="shared" si="75"/>
        <v>1574860651118</v>
      </c>
      <c r="J422" s="1">
        <f t="shared" si="76"/>
        <v>1</v>
      </c>
      <c r="K422" s="1">
        <f t="shared" si="77"/>
        <v>1574860651118</v>
      </c>
      <c r="L422" s="1">
        <f t="shared" si="78"/>
        <v>493456337350.3067</v>
      </c>
      <c r="M422" s="3">
        <f t="shared" si="79"/>
        <v>215659.62574562282</v>
      </c>
      <c r="N422" s="7">
        <f t="shared" si="84"/>
        <v>493456337350</v>
      </c>
      <c r="O422" s="7">
        <f t="shared" si="80"/>
        <v>215659</v>
      </c>
      <c r="P422" s="3">
        <f>SUM($O$4:O422)</f>
        <v>12852158</v>
      </c>
      <c r="Y422" s="3">
        <f t="shared" si="81"/>
        <v>419</v>
      </c>
      <c r="Z422" s="3">
        <f t="shared" si="82"/>
        <v>316614159467</v>
      </c>
      <c r="AB422" s="7">
        <f t="shared" si="83"/>
        <v>13040</v>
      </c>
    </row>
    <row r="423" spans="6:28" x14ac:dyDescent="0.15">
      <c r="F423">
        <f t="shared" si="73"/>
        <v>60</v>
      </c>
      <c r="G423">
        <v>420</v>
      </c>
      <c r="H423">
        <f t="shared" si="74"/>
        <v>1574860651118.1196</v>
      </c>
      <c r="I423">
        <f t="shared" si="75"/>
        <v>1574860651118</v>
      </c>
      <c r="J423" s="1">
        <f t="shared" si="76"/>
        <v>10</v>
      </c>
      <c r="K423" s="1">
        <f t="shared" si="77"/>
        <v>15748606511180</v>
      </c>
      <c r="L423" s="1">
        <f t="shared" si="78"/>
        <v>4934563373503.0664</v>
      </c>
      <c r="M423" s="3">
        <f t="shared" si="79"/>
        <v>2156596.2574562281</v>
      </c>
      <c r="N423" s="7">
        <f t="shared" si="84"/>
        <v>4934563373503</v>
      </c>
      <c r="O423" s="7">
        <f t="shared" si="80"/>
        <v>2156596</v>
      </c>
      <c r="P423" s="3">
        <f>SUM($O$4:O423)</f>
        <v>15008754</v>
      </c>
      <c r="Y423" s="3">
        <f t="shared" si="81"/>
        <v>420</v>
      </c>
      <c r="Z423" s="3">
        <f t="shared" si="82"/>
        <v>333238291945</v>
      </c>
      <c r="AB423" s="7">
        <f t="shared" si="83"/>
        <v>13040</v>
      </c>
    </row>
    <row r="424" spans="6:28" x14ac:dyDescent="0.15">
      <c r="F424">
        <f t="shared" si="73"/>
        <v>61</v>
      </c>
      <c r="G424">
        <v>421</v>
      </c>
      <c r="H424">
        <f t="shared" si="74"/>
        <v>2472531222255.4478</v>
      </c>
      <c r="I424">
        <f t="shared" si="75"/>
        <v>2472531222255</v>
      </c>
      <c r="J424" s="1">
        <f t="shared" si="76"/>
        <v>1</v>
      </c>
      <c r="K424" s="1">
        <f t="shared" si="77"/>
        <v>2472531222255</v>
      </c>
      <c r="L424" s="1">
        <f t="shared" si="78"/>
        <v>782144043306.66492</v>
      </c>
      <c r="M424" s="3">
        <f t="shared" si="79"/>
        <v>262944.14581599174</v>
      </c>
      <c r="N424" s="7">
        <f t="shared" si="84"/>
        <v>782144043307</v>
      </c>
      <c r="O424" s="7">
        <f t="shared" si="80"/>
        <v>262944</v>
      </c>
      <c r="P424" s="3">
        <f>SUM($O$4:O424)</f>
        <v>15271698</v>
      </c>
      <c r="Y424" s="3">
        <f t="shared" si="81"/>
        <v>421</v>
      </c>
      <c r="Z424" s="3">
        <f t="shared" si="82"/>
        <v>350733302272</v>
      </c>
      <c r="AB424" s="7">
        <f t="shared" si="83"/>
        <v>13040</v>
      </c>
    </row>
    <row r="425" spans="6:28" x14ac:dyDescent="0.15">
      <c r="F425">
        <f t="shared" si="73"/>
        <v>61</v>
      </c>
      <c r="G425">
        <v>422</v>
      </c>
      <c r="H425">
        <f t="shared" si="74"/>
        <v>2472531222255.4478</v>
      </c>
      <c r="I425">
        <f t="shared" si="75"/>
        <v>2472531222255</v>
      </c>
      <c r="J425" s="1">
        <f t="shared" si="76"/>
        <v>1</v>
      </c>
      <c r="K425" s="1">
        <f t="shared" si="77"/>
        <v>2472531222255</v>
      </c>
      <c r="L425" s="1">
        <f t="shared" si="78"/>
        <v>782144043306.66492</v>
      </c>
      <c r="M425" s="3">
        <f t="shared" si="79"/>
        <v>262944.14581599174</v>
      </c>
      <c r="N425" s="7">
        <f t="shared" si="84"/>
        <v>782144043307</v>
      </c>
      <c r="O425" s="7">
        <f t="shared" si="80"/>
        <v>262944</v>
      </c>
      <c r="P425" s="3">
        <f>SUM($O$4:O425)</f>
        <v>15534642</v>
      </c>
      <c r="Y425" s="3">
        <f t="shared" si="81"/>
        <v>422</v>
      </c>
      <c r="Z425" s="3">
        <f t="shared" si="82"/>
        <v>369144717902</v>
      </c>
      <c r="AB425" s="7">
        <f t="shared" si="83"/>
        <v>13040</v>
      </c>
    </row>
    <row r="426" spans="6:28" x14ac:dyDescent="0.15">
      <c r="F426">
        <f t="shared" si="73"/>
        <v>61</v>
      </c>
      <c r="G426">
        <v>423</v>
      </c>
      <c r="H426">
        <f t="shared" si="74"/>
        <v>2472531222255.4478</v>
      </c>
      <c r="I426">
        <f t="shared" si="75"/>
        <v>2472531222255</v>
      </c>
      <c r="J426" s="1">
        <f t="shared" si="76"/>
        <v>1</v>
      </c>
      <c r="K426" s="1">
        <f t="shared" si="77"/>
        <v>2472531222255</v>
      </c>
      <c r="L426" s="1">
        <f t="shared" si="78"/>
        <v>782144043306.66492</v>
      </c>
      <c r="M426" s="3">
        <f t="shared" si="79"/>
        <v>262944.14581599174</v>
      </c>
      <c r="N426" s="7">
        <f t="shared" si="84"/>
        <v>782144043307</v>
      </c>
      <c r="O426" s="7">
        <f t="shared" si="80"/>
        <v>262944</v>
      </c>
      <c r="P426" s="3">
        <f>SUM($O$4:O426)</f>
        <v>15797586</v>
      </c>
      <c r="Y426" s="3">
        <f t="shared" si="81"/>
        <v>423</v>
      </c>
      <c r="Z426" s="3">
        <f t="shared" si="82"/>
        <v>388520441839</v>
      </c>
      <c r="AB426" s="7">
        <f t="shared" si="83"/>
        <v>13040</v>
      </c>
    </row>
    <row r="427" spans="6:28" x14ac:dyDescent="0.15">
      <c r="F427">
        <f t="shared" si="73"/>
        <v>61</v>
      </c>
      <c r="G427">
        <v>424</v>
      </c>
      <c r="H427">
        <f t="shared" si="74"/>
        <v>2472531222255.4478</v>
      </c>
      <c r="I427">
        <f t="shared" si="75"/>
        <v>2472531222255</v>
      </c>
      <c r="J427" s="1">
        <f t="shared" si="76"/>
        <v>1</v>
      </c>
      <c r="K427" s="1">
        <f t="shared" si="77"/>
        <v>2472531222255</v>
      </c>
      <c r="L427" s="1">
        <f t="shared" si="78"/>
        <v>782144043306.66492</v>
      </c>
      <c r="M427" s="3">
        <f t="shared" si="79"/>
        <v>262944.14581599174</v>
      </c>
      <c r="N427" s="7">
        <f t="shared" si="84"/>
        <v>782144043307</v>
      </c>
      <c r="O427" s="7">
        <f t="shared" si="80"/>
        <v>262944</v>
      </c>
      <c r="P427" s="3">
        <f>SUM($O$4:O427)</f>
        <v>16060530</v>
      </c>
      <c r="Y427" s="3">
        <f t="shared" si="81"/>
        <v>424</v>
      </c>
      <c r="Z427" s="3">
        <f t="shared" si="82"/>
        <v>408910876375</v>
      </c>
      <c r="AB427" s="7">
        <f t="shared" si="83"/>
        <v>13040</v>
      </c>
    </row>
    <row r="428" spans="6:28" x14ac:dyDescent="0.15">
      <c r="F428">
        <f t="shared" si="73"/>
        <v>61</v>
      </c>
      <c r="G428">
        <v>425</v>
      </c>
      <c r="H428">
        <f t="shared" si="74"/>
        <v>2472531222255.4478</v>
      </c>
      <c r="I428">
        <f t="shared" si="75"/>
        <v>2472531222255</v>
      </c>
      <c r="J428" s="1">
        <f t="shared" si="76"/>
        <v>1</v>
      </c>
      <c r="K428" s="1">
        <f t="shared" si="77"/>
        <v>2472531222255</v>
      </c>
      <c r="L428" s="1">
        <f t="shared" si="78"/>
        <v>782144043306.66492</v>
      </c>
      <c r="M428" s="3">
        <f t="shared" si="79"/>
        <v>262944.14581599174</v>
      </c>
      <c r="N428" s="7">
        <f t="shared" si="84"/>
        <v>782144043307</v>
      </c>
      <c r="O428" s="7">
        <f t="shared" si="80"/>
        <v>262944</v>
      </c>
      <c r="P428" s="3">
        <f>SUM($O$4:O428)</f>
        <v>16323474</v>
      </c>
      <c r="Y428" s="3">
        <f t="shared" si="81"/>
        <v>425</v>
      </c>
      <c r="Z428" s="3">
        <f t="shared" si="82"/>
        <v>430369053260</v>
      </c>
      <c r="AB428" s="7">
        <f t="shared" si="83"/>
        <v>13040</v>
      </c>
    </row>
    <row r="429" spans="6:28" x14ac:dyDescent="0.15">
      <c r="F429">
        <f t="shared" si="73"/>
        <v>61</v>
      </c>
      <c r="G429">
        <v>426</v>
      </c>
      <c r="H429">
        <f t="shared" si="74"/>
        <v>2472531222255.4478</v>
      </c>
      <c r="I429">
        <f t="shared" si="75"/>
        <v>2472531222255</v>
      </c>
      <c r="J429" s="1">
        <f t="shared" si="76"/>
        <v>1</v>
      </c>
      <c r="K429" s="1">
        <f t="shared" si="77"/>
        <v>2472531222255</v>
      </c>
      <c r="L429" s="1">
        <f t="shared" si="78"/>
        <v>782144043306.66492</v>
      </c>
      <c r="M429" s="3">
        <f t="shared" si="79"/>
        <v>262944.14581599174</v>
      </c>
      <c r="N429" s="7">
        <f t="shared" si="84"/>
        <v>782144043307</v>
      </c>
      <c r="O429" s="7">
        <f t="shared" si="80"/>
        <v>262944</v>
      </c>
      <c r="P429" s="3">
        <f>SUM($O$4:O429)</f>
        <v>16586418</v>
      </c>
      <c r="Y429" s="3">
        <f t="shared" si="81"/>
        <v>426</v>
      </c>
      <c r="Z429" s="3">
        <f t="shared" si="82"/>
        <v>452950770643</v>
      </c>
      <c r="AB429" s="7">
        <f t="shared" si="83"/>
        <v>13040</v>
      </c>
    </row>
    <row r="430" spans="6:28" x14ac:dyDescent="0.15">
      <c r="F430">
        <f t="shared" si="73"/>
        <v>61</v>
      </c>
      <c r="G430">
        <v>427</v>
      </c>
      <c r="H430">
        <f t="shared" si="74"/>
        <v>2472531222255.4478</v>
      </c>
      <c r="I430">
        <f t="shared" si="75"/>
        <v>2472531222255</v>
      </c>
      <c r="J430" s="1">
        <f t="shared" si="76"/>
        <v>2</v>
      </c>
      <c r="K430" s="1">
        <f t="shared" si="77"/>
        <v>4945062444510</v>
      </c>
      <c r="L430" s="1">
        <f t="shared" si="78"/>
        <v>1564288086613.3298</v>
      </c>
      <c r="M430" s="3">
        <f t="shared" si="79"/>
        <v>525888.29163198348</v>
      </c>
      <c r="N430" s="7">
        <f t="shared" si="84"/>
        <v>1564288086613</v>
      </c>
      <c r="O430" s="7">
        <f t="shared" si="80"/>
        <v>525888</v>
      </c>
      <c r="P430" s="3">
        <f>SUM($O$4:O430)</f>
        <v>17112306</v>
      </c>
      <c r="Y430" s="3">
        <f t="shared" si="81"/>
        <v>427</v>
      </c>
      <c r="Z430" s="3">
        <f t="shared" si="82"/>
        <v>476714737131</v>
      </c>
      <c r="AB430" s="7">
        <f t="shared" si="83"/>
        <v>13040</v>
      </c>
    </row>
    <row r="431" spans="6:28" x14ac:dyDescent="0.15">
      <c r="F431">
        <f t="shared" si="73"/>
        <v>62</v>
      </c>
      <c r="G431">
        <v>428</v>
      </c>
      <c r="H431">
        <f t="shared" si="74"/>
        <v>3881874018941.0537</v>
      </c>
      <c r="I431">
        <f t="shared" si="75"/>
        <v>3881874018941</v>
      </c>
      <c r="J431" s="1">
        <f t="shared" si="76"/>
        <v>1</v>
      </c>
      <c r="K431" s="1">
        <f t="shared" si="77"/>
        <v>3881874018941</v>
      </c>
      <c r="L431" s="1">
        <f t="shared" si="78"/>
        <v>1239611770048.4927</v>
      </c>
      <c r="M431" s="3">
        <f t="shared" si="79"/>
        <v>320567.21403588133</v>
      </c>
      <c r="N431" s="7">
        <f t="shared" si="84"/>
        <v>1239611770048</v>
      </c>
      <c r="O431" s="7">
        <f t="shared" si="80"/>
        <v>320567</v>
      </c>
      <c r="P431" s="3">
        <f>SUM($O$4:O431)</f>
        <v>17432873</v>
      </c>
      <c r="Y431" s="3">
        <f t="shared" si="81"/>
        <v>428</v>
      </c>
      <c r="Z431" s="3">
        <f t="shared" si="82"/>
        <v>501722723341</v>
      </c>
      <c r="AB431" s="7">
        <f t="shared" si="83"/>
        <v>13040</v>
      </c>
    </row>
    <row r="432" spans="6:28" x14ac:dyDescent="0.15">
      <c r="F432">
        <f t="shared" si="73"/>
        <v>62</v>
      </c>
      <c r="G432">
        <v>429</v>
      </c>
      <c r="H432">
        <f t="shared" si="74"/>
        <v>3881874018941.0537</v>
      </c>
      <c r="I432">
        <f t="shared" si="75"/>
        <v>3881874018941</v>
      </c>
      <c r="J432" s="1">
        <f t="shared" si="76"/>
        <v>1</v>
      </c>
      <c r="K432" s="1">
        <f t="shared" si="77"/>
        <v>3881874018941</v>
      </c>
      <c r="L432" s="1">
        <f t="shared" si="78"/>
        <v>1239611770048.4927</v>
      </c>
      <c r="M432" s="3">
        <f t="shared" si="79"/>
        <v>320567.21403588133</v>
      </c>
      <c r="N432" s="7">
        <f t="shared" si="84"/>
        <v>1239611770048</v>
      </c>
      <c r="O432" s="7">
        <f t="shared" si="80"/>
        <v>320567</v>
      </c>
      <c r="P432" s="3">
        <f>SUM($O$4:O432)</f>
        <v>17753440</v>
      </c>
      <c r="Y432" s="3">
        <f t="shared" si="81"/>
        <v>429</v>
      </c>
      <c r="Z432" s="3">
        <f t="shared" si="82"/>
        <v>528039721330</v>
      </c>
      <c r="AB432" s="7">
        <f t="shared" si="83"/>
        <v>13040</v>
      </c>
    </row>
    <row r="433" spans="6:28" x14ac:dyDescent="0.15">
      <c r="F433">
        <f t="shared" si="73"/>
        <v>62</v>
      </c>
      <c r="G433">
        <v>430</v>
      </c>
      <c r="H433">
        <f t="shared" si="74"/>
        <v>3881874018941.0537</v>
      </c>
      <c r="I433">
        <f t="shared" si="75"/>
        <v>3881874018941</v>
      </c>
      <c r="J433" s="1">
        <f t="shared" si="76"/>
        <v>1</v>
      </c>
      <c r="K433" s="1">
        <f t="shared" si="77"/>
        <v>3881874018941</v>
      </c>
      <c r="L433" s="1">
        <f t="shared" si="78"/>
        <v>1239611770048.4927</v>
      </c>
      <c r="M433" s="3">
        <f t="shared" si="79"/>
        <v>320567.21403588133</v>
      </c>
      <c r="N433" s="7">
        <f t="shared" si="84"/>
        <v>1239611770048</v>
      </c>
      <c r="O433" s="7">
        <f t="shared" si="80"/>
        <v>320567</v>
      </c>
      <c r="P433" s="3">
        <f>SUM($O$4:O433)</f>
        <v>18074007</v>
      </c>
      <c r="Y433" s="3">
        <f t="shared" si="81"/>
        <v>430</v>
      </c>
      <c r="Z433" s="3">
        <f t="shared" si="82"/>
        <v>555734112309</v>
      </c>
      <c r="AB433" s="7">
        <f t="shared" si="83"/>
        <v>13040</v>
      </c>
    </row>
    <row r="434" spans="6:28" x14ac:dyDescent="0.15">
      <c r="F434">
        <f t="shared" si="73"/>
        <v>62</v>
      </c>
      <c r="G434">
        <v>431</v>
      </c>
      <c r="H434">
        <f t="shared" si="74"/>
        <v>3881874018941.0537</v>
      </c>
      <c r="I434">
        <f t="shared" si="75"/>
        <v>3881874018941</v>
      </c>
      <c r="J434" s="1">
        <f t="shared" si="76"/>
        <v>1</v>
      </c>
      <c r="K434" s="1">
        <f t="shared" si="77"/>
        <v>3881874018941</v>
      </c>
      <c r="L434" s="1">
        <f t="shared" si="78"/>
        <v>1239611770048.4927</v>
      </c>
      <c r="M434" s="3">
        <f t="shared" si="79"/>
        <v>320567.21403588133</v>
      </c>
      <c r="N434" s="7">
        <f t="shared" si="84"/>
        <v>1239611770048</v>
      </c>
      <c r="O434" s="7">
        <f t="shared" si="80"/>
        <v>320567</v>
      </c>
      <c r="P434" s="3">
        <f>SUM($O$4:O434)</f>
        <v>18394574</v>
      </c>
      <c r="Y434" s="3">
        <f t="shared" si="81"/>
        <v>431</v>
      </c>
      <c r="Z434" s="3">
        <f t="shared" si="82"/>
        <v>584877843082</v>
      </c>
      <c r="AB434" s="7">
        <f t="shared" si="83"/>
        <v>13040</v>
      </c>
    </row>
    <row r="435" spans="6:28" x14ac:dyDescent="0.15">
      <c r="F435">
        <f t="shared" si="73"/>
        <v>62</v>
      </c>
      <c r="G435">
        <v>432</v>
      </c>
      <c r="H435">
        <f t="shared" si="74"/>
        <v>3881874018941.0537</v>
      </c>
      <c r="I435">
        <f t="shared" si="75"/>
        <v>3881874018941</v>
      </c>
      <c r="J435" s="1">
        <f t="shared" si="76"/>
        <v>1</v>
      </c>
      <c r="K435" s="1">
        <f t="shared" si="77"/>
        <v>3881874018941</v>
      </c>
      <c r="L435" s="1">
        <f t="shared" si="78"/>
        <v>1239611770048.4927</v>
      </c>
      <c r="M435" s="3">
        <f t="shared" si="79"/>
        <v>320567.21403588133</v>
      </c>
      <c r="N435" s="7">
        <f t="shared" si="84"/>
        <v>1239611770048</v>
      </c>
      <c r="O435" s="7">
        <f t="shared" si="80"/>
        <v>320567</v>
      </c>
      <c r="P435" s="3">
        <f>SUM($O$4:O435)</f>
        <v>18715141</v>
      </c>
      <c r="Y435" s="3">
        <f t="shared" si="81"/>
        <v>432</v>
      </c>
      <c r="Z435" s="3">
        <f t="shared" si="82"/>
        <v>615546611652</v>
      </c>
      <c r="AB435" s="7">
        <f t="shared" si="83"/>
        <v>13040</v>
      </c>
    </row>
    <row r="436" spans="6:28" x14ac:dyDescent="0.15">
      <c r="F436">
        <f t="shared" si="73"/>
        <v>62</v>
      </c>
      <c r="G436">
        <v>433</v>
      </c>
      <c r="H436">
        <f t="shared" si="74"/>
        <v>3881874018941.0537</v>
      </c>
      <c r="I436">
        <f t="shared" si="75"/>
        <v>3881874018941</v>
      </c>
      <c r="J436" s="1">
        <f t="shared" si="76"/>
        <v>1</v>
      </c>
      <c r="K436" s="1">
        <f t="shared" si="77"/>
        <v>3881874018941</v>
      </c>
      <c r="L436" s="1">
        <f t="shared" si="78"/>
        <v>1239611770048.4927</v>
      </c>
      <c r="M436" s="3">
        <f t="shared" si="79"/>
        <v>320567.21403588133</v>
      </c>
      <c r="N436" s="7">
        <f t="shared" si="84"/>
        <v>1239611770048</v>
      </c>
      <c r="O436" s="7">
        <f t="shared" si="80"/>
        <v>320567</v>
      </c>
      <c r="P436" s="3">
        <f>SUM($O$4:O436)</f>
        <v>19035708</v>
      </c>
      <c r="Y436" s="3">
        <f t="shared" si="81"/>
        <v>433</v>
      </c>
      <c r="Z436" s="3">
        <f t="shared" si="82"/>
        <v>647820062471</v>
      </c>
      <c r="AB436" s="7">
        <f t="shared" si="83"/>
        <v>13040</v>
      </c>
    </row>
    <row r="437" spans="6:28" x14ac:dyDescent="0.15">
      <c r="F437">
        <f t="shared" si="73"/>
        <v>62</v>
      </c>
      <c r="G437">
        <v>434</v>
      </c>
      <c r="H437">
        <f t="shared" si="74"/>
        <v>3881874018941.0537</v>
      </c>
      <c r="I437">
        <f t="shared" si="75"/>
        <v>3881874018941</v>
      </c>
      <c r="J437" s="1">
        <f t="shared" si="76"/>
        <v>4</v>
      </c>
      <c r="K437" s="1">
        <f t="shared" si="77"/>
        <v>15527496075764</v>
      </c>
      <c r="L437" s="1">
        <f t="shared" si="78"/>
        <v>4958447080193.9707</v>
      </c>
      <c r="M437" s="3">
        <f t="shared" si="79"/>
        <v>1282268.8561435253</v>
      </c>
      <c r="N437" s="7">
        <f t="shared" si="84"/>
        <v>4958447080194</v>
      </c>
      <c r="O437" s="7">
        <f t="shared" si="80"/>
        <v>1282268</v>
      </c>
      <c r="P437" s="3">
        <f>SUM($O$4:O437)</f>
        <v>20317976</v>
      </c>
      <c r="Y437" s="3">
        <f t="shared" si="81"/>
        <v>434</v>
      </c>
      <c r="Z437" s="3">
        <f t="shared" si="82"/>
        <v>681781991843</v>
      </c>
      <c r="AB437" s="7">
        <f t="shared" si="83"/>
        <v>13040</v>
      </c>
    </row>
    <row r="438" spans="6:28" x14ac:dyDescent="0.15">
      <c r="F438">
        <f t="shared" si="73"/>
        <v>63</v>
      </c>
      <c r="G438">
        <v>435</v>
      </c>
      <c r="H438">
        <f t="shared" si="74"/>
        <v>6094542209737.4541</v>
      </c>
      <c r="I438">
        <f t="shared" si="75"/>
        <v>6094542209737</v>
      </c>
      <c r="J438" s="1">
        <f t="shared" si="76"/>
        <v>1</v>
      </c>
      <c r="K438" s="1">
        <f t="shared" si="77"/>
        <v>6094542209737</v>
      </c>
      <c r="L438" s="1">
        <f t="shared" si="78"/>
        <v>1964474105605.2268</v>
      </c>
      <c r="M438" s="3">
        <f t="shared" si="79"/>
        <v>390783.63471744442</v>
      </c>
      <c r="N438" s="7">
        <f t="shared" si="84"/>
        <v>1964474105605</v>
      </c>
      <c r="O438" s="7">
        <f t="shared" si="80"/>
        <v>390783</v>
      </c>
      <c r="P438" s="3">
        <f>SUM($O$4:O438)</f>
        <v>20708759</v>
      </c>
      <c r="Y438" s="3">
        <f t="shared" si="81"/>
        <v>435</v>
      </c>
      <c r="Z438" s="3">
        <f t="shared" si="82"/>
        <v>717520563996</v>
      </c>
      <c r="AB438" s="7">
        <f t="shared" si="83"/>
        <v>13040</v>
      </c>
    </row>
    <row r="439" spans="6:28" x14ac:dyDescent="0.15">
      <c r="F439">
        <f t="shared" si="73"/>
        <v>63</v>
      </c>
      <c r="G439">
        <v>436</v>
      </c>
      <c r="H439">
        <f t="shared" si="74"/>
        <v>6094542209737.4541</v>
      </c>
      <c r="I439">
        <f t="shared" si="75"/>
        <v>6094542209737</v>
      </c>
      <c r="J439" s="1">
        <f t="shared" si="76"/>
        <v>1</v>
      </c>
      <c r="K439" s="1">
        <f t="shared" si="77"/>
        <v>6094542209737</v>
      </c>
      <c r="L439" s="1">
        <f t="shared" si="78"/>
        <v>1964474105605.2268</v>
      </c>
      <c r="M439" s="3">
        <f t="shared" si="79"/>
        <v>390783.63471744442</v>
      </c>
      <c r="N439" s="7">
        <f t="shared" si="84"/>
        <v>1964474105605</v>
      </c>
      <c r="O439" s="7">
        <f t="shared" si="80"/>
        <v>390783</v>
      </c>
      <c r="P439" s="3">
        <f>SUM($O$4:O439)</f>
        <v>21099542</v>
      </c>
      <c r="Y439" s="3">
        <f t="shared" si="81"/>
        <v>436</v>
      </c>
      <c r="Z439" s="3">
        <f t="shared" si="82"/>
        <v>755128538385</v>
      </c>
      <c r="AB439" s="7">
        <f t="shared" si="83"/>
        <v>13040</v>
      </c>
    </row>
    <row r="440" spans="6:28" x14ac:dyDescent="0.15">
      <c r="F440">
        <f t="shared" si="73"/>
        <v>63</v>
      </c>
      <c r="G440">
        <v>437</v>
      </c>
      <c r="H440">
        <f t="shared" si="74"/>
        <v>6094542209737.4541</v>
      </c>
      <c r="I440">
        <f t="shared" si="75"/>
        <v>6094542209737</v>
      </c>
      <c r="J440" s="1">
        <f t="shared" si="76"/>
        <v>1</v>
      </c>
      <c r="K440" s="1">
        <f t="shared" si="77"/>
        <v>6094542209737</v>
      </c>
      <c r="L440" s="1">
        <f t="shared" si="78"/>
        <v>1964474105605.2268</v>
      </c>
      <c r="M440" s="3">
        <f t="shared" si="79"/>
        <v>390783.63471744442</v>
      </c>
      <c r="N440" s="7">
        <f t="shared" si="84"/>
        <v>1964474105605</v>
      </c>
      <c r="O440" s="7">
        <f t="shared" si="80"/>
        <v>390783</v>
      </c>
      <c r="P440" s="3">
        <f>SUM($O$4:O440)</f>
        <v>21490325</v>
      </c>
      <c r="Y440" s="3">
        <f t="shared" si="81"/>
        <v>437</v>
      </c>
      <c r="Z440" s="3">
        <f t="shared" si="82"/>
        <v>794703508803</v>
      </c>
      <c r="AB440" s="7">
        <f t="shared" si="83"/>
        <v>13040</v>
      </c>
    </row>
    <row r="441" spans="6:28" x14ac:dyDescent="0.15">
      <c r="F441">
        <f t="shared" si="73"/>
        <v>63</v>
      </c>
      <c r="G441">
        <v>438</v>
      </c>
      <c r="H441">
        <f t="shared" si="74"/>
        <v>6094542209737.4541</v>
      </c>
      <c r="I441">
        <f t="shared" si="75"/>
        <v>6094542209737</v>
      </c>
      <c r="J441" s="1">
        <f t="shared" si="76"/>
        <v>1</v>
      </c>
      <c r="K441" s="1">
        <f t="shared" si="77"/>
        <v>6094542209737</v>
      </c>
      <c r="L441" s="1">
        <f t="shared" si="78"/>
        <v>1964474105605.2268</v>
      </c>
      <c r="M441" s="3">
        <f t="shared" si="79"/>
        <v>390783.63471744442</v>
      </c>
      <c r="N441" s="7">
        <f t="shared" si="84"/>
        <v>1964474105605</v>
      </c>
      <c r="O441" s="7">
        <f t="shared" si="80"/>
        <v>390783</v>
      </c>
      <c r="P441" s="3">
        <f>SUM($O$4:O441)</f>
        <v>21881108</v>
      </c>
      <c r="Y441" s="3">
        <f t="shared" si="81"/>
        <v>438</v>
      </c>
      <c r="Z441" s="3">
        <f t="shared" si="82"/>
        <v>836348154916</v>
      </c>
      <c r="AB441" s="7">
        <f t="shared" si="83"/>
        <v>13040</v>
      </c>
    </row>
    <row r="442" spans="6:28" x14ac:dyDescent="0.15">
      <c r="F442">
        <f t="shared" si="73"/>
        <v>63</v>
      </c>
      <c r="G442">
        <v>439</v>
      </c>
      <c r="H442">
        <f t="shared" si="74"/>
        <v>6094542209737.4541</v>
      </c>
      <c r="I442">
        <f t="shared" si="75"/>
        <v>6094542209737</v>
      </c>
      <c r="J442" s="1">
        <f t="shared" si="76"/>
        <v>1</v>
      </c>
      <c r="K442" s="1">
        <f t="shared" si="77"/>
        <v>6094542209737</v>
      </c>
      <c r="L442" s="1">
        <f t="shared" si="78"/>
        <v>1964474105605.2268</v>
      </c>
      <c r="M442" s="3">
        <f t="shared" si="79"/>
        <v>390783.63471744442</v>
      </c>
      <c r="N442" s="7">
        <f t="shared" si="84"/>
        <v>1964474105605</v>
      </c>
      <c r="O442" s="7">
        <f t="shared" si="80"/>
        <v>390783</v>
      </c>
      <c r="P442" s="3">
        <f>SUM($O$4:O442)</f>
        <v>22271891</v>
      </c>
      <c r="Y442" s="3">
        <f t="shared" si="81"/>
        <v>439</v>
      </c>
      <c r="Z442" s="3">
        <f t="shared" si="82"/>
        <v>880170506869</v>
      </c>
      <c r="AB442" s="7">
        <f t="shared" si="83"/>
        <v>13040</v>
      </c>
    </row>
    <row r="443" spans="6:28" x14ac:dyDescent="0.15">
      <c r="F443">
        <f t="shared" si="73"/>
        <v>63</v>
      </c>
      <c r="G443">
        <v>440</v>
      </c>
      <c r="H443">
        <f t="shared" si="74"/>
        <v>6094542209737.4541</v>
      </c>
      <c r="I443">
        <f t="shared" si="75"/>
        <v>6094542209737</v>
      </c>
      <c r="J443" s="1">
        <f t="shared" si="76"/>
        <v>1</v>
      </c>
      <c r="K443" s="1">
        <f t="shared" si="77"/>
        <v>6094542209737</v>
      </c>
      <c r="L443" s="1">
        <f t="shared" si="78"/>
        <v>1964474105605.2268</v>
      </c>
      <c r="M443" s="3">
        <f t="shared" si="79"/>
        <v>390783.63471744442</v>
      </c>
      <c r="N443" s="7">
        <f t="shared" si="84"/>
        <v>1964474105605</v>
      </c>
      <c r="O443" s="7">
        <f t="shared" si="80"/>
        <v>390783</v>
      </c>
      <c r="P443" s="3">
        <f>SUM($O$4:O443)</f>
        <v>22662674</v>
      </c>
      <c r="Y443" s="3">
        <f t="shared" si="81"/>
        <v>440</v>
      </c>
      <c r="Z443" s="3">
        <f t="shared" si="82"/>
        <v>926284223630</v>
      </c>
      <c r="AB443" s="7">
        <f t="shared" si="83"/>
        <v>13040</v>
      </c>
    </row>
    <row r="444" spans="6:28" x14ac:dyDescent="0.15">
      <c r="F444">
        <f t="shared" si="73"/>
        <v>63</v>
      </c>
      <c r="G444">
        <v>441</v>
      </c>
      <c r="H444">
        <f t="shared" si="74"/>
        <v>6094542209737.4541</v>
      </c>
      <c r="I444">
        <f t="shared" si="75"/>
        <v>6094542209737</v>
      </c>
      <c r="J444" s="1">
        <f t="shared" si="76"/>
        <v>6</v>
      </c>
      <c r="K444" s="1">
        <f t="shared" si="77"/>
        <v>36567253258422</v>
      </c>
      <c r="L444" s="1">
        <f t="shared" si="78"/>
        <v>11786844633631.359</v>
      </c>
      <c r="M444" s="3">
        <f t="shared" si="79"/>
        <v>2344701.8083046661</v>
      </c>
      <c r="N444" s="7">
        <f t="shared" si="84"/>
        <v>11786844633631</v>
      </c>
      <c r="O444" s="7">
        <f t="shared" si="80"/>
        <v>2344701</v>
      </c>
      <c r="P444" s="3">
        <f>SUM($O$4:O444)</f>
        <v>25007375</v>
      </c>
      <c r="Y444" s="3">
        <f t="shared" si="81"/>
        <v>441</v>
      </c>
      <c r="Z444" s="3">
        <f t="shared" si="82"/>
        <v>974808885800</v>
      </c>
      <c r="AB444" s="7">
        <f t="shared" si="83"/>
        <v>13040</v>
      </c>
    </row>
    <row r="445" spans="6:28" x14ac:dyDescent="0.15">
      <c r="F445">
        <f t="shared" si="73"/>
        <v>64</v>
      </c>
      <c r="G445">
        <v>442</v>
      </c>
      <c r="H445">
        <f t="shared" si="74"/>
        <v>9568431269287.7988</v>
      </c>
      <c r="I445">
        <f t="shared" si="75"/>
        <v>9568431269288</v>
      </c>
      <c r="J445" s="1">
        <f t="shared" si="76"/>
        <v>1</v>
      </c>
      <c r="K445" s="1">
        <f t="shared" si="77"/>
        <v>9568431269288</v>
      </c>
      <c r="L445" s="1">
        <f t="shared" si="78"/>
        <v>3112929639608.3623</v>
      </c>
      <c r="M445" s="3">
        <f t="shared" si="79"/>
        <v>476338.85860336584</v>
      </c>
      <c r="N445" s="7">
        <f t="shared" si="84"/>
        <v>3112929639608</v>
      </c>
      <c r="O445" s="7">
        <f t="shared" si="80"/>
        <v>476338</v>
      </c>
      <c r="P445" s="3">
        <f>SUM($O$4:O445)</f>
        <v>25483713</v>
      </c>
      <c r="Y445" s="3">
        <f t="shared" si="81"/>
        <v>442</v>
      </c>
      <c r="Z445" s="3">
        <f t="shared" si="82"/>
        <v>1025870303627</v>
      </c>
      <c r="AB445" s="7">
        <f t="shared" si="83"/>
        <v>13040</v>
      </c>
    </row>
    <row r="446" spans="6:28" x14ac:dyDescent="0.15">
      <c r="F446">
        <f t="shared" si="73"/>
        <v>64</v>
      </c>
      <c r="G446">
        <v>443</v>
      </c>
      <c r="H446">
        <f t="shared" si="74"/>
        <v>9568431269287.7988</v>
      </c>
      <c r="I446">
        <f t="shared" si="75"/>
        <v>9568431269288</v>
      </c>
      <c r="J446" s="1">
        <f t="shared" si="76"/>
        <v>1</v>
      </c>
      <c r="K446" s="1">
        <f t="shared" si="77"/>
        <v>9568431269288</v>
      </c>
      <c r="L446" s="1">
        <f t="shared" si="78"/>
        <v>3112929639608.3623</v>
      </c>
      <c r="M446" s="3">
        <f t="shared" si="79"/>
        <v>476338.85860336584</v>
      </c>
      <c r="N446" s="7">
        <f t="shared" si="84"/>
        <v>3112929639608</v>
      </c>
      <c r="O446" s="7">
        <f t="shared" si="80"/>
        <v>476338</v>
      </c>
      <c r="P446" s="3">
        <f>SUM($O$4:O446)</f>
        <v>25960051</v>
      </c>
      <c r="Y446" s="3">
        <f t="shared" si="81"/>
        <v>443</v>
      </c>
      <c r="Z446" s="3">
        <f t="shared" si="82"/>
        <v>1079600841023</v>
      </c>
      <c r="AB446" s="7">
        <f t="shared" si="83"/>
        <v>13040</v>
      </c>
    </row>
    <row r="447" spans="6:28" x14ac:dyDescent="0.15">
      <c r="F447">
        <f t="shared" si="73"/>
        <v>64</v>
      </c>
      <c r="G447">
        <v>444</v>
      </c>
      <c r="H447">
        <f t="shared" si="74"/>
        <v>9568431269287.7988</v>
      </c>
      <c r="I447">
        <f t="shared" si="75"/>
        <v>9568431269288</v>
      </c>
      <c r="J447" s="1">
        <f t="shared" si="76"/>
        <v>1</v>
      </c>
      <c r="K447" s="1">
        <f t="shared" si="77"/>
        <v>9568431269288</v>
      </c>
      <c r="L447" s="1">
        <f t="shared" si="78"/>
        <v>3112929639608.3623</v>
      </c>
      <c r="M447" s="3">
        <f t="shared" si="79"/>
        <v>476338.85860336584</v>
      </c>
      <c r="N447" s="7">
        <f t="shared" si="84"/>
        <v>3112929639608</v>
      </c>
      <c r="O447" s="7">
        <f t="shared" si="80"/>
        <v>476338</v>
      </c>
      <c r="P447" s="3">
        <f>SUM($O$4:O447)</f>
        <v>26436389</v>
      </c>
      <c r="Y447" s="3">
        <f t="shared" si="81"/>
        <v>444</v>
      </c>
      <c r="Z447" s="3">
        <f t="shared" si="82"/>
        <v>1136139756399</v>
      </c>
      <c r="AB447" s="7">
        <f t="shared" si="83"/>
        <v>13040</v>
      </c>
    </row>
    <row r="448" spans="6:28" x14ac:dyDescent="0.15">
      <c r="F448">
        <f t="shared" si="73"/>
        <v>64</v>
      </c>
      <c r="G448">
        <v>445</v>
      </c>
      <c r="H448">
        <f t="shared" si="74"/>
        <v>9568431269287.7988</v>
      </c>
      <c r="I448">
        <f t="shared" si="75"/>
        <v>9568431269288</v>
      </c>
      <c r="J448" s="1">
        <f t="shared" si="76"/>
        <v>1</v>
      </c>
      <c r="K448" s="1">
        <f t="shared" si="77"/>
        <v>9568431269288</v>
      </c>
      <c r="L448" s="1">
        <f t="shared" si="78"/>
        <v>3112929639608.3623</v>
      </c>
      <c r="M448" s="3">
        <f t="shared" si="79"/>
        <v>476338.85860336584</v>
      </c>
      <c r="N448" s="7">
        <f t="shared" si="84"/>
        <v>3112929639608</v>
      </c>
      <c r="O448" s="7">
        <f t="shared" si="80"/>
        <v>476338</v>
      </c>
      <c r="P448" s="3">
        <f>SUM($O$4:O448)</f>
        <v>26912727</v>
      </c>
      <c r="Y448" s="3">
        <f t="shared" si="81"/>
        <v>445</v>
      </c>
      <c r="Z448" s="3">
        <f t="shared" si="82"/>
        <v>1195633561211</v>
      </c>
      <c r="AB448" s="7">
        <f t="shared" si="83"/>
        <v>13040</v>
      </c>
    </row>
    <row r="449" spans="6:28" x14ac:dyDescent="0.15">
      <c r="F449">
        <f t="shared" si="73"/>
        <v>64</v>
      </c>
      <c r="G449">
        <v>446</v>
      </c>
      <c r="H449">
        <f t="shared" si="74"/>
        <v>9568431269287.7988</v>
      </c>
      <c r="I449">
        <f t="shared" si="75"/>
        <v>9568431269288</v>
      </c>
      <c r="J449" s="1">
        <f t="shared" si="76"/>
        <v>1</v>
      </c>
      <c r="K449" s="1">
        <f t="shared" si="77"/>
        <v>9568431269288</v>
      </c>
      <c r="L449" s="1">
        <f t="shared" si="78"/>
        <v>3112929639608.3623</v>
      </c>
      <c r="M449" s="3">
        <f t="shared" si="79"/>
        <v>476338.85860336584</v>
      </c>
      <c r="N449" s="7">
        <f t="shared" si="84"/>
        <v>3112929639608</v>
      </c>
      <c r="O449" s="7">
        <f t="shared" si="80"/>
        <v>476338</v>
      </c>
      <c r="P449" s="3">
        <f>SUM($O$4:O449)</f>
        <v>27389065</v>
      </c>
      <c r="Y449" s="3">
        <f t="shared" si="81"/>
        <v>446</v>
      </c>
      <c r="Z449" s="3">
        <f t="shared" si="82"/>
        <v>1258236397112</v>
      </c>
      <c r="AB449" s="7">
        <f t="shared" si="83"/>
        <v>13040</v>
      </c>
    </row>
    <row r="450" spans="6:28" x14ac:dyDescent="0.15">
      <c r="F450">
        <f t="shared" si="73"/>
        <v>64</v>
      </c>
      <c r="G450">
        <v>447</v>
      </c>
      <c r="H450">
        <f t="shared" si="74"/>
        <v>9568431269287.7988</v>
      </c>
      <c r="I450">
        <f t="shared" si="75"/>
        <v>9568431269288</v>
      </c>
      <c r="J450" s="1">
        <f t="shared" si="76"/>
        <v>1</v>
      </c>
      <c r="K450" s="1">
        <f t="shared" si="77"/>
        <v>9568431269288</v>
      </c>
      <c r="L450" s="1">
        <f t="shared" si="78"/>
        <v>3112929639608.3623</v>
      </c>
      <c r="M450" s="3">
        <f t="shared" si="79"/>
        <v>476338.85860336584</v>
      </c>
      <c r="N450" s="7">
        <f t="shared" si="84"/>
        <v>3112929639608</v>
      </c>
      <c r="O450" s="7">
        <f t="shared" si="80"/>
        <v>476338</v>
      </c>
      <c r="P450" s="3">
        <f>SUM($O$4:O450)</f>
        <v>27865403</v>
      </c>
      <c r="Y450" s="3">
        <f t="shared" si="81"/>
        <v>447</v>
      </c>
      <c r="Z450" s="3">
        <f t="shared" si="82"/>
        <v>1324110432701</v>
      </c>
      <c r="AB450" s="7">
        <f t="shared" si="83"/>
        <v>13040</v>
      </c>
    </row>
    <row r="451" spans="6:28" x14ac:dyDescent="0.15">
      <c r="F451">
        <f t="shared" si="73"/>
        <v>64</v>
      </c>
      <c r="G451">
        <v>448</v>
      </c>
      <c r="H451">
        <f t="shared" si="74"/>
        <v>9568431269287.7988</v>
      </c>
      <c r="I451">
        <f t="shared" si="75"/>
        <v>9568431269288</v>
      </c>
      <c r="J451" s="1">
        <f t="shared" si="76"/>
        <v>7</v>
      </c>
      <c r="K451" s="1">
        <f t="shared" si="77"/>
        <v>66979018885016</v>
      </c>
      <c r="L451" s="1">
        <f t="shared" si="78"/>
        <v>21790507477258.539</v>
      </c>
      <c r="M451" s="3">
        <f t="shared" si="79"/>
        <v>3334372.010223561</v>
      </c>
      <c r="N451" s="7">
        <f t="shared" si="84"/>
        <v>21790507477259</v>
      </c>
      <c r="O451" s="7">
        <f t="shared" si="80"/>
        <v>3334372</v>
      </c>
      <c r="P451" s="3">
        <f>SUM($O$4:O451)</f>
        <v>31199775</v>
      </c>
      <c r="Y451" s="3">
        <f t="shared" si="81"/>
        <v>448</v>
      </c>
      <c r="Z451" s="3">
        <f t="shared" si="82"/>
        <v>1393426280856</v>
      </c>
      <c r="AB451" s="7">
        <f t="shared" si="83"/>
        <v>13040</v>
      </c>
    </row>
    <row r="452" spans="6:28" x14ac:dyDescent="0.15">
      <c r="F452">
        <f t="shared" si="73"/>
        <v>65</v>
      </c>
      <c r="G452">
        <v>449</v>
      </c>
      <c r="H452">
        <f t="shared" si="74"/>
        <v>15022437092781.848</v>
      </c>
      <c r="I452">
        <f t="shared" si="75"/>
        <v>15022437092782</v>
      </c>
      <c r="J452" s="1">
        <f t="shared" si="76"/>
        <v>1</v>
      </c>
      <c r="K452" s="1">
        <f t="shared" si="77"/>
        <v>15022437092782</v>
      </c>
      <c r="L452" s="1">
        <f t="shared" si="78"/>
        <v>4932366845463.4238</v>
      </c>
      <c r="M452" s="3">
        <f t="shared" si="79"/>
        <v>580575.5263927863</v>
      </c>
      <c r="N452" s="7">
        <f t="shared" si="84"/>
        <v>4932366845463</v>
      </c>
      <c r="O452" s="7">
        <f t="shared" si="80"/>
        <v>580575</v>
      </c>
      <c r="P452" s="3">
        <f>SUM($O$4:O452)</f>
        <v>31780350</v>
      </c>
      <c r="Y452" s="3">
        <f t="shared" si="81"/>
        <v>449</v>
      </c>
      <c r="Z452" s="3">
        <f t="shared" si="82"/>
        <v>1466363437745</v>
      </c>
      <c r="AB452" s="7">
        <f t="shared" si="83"/>
        <v>13040</v>
      </c>
    </row>
    <row r="453" spans="6:28" x14ac:dyDescent="0.15">
      <c r="F453">
        <f t="shared" ref="F453:F516" si="85">ROUNDUP(G453/$C$4,0)</f>
        <v>65</v>
      </c>
      <c r="G453">
        <v>450</v>
      </c>
      <c r="H453">
        <f t="shared" ref="H453:H516" si="86">18.5*1.57^MIN(F453,156)*1.17^MAX(F453-156,0)*$C$5</f>
        <v>15022437092781.848</v>
      </c>
      <c r="I453">
        <f t="shared" ref="I453:I516" si="87">ROUND(H453,0)</f>
        <v>15022437092782</v>
      </c>
      <c r="J453" s="1">
        <f t="shared" ref="J453:J516" si="88">IF(F453=F454,1,LOOKUP(MOD(F453,5),$D$6:$D$10,$C$6:$C$10))</f>
        <v>1</v>
      </c>
      <c r="K453" s="1">
        <f t="shared" ref="K453:K516" si="89">J453*I453</f>
        <v>15022437092782</v>
      </c>
      <c r="L453" s="1">
        <f t="shared" ref="L453:L516" si="90">K453*(0.02+0.00045*F453)/$C$5</f>
        <v>4932366845463.4238</v>
      </c>
      <c r="M453" s="3">
        <f t="shared" ref="M453:M516" si="91">L453/(1.3^F453)*3</f>
        <v>580575.5263927863</v>
      </c>
      <c r="N453" s="7">
        <f t="shared" si="84"/>
        <v>4932366845463</v>
      </c>
      <c r="O453" s="7">
        <f t="shared" ref="O453:O516" si="92">ROUNDDOWN(M453,0)</f>
        <v>580575</v>
      </c>
      <c r="P453" s="3">
        <f>SUM($O$4:O453)</f>
        <v>32360925</v>
      </c>
      <c r="Y453" s="3">
        <f t="shared" ref="Y453:Y516" si="93">G453</f>
        <v>450</v>
      </c>
      <c r="Z453" s="3">
        <f t="shared" ref="Z453:Z516" si="94">ROUND(1.05^Y453*Y453,0)</f>
        <v>1543110744620</v>
      </c>
      <c r="AB453" s="7">
        <f t="shared" ref="AB453:AB516" si="95">LOOKUP(Y453,T:T,P:P)</f>
        <v>13040</v>
      </c>
    </row>
    <row r="454" spans="6:28" x14ac:dyDescent="0.15">
      <c r="F454">
        <f t="shared" si="85"/>
        <v>65</v>
      </c>
      <c r="G454">
        <v>451</v>
      </c>
      <c r="H454">
        <f t="shared" si="86"/>
        <v>15022437092781.848</v>
      </c>
      <c r="I454">
        <f t="shared" si="87"/>
        <v>15022437092782</v>
      </c>
      <c r="J454" s="1">
        <f t="shared" si="88"/>
        <v>1</v>
      </c>
      <c r="K454" s="1">
        <f t="shared" si="89"/>
        <v>15022437092782</v>
      </c>
      <c r="L454" s="1">
        <f t="shared" si="90"/>
        <v>4932366845463.4238</v>
      </c>
      <c r="M454" s="3">
        <f t="shared" si="91"/>
        <v>580575.5263927863</v>
      </c>
      <c r="N454" s="7">
        <f t="shared" si="84"/>
        <v>4932366845463</v>
      </c>
      <c r="O454" s="7">
        <f t="shared" si="92"/>
        <v>580575</v>
      </c>
      <c r="P454" s="3">
        <f>SUM($O$4:O454)</f>
        <v>32941500</v>
      </c>
      <c r="Y454" s="3">
        <f t="shared" si="93"/>
        <v>451</v>
      </c>
      <c r="Z454" s="3">
        <f t="shared" si="94"/>
        <v>1623866873588</v>
      </c>
      <c r="AB454" s="7">
        <f t="shared" si="95"/>
        <v>13040</v>
      </c>
    </row>
    <row r="455" spans="6:28" x14ac:dyDescent="0.15">
      <c r="F455">
        <f t="shared" si="85"/>
        <v>65</v>
      </c>
      <c r="G455">
        <v>452</v>
      </c>
      <c r="H455">
        <f t="shared" si="86"/>
        <v>15022437092781.848</v>
      </c>
      <c r="I455">
        <f t="shared" si="87"/>
        <v>15022437092782</v>
      </c>
      <c r="J455" s="1">
        <f t="shared" si="88"/>
        <v>1</v>
      </c>
      <c r="K455" s="1">
        <f t="shared" si="89"/>
        <v>15022437092782</v>
      </c>
      <c r="L455" s="1">
        <f t="shared" si="90"/>
        <v>4932366845463.4238</v>
      </c>
      <c r="M455" s="3">
        <f t="shared" si="91"/>
        <v>580575.5263927863</v>
      </c>
      <c r="N455" s="7">
        <f t="shared" si="84"/>
        <v>4932366845463</v>
      </c>
      <c r="O455" s="7">
        <f t="shared" si="92"/>
        <v>580575</v>
      </c>
      <c r="P455" s="3">
        <f>SUM($O$4:O455)</f>
        <v>33522075</v>
      </c>
      <c r="Y455" s="3">
        <f t="shared" si="93"/>
        <v>452</v>
      </c>
      <c r="Z455" s="3">
        <f t="shared" si="94"/>
        <v>1708840838592</v>
      </c>
      <c r="AB455" s="7">
        <f t="shared" si="95"/>
        <v>13040</v>
      </c>
    </row>
    <row r="456" spans="6:28" x14ac:dyDescent="0.15">
      <c r="F456">
        <f t="shared" si="85"/>
        <v>65</v>
      </c>
      <c r="G456">
        <v>453</v>
      </c>
      <c r="H456">
        <f t="shared" si="86"/>
        <v>15022437092781.848</v>
      </c>
      <c r="I456">
        <f t="shared" si="87"/>
        <v>15022437092782</v>
      </c>
      <c r="J456" s="1">
        <f t="shared" si="88"/>
        <v>1</v>
      </c>
      <c r="K456" s="1">
        <f t="shared" si="89"/>
        <v>15022437092782</v>
      </c>
      <c r="L456" s="1">
        <f t="shared" si="90"/>
        <v>4932366845463.4238</v>
      </c>
      <c r="M456" s="3">
        <f t="shared" si="91"/>
        <v>580575.5263927863</v>
      </c>
      <c r="N456" s="7">
        <f t="shared" ref="N456:N519" si="96">ROUND(L456,0)</f>
        <v>4932366845463</v>
      </c>
      <c r="O456" s="7">
        <f t="shared" si="92"/>
        <v>580575</v>
      </c>
      <c r="P456" s="3">
        <f>SUM($O$4:O456)</f>
        <v>34102650</v>
      </c>
      <c r="Y456" s="3">
        <f t="shared" si="93"/>
        <v>453</v>
      </c>
      <c r="Z456" s="3">
        <f t="shared" si="94"/>
        <v>1798252532912</v>
      </c>
      <c r="AB456" s="7">
        <f t="shared" si="95"/>
        <v>13040</v>
      </c>
    </row>
    <row r="457" spans="6:28" x14ac:dyDescent="0.15">
      <c r="F457">
        <f t="shared" si="85"/>
        <v>65</v>
      </c>
      <c r="G457">
        <v>454</v>
      </c>
      <c r="H457">
        <f t="shared" si="86"/>
        <v>15022437092781.848</v>
      </c>
      <c r="I457">
        <f t="shared" si="87"/>
        <v>15022437092782</v>
      </c>
      <c r="J457" s="1">
        <f t="shared" si="88"/>
        <v>1</v>
      </c>
      <c r="K457" s="1">
        <f t="shared" si="89"/>
        <v>15022437092782</v>
      </c>
      <c r="L457" s="1">
        <f t="shared" si="90"/>
        <v>4932366845463.4238</v>
      </c>
      <c r="M457" s="3">
        <f t="shared" si="91"/>
        <v>580575.5263927863</v>
      </c>
      <c r="N457" s="7">
        <f t="shared" si="96"/>
        <v>4932366845463</v>
      </c>
      <c r="O457" s="7">
        <f t="shared" si="92"/>
        <v>580575</v>
      </c>
      <c r="P457" s="3">
        <f>SUM($O$4:O457)</f>
        <v>34683225</v>
      </c>
      <c r="Y457" s="3">
        <f t="shared" si="93"/>
        <v>454</v>
      </c>
      <c r="Z457" s="3">
        <f t="shared" si="94"/>
        <v>1892333294568</v>
      </c>
      <c r="AB457" s="7">
        <f t="shared" si="95"/>
        <v>13040</v>
      </c>
    </row>
    <row r="458" spans="6:28" x14ac:dyDescent="0.15">
      <c r="F458">
        <f t="shared" si="85"/>
        <v>65</v>
      </c>
      <c r="G458">
        <v>455</v>
      </c>
      <c r="H458">
        <f t="shared" si="86"/>
        <v>15022437092781.848</v>
      </c>
      <c r="I458">
        <f t="shared" si="87"/>
        <v>15022437092782</v>
      </c>
      <c r="J458" s="1">
        <f t="shared" si="88"/>
        <v>10</v>
      </c>
      <c r="K458" s="1">
        <f t="shared" si="89"/>
        <v>150224370927820</v>
      </c>
      <c r="L458" s="1">
        <f t="shared" si="90"/>
        <v>49323668454634.242</v>
      </c>
      <c r="M458" s="3">
        <f t="shared" si="91"/>
        <v>5805755.2639278639</v>
      </c>
      <c r="N458" s="7">
        <f t="shared" si="96"/>
        <v>49323668454634</v>
      </c>
      <c r="O458" s="7">
        <f t="shared" si="92"/>
        <v>5805755</v>
      </c>
      <c r="P458" s="3">
        <f>SUM($O$4:O458)</f>
        <v>40488980</v>
      </c>
      <c r="Y458" s="3">
        <f t="shared" si="93"/>
        <v>455</v>
      </c>
      <c r="Z458" s="3">
        <f t="shared" si="94"/>
        <v>1991326501057</v>
      </c>
      <c r="AB458" s="7">
        <f t="shared" si="95"/>
        <v>13040</v>
      </c>
    </row>
    <row r="459" spans="6:28" x14ac:dyDescent="0.15">
      <c r="F459">
        <f t="shared" si="85"/>
        <v>66</v>
      </c>
      <c r="G459">
        <v>456</v>
      </c>
      <c r="H459">
        <f t="shared" si="86"/>
        <v>23585226235667.496</v>
      </c>
      <c r="I459">
        <f t="shared" si="87"/>
        <v>23585226235668</v>
      </c>
      <c r="J459" s="1">
        <f t="shared" si="88"/>
        <v>1</v>
      </c>
      <c r="K459" s="1">
        <f t="shared" si="89"/>
        <v>23585226235668</v>
      </c>
      <c r="L459" s="1">
        <f t="shared" si="90"/>
        <v>7814571626084.665</v>
      </c>
      <c r="M459" s="3">
        <f t="shared" si="91"/>
        <v>707563.10423901945</v>
      </c>
      <c r="N459" s="7">
        <f t="shared" si="96"/>
        <v>7814571626085</v>
      </c>
      <c r="O459" s="7">
        <f t="shared" si="92"/>
        <v>707563</v>
      </c>
      <c r="P459" s="3">
        <f>SUM($O$4:O459)</f>
        <v>41196543</v>
      </c>
      <c r="Y459" s="3">
        <f t="shared" si="93"/>
        <v>456</v>
      </c>
      <c r="Z459" s="3">
        <f t="shared" si="94"/>
        <v>2095488194958</v>
      </c>
      <c r="AB459" s="7">
        <f t="shared" si="95"/>
        <v>13040</v>
      </c>
    </row>
    <row r="460" spans="6:28" x14ac:dyDescent="0.15">
      <c r="F460">
        <f t="shared" si="85"/>
        <v>66</v>
      </c>
      <c r="G460">
        <v>457</v>
      </c>
      <c r="H460">
        <f t="shared" si="86"/>
        <v>23585226235667.496</v>
      </c>
      <c r="I460">
        <f t="shared" si="87"/>
        <v>23585226235668</v>
      </c>
      <c r="J460" s="1">
        <f t="shared" si="88"/>
        <v>1</v>
      </c>
      <c r="K460" s="1">
        <f t="shared" si="89"/>
        <v>23585226235668</v>
      </c>
      <c r="L460" s="1">
        <f t="shared" si="90"/>
        <v>7814571626084.665</v>
      </c>
      <c r="M460" s="3">
        <f t="shared" si="91"/>
        <v>707563.10423901945</v>
      </c>
      <c r="N460" s="7">
        <f t="shared" si="96"/>
        <v>7814571626085</v>
      </c>
      <c r="O460" s="7">
        <f t="shared" si="92"/>
        <v>707563</v>
      </c>
      <c r="P460" s="3">
        <f>SUM($O$4:O460)</f>
        <v>41904106</v>
      </c>
      <c r="Y460" s="3">
        <f t="shared" si="93"/>
        <v>457</v>
      </c>
      <c r="Z460" s="3">
        <f t="shared" si="94"/>
        <v>2205087741997</v>
      </c>
      <c r="AB460" s="7">
        <f t="shared" si="95"/>
        <v>13040</v>
      </c>
    </row>
    <row r="461" spans="6:28" x14ac:dyDescent="0.15">
      <c r="F461">
        <f t="shared" si="85"/>
        <v>66</v>
      </c>
      <c r="G461">
        <v>458</v>
      </c>
      <c r="H461">
        <f t="shared" si="86"/>
        <v>23585226235667.496</v>
      </c>
      <c r="I461">
        <f t="shared" si="87"/>
        <v>23585226235668</v>
      </c>
      <c r="J461" s="1">
        <f t="shared" si="88"/>
        <v>1</v>
      </c>
      <c r="K461" s="1">
        <f t="shared" si="89"/>
        <v>23585226235668</v>
      </c>
      <c r="L461" s="1">
        <f t="shared" si="90"/>
        <v>7814571626084.665</v>
      </c>
      <c r="M461" s="3">
        <f t="shared" si="91"/>
        <v>707563.10423901945</v>
      </c>
      <c r="N461" s="7">
        <f t="shared" si="96"/>
        <v>7814571626085</v>
      </c>
      <c r="O461" s="7">
        <f t="shared" si="92"/>
        <v>707563</v>
      </c>
      <c r="P461" s="3">
        <f>SUM($O$4:O461)</f>
        <v>42611669</v>
      </c>
      <c r="Y461" s="3">
        <f t="shared" si="93"/>
        <v>458</v>
      </c>
      <c r="Z461" s="3">
        <f t="shared" si="94"/>
        <v>2320408523253</v>
      </c>
      <c r="AB461" s="7">
        <f t="shared" si="95"/>
        <v>13040</v>
      </c>
    </row>
    <row r="462" spans="6:28" x14ac:dyDescent="0.15">
      <c r="F462">
        <f t="shared" si="85"/>
        <v>66</v>
      </c>
      <c r="G462">
        <v>459</v>
      </c>
      <c r="H462">
        <f t="shared" si="86"/>
        <v>23585226235667.496</v>
      </c>
      <c r="I462">
        <f t="shared" si="87"/>
        <v>23585226235668</v>
      </c>
      <c r="J462" s="1">
        <f t="shared" si="88"/>
        <v>1</v>
      </c>
      <c r="K462" s="1">
        <f t="shared" si="89"/>
        <v>23585226235668</v>
      </c>
      <c r="L462" s="1">
        <f t="shared" si="90"/>
        <v>7814571626084.665</v>
      </c>
      <c r="M462" s="3">
        <f t="shared" si="91"/>
        <v>707563.10423901945</v>
      </c>
      <c r="N462" s="7">
        <f t="shared" si="96"/>
        <v>7814571626085</v>
      </c>
      <c r="O462" s="7">
        <f t="shared" si="92"/>
        <v>707563</v>
      </c>
      <c r="P462" s="3">
        <f>SUM($O$4:O462)</f>
        <v>43319232</v>
      </c>
      <c r="Y462" s="3">
        <f t="shared" si="93"/>
        <v>459</v>
      </c>
      <c r="Z462" s="3">
        <f t="shared" si="94"/>
        <v>2441748663279</v>
      </c>
      <c r="AB462" s="7">
        <f t="shared" si="95"/>
        <v>13040</v>
      </c>
    </row>
    <row r="463" spans="6:28" x14ac:dyDescent="0.15">
      <c r="F463">
        <f t="shared" si="85"/>
        <v>66</v>
      </c>
      <c r="G463">
        <v>460</v>
      </c>
      <c r="H463">
        <f t="shared" si="86"/>
        <v>23585226235667.496</v>
      </c>
      <c r="I463">
        <f t="shared" si="87"/>
        <v>23585226235668</v>
      </c>
      <c r="J463" s="1">
        <f t="shared" si="88"/>
        <v>1</v>
      </c>
      <c r="K463" s="1">
        <f t="shared" si="89"/>
        <v>23585226235668</v>
      </c>
      <c r="L463" s="1">
        <f t="shared" si="90"/>
        <v>7814571626084.665</v>
      </c>
      <c r="M463" s="3">
        <f t="shared" si="91"/>
        <v>707563.10423901945</v>
      </c>
      <c r="N463" s="7">
        <f t="shared" si="96"/>
        <v>7814571626085</v>
      </c>
      <c r="O463" s="7">
        <f t="shared" si="92"/>
        <v>707563</v>
      </c>
      <c r="P463" s="3">
        <f>SUM($O$4:O463)</f>
        <v>44026795</v>
      </c>
      <c r="Y463" s="3">
        <f t="shared" si="93"/>
        <v>460</v>
      </c>
      <c r="Z463" s="3">
        <f t="shared" si="94"/>
        <v>2569421795999</v>
      </c>
      <c r="AB463" s="7">
        <f t="shared" si="95"/>
        <v>13040</v>
      </c>
    </row>
    <row r="464" spans="6:28" x14ac:dyDescent="0.15">
      <c r="F464">
        <f t="shared" si="85"/>
        <v>66</v>
      </c>
      <c r="G464">
        <v>461</v>
      </c>
      <c r="H464">
        <f t="shared" si="86"/>
        <v>23585226235667.496</v>
      </c>
      <c r="I464">
        <f t="shared" si="87"/>
        <v>23585226235668</v>
      </c>
      <c r="J464" s="1">
        <f t="shared" si="88"/>
        <v>1</v>
      </c>
      <c r="K464" s="1">
        <f t="shared" si="89"/>
        <v>23585226235668</v>
      </c>
      <c r="L464" s="1">
        <f t="shared" si="90"/>
        <v>7814571626084.665</v>
      </c>
      <c r="M464" s="3">
        <f t="shared" si="91"/>
        <v>707563.10423901945</v>
      </c>
      <c r="N464" s="7">
        <f t="shared" si="96"/>
        <v>7814571626085</v>
      </c>
      <c r="O464" s="7">
        <f t="shared" si="92"/>
        <v>707563</v>
      </c>
      <c r="P464" s="3">
        <f>SUM($O$4:O464)</f>
        <v>44734358</v>
      </c>
      <c r="Y464" s="3">
        <f t="shared" si="93"/>
        <v>461</v>
      </c>
      <c r="Z464" s="3">
        <f t="shared" si="94"/>
        <v>2703757870333</v>
      </c>
      <c r="AB464" s="7">
        <f t="shared" si="95"/>
        <v>13040</v>
      </c>
    </row>
    <row r="465" spans="6:28" x14ac:dyDescent="0.15">
      <c r="F465">
        <f t="shared" si="85"/>
        <v>66</v>
      </c>
      <c r="G465">
        <v>462</v>
      </c>
      <c r="H465">
        <f t="shared" si="86"/>
        <v>23585226235667.496</v>
      </c>
      <c r="I465">
        <f t="shared" si="87"/>
        <v>23585226235668</v>
      </c>
      <c r="J465" s="1">
        <f t="shared" si="88"/>
        <v>2</v>
      </c>
      <c r="K465" s="1">
        <f t="shared" si="89"/>
        <v>47170452471336</v>
      </c>
      <c r="L465" s="1">
        <f t="shared" si="90"/>
        <v>15629143252169.33</v>
      </c>
      <c r="M465" s="3">
        <f t="shared" si="91"/>
        <v>1415126.2084780389</v>
      </c>
      <c r="N465" s="7">
        <f t="shared" si="96"/>
        <v>15629143252169</v>
      </c>
      <c r="O465" s="7">
        <f t="shared" si="92"/>
        <v>1415126</v>
      </c>
      <c r="P465" s="3">
        <f>SUM($O$4:O465)</f>
        <v>46149484</v>
      </c>
      <c r="Y465" s="3">
        <f t="shared" si="93"/>
        <v>462</v>
      </c>
      <c r="Z465" s="3">
        <f t="shared" si="94"/>
        <v>2845103997611</v>
      </c>
      <c r="AB465" s="7">
        <f t="shared" si="95"/>
        <v>13040</v>
      </c>
    </row>
    <row r="466" spans="6:28" x14ac:dyDescent="0.15">
      <c r="F466">
        <f t="shared" si="85"/>
        <v>67</v>
      </c>
      <c r="G466">
        <v>463</v>
      </c>
      <c r="H466">
        <f t="shared" si="86"/>
        <v>37028805189997.969</v>
      </c>
      <c r="I466">
        <f t="shared" si="87"/>
        <v>37028805189998</v>
      </c>
      <c r="J466" s="1">
        <f t="shared" si="88"/>
        <v>1</v>
      </c>
      <c r="K466" s="1">
        <f t="shared" si="89"/>
        <v>37028805189998</v>
      </c>
      <c r="L466" s="1">
        <f t="shared" si="90"/>
        <v>12379963868522.664</v>
      </c>
      <c r="M466" s="3">
        <f t="shared" si="91"/>
        <v>862255.60739529727</v>
      </c>
      <c r="N466" s="7">
        <f t="shared" si="96"/>
        <v>12379963868523</v>
      </c>
      <c r="O466" s="7">
        <f t="shared" si="92"/>
        <v>862255</v>
      </c>
      <c r="P466" s="3">
        <f>SUM($O$4:O466)</f>
        <v>47011739</v>
      </c>
      <c r="Y466" s="3">
        <f t="shared" si="93"/>
        <v>463</v>
      </c>
      <c r="Z466" s="3">
        <f t="shared" si="94"/>
        <v>2993825342941</v>
      </c>
      <c r="AB466" s="7">
        <f t="shared" si="95"/>
        <v>13040</v>
      </c>
    </row>
    <row r="467" spans="6:28" x14ac:dyDescent="0.15">
      <c r="F467">
        <f t="shared" si="85"/>
        <v>67</v>
      </c>
      <c r="G467">
        <v>464</v>
      </c>
      <c r="H467">
        <f t="shared" si="86"/>
        <v>37028805189997.969</v>
      </c>
      <c r="I467">
        <f t="shared" si="87"/>
        <v>37028805189998</v>
      </c>
      <c r="J467" s="1">
        <f t="shared" si="88"/>
        <v>1</v>
      </c>
      <c r="K467" s="1">
        <f t="shared" si="89"/>
        <v>37028805189998</v>
      </c>
      <c r="L467" s="1">
        <f t="shared" si="90"/>
        <v>12379963868522.664</v>
      </c>
      <c r="M467" s="3">
        <f t="shared" si="91"/>
        <v>862255.60739529727</v>
      </c>
      <c r="N467" s="7">
        <f t="shared" si="96"/>
        <v>12379963868523</v>
      </c>
      <c r="O467" s="7">
        <f t="shared" si="92"/>
        <v>862255</v>
      </c>
      <c r="P467" s="3">
        <f>SUM($O$4:O467)</f>
        <v>47873994</v>
      </c>
      <c r="Y467" s="3">
        <f t="shared" si="93"/>
        <v>464</v>
      </c>
      <c r="Z467" s="3">
        <f t="shared" si="94"/>
        <v>3150306062809</v>
      </c>
      <c r="AB467" s="7">
        <f t="shared" si="95"/>
        <v>13040</v>
      </c>
    </row>
    <row r="468" spans="6:28" x14ac:dyDescent="0.15">
      <c r="F468">
        <f t="shared" si="85"/>
        <v>67</v>
      </c>
      <c r="G468">
        <v>465</v>
      </c>
      <c r="H468">
        <f t="shared" si="86"/>
        <v>37028805189997.969</v>
      </c>
      <c r="I468">
        <f t="shared" si="87"/>
        <v>37028805189998</v>
      </c>
      <c r="J468" s="1">
        <f t="shared" si="88"/>
        <v>1</v>
      </c>
      <c r="K468" s="1">
        <f t="shared" si="89"/>
        <v>37028805189998</v>
      </c>
      <c r="L468" s="1">
        <f t="shared" si="90"/>
        <v>12379963868522.664</v>
      </c>
      <c r="M468" s="3">
        <f t="shared" si="91"/>
        <v>862255.60739529727</v>
      </c>
      <c r="N468" s="7">
        <f t="shared" si="96"/>
        <v>12379963868523</v>
      </c>
      <c r="O468" s="7">
        <f t="shared" si="92"/>
        <v>862255</v>
      </c>
      <c r="P468" s="3">
        <f>SUM($O$4:O468)</f>
        <v>48736249</v>
      </c>
      <c r="Y468" s="3">
        <f t="shared" si="93"/>
        <v>465</v>
      </c>
      <c r="Z468" s="3">
        <f t="shared" si="94"/>
        <v>3314950291307</v>
      </c>
      <c r="AB468" s="7">
        <f t="shared" si="95"/>
        <v>13040</v>
      </c>
    </row>
    <row r="469" spans="6:28" x14ac:dyDescent="0.15">
      <c r="F469">
        <f t="shared" si="85"/>
        <v>67</v>
      </c>
      <c r="G469">
        <v>466</v>
      </c>
      <c r="H469">
        <f t="shared" si="86"/>
        <v>37028805189997.969</v>
      </c>
      <c r="I469">
        <f t="shared" si="87"/>
        <v>37028805189998</v>
      </c>
      <c r="J469" s="1">
        <f t="shared" si="88"/>
        <v>1</v>
      </c>
      <c r="K469" s="1">
        <f t="shared" si="89"/>
        <v>37028805189998</v>
      </c>
      <c r="L469" s="1">
        <f t="shared" si="90"/>
        <v>12379963868522.664</v>
      </c>
      <c r="M469" s="3">
        <f t="shared" si="91"/>
        <v>862255.60739529727</v>
      </c>
      <c r="N469" s="7">
        <f t="shared" si="96"/>
        <v>12379963868523</v>
      </c>
      <c r="O469" s="7">
        <f t="shared" si="92"/>
        <v>862255</v>
      </c>
      <c r="P469" s="3">
        <f>SUM($O$4:O469)</f>
        <v>49598504</v>
      </c>
      <c r="Y469" s="3">
        <f t="shared" si="93"/>
        <v>466</v>
      </c>
      <c r="Z469" s="3">
        <f t="shared" si="94"/>
        <v>3488183177498</v>
      </c>
      <c r="AB469" s="7">
        <f t="shared" si="95"/>
        <v>13040</v>
      </c>
    </row>
    <row r="470" spans="6:28" x14ac:dyDescent="0.15">
      <c r="F470">
        <f t="shared" si="85"/>
        <v>67</v>
      </c>
      <c r="G470">
        <v>467</v>
      </c>
      <c r="H470">
        <f t="shared" si="86"/>
        <v>37028805189997.969</v>
      </c>
      <c r="I470">
        <f t="shared" si="87"/>
        <v>37028805189998</v>
      </c>
      <c r="J470" s="1">
        <f t="shared" si="88"/>
        <v>1</v>
      </c>
      <c r="K470" s="1">
        <f t="shared" si="89"/>
        <v>37028805189998</v>
      </c>
      <c r="L470" s="1">
        <f t="shared" si="90"/>
        <v>12379963868522.664</v>
      </c>
      <c r="M470" s="3">
        <f t="shared" si="91"/>
        <v>862255.60739529727</v>
      </c>
      <c r="N470" s="7">
        <f t="shared" si="96"/>
        <v>12379963868523</v>
      </c>
      <c r="O470" s="7">
        <f t="shared" si="92"/>
        <v>862255</v>
      </c>
      <c r="P470" s="3">
        <f>SUM($O$4:O470)</f>
        <v>50460759</v>
      </c>
      <c r="Y470" s="3">
        <f t="shared" si="93"/>
        <v>467</v>
      </c>
      <c r="Z470" s="3">
        <f t="shared" si="94"/>
        <v>3670451976580</v>
      </c>
      <c r="AB470" s="7">
        <f t="shared" si="95"/>
        <v>13040</v>
      </c>
    </row>
    <row r="471" spans="6:28" x14ac:dyDescent="0.15">
      <c r="F471">
        <f t="shared" si="85"/>
        <v>67</v>
      </c>
      <c r="G471">
        <v>468</v>
      </c>
      <c r="H471">
        <f t="shared" si="86"/>
        <v>37028805189997.969</v>
      </c>
      <c r="I471">
        <f t="shared" si="87"/>
        <v>37028805189998</v>
      </c>
      <c r="J471" s="1">
        <f t="shared" si="88"/>
        <v>1</v>
      </c>
      <c r="K471" s="1">
        <f t="shared" si="89"/>
        <v>37028805189998</v>
      </c>
      <c r="L471" s="1">
        <f t="shared" si="90"/>
        <v>12379963868522.664</v>
      </c>
      <c r="M471" s="3">
        <f t="shared" si="91"/>
        <v>862255.60739529727</v>
      </c>
      <c r="N471" s="7">
        <f t="shared" si="96"/>
        <v>12379963868523</v>
      </c>
      <c r="O471" s="7">
        <f t="shared" si="92"/>
        <v>862255</v>
      </c>
      <c r="P471" s="3">
        <f>SUM($O$4:O471)</f>
        <v>51323014</v>
      </c>
      <c r="Y471" s="3">
        <f t="shared" si="93"/>
        <v>468</v>
      </c>
      <c r="Z471" s="3">
        <f t="shared" si="94"/>
        <v>3862227197626</v>
      </c>
      <c r="AB471" s="7">
        <f t="shared" si="95"/>
        <v>13040</v>
      </c>
    </row>
    <row r="472" spans="6:28" x14ac:dyDescent="0.15">
      <c r="F472">
        <f t="shared" si="85"/>
        <v>67</v>
      </c>
      <c r="G472">
        <v>469</v>
      </c>
      <c r="H472">
        <f t="shared" si="86"/>
        <v>37028805189997.969</v>
      </c>
      <c r="I472">
        <f t="shared" si="87"/>
        <v>37028805189998</v>
      </c>
      <c r="J472" s="1">
        <f t="shared" si="88"/>
        <v>4</v>
      </c>
      <c r="K472" s="1">
        <f t="shared" si="89"/>
        <v>148115220759992</v>
      </c>
      <c r="L472" s="1">
        <f t="shared" si="90"/>
        <v>49519855474090.656</v>
      </c>
      <c r="M472" s="3">
        <f t="shared" si="91"/>
        <v>3449022.4295811891</v>
      </c>
      <c r="N472" s="7">
        <f t="shared" si="96"/>
        <v>49519855474091</v>
      </c>
      <c r="O472" s="7">
        <f t="shared" si="92"/>
        <v>3449022</v>
      </c>
      <c r="P472" s="3">
        <f>SUM($O$4:O472)</f>
        <v>54772036</v>
      </c>
      <c r="Y472" s="3">
        <f t="shared" si="93"/>
        <v>469</v>
      </c>
      <c r="Z472" s="3">
        <f t="shared" si="94"/>
        <v>4064003810836</v>
      </c>
      <c r="AB472" s="7">
        <f t="shared" si="95"/>
        <v>13040</v>
      </c>
    </row>
    <row r="473" spans="6:28" x14ac:dyDescent="0.15">
      <c r="F473">
        <f t="shared" si="85"/>
        <v>68</v>
      </c>
      <c r="G473">
        <v>470</v>
      </c>
      <c r="H473">
        <f t="shared" si="86"/>
        <v>58135224148296.82</v>
      </c>
      <c r="I473">
        <f t="shared" si="87"/>
        <v>58135224148297</v>
      </c>
      <c r="J473" s="1">
        <f t="shared" si="88"/>
        <v>1</v>
      </c>
      <c r="K473" s="1">
        <f t="shared" si="89"/>
        <v>58135224148297</v>
      </c>
      <c r="L473" s="1">
        <f t="shared" si="90"/>
        <v>19610948946025.523</v>
      </c>
      <c r="M473" s="3">
        <f t="shared" si="91"/>
        <v>1050683.487425376</v>
      </c>
      <c r="N473" s="7">
        <f t="shared" si="96"/>
        <v>19610948946026</v>
      </c>
      <c r="O473" s="7">
        <f t="shared" si="92"/>
        <v>1050683</v>
      </c>
      <c r="P473" s="3">
        <f>SUM($O$4:O473)</f>
        <v>55822719</v>
      </c>
      <c r="Y473" s="3">
        <f t="shared" si="93"/>
        <v>470</v>
      </c>
      <c r="Z473" s="3">
        <f t="shared" si="94"/>
        <v>4276302517372</v>
      </c>
      <c r="AB473" s="7">
        <f t="shared" si="95"/>
        <v>13040</v>
      </c>
    </row>
    <row r="474" spans="6:28" x14ac:dyDescent="0.15">
      <c r="F474">
        <f t="shared" si="85"/>
        <v>68</v>
      </c>
      <c r="G474">
        <v>471</v>
      </c>
      <c r="H474">
        <f t="shared" si="86"/>
        <v>58135224148296.82</v>
      </c>
      <c r="I474">
        <f t="shared" si="87"/>
        <v>58135224148297</v>
      </c>
      <c r="J474" s="1">
        <f t="shared" si="88"/>
        <v>1</v>
      </c>
      <c r="K474" s="1">
        <f t="shared" si="89"/>
        <v>58135224148297</v>
      </c>
      <c r="L474" s="1">
        <f t="shared" si="90"/>
        <v>19610948946025.523</v>
      </c>
      <c r="M474" s="3">
        <f t="shared" si="91"/>
        <v>1050683.487425376</v>
      </c>
      <c r="N474" s="7">
        <f t="shared" si="96"/>
        <v>19610948946026</v>
      </c>
      <c r="O474" s="7">
        <f t="shared" si="92"/>
        <v>1050683</v>
      </c>
      <c r="P474" s="3">
        <f>SUM($O$4:O474)</f>
        <v>56873402</v>
      </c>
      <c r="Y474" s="3">
        <f t="shared" si="93"/>
        <v>471</v>
      </c>
      <c r="Z474" s="3">
        <f t="shared" si="94"/>
        <v>4499671085034</v>
      </c>
      <c r="AB474" s="7">
        <f t="shared" si="95"/>
        <v>13040</v>
      </c>
    </row>
    <row r="475" spans="6:28" x14ac:dyDescent="0.15">
      <c r="F475">
        <f t="shared" si="85"/>
        <v>68</v>
      </c>
      <c r="G475">
        <v>472</v>
      </c>
      <c r="H475">
        <f t="shared" si="86"/>
        <v>58135224148296.82</v>
      </c>
      <c r="I475">
        <f t="shared" si="87"/>
        <v>58135224148297</v>
      </c>
      <c r="J475" s="1">
        <f t="shared" si="88"/>
        <v>1</v>
      </c>
      <c r="K475" s="1">
        <f t="shared" si="89"/>
        <v>58135224148297</v>
      </c>
      <c r="L475" s="1">
        <f t="shared" si="90"/>
        <v>19610948946025.523</v>
      </c>
      <c r="M475" s="3">
        <f t="shared" si="91"/>
        <v>1050683.487425376</v>
      </c>
      <c r="N475" s="7">
        <f t="shared" si="96"/>
        <v>19610948946026</v>
      </c>
      <c r="O475" s="7">
        <f t="shared" si="92"/>
        <v>1050683</v>
      </c>
      <c r="P475" s="3">
        <f>SUM($O$4:O475)</f>
        <v>57924085</v>
      </c>
      <c r="Y475" s="3">
        <f t="shared" si="93"/>
        <v>472</v>
      </c>
      <c r="Z475" s="3">
        <f t="shared" si="94"/>
        <v>4734685753170</v>
      </c>
      <c r="AB475" s="7">
        <f t="shared" si="95"/>
        <v>13040</v>
      </c>
    </row>
    <row r="476" spans="6:28" x14ac:dyDescent="0.15">
      <c r="F476">
        <f t="shared" si="85"/>
        <v>68</v>
      </c>
      <c r="G476">
        <v>473</v>
      </c>
      <c r="H476">
        <f t="shared" si="86"/>
        <v>58135224148296.82</v>
      </c>
      <c r="I476">
        <f t="shared" si="87"/>
        <v>58135224148297</v>
      </c>
      <c r="J476" s="1">
        <f t="shared" si="88"/>
        <v>1</v>
      </c>
      <c r="K476" s="1">
        <f t="shared" si="89"/>
        <v>58135224148297</v>
      </c>
      <c r="L476" s="1">
        <f t="shared" si="90"/>
        <v>19610948946025.523</v>
      </c>
      <c r="M476" s="3">
        <f t="shared" si="91"/>
        <v>1050683.487425376</v>
      </c>
      <c r="N476" s="7">
        <f t="shared" si="96"/>
        <v>19610948946026</v>
      </c>
      <c r="O476" s="7">
        <f t="shared" si="92"/>
        <v>1050683</v>
      </c>
      <c r="P476" s="3">
        <f>SUM($O$4:O476)</f>
        <v>58974768</v>
      </c>
      <c r="Y476" s="3">
        <f t="shared" si="93"/>
        <v>473</v>
      </c>
      <c r="Z476" s="3">
        <f t="shared" si="94"/>
        <v>4981952710407</v>
      </c>
      <c r="AB476" s="7">
        <f t="shared" si="95"/>
        <v>13040</v>
      </c>
    </row>
    <row r="477" spans="6:28" x14ac:dyDescent="0.15">
      <c r="F477">
        <f t="shared" si="85"/>
        <v>68</v>
      </c>
      <c r="G477">
        <v>474</v>
      </c>
      <c r="H477">
        <f t="shared" si="86"/>
        <v>58135224148296.82</v>
      </c>
      <c r="I477">
        <f t="shared" si="87"/>
        <v>58135224148297</v>
      </c>
      <c r="J477" s="1">
        <f t="shared" si="88"/>
        <v>1</v>
      </c>
      <c r="K477" s="1">
        <f t="shared" si="89"/>
        <v>58135224148297</v>
      </c>
      <c r="L477" s="1">
        <f t="shared" si="90"/>
        <v>19610948946025.523</v>
      </c>
      <c r="M477" s="3">
        <f t="shared" si="91"/>
        <v>1050683.487425376</v>
      </c>
      <c r="N477" s="7">
        <f t="shared" si="96"/>
        <v>19610948946026</v>
      </c>
      <c r="O477" s="7">
        <f t="shared" si="92"/>
        <v>1050683</v>
      </c>
      <c r="P477" s="3">
        <f>SUM($O$4:O477)</f>
        <v>60025451</v>
      </c>
      <c r="Y477" s="3">
        <f t="shared" si="93"/>
        <v>474</v>
      </c>
      <c r="Z477" s="3">
        <f t="shared" si="94"/>
        <v>5242109648984</v>
      </c>
      <c r="AB477" s="7">
        <f t="shared" si="95"/>
        <v>13040</v>
      </c>
    </row>
    <row r="478" spans="6:28" x14ac:dyDescent="0.15">
      <c r="F478">
        <f t="shared" si="85"/>
        <v>68</v>
      </c>
      <c r="G478">
        <v>475</v>
      </c>
      <c r="H478">
        <f t="shared" si="86"/>
        <v>58135224148296.82</v>
      </c>
      <c r="I478">
        <f t="shared" si="87"/>
        <v>58135224148297</v>
      </c>
      <c r="J478" s="1">
        <f t="shared" si="88"/>
        <v>1</v>
      </c>
      <c r="K478" s="1">
        <f t="shared" si="89"/>
        <v>58135224148297</v>
      </c>
      <c r="L478" s="1">
        <f t="shared" si="90"/>
        <v>19610948946025.523</v>
      </c>
      <c r="M478" s="3">
        <f t="shared" si="91"/>
        <v>1050683.487425376</v>
      </c>
      <c r="N478" s="7">
        <f t="shared" si="96"/>
        <v>19610948946026</v>
      </c>
      <c r="O478" s="7">
        <f t="shared" si="92"/>
        <v>1050683</v>
      </c>
      <c r="P478" s="3">
        <f>SUM($O$4:O478)</f>
        <v>61076134</v>
      </c>
      <c r="Y478" s="3">
        <f t="shared" si="93"/>
        <v>475</v>
      </c>
      <c r="Z478" s="3">
        <f t="shared" si="94"/>
        <v>5515827399643</v>
      </c>
      <c r="AB478" s="7">
        <f t="shared" si="95"/>
        <v>13040</v>
      </c>
    </row>
    <row r="479" spans="6:28" x14ac:dyDescent="0.15">
      <c r="F479">
        <f t="shared" si="85"/>
        <v>68</v>
      </c>
      <c r="G479">
        <v>476</v>
      </c>
      <c r="H479">
        <f t="shared" si="86"/>
        <v>58135224148296.82</v>
      </c>
      <c r="I479">
        <f t="shared" si="87"/>
        <v>58135224148297</v>
      </c>
      <c r="J479" s="1">
        <f t="shared" si="88"/>
        <v>6</v>
      </c>
      <c r="K479" s="1">
        <f t="shared" si="89"/>
        <v>348811344889782</v>
      </c>
      <c r="L479" s="1">
        <f t="shared" si="90"/>
        <v>117665693676153.12</v>
      </c>
      <c r="M479" s="3">
        <f t="shared" si="91"/>
        <v>6304100.9245522544</v>
      </c>
      <c r="N479" s="7">
        <f t="shared" si="96"/>
        <v>117665693676153</v>
      </c>
      <c r="O479" s="7">
        <f t="shared" si="92"/>
        <v>6304100</v>
      </c>
      <c r="P479" s="3">
        <f>SUM($O$4:O479)</f>
        <v>67380234</v>
      </c>
      <c r="Y479" s="3">
        <f t="shared" si="93"/>
        <v>476</v>
      </c>
      <c r="Z479" s="3">
        <f t="shared" si="94"/>
        <v>5803811651245</v>
      </c>
      <c r="AB479" s="7">
        <f t="shared" si="95"/>
        <v>13040</v>
      </c>
    </row>
    <row r="480" spans="6:28" x14ac:dyDescent="0.15">
      <c r="F480">
        <f t="shared" si="85"/>
        <v>69</v>
      </c>
      <c r="G480">
        <v>477</v>
      </c>
      <c r="H480">
        <f t="shared" si="86"/>
        <v>91272301912826</v>
      </c>
      <c r="I480">
        <f t="shared" si="87"/>
        <v>91272301912826</v>
      </c>
      <c r="J480" s="1">
        <f t="shared" si="88"/>
        <v>1</v>
      </c>
      <c r="K480" s="1">
        <f t="shared" si="89"/>
        <v>91272301912826</v>
      </c>
      <c r="L480" s="1">
        <f t="shared" si="90"/>
        <v>31063006750998.453</v>
      </c>
      <c r="M480" s="3">
        <f t="shared" si="91"/>
        <v>1280187.0704152095</v>
      </c>
      <c r="N480" s="7">
        <f t="shared" si="96"/>
        <v>31063006750999</v>
      </c>
      <c r="O480" s="7">
        <f t="shared" si="92"/>
        <v>1280187</v>
      </c>
      <c r="P480" s="3">
        <f>SUM($O$4:O480)</f>
        <v>68660421</v>
      </c>
      <c r="Y480" s="3">
        <f t="shared" si="93"/>
        <v>477</v>
      </c>
      <c r="Z480" s="3">
        <f t="shared" si="94"/>
        <v>6106804759509</v>
      </c>
      <c r="AB480" s="7">
        <f t="shared" si="95"/>
        <v>13040</v>
      </c>
    </row>
    <row r="481" spans="6:28" x14ac:dyDescent="0.15">
      <c r="F481">
        <f t="shared" si="85"/>
        <v>69</v>
      </c>
      <c r="G481">
        <v>478</v>
      </c>
      <c r="H481">
        <f t="shared" si="86"/>
        <v>91272301912826</v>
      </c>
      <c r="I481">
        <f t="shared" si="87"/>
        <v>91272301912826</v>
      </c>
      <c r="J481" s="1">
        <f t="shared" si="88"/>
        <v>1</v>
      </c>
      <c r="K481" s="1">
        <f t="shared" si="89"/>
        <v>91272301912826</v>
      </c>
      <c r="L481" s="1">
        <f t="shared" si="90"/>
        <v>31063006750998.453</v>
      </c>
      <c r="M481" s="3">
        <f t="shared" si="91"/>
        <v>1280187.0704152095</v>
      </c>
      <c r="N481" s="7">
        <f t="shared" si="96"/>
        <v>31063006750999</v>
      </c>
      <c r="O481" s="7">
        <f t="shared" si="92"/>
        <v>1280187</v>
      </c>
      <c r="P481" s="3">
        <f>SUM($O$4:O481)</f>
        <v>69940608</v>
      </c>
      <c r="Y481" s="3">
        <f t="shared" si="93"/>
        <v>478</v>
      </c>
      <c r="Z481" s="3">
        <f t="shared" si="94"/>
        <v>6425587649471</v>
      </c>
      <c r="AB481" s="7">
        <f t="shared" si="95"/>
        <v>13040</v>
      </c>
    </row>
    <row r="482" spans="6:28" x14ac:dyDescent="0.15">
      <c r="F482">
        <f t="shared" si="85"/>
        <v>69</v>
      </c>
      <c r="G482">
        <v>479</v>
      </c>
      <c r="H482">
        <f t="shared" si="86"/>
        <v>91272301912826</v>
      </c>
      <c r="I482">
        <f t="shared" si="87"/>
        <v>91272301912826</v>
      </c>
      <c r="J482" s="1">
        <f t="shared" si="88"/>
        <v>1</v>
      </c>
      <c r="K482" s="1">
        <f t="shared" si="89"/>
        <v>91272301912826</v>
      </c>
      <c r="L482" s="1">
        <f t="shared" si="90"/>
        <v>31063006750998.453</v>
      </c>
      <c r="M482" s="3">
        <f t="shared" si="91"/>
        <v>1280187.0704152095</v>
      </c>
      <c r="N482" s="7">
        <f t="shared" si="96"/>
        <v>31063006750999</v>
      </c>
      <c r="O482" s="7">
        <f t="shared" si="92"/>
        <v>1280187</v>
      </c>
      <c r="P482" s="3">
        <f>SUM($O$4:O482)</f>
        <v>71220795</v>
      </c>
      <c r="Y482" s="3">
        <f t="shared" si="93"/>
        <v>479</v>
      </c>
      <c r="Z482" s="3">
        <f t="shared" si="94"/>
        <v>6760981816530</v>
      </c>
      <c r="AB482" s="7">
        <f t="shared" si="95"/>
        <v>13040</v>
      </c>
    </row>
    <row r="483" spans="6:28" x14ac:dyDescent="0.15">
      <c r="F483">
        <f t="shared" si="85"/>
        <v>69</v>
      </c>
      <c r="G483">
        <v>480</v>
      </c>
      <c r="H483">
        <f t="shared" si="86"/>
        <v>91272301912826</v>
      </c>
      <c r="I483">
        <f t="shared" si="87"/>
        <v>91272301912826</v>
      </c>
      <c r="J483" s="1">
        <f t="shared" si="88"/>
        <v>1</v>
      </c>
      <c r="K483" s="1">
        <f t="shared" si="89"/>
        <v>91272301912826</v>
      </c>
      <c r="L483" s="1">
        <f t="shared" si="90"/>
        <v>31063006750998.453</v>
      </c>
      <c r="M483" s="3">
        <f t="shared" si="91"/>
        <v>1280187.0704152095</v>
      </c>
      <c r="N483" s="7">
        <f t="shared" si="96"/>
        <v>31063006750999</v>
      </c>
      <c r="O483" s="7">
        <f t="shared" si="92"/>
        <v>1280187</v>
      </c>
      <c r="P483" s="3">
        <f>SUM($O$4:O483)</f>
        <v>72500982</v>
      </c>
      <c r="Y483" s="3">
        <f t="shared" si="93"/>
        <v>480</v>
      </c>
      <c r="Z483" s="3">
        <f t="shared" si="94"/>
        <v>7113851431171</v>
      </c>
      <c r="AB483" s="7">
        <f t="shared" si="95"/>
        <v>13040</v>
      </c>
    </row>
    <row r="484" spans="6:28" x14ac:dyDescent="0.15">
      <c r="F484">
        <f t="shared" si="85"/>
        <v>69</v>
      </c>
      <c r="G484">
        <v>481</v>
      </c>
      <c r="H484">
        <f t="shared" si="86"/>
        <v>91272301912826</v>
      </c>
      <c r="I484">
        <f t="shared" si="87"/>
        <v>91272301912826</v>
      </c>
      <c r="J484" s="1">
        <f t="shared" si="88"/>
        <v>1</v>
      </c>
      <c r="K484" s="1">
        <f t="shared" si="89"/>
        <v>91272301912826</v>
      </c>
      <c r="L484" s="1">
        <f t="shared" si="90"/>
        <v>31063006750998.453</v>
      </c>
      <c r="M484" s="3">
        <f t="shared" si="91"/>
        <v>1280187.0704152095</v>
      </c>
      <c r="N484" s="7">
        <f t="shared" si="96"/>
        <v>31063006750999</v>
      </c>
      <c r="O484" s="7">
        <f t="shared" si="92"/>
        <v>1280187</v>
      </c>
      <c r="P484" s="3">
        <f>SUM($O$4:O484)</f>
        <v>73781169</v>
      </c>
      <c r="Y484" s="3">
        <f t="shared" si="93"/>
        <v>481</v>
      </c>
      <c r="Z484" s="3">
        <f t="shared" si="94"/>
        <v>7485105552735</v>
      </c>
      <c r="AB484" s="7">
        <f t="shared" si="95"/>
        <v>13040</v>
      </c>
    </row>
    <row r="485" spans="6:28" x14ac:dyDescent="0.15">
      <c r="F485">
        <f t="shared" si="85"/>
        <v>69</v>
      </c>
      <c r="G485">
        <v>482</v>
      </c>
      <c r="H485">
        <f t="shared" si="86"/>
        <v>91272301912826</v>
      </c>
      <c r="I485">
        <f t="shared" si="87"/>
        <v>91272301912826</v>
      </c>
      <c r="J485" s="1">
        <f t="shared" si="88"/>
        <v>1</v>
      </c>
      <c r="K485" s="1">
        <f t="shared" si="89"/>
        <v>91272301912826</v>
      </c>
      <c r="L485" s="1">
        <f t="shared" si="90"/>
        <v>31063006750998.453</v>
      </c>
      <c r="M485" s="3">
        <f t="shared" si="91"/>
        <v>1280187.0704152095</v>
      </c>
      <c r="N485" s="7">
        <f t="shared" si="96"/>
        <v>31063006750999</v>
      </c>
      <c r="O485" s="7">
        <f t="shared" si="92"/>
        <v>1280187</v>
      </c>
      <c r="P485" s="3">
        <f>SUM($O$4:O485)</f>
        <v>75061356</v>
      </c>
      <c r="Y485" s="3">
        <f t="shared" si="93"/>
        <v>482</v>
      </c>
      <c r="Z485" s="3">
        <f t="shared" si="94"/>
        <v>7875700457878</v>
      </c>
      <c r="AB485" s="7">
        <f t="shared" si="95"/>
        <v>13040</v>
      </c>
    </row>
    <row r="486" spans="6:28" x14ac:dyDescent="0.15">
      <c r="F486">
        <f t="shared" si="85"/>
        <v>69</v>
      </c>
      <c r="G486">
        <v>483</v>
      </c>
      <c r="H486">
        <f t="shared" si="86"/>
        <v>91272301912826</v>
      </c>
      <c r="I486">
        <f t="shared" si="87"/>
        <v>91272301912826</v>
      </c>
      <c r="J486" s="1">
        <f t="shared" si="88"/>
        <v>7</v>
      </c>
      <c r="K486" s="1">
        <f t="shared" si="89"/>
        <v>638906113389782</v>
      </c>
      <c r="L486" s="1">
        <f t="shared" si="90"/>
        <v>217441047256989.16</v>
      </c>
      <c r="M486" s="3">
        <f t="shared" si="91"/>
        <v>8961309.4929064643</v>
      </c>
      <c r="N486" s="7">
        <f t="shared" si="96"/>
        <v>217441047256989</v>
      </c>
      <c r="O486" s="7">
        <f t="shared" si="92"/>
        <v>8961309</v>
      </c>
      <c r="P486" s="3">
        <f>SUM($O$4:O486)</f>
        <v>84022665</v>
      </c>
      <c r="Y486" s="3">
        <f t="shared" si="93"/>
        <v>483</v>
      </c>
      <c r="Z486" s="3">
        <f t="shared" si="94"/>
        <v>8286642089653</v>
      </c>
      <c r="AB486" s="7">
        <f t="shared" si="95"/>
        <v>13040</v>
      </c>
    </row>
    <row r="487" spans="6:28" x14ac:dyDescent="0.15">
      <c r="F487">
        <f t="shared" si="85"/>
        <v>70</v>
      </c>
      <c r="G487">
        <v>484</v>
      </c>
      <c r="H487">
        <f t="shared" si="86"/>
        <v>143297514003136.84</v>
      </c>
      <c r="I487">
        <f t="shared" si="87"/>
        <v>143297514003137</v>
      </c>
      <c r="J487" s="1">
        <f t="shared" si="88"/>
        <v>1</v>
      </c>
      <c r="K487" s="1">
        <f t="shared" si="89"/>
        <v>143297514003137</v>
      </c>
      <c r="L487" s="1">
        <f t="shared" si="90"/>
        <v>49198813141077.039</v>
      </c>
      <c r="M487" s="3">
        <f t="shared" si="91"/>
        <v>1559700.5285680986</v>
      </c>
      <c r="N487" s="7">
        <f t="shared" si="96"/>
        <v>49198813141077</v>
      </c>
      <c r="O487" s="7">
        <f t="shared" si="92"/>
        <v>1559700</v>
      </c>
      <c r="P487" s="3">
        <f>SUM($O$4:O487)</f>
        <v>85582365</v>
      </c>
      <c r="Y487" s="3">
        <f t="shared" si="93"/>
        <v>484</v>
      </c>
      <c r="Z487" s="3">
        <f t="shared" si="94"/>
        <v>8718988633461</v>
      </c>
      <c r="AB487" s="7">
        <f t="shared" si="95"/>
        <v>13040</v>
      </c>
    </row>
    <row r="488" spans="6:28" x14ac:dyDescent="0.15">
      <c r="F488">
        <f t="shared" si="85"/>
        <v>70</v>
      </c>
      <c r="G488">
        <v>485</v>
      </c>
      <c r="H488">
        <f t="shared" si="86"/>
        <v>143297514003136.84</v>
      </c>
      <c r="I488">
        <f t="shared" si="87"/>
        <v>143297514003137</v>
      </c>
      <c r="J488" s="1">
        <f t="shared" si="88"/>
        <v>1</v>
      </c>
      <c r="K488" s="1">
        <f t="shared" si="89"/>
        <v>143297514003137</v>
      </c>
      <c r="L488" s="1">
        <f t="shared" si="90"/>
        <v>49198813141077.039</v>
      </c>
      <c r="M488" s="3">
        <f t="shared" si="91"/>
        <v>1559700.5285680986</v>
      </c>
      <c r="N488" s="7">
        <f t="shared" si="96"/>
        <v>49198813141077</v>
      </c>
      <c r="O488" s="7">
        <f t="shared" si="92"/>
        <v>1559700</v>
      </c>
      <c r="P488" s="3">
        <f>SUM($O$4:O488)</f>
        <v>87142065</v>
      </c>
      <c r="Y488" s="3">
        <f t="shared" si="93"/>
        <v>485</v>
      </c>
      <c r="Z488" s="3">
        <f t="shared" si="94"/>
        <v>9173853226426</v>
      </c>
      <c r="AB488" s="7">
        <f t="shared" si="95"/>
        <v>13040</v>
      </c>
    </row>
    <row r="489" spans="6:28" x14ac:dyDescent="0.15">
      <c r="F489">
        <f t="shared" si="85"/>
        <v>70</v>
      </c>
      <c r="G489">
        <v>486</v>
      </c>
      <c r="H489">
        <f t="shared" si="86"/>
        <v>143297514003136.84</v>
      </c>
      <c r="I489">
        <f t="shared" si="87"/>
        <v>143297514003137</v>
      </c>
      <c r="J489" s="1">
        <f t="shared" si="88"/>
        <v>1</v>
      </c>
      <c r="K489" s="1">
        <f t="shared" si="89"/>
        <v>143297514003137</v>
      </c>
      <c r="L489" s="1">
        <f t="shared" si="90"/>
        <v>49198813141077.039</v>
      </c>
      <c r="M489" s="3">
        <f t="shared" si="91"/>
        <v>1559700.5285680986</v>
      </c>
      <c r="N489" s="7">
        <f t="shared" si="96"/>
        <v>49198813141077</v>
      </c>
      <c r="O489" s="7">
        <f t="shared" si="92"/>
        <v>1559700</v>
      </c>
      <c r="P489" s="3">
        <f>SUM($O$4:O489)</f>
        <v>88701765</v>
      </c>
      <c r="Y489" s="3">
        <f t="shared" si="93"/>
        <v>486</v>
      </c>
      <c r="Z489" s="3">
        <f t="shared" si="94"/>
        <v>9652406807103</v>
      </c>
      <c r="AB489" s="7">
        <f t="shared" si="95"/>
        <v>13040</v>
      </c>
    </row>
    <row r="490" spans="6:28" x14ac:dyDescent="0.15">
      <c r="F490">
        <f t="shared" si="85"/>
        <v>70</v>
      </c>
      <c r="G490">
        <v>487</v>
      </c>
      <c r="H490">
        <f t="shared" si="86"/>
        <v>143297514003136.84</v>
      </c>
      <c r="I490">
        <f t="shared" si="87"/>
        <v>143297514003137</v>
      </c>
      <c r="J490" s="1">
        <f t="shared" si="88"/>
        <v>1</v>
      </c>
      <c r="K490" s="1">
        <f t="shared" si="89"/>
        <v>143297514003137</v>
      </c>
      <c r="L490" s="1">
        <f t="shared" si="90"/>
        <v>49198813141077.039</v>
      </c>
      <c r="M490" s="3">
        <f t="shared" si="91"/>
        <v>1559700.5285680986</v>
      </c>
      <c r="N490" s="7">
        <f t="shared" si="96"/>
        <v>49198813141077</v>
      </c>
      <c r="O490" s="7">
        <f t="shared" si="92"/>
        <v>1559700</v>
      </c>
      <c r="P490" s="3">
        <f>SUM($O$4:O490)</f>
        <v>90261465</v>
      </c>
      <c r="Y490" s="3">
        <f t="shared" si="93"/>
        <v>487</v>
      </c>
      <c r="Z490" s="3">
        <f t="shared" si="94"/>
        <v>10155881112783</v>
      </c>
      <c r="AB490" s="7">
        <f t="shared" si="95"/>
        <v>13040</v>
      </c>
    </row>
    <row r="491" spans="6:28" x14ac:dyDescent="0.15">
      <c r="F491">
        <f t="shared" si="85"/>
        <v>70</v>
      </c>
      <c r="G491">
        <v>488</v>
      </c>
      <c r="H491">
        <f t="shared" si="86"/>
        <v>143297514003136.84</v>
      </c>
      <c r="I491">
        <f t="shared" si="87"/>
        <v>143297514003137</v>
      </c>
      <c r="J491" s="1">
        <f t="shared" si="88"/>
        <v>1</v>
      </c>
      <c r="K491" s="1">
        <f t="shared" si="89"/>
        <v>143297514003137</v>
      </c>
      <c r="L491" s="1">
        <f t="shared" si="90"/>
        <v>49198813141077.039</v>
      </c>
      <c r="M491" s="3">
        <f t="shared" si="91"/>
        <v>1559700.5285680986</v>
      </c>
      <c r="N491" s="7">
        <f t="shared" si="96"/>
        <v>49198813141077</v>
      </c>
      <c r="O491" s="7">
        <f t="shared" si="92"/>
        <v>1559700</v>
      </c>
      <c r="P491" s="3">
        <f>SUM($O$4:O491)</f>
        <v>91821165</v>
      </c>
      <c r="Y491" s="3">
        <f t="shared" si="93"/>
        <v>488</v>
      </c>
      <c r="Z491" s="3">
        <f t="shared" si="94"/>
        <v>10685571832012</v>
      </c>
      <c r="AB491" s="7">
        <f t="shared" si="95"/>
        <v>13040</v>
      </c>
    </row>
    <row r="492" spans="6:28" x14ac:dyDescent="0.15">
      <c r="F492">
        <f t="shared" si="85"/>
        <v>70</v>
      </c>
      <c r="G492">
        <v>489</v>
      </c>
      <c r="H492">
        <f t="shared" si="86"/>
        <v>143297514003136.84</v>
      </c>
      <c r="I492">
        <f t="shared" si="87"/>
        <v>143297514003137</v>
      </c>
      <c r="J492" s="1">
        <f t="shared" si="88"/>
        <v>1</v>
      </c>
      <c r="K492" s="1">
        <f t="shared" si="89"/>
        <v>143297514003137</v>
      </c>
      <c r="L492" s="1">
        <f t="shared" si="90"/>
        <v>49198813141077.039</v>
      </c>
      <c r="M492" s="3">
        <f t="shared" si="91"/>
        <v>1559700.5285680986</v>
      </c>
      <c r="N492" s="7">
        <f t="shared" si="96"/>
        <v>49198813141077</v>
      </c>
      <c r="O492" s="7">
        <f t="shared" si="92"/>
        <v>1559700</v>
      </c>
      <c r="P492" s="3">
        <f>SUM($O$4:O492)</f>
        <v>93380865</v>
      </c>
      <c r="Y492" s="3">
        <f t="shared" si="93"/>
        <v>489</v>
      </c>
      <c r="Z492" s="3">
        <f t="shared" si="94"/>
        <v>11242841920382</v>
      </c>
      <c r="AB492" s="7">
        <f t="shared" si="95"/>
        <v>13040</v>
      </c>
    </row>
    <row r="493" spans="6:28" x14ac:dyDescent="0.15">
      <c r="F493">
        <f t="shared" si="85"/>
        <v>70</v>
      </c>
      <c r="G493">
        <v>490</v>
      </c>
      <c r="H493">
        <f t="shared" si="86"/>
        <v>143297514003136.84</v>
      </c>
      <c r="I493">
        <f t="shared" si="87"/>
        <v>143297514003137</v>
      </c>
      <c r="J493" s="1">
        <f t="shared" si="88"/>
        <v>10</v>
      </c>
      <c r="K493" s="1">
        <f t="shared" si="89"/>
        <v>1432975140031370</v>
      </c>
      <c r="L493" s="1">
        <f t="shared" si="90"/>
        <v>491988131410770.44</v>
      </c>
      <c r="M493" s="3">
        <f t="shared" si="91"/>
        <v>15597005.285680987</v>
      </c>
      <c r="N493" s="7">
        <f t="shared" si="96"/>
        <v>491988131410770</v>
      </c>
      <c r="O493" s="7">
        <f t="shared" si="92"/>
        <v>15597005</v>
      </c>
      <c r="P493" s="3">
        <f>SUM($O$4:O493)</f>
        <v>108977870</v>
      </c>
      <c r="Y493" s="3">
        <f t="shared" si="93"/>
        <v>490</v>
      </c>
      <c r="Z493" s="3">
        <f t="shared" si="94"/>
        <v>11829125088010</v>
      </c>
      <c r="AB493" s="7">
        <f t="shared" si="95"/>
        <v>13040</v>
      </c>
    </row>
    <row r="494" spans="6:28" x14ac:dyDescent="0.15">
      <c r="F494">
        <f t="shared" si="85"/>
        <v>71</v>
      </c>
      <c r="G494">
        <v>491</v>
      </c>
      <c r="H494">
        <f t="shared" si="86"/>
        <v>224977096984924.87</v>
      </c>
      <c r="I494">
        <f t="shared" si="87"/>
        <v>224977096984925</v>
      </c>
      <c r="J494" s="1">
        <f t="shared" si="88"/>
        <v>1</v>
      </c>
      <c r="K494" s="1">
        <f t="shared" si="89"/>
        <v>224977096984925</v>
      </c>
      <c r="L494" s="1">
        <f t="shared" si="90"/>
        <v>77917067922445.687</v>
      </c>
      <c r="M494" s="3">
        <f t="shared" si="91"/>
        <v>1900097.3063600729</v>
      </c>
      <c r="N494" s="7">
        <f t="shared" si="96"/>
        <v>77917067922446</v>
      </c>
      <c r="O494" s="7">
        <f t="shared" si="92"/>
        <v>1900097</v>
      </c>
      <c r="P494" s="3">
        <f>SUM($O$4:O494)</f>
        <v>110877967</v>
      </c>
      <c r="Y494" s="3">
        <f t="shared" si="93"/>
        <v>491</v>
      </c>
      <c r="Z494" s="3">
        <f t="shared" si="94"/>
        <v>12445929467599</v>
      </c>
      <c r="AB494" s="7">
        <f t="shared" si="95"/>
        <v>13040</v>
      </c>
    </row>
    <row r="495" spans="6:28" x14ac:dyDescent="0.15">
      <c r="F495">
        <f t="shared" si="85"/>
        <v>71</v>
      </c>
      <c r="G495">
        <v>492</v>
      </c>
      <c r="H495">
        <f t="shared" si="86"/>
        <v>224977096984924.87</v>
      </c>
      <c r="I495">
        <f t="shared" si="87"/>
        <v>224977096984925</v>
      </c>
      <c r="J495" s="1">
        <f t="shared" si="88"/>
        <v>1</v>
      </c>
      <c r="K495" s="1">
        <f t="shared" si="89"/>
        <v>224977096984925</v>
      </c>
      <c r="L495" s="1">
        <f t="shared" si="90"/>
        <v>77917067922445.687</v>
      </c>
      <c r="M495" s="3">
        <f t="shared" si="91"/>
        <v>1900097.3063600729</v>
      </c>
      <c r="N495" s="7">
        <f t="shared" si="96"/>
        <v>77917067922446</v>
      </c>
      <c r="O495" s="7">
        <f t="shared" si="92"/>
        <v>1900097</v>
      </c>
      <c r="P495" s="3">
        <f>SUM($O$4:O495)</f>
        <v>112778064</v>
      </c>
      <c r="Y495" s="3">
        <f t="shared" si="93"/>
        <v>492</v>
      </c>
      <c r="Z495" s="3">
        <f t="shared" si="94"/>
        <v>13094841472427</v>
      </c>
      <c r="AB495" s="7">
        <f t="shared" si="95"/>
        <v>13040</v>
      </c>
    </row>
    <row r="496" spans="6:28" x14ac:dyDescent="0.15">
      <c r="F496">
        <f t="shared" si="85"/>
        <v>71</v>
      </c>
      <c r="G496">
        <v>493</v>
      </c>
      <c r="H496">
        <f t="shared" si="86"/>
        <v>224977096984924.87</v>
      </c>
      <c r="I496">
        <f t="shared" si="87"/>
        <v>224977096984925</v>
      </c>
      <c r="J496" s="1">
        <f t="shared" si="88"/>
        <v>1</v>
      </c>
      <c r="K496" s="1">
        <f t="shared" si="89"/>
        <v>224977096984925</v>
      </c>
      <c r="L496" s="1">
        <f t="shared" si="90"/>
        <v>77917067922445.687</v>
      </c>
      <c r="M496" s="3">
        <f t="shared" si="91"/>
        <v>1900097.3063600729</v>
      </c>
      <c r="N496" s="7">
        <f t="shared" si="96"/>
        <v>77917067922446</v>
      </c>
      <c r="O496" s="7">
        <f t="shared" si="92"/>
        <v>1900097</v>
      </c>
      <c r="P496" s="3">
        <f>SUM($O$4:O496)</f>
        <v>114678161</v>
      </c>
      <c r="Y496" s="3">
        <f t="shared" si="93"/>
        <v>493</v>
      </c>
      <c r="Z496" s="3">
        <f t="shared" si="94"/>
        <v>13777529854068</v>
      </c>
      <c r="AB496" s="7">
        <f t="shared" si="95"/>
        <v>13040</v>
      </c>
    </row>
    <row r="497" spans="6:28" x14ac:dyDescent="0.15">
      <c r="F497">
        <f t="shared" si="85"/>
        <v>71</v>
      </c>
      <c r="G497">
        <v>494</v>
      </c>
      <c r="H497">
        <f t="shared" si="86"/>
        <v>224977096984924.87</v>
      </c>
      <c r="I497">
        <f t="shared" si="87"/>
        <v>224977096984925</v>
      </c>
      <c r="J497" s="1">
        <f t="shared" si="88"/>
        <v>1</v>
      </c>
      <c r="K497" s="1">
        <f t="shared" si="89"/>
        <v>224977096984925</v>
      </c>
      <c r="L497" s="1">
        <f t="shared" si="90"/>
        <v>77917067922445.687</v>
      </c>
      <c r="M497" s="3">
        <f t="shared" si="91"/>
        <v>1900097.3063600729</v>
      </c>
      <c r="N497" s="7">
        <f t="shared" si="96"/>
        <v>77917067922446</v>
      </c>
      <c r="O497" s="7">
        <f t="shared" si="92"/>
        <v>1900097</v>
      </c>
      <c r="P497" s="3">
        <f>SUM($O$4:O497)</f>
        <v>116578258</v>
      </c>
      <c r="Y497" s="3">
        <f t="shared" si="93"/>
        <v>494</v>
      </c>
      <c r="Z497" s="3">
        <f t="shared" si="94"/>
        <v>14495749970193</v>
      </c>
      <c r="AB497" s="7">
        <f t="shared" si="95"/>
        <v>13040</v>
      </c>
    </row>
    <row r="498" spans="6:28" x14ac:dyDescent="0.15">
      <c r="F498">
        <f t="shared" si="85"/>
        <v>71</v>
      </c>
      <c r="G498">
        <v>495</v>
      </c>
      <c r="H498">
        <f t="shared" si="86"/>
        <v>224977096984924.87</v>
      </c>
      <c r="I498">
        <f t="shared" si="87"/>
        <v>224977096984925</v>
      </c>
      <c r="J498" s="1">
        <f t="shared" si="88"/>
        <v>1</v>
      </c>
      <c r="K498" s="1">
        <f t="shared" si="89"/>
        <v>224977096984925</v>
      </c>
      <c r="L498" s="1">
        <f t="shared" si="90"/>
        <v>77917067922445.687</v>
      </c>
      <c r="M498" s="3">
        <f t="shared" si="91"/>
        <v>1900097.3063600729</v>
      </c>
      <c r="N498" s="7">
        <f t="shared" si="96"/>
        <v>77917067922446</v>
      </c>
      <c r="O498" s="7">
        <f t="shared" si="92"/>
        <v>1900097</v>
      </c>
      <c r="P498" s="3">
        <f>SUM($O$4:O498)</f>
        <v>118478355</v>
      </c>
      <c r="Y498" s="3">
        <f t="shared" si="93"/>
        <v>495</v>
      </c>
      <c r="Z498" s="3">
        <f t="shared" si="94"/>
        <v>15251348273295</v>
      </c>
      <c r="AB498" s="7">
        <f t="shared" si="95"/>
        <v>13040</v>
      </c>
    </row>
    <row r="499" spans="6:28" x14ac:dyDescent="0.15">
      <c r="F499">
        <f t="shared" si="85"/>
        <v>71</v>
      </c>
      <c r="G499">
        <v>496</v>
      </c>
      <c r="H499">
        <f t="shared" si="86"/>
        <v>224977096984924.87</v>
      </c>
      <c r="I499">
        <f t="shared" si="87"/>
        <v>224977096984925</v>
      </c>
      <c r="J499" s="1">
        <f t="shared" si="88"/>
        <v>1</v>
      </c>
      <c r="K499" s="1">
        <f t="shared" si="89"/>
        <v>224977096984925</v>
      </c>
      <c r="L499" s="1">
        <f t="shared" si="90"/>
        <v>77917067922445.687</v>
      </c>
      <c r="M499" s="3">
        <f t="shared" si="91"/>
        <v>1900097.3063600729</v>
      </c>
      <c r="N499" s="7">
        <f t="shared" si="96"/>
        <v>77917067922446</v>
      </c>
      <c r="O499" s="7">
        <f t="shared" si="92"/>
        <v>1900097</v>
      </c>
      <c r="P499" s="3">
        <f>SUM($O$4:O499)</f>
        <v>120378452</v>
      </c>
      <c r="Y499" s="3">
        <f t="shared" si="93"/>
        <v>496</v>
      </c>
      <c r="Z499" s="3">
        <f t="shared" si="94"/>
        <v>16046267031782</v>
      </c>
      <c r="AB499" s="7">
        <f t="shared" si="95"/>
        <v>13040</v>
      </c>
    </row>
    <row r="500" spans="6:28" x14ac:dyDescent="0.15">
      <c r="F500">
        <f t="shared" si="85"/>
        <v>71</v>
      </c>
      <c r="G500">
        <v>497</v>
      </c>
      <c r="H500">
        <f t="shared" si="86"/>
        <v>224977096984924.87</v>
      </c>
      <c r="I500">
        <f t="shared" si="87"/>
        <v>224977096984925</v>
      </c>
      <c r="J500" s="1">
        <f t="shared" si="88"/>
        <v>2</v>
      </c>
      <c r="K500" s="1">
        <f t="shared" si="89"/>
        <v>449954193969850</v>
      </c>
      <c r="L500" s="1">
        <f t="shared" si="90"/>
        <v>155834135844891.37</v>
      </c>
      <c r="M500" s="3">
        <f t="shared" si="91"/>
        <v>3800194.6127201458</v>
      </c>
      <c r="N500" s="7">
        <f t="shared" si="96"/>
        <v>155834135844891</v>
      </c>
      <c r="O500" s="7">
        <f t="shared" si="92"/>
        <v>3800194</v>
      </c>
      <c r="P500" s="3">
        <f>SUM($O$4:O500)</f>
        <v>124178646</v>
      </c>
      <c r="Y500" s="3">
        <f t="shared" si="93"/>
        <v>497</v>
      </c>
      <c r="Z500" s="3">
        <f t="shared" si="94"/>
        <v>16882549295435</v>
      </c>
      <c r="AB500" s="7">
        <f t="shared" si="95"/>
        <v>13040</v>
      </c>
    </row>
    <row r="501" spans="6:28" x14ac:dyDescent="0.15">
      <c r="F501">
        <f t="shared" si="85"/>
        <v>72</v>
      </c>
      <c r="G501">
        <v>498</v>
      </c>
      <c r="H501">
        <f t="shared" si="86"/>
        <v>353214042266331.94</v>
      </c>
      <c r="I501">
        <f t="shared" si="87"/>
        <v>353214042266332</v>
      </c>
      <c r="J501" s="1">
        <f t="shared" si="88"/>
        <v>1</v>
      </c>
      <c r="K501" s="1">
        <f t="shared" si="89"/>
        <v>353214042266332</v>
      </c>
      <c r="L501" s="1">
        <f t="shared" si="90"/>
        <v>123389438765038.66</v>
      </c>
      <c r="M501" s="3">
        <f t="shared" si="91"/>
        <v>2314610.2791090608</v>
      </c>
      <c r="N501" s="7">
        <f t="shared" si="96"/>
        <v>123389438765039</v>
      </c>
      <c r="O501" s="7">
        <f t="shared" si="92"/>
        <v>2314610</v>
      </c>
      <c r="P501" s="3">
        <f>SUM($O$4:O501)</f>
        <v>126493256</v>
      </c>
      <c r="Y501" s="3">
        <f t="shared" si="93"/>
        <v>498</v>
      </c>
      <c r="Z501" s="3">
        <f t="shared" si="94"/>
        <v>17762344117873</v>
      </c>
      <c r="AB501" s="7">
        <f t="shared" si="95"/>
        <v>13040</v>
      </c>
    </row>
    <row r="502" spans="6:28" x14ac:dyDescent="0.15">
      <c r="F502">
        <f t="shared" si="85"/>
        <v>72</v>
      </c>
      <c r="G502">
        <v>499</v>
      </c>
      <c r="H502">
        <f t="shared" si="86"/>
        <v>353214042266331.94</v>
      </c>
      <c r="I502">
        <f t="shared" si="87"/>
        <v>353214042266332</v>
      </c>
      <c r="J502" s="1">
        <f t="shared" si="88"/>
        <v>1</v>
      </c>
      <c r="K502" s="1">
        <f t="shared" si="89"/>
        <v>353214042266332</v>
      </c>
      <c r="L502" s="1">
        <f t="shared" si="90"/>
        <v>123389438765038.66</v>
      </c>
      <c r="M502" s="3">
        <f t="shared" si="91"/>
        <v>2314610.2791090608</v>
      </c>
      <c r="N502" s="7">
        <f t="shared" si="96"/>
        <v>123389438765039</v>
      </c>
      <c r="O502" s="7">
        <f t="shared" si="92"/>
        <v>2314610</v>
      </c>
      <c r="P502" s="3">
        <f>SUM($O$4:O502)</f>
        <v>128807866</v>
      </c>
      <c r="Y502" s="3">
        <f t="shared" si="93"/>
        <v>499</v>
      </c>
      <c r="Z502" s="3">
        <f t="shared" si="94"/>
        <v>18687912049316</v>
      </c>
      <c r="AB502" s="7">
        <f t="shared" si="95"/>
        <v>13040</v>
      </c>
    </row>
    <row r="503" spans="6:28" x14ac:dyDescent="0.15">
      <c r="F503">
        <f t="shared" si="85"/>
        <v>72</v>
      </c>
      <c r="G503">
        <v>500</v>
      </c>
      <c r="H503">
        <f t="shared" si="86"/>
        <v>353214042266331.94</v>
      </c>
      <c r="I503">
        <f t="shared" si="87"/>
        <v>353214042266332</v>
      </c>
      <c r="J503" s="1">
        <f t="shared" si="88"/>
        <v>1</v>
      </c>
      <c r="K503" s="1">
        <f t="shared" si="89"/>
        <v>353214042266332</v>
      </c>
      <c r="L503" s="1">
        <f t="shared" si="90"/>
        <v>123389438765038.66</v>
      </c>
      <c r="M503" s="3">
        <f t="shared" si="91"/>
        <v>2314610.2791090608</v>
      </c>
      <c r="N503" s="7">
        <f t="shared" si="96"/>
        <v>123389438765039</v>
      </c>
      <c r="O503" s="7">
        <f t="shared" si="92"/>
        <v>2314610</v>
      </c>
      <c r="P503" s="3">
        <f>SUM($O$4:O503)</f>
        <v>131122476</v>
      </c>
      <c r="Y503" s="3">
        <f t="shared" si="93"/>
        <v>500</v>
      </c>
      <c r="Z503" s="3">
        <f t="shared" si="94"/>
        <v>19661630913609</v>
      </c>
      <c r="AB503" s="7">
        <f t="shared" si="95"/>
        <v>13040</v>
      </c>
    </row>
    <row r="504" spans="6:28" x14ac:dyDescent="0.15">
      <c r="F504">
        <f t="shared" si="85"/>
        <v>72</v>
      </c>
      <c r="G504">
        <v>501</v>
      </c>
      <c r="H504">
        <f t="shared" si="86"/>
        <v>353214042266331.94</v>
      </c>
      <c r="I504">
        <f t="shared" si="87"/>
        <v>353214042266332</v>
      </c>
      <c r="J504" s="1">
        <f t="shared" si="88"/>
        <v>1</v>
      </c>
      <c r="K504" s="1">
        <f t="shared" si="89"/>
        <v>353214042266332</v>
      </c>
      <c r="L504" s="1">
        <f t="shared" si="90"/>
        <v>123389438765038.66</v>
      </c>
      <c r="M504" s="3">
        <f t="shared" si="91"/>
        <v>2314610.2791090608</v>
      </c>
      <c r="N504" s="7">
        <f t="shared" si="96"/>
        <v>123389438765039</v>
      </c>
      <c r="O504" s="7">
        <f t="shared" si="92"/>
        <v>2314610</v>
      </c>
      <c r="P504" s="3">
        <f>SUM($O$4:O504)</f>
        <v>133437086</v>
      </c>
      <c r="Y504" s="3">
        <f t="shared" si="93"/>
        <v>501</v>
      </c>
      <c r="Z504" s="3">
        <f t="shared" si="94"/>
        <v>20686001884208</v>
      </c>
      <c r="AB504" s="7">
        <f t="shared" si="95"/>
        <v>13040</v>
      </c>
    </row>
    <row r="505" spans="6:28" x14ac:dyDescent="0.15">
      <c r="F505">
        <f t="shared" si="85"/>
        <v>72</v>
      </c>
      <c r="G505">
        <v>502</v>
      </c>
      <c r="H505">
        <f t="shared" si="86"/>
        <v>353214042266331.94</v>
      </c>
      <c r="I505">
        <f t="shared" si="87"/>
        <v>353214042266332</v>
      </c>
      <c r="J505" s="1">
        <f t="shared" si="88"/>
        <v>1</v>
      </c>
      <c r="K505" s="1">
        <f t="shared" si="89"/>
        <v>353214042266332</v>
      </c>
      <c r="L505" s="1">
        <f t="shared" si="90"/>
        <v>123389438765038.66</v>
      </c>
      <c r="M505" s="3">
        <f t="shared" si="91"/>
        <v>2314610.2791090608</v>
      </c>
      <c r="N505" s="7">
        <f t="shared" si="96"/>
        <v>123389438765039</v>
      </c>
      <c r="O505" s="7">
        <f t="shared" si="92"/>
        <v>2314610</v>
      </c>
      <c r="P505" s="3">
        <f>SUM($O$4:O505)</f>
        <v>135751696</v>
      </c>
      <c r="Y505" s="3">
        <f t="shared" si="93"/>
        <v>502</v>
      </c>
      <c r="Z505" s="3">
        <f t="shared" si="94"/>
        <v>21763655874583</v>
      </c>
      <c r="AB505" s="7">
        <f t="shared" si="95"/>
        <v>13040</v>
      </c>
    </row>
    <row r="506" spans="6:28" x14ac:dyDescent="0.15">
      <c r="F506">
        <f t="shared" si="85"/>
        <v>72</v>
      </c>
      <c r="G506">
        <v>503</v>
      </c>
      <c r="H506">
        <f t="shared" si="86"/>
        <v>353214042266331.94</v>
      </c>
      <c r="I506">
        <f t="shared" si="87"/>
        <v>353214042266332</v>
      </c>
      <c r="J506" s="1">
        <f t="shared" si="88"/>
        <v>1</v>
      </c>
      <c r="K506" s="1">
        <f t="shared" si="89"/>
        <v>353214042266332</v>
      </c>
      <c r="L506" s="1">
        <f t="shared" si="90"/>
        <v>123389438765038.66</v>
      </c>
      <c r="M506" s="3">
        <f t="shared" si="91"/>
        <v>2314610.2791090608</v>
      </c>
      <c r="N506" s="7">
        <f t="shared" si="96"/>
        <v>123389438765039</v>
      </c>
      <c r="O506" s="7">
        <f t="shared" si="92"/>
        <v>2314610</v>
      </c>
      <c r="P506" s="3">
        <f>SUM($O$4:O506)</f>
        <v>138066306</v>
      </c>
      <c r="Y506" s="3">
        <f t="shared" si="93"/>
        <v>503</v>
      </c>
      <c r="Z506" s="3">
        <f t="shared" si="94"/>
        <v>22897360259285</v>
      </c>
      <c r="AB506" s="7">
        <f t="shared" si="95"/>
        <v>13040</v>
      </c>
    </row>
    <row r="507" spans="6:28" x14ac:dyDescent="0.15">
      <c r="F507">
        <f t="shared" si="85"/>
        <v>72</v>
      </c>
      <c r="G507">
        <v>504</v>
      </c>
      <c r="H507">
        <f t="shared" si="86"/>
        <v>353214042266331.94</v>
      </c>
      <c r="I507">
        <f t="shared" si="87"/>
        <v>353214042266332</v>
      </c>
      <c r="J507" s="1">
        <f t="shared" si="88"/>
        <v>4</v>
      </c>
      <c r="K507" s="1">
        <f t="shared" si="89"/>
        <v>1412856169065328</v>
      </c>
      <c r="L507" s="1">
        <f t="shared" si="90"/>
        <v>493557755060154.62</v>
      </c>
      <c r="M507" s="3">
        <f t="shared" si="91"/>
        <v>9258441.1164362431</v>
      </c>
      <c r="N507" s="7">
        <f t="shared" si="96"/>
        <v>493557755060155</v>
      </c>
      <c r="O507" s="7">
        <f t="shared" si="92"/>
        <v>9258441</v>
      </c>
      <c r="P507" s="3">
        <f>SUM($O$4:O507)</f>
        <v>147324747</v>
      </c>
      <c r="Y507" s="3">
        <f t="shared" si="93"/>
        <v>504</v>
      </c>
      <c r="Z507" s="3">
        <f t="shared" si="94"/>
        <v>24090025942771</v>
      </c>
      <c r="AB507" s="7">
        <f t="shared" si="95"/>
        <v>13040</v>
      </c>
    </row>
    <row r="508" spans="6:28" x14ac:dyDescent="0.15">
      <c r="F508">
        <f t="shared" si="85"/>
        <v>73</v>
      </c>
      <c r="G508">
        <v>505</v>
      </c>
      <c r="H508">
        <f t="shared" si="86"/>
        <v>554546046358141.19</v>
      </c>
      <c r="I508">
        <f t="shared" si="87"/>
        <v>554546046358141</v>
      </c>
      <c r="J508" s="1">
        <f t="shared" si="88"/>
        <v>1</v>
      </c>
      <c r="K508" s="1">
        <f t="shared" si="89"/>
        <v>554546046358141</v>
      </c>
      <c r="L508" s="1">
        <f t="shared" si="90"/>
        <v>195385057000185</v>
      </c>
      <c r="M508" s="3">
        <f t="shared" si="91"/>
        <v>2819342.7863173028</v>
      </c>
      <c r="N508" s="7">
        <f t="shared" si="96"/>
        <v>195385057000185</v>
      </c>
      <c r="O508" s="7">
        <f t="shared" si="92"/>
        <v>2819342</v>
      </c>
      <c r="P508" s="3">
        <f>SUM($O$4:O508)</f>
        <v>150144089</v>
      </c>
      <c r="Y508" s="3">
        <f t="shared" si="93"/>
        <v>505</v>
      </c>
      <c r="Z508" s="3">
        <f t="shared" si="94"/>
        <v>25344714793957</v>
      </c>
      <c r="AB508" s="7">
        <f t="shared" si="95"/>
        <v>13040</v>
      </c>
    </row>
    <row r="509" spans="6:28" x14ac:dyDescent="0.15">
      <c r="F509">
        <f t="shared" si="85"/>
        <v>73</v>
      </c>
      <c r="G509">
        <v>506</v>
      </c>
      <c r="H509">
        <f t="shared" si="86"/>
        <v>554546046358141.19</v>
      </c>
      <c r="I509">
        <f t="shared" si="87"/>
        <v>554546046358141</v>
      </c>
      <c r="J509" s="1">
        <f t="shared" si="88"/>
        <v>1</v>
      </c>
      <c r="K509" s="1">
        <f t="shared" si="89"/>
        <v>554546046358141</v>
      </c>
      <c r="L509" s="1">
        <f t="shared" si="90"/>
        <v>195385057000185</v>
      </c>
      <c r="M509" s="3">
        <f t="shared" si="91"/>
        <v>2819342.7863173028</v>
      </c>
      <c r="N509" s="7">
        <f t="shared" si="96"/>
        <v>195385057000185</v>
      </c>
      <c r="O509" s="7">
        <f t="shared" si="92"/>
        <v>2819342</v>
      </c>
      <c r="P509" s="3">
        <f>SUM($O$4:O509)</f>
        <v>152963431</v>
      </c>
      <c r="Y509" s="3">
        <f t="shared" si="93"/>
        <v>506</v>
      </c>
      <c r="Z509" s="3">
        <f t="shared" si="94"/>
        <v>26664647465404</v>
      </c>
      <c r="AB509" s="7">
        <f t="shared" si="95"/>
        <v>13040</v>
      </c>
    </row>
    <row r="510" spans="6:28" x14ac:dyDescent="0.15">
      <c r="F510">
        <f t="shared" si="85"/>
        <v>73</v>
      </c>
      <c r="G510">
        <v>507</v>
      </c>
      <c r="H510">
        <f t="shared" si="86"/>
        <v>554546046358141.19</v>
      </c>
      <c r="I510">
        <f t="shared" si="87"/>
        <v>554546046358141</v>
      </c>
      <c r="J510" s="1">
        <f t="shared" si="88"/>
        <v>1</v>
      </c>
      <c r="K510" s="1">
        <f t="shared" si="89"/>
        <v>554546046358141</v>
      </c>
      <c r="L510" s="1">
        <f t="shared" si="90"/>
        <v>195385057000185</v>
      </c>
      <c r="M510" s="3">
        <f t="shared" si="91"/>
        <v>2819342.7863173028</v>
      </c>
      <c r="N510" s="7">
        <f t="shared" si="96"/>
        <v>195385057000185</v>
      </c>
      <c r="O510" s="7">
        <f t="shared" si="92"/>
        <v>2819342</v>
      </c>
      <c r="P510" s="3">
        <f>SUM($O$4:O510)</f>
        <v>155782773</v>
      </c>
      <c r="Y510" s="3">
        <f t="shared" si="93"/>
        <v>507</v>
      </c>
      <c r="Z510" s="3">
        <f t="shared" si="94"/>
        <v>28053211617012</v>
      </c>
      <c r="AB510" s="7">
        <f t="shared" si="95"/>
        <v>13040</v>
      </c>
    </row>
    <row r="511" spans="6:28" x14ac:dyDescent="0.15">
      <c r="F511">
        <f t="shared" si="85"/>
        <v>73</v>
      </c>
      <c r="G511">
        <v>508</v>
      </c>
      <c r="H511">
        <f t="shared" si="86"/>
        <v>554546046358141.19</v>
      </c>
      <c r="I511">
        <f t="shared" si="87"/>
        <v>554546046358141</v>
      </c>
      <c r="J511" s="1">
        <f t="shared" si="88"/>
        <v>1</v>
      </c>
      <c r="K511" s="1">
        <f t="shared" si="89"/>
        <v>554546046358141</v>
      </c>
      <c r="L511" s="1">
        <f t="shared" si="90"/>
        <v>195385057000185</v>
      </c>
      <c r="M511" s="3">
        <f t="shared" si="91"/>
        <v>2819342.7863173028</v>
      </c>
      <c r="N511" s="7">
        <f t="shared" si="96"/>
        <v>195385057000185</v>
      </c>
      <c r="O511" s="7">
        <f t="shared" si="92"/>
        <v>2819342</v>
      </c>
      <c r="P511" s="3">
        <f>SUM($O$4:O511)</f>
        <v>158602115</v>
      </c>
      <c r="Y511" s="3">
        <f t="shared" si="93"/>
        <v>508</v>
      </c>
      <c r="Z511" s="3">
        <f t="shared" si="94"/>
        <v>29513970565116</v>
      </c>
      <c r="AB511" s="7">
        <f t="shared" si="95"/>
        <v>13040</v>
      </c>
    </row>
    <row r="512" spans="6:28" x14ac:dyDescent="0.15">
      <c r="F512">
        <f t="shared" si="85"/>
        <v>73</v>
      </c>
      <c r="G512">
        <v>509</v>
      </c>
      <c r="H512">
        <f t="shared" si="86"/>
        <v>554546046358141.19</v>
      </c>
      <c r="I512">
        <f t="shared" si="87"/>
        <v>554546046358141</v>
      </c>
      <c r="J512" s="1">
        <f t="shared" si="88"/>
        <v>1</v>
      </c>
      <c r="K512" s="1">
        <f t="shared" si="89"/>
        <v>554546046358141</v>
      </c>
      <c r="L512" s="1">
        <f t="shared" si="90"/>
        <v>195385057000185</v>
      </c>
      <c r="M512" s="3">
        <f t="shared" si="91"/>
        <v>2819342.7863173028</v>
      </c>
      <c r="N512" s="7">
        <f t="shared" si="96"/>
        <v>195385057000185</v>
      </c>
      <c r="O512" s="7">
        <f t="shared" si="92"/>
        <v>2819342</v>
      </c>
      <c r="P512" s="3">
        <f>SUM($O$4:O512)</f>
        <v>161421457</v>
      </c>
      <c r="Y512" s="3">
        <f t="shared" si="93"/>
        <v>509</v>
      </c>
      <c r="Z512" s="3">
        <f t="shared" si="94"/>
        <v>31050672378989</v>
      </c>
      <c r="AB512" s="7">
        <f t="shared" si="95"/>
        <v>13040</v>
      </c>
    </row>
    <row r="513" spans="6:28" x14ac:dyDescent="0.15">
      <c r="F513">
        <f t="shared" si="85"/>
        <v>73</v>
      </c>
      <c r="G513">
        <v>510</v>
      </c>
      <c r="H513">
        <f t="shared" si="86"/>
        <v>554546046358141.19</v>
      </c>
      <c r="I513">
        <f t="shared" si="87"/>
        <v>554546046358141</v>
      </c>
      <c r="J513" s="1">
        <f t="shared" si="88"/>
        <v>1</v>
      </c>
      <c r="K513" s="1">
        <f t="shared" si="89"/>
        <v>554546046358141</v>
      </c>
      <c r="L513" s="1">
        <f t="shared" si="90"/>
        <v>195385057000185</v>
      </c>
      <c r="M513" s="3">
        <f t="shared" si="91"/>
        <v>2819342.7863173028</v>
      </c>
      <c r="N513" s="7">
        <f t="shared" si="96"/>
        <v>195385057000185</v>
      </c>
      <c r="O513" s="7">
        <f t="shared" si="92"/>
        <v>2819342</v>
      </c>
      <c r="P513" s="3">
        <f>SUM($O$4:O513)</f>
        <v>164240799</v>
      </c>
      <c r="Y513" s="3">
        <f t="shared" si="93"/>
        <v>510</v>
      </c>
      <c r="Z513" s="3">
        <f t="shared" si="94"/>
        <v>32667259447836</v>
      </c>
      <c r="AB513" s="7">
        <f t="shared" si="95"/>
        <v>13040</v>
      </c>
    </row>
    <row r="514" spans="6:28" x14ac:dyDescent="0.15">
      <c r="F514">
        <f t="shared" si="85"/>
        <v>73</v>
      </c>
      <c r="G514">
        <v>511</v>
      </c>
      <c r="H514">
        <f t="shared" si="86"/>
        <v>554546046358141.19</v>
      </c>
      <c r="I514">
        <f t="shared" si="87"/>
        <v>554546046358141</v>
      </c>
      <c r="J514" s="1">
        <f t="shared" si="88"/>
        <v>6</v>
      </c>
      <c r="K514" s="1">
        <f t="shared" si="89"/>
        <v>3327276278148846</v>
      </c>
      <c r="L514" s="1">
        <f t="shared" si="90"/>
        <v>1172310342001110</v>
      </c>
      <c r="M514" s="3">
        <f t="shared" si="91"/>
        <v>16916056.717903819</v>
      </c>
      <c r="N514" s="7">
        <f t="shared" si="96"/>
        <v>1172310342001110</v>
      </c>
      <c r="O514" s="7">
        <f t="shared" si="92"/>
        <v>16916056</v>
      </c>
      <c r="P514" s="3">
        <f>SUM($O$4:O514)</f>
        <v>181156855</v>
      </c>
      <c r="Y514" s="3">
        <f t="shared" si="93"/>
        <v>511</v>
      </c>
      <c r="Z514" s="3">
        <f t="shared" si="94"/>
        <v>34367878542621</v>
      </c>
      <c r="AB514" s="7">
        <f t="shared" si="95"/>
        <v>13040</v>
      </c>
    </row>
    <row r="515" spans="6:28" x14ac:dyDescent="0.15">
      <c r="F515">
        <f t="shared" si="85"/>
        <v>74</v>
      </c>
      <c r="G515">
        <v>512</v>
      </c>
      <c r="H515">
        <f t="shared" si="86"/>
        <v>870637292782281.75</v>
      </c>
      <c r="I515">
        <f t="shared" si="87"/>
        <v>870637292782282</v>
      </c>
      <c r="J515" s="1">
        <f t="shared" si="88"/>
        <v>1</v>
      </c>
      <c r="K515" s="1">
        <f t="shared" si="89"/>
        <v>870637292782282</v>
      </c>
      <c r="L515" s="1">
        <f t="shared" si="90"/>
        <v>309366451368637.56</v>
      </c>
      <c r="M515" s="3">
        <f t="shared" si="91"/>
        <v>3433890.1637700079</v>
      </c>
      <c r="N515" s="7">
        <f t="shared" si="96"/>
        <v>309366451368638</v>
      </c>
      <c r="O515" s="7">
        <f t="shared" si="92"/>
        <v>3433890</v>
      </c>
      <c r="P515" s="3">
        <f>SUM($O$4:O515)</f>
        <v>184590745</v>
      </c>
      <c r="Y515" s="3">
        <f t="shared" si="93"/>
        <v>512</v>
      </c>
      <c r="Z515" s="3">
        <f t="shared" si="94"/>
        <v>36156891398264</v>
      </c>
      <c r="AB515" s="7">
        <f t="shared" si="95"/>
        <v>13040</v>
      </c>
    </row>
    <row r="516" spans="6:28" x14ac:dyDescent="0.15">
      <c r="F516">
        <f t="shared" si="85"/>
        <v>74</v>
      </c>
      <c r="G516">
        <v>513</v>
      </c>
      <c r="H516">
        <f t="shared" si="86"/>
        <v>870637292782281.75</v>
      </c>
      <c r="I516">
        <f t="shared" si="87"/>
        <v>870637292782282</v>
      </c>
      <c r="J516" s="1">
        <f t="shared" si="88"/>
        <v>1</v>
      </c>
      <c r="K516" s="1">
        <f t="shared" si="89"/>
        <v>870637292782282</v>
      </c>
      <c r="L516" s="1">
        <f t="shared" si="90"/>
        <v>309366451368637.56</v>
      </c>
      <c r="M516" s="3">
        <f t="shared" si="91"/>
        <v>3433890.1637700079</v>
      </c>
      <c r="N516" s="7">
        <f t="shared" si="96"/>
        <v>309366451368638</v>
      </c>
      <c r="O516" s="7">
        <f t="shared" si="92"/>
        <v>3433890</v>
      </c>
      <c r="P516" s="3">
        <f>SUM($O$4:O516)</f>
        <v>188024635</v>
      </c>
      <c r="Y516" s="3">
        <f t="shared" si="93"/>
        <v>513</v>
      </c>
      <c r="Z516" s="3">
        <f t="shared" si="94"/>
        <v>38038885843115</v>
      </c>
      <c r="AB516" s="7">
        <f t="shared" si="95"/>
        <v>13040</v>
      </c>
    </row>
    <row r="517" spans="6:28" x14ac:dyDescent="0.15">
      <c r="F517">
        <f t="shared" ref="F517:F580" si="97">ROUNDUP(G517/$C$4,0)</f>
        <v>74</v>
      </c>
      <c r="G517">
        <v>514</v>
      </c>
      <c r="H517">
        <f t="shared" ref="H517:H580" si="98">18.5*1.57^MIN(F517,156)*1.17^MAX(F517-156,0)*$C$5</f>
        <v>870637292782281.75</v>
      </c>
      <c r="I517">
        <f t="shared" ref="I517:I580" si="99">ROUND(H517,0)</f>
        <v>870637292782282</v>
      </c>
      <c r="J517" s="1">
        <f t="shared" ref="J517:J580" si="100">IF(F517=F518,1,LOOKUP(MOD(F517,5),$D$6:$D$10,$C$6:$C$10))</f>
        <v>1</v>
      </c>
      <c r="K517" s="1">
        <f t="shared" ref="K517:K580" si="101">J517*I517</f>
        <v>870637292782282</v>
      </c>
      <c r="L517" s="1">
        <f t="shared" ref="L517:L580" si="102">K517*(0.02+0.00045*F517)/$C$5</f>
        <v>309366451368637.56</v>
      </c>
      <c r="M517" s="3">
        <f t="shared" ref="M517:M580" si="103">L517/(1.3^F517)*3</f>
        <v>3433890.1637700079</v>
      </c>
      <c r="N517" s="7">
        <f t="shared" si="96"/>
        <v>309366451368638</v>
      </c>
      <c r="O517" s="7">
        <f t="shared" ref="O517:O580" si="104">ROUNDDOWN(M517,0)</f>
        <v>3433890</v>
      </c>
      <c r="P517" s="3">
        <f>SUM($O$4:O517)</f>
        <v>191458525</v>
      </c>
      <c r="Y517" s="3">
        <f t="shared" ref="Y517:Y580" si="105">G517</f>
        <v>514</v>
      </c>
      <c r="Z517" s="3">
        <f t="shared" ref="Z517:Z580" si="106">ROUND(1.05^Y517*Y517,0)</f>
        <v>40018687503955</v>
      </c>
      <c r="AB517" s="7">
        <f t="shared" ref="AB517:AB580" si="107">LOOKUP(Y517,T:T,P:P)</f>
        <v>13040</v>
      </c>
    </row>
    <row r="518" spans="6:28" x14ac:dyDescent="0.15">
      <c r="F518">
        <f t="shared" si="97"/>
        <v>74</v>
      </c>
      <c r="G518">
        <v>515</v>
      </c>
      <c r="H518">
        <f t="shared" si="98"/>
        <v>870637292782281.75</v>
      </c>
      <c r="I518">
        <f t="shared" si="99"/>
        <v>870637292782282</v>
      </c>
      <c r="J518" s="1">
        <f t="shared" si="100"/>
        <v>1</v>
      </c>
      <c r="K518" s="1">
        <f t="shared" si="101"/>
        <v>870637292782282</v>
      </c>
      <c r="L518" s="1">
        <f t="shared" si="102"/>
        <v>309366451368637.56</v>
      </c>
      <c r="M518" s="3">
        <f t="shared" si="103"/>
        <v>3433890.1637700079</v>
      </c>
      <c r="N518" s="7">
        <f t="shared" si="96"/>
        <v>309366451368638</v>
      </c>
      <c r="O518" s="7">
        <f t="shared" si="104"/>
        <v>3433890</v>
      </c>
      <c r="P518" s="3">
        <f>SUM($O$4:O518)</f>
        <v>194892415</v>
      </c>
      <c r="Y518" s="3">
        <f t="shared" si="105"/>
        <v>515</v>
      </c>
      <c r="Z518" s="3">
        <f t="shared" si="106"/>
        <v>42101372116272</v>
      </c>
      <c r="AB518" s="7">
        <f t="shared" si="107"/>
        <v>13040</v>
      </c>
    </row>
    <row r="519" spans="6:28" x14ac:dyDescent="0.15">
      <c r="F519">
        <f t="shared" si="97"/>
        <v>74</v>
      </c>
      <c r="G519">
        <v>516</v>
      </c>
      <c r="H519">
        <f t="shared" si="98"/>
        <v>870637292782281.75</v>
      </c>
      <c r="I519">
        <f t="shared" si="99"/>
        <v>870637292782282</v>
      </c>
      <c r="J519" s="1">
        <f t="shared" si="100"/>
        <v>1</v>
      </c>
      <c r="K519" s="1">
        <f t="shared" si="101"/>
        <v>870637292782282</v>
      </c>
      <c r="L519" s="1">
        <f t="shared" si="102"/>
        <v>309366451368637.56</v>
      </c>
      <c r="M519" s="3">
        <f t="shared" si="103"/>
        <v>3433890.1637700079</v>
      </c>
      <c r="N519" s="7">
        <f t="shared" si="96"/>
        <v>309366451368638</v>
      </c>
      <c r="O519" s="7">
        <f t="shared" si="104"/>
        <v>3433890</v>
      </c>
      <c r="P519" s="3">
        <f>SUM($O$4:O519)</f>
        <v>198326305</v>
      </c>
      <c r="Y519" s="3">
        <f t="shared" si="105"/>
        <v>516</v>
      </c>
      <c r="Z519" s="3">
        <f t="shared" si="106"/>
        <v>44292278471061</v>
      </c>
      <c r="AB519" s="7">
        <f t="shared" si="107"/>
        <v>13040</v>
      </c>
    </row>
    <row r="520" spans="6:28" x14ac:dyDescent="0.15">
      <c r="F520">
        <f t="shared" si="97"/>
        <v>74</v>
      </c>
      <c r="G520">
        <v>517</v>
      </c>
      <c r="H520">
        <f t="shared" si="98"/>
        <v>870637292782281.75</v>
      </c>
      <c r="I520">
        <f t="shared" si="99"/>
        <v>870637292782282</v>
      </c>
      <c r="J520" s="1">
        <f t="shared" si="100"/>
        <v>1</v>
      </c>
      <c r="K520" s="1">
        <f t="shared" si="101"/>
        <v>870637292782282</v>
      </c>
      <c r="L520" s="1">
        <f t="shared" si="102"/>
        <v>309366451368637.56</v>
      </c>
      <c r="M520" s="3">
        <f t="shared" si="103"/>
        <v>3433890.1637700079</v>
      </c>
      <c r="N520" s="7">
        <f t="shared" ref="N520:N583" si="108">ROUND(L520,0)</f>
        <v>309366451368638</v>
      </c>
      <c r="O520" s="7">
        <f t="shared" si="104"/>
        <v>3433890</v>
      </c>
      <c r="P520" s="3">
        <f>SUM($O$4:O520)</f>
        <v>201760195</v>
      </c>
      <c r="Y520" s="3">
        <f t="shared" si="105"/>
        <v>517</v>
      </c>
      <c r="Z520" s="3">
        <f t="shared" si="106"/>
        <v>46597022031037</v>
      </c>
      <c r="AB520" s="7">
        <f t="shared" si="107"/>
        <v>13040</v>
      </c>
    </row>
    <row r="521" spans="6:28" x14ac:dyDescent="0.15">
      <c r="F521">
        <f t="shared" si="97"/>
        <v>74</v>
      </c>
      <c r="G521">
        <v>518</v>
      </c>
      <c r="H521">
        <f t="shared" si="98"/>
        <v>870637292782281.75</v>
      </c>
      <c r="I521">
        <f t="shared" si="99"/>
        <v>870637292782282</v>
      </c>
      <c r="J521" s="1">
        <f t="shared" si="100"/>
        <v>7</v>
      </c>
      <c r="K521" s="1">
        <f t="shared" si="101"/>
        <v>6094461049475974</v>
      </c>
      <c r="L521" s="1">
        <f t="shared" si="102"/>
        <v>2165565159580463</v>
      </c>
      <c r="M521" s="3">
        <f t="shared" si="103"/>
        <v>24037231.146390058</v>
      </c>
      <c r="N521" s="7">
        <f t="shared" si="108"/>
        <v>2165565159580460</v>
      </c>
      <c r="O521" s="7">
        <f t="shared" si="104"/>
        <v>24037231</v>
      </c>
      <c r="P521" s="3">
        <f>SUM($O$4:O521)</f>
        <v>225797426</v>
      </c>
      <c r="Y521" s="3">
        <f t="shared" si="105"/>
        <v>518</v>
      </c>
      <c r="Z521" s="3">
        <f t="shared" si="106"/>
        <v>49021509250834</v>
      </c>
      <c r="AB521" s="7">
        <f t="shared" si="107"/>
        <v>13040</v>
      </c>
    </row>
    <row r="522" spans="6:28" x14ac:dyDescent="0.15">
      <c r="F522">
        <f t="shared" si="97"/>
        <v>75</v>
      </c>
      <c r="G522">
        <v>519</v>
      </c>
      <c r="H522">
        <f t="shared" si="98"/>
        <v>1366900549668182.2</v>
      </c>
      <c r="I522">
        <f t="shared" si="99"/>
        <v>1366900549668180</v>
      </c>
      <c r="J522" s="1">
        <f t="shared" si="100"/>
        <v>1</v>
      </c>
      <c r="K522" s="1">
        <f t="shared" si="101"/>
        <v>1366900549668180</v>
      </c>
      <c r="L522" s="1">
        <f t="shared" si="102"/>
        <v>489806030297764.62</v>
      </c>
      <c r="M522" s="3">
        <f t="shared" si="103"/>
        <v>4182095.6298909076</v>
      </c>
      <c r="N522" s="7">
        <f t="shared" si="108"/>
        <v>489806030297765</v>
      </c>
      <c r="O522" s="7">
        <f t="shared" si="104"/>
        <v>4182095</v>
      </c>
      <c r="P522" s="3">
        <f>SUM($O$4:O522)</f>
        <v>229979521</v>
      </c>
      <c r="Y522" s="3">
        <f t="shared" si="105"/>
        <v>519</v>
      </c>
      <c r="Z522" s="3">
        <f t="shared" si="106"/>
        <v>51571952637533</v>
      </c>
      <c r="AB522" s="7">
        <f t="shared" si="107"/>
        <v>13040</v>
      </c>
    </row>
    <row r="523" spans="6:28" x14ac:dyDescent="0.15">
      <c r="F523">
        <f t="shared" si="97"/>
        <v>75</v>
      </c>
      <c r="G523">
        <v>520</v>
      </c>
      <c r="H523">
        <f t="shared" si="98"/>
        <v>1366900549668182.2</v>
      </c>
      <c r="I523">
        <f t="shared" si="99"/>
        <v>1366900549668180</v>
      </c>
      <c r="J523" s="1">
        <f t="shared" si="100"/>
        <v>1</v>
      </c>
      <c r="K523" s="1">
        <f t="shared" si="101"/>
        <v>1366900549668180</v>
      </c>
      <c r="L523" s="1">
        <f t="shared" si="102"/>
        <v>489806030297764.62</v>
      </c>
      <c r="M523" s="3">
        <f t="shared" si="103"/>
        <v>4182095.6298909076</v>
      </c>
      <c r="N523" s="7">
        <f t="shared" si="108"/>
        <v>489806030297765</v>
      </c>
      <c r="O523" s="7">
        <f t="shared" si="104"/>
        <v>4182095</v>
      </c>
      <c r="P523" s="3">
        <f>SUM($O$4:O523)</f>
        <v>234161616</v>
      </c>
      <c r="Y523" s="3">
        <f t="shared" si="105"/>
        <v>520</v>
      </c>
      <c r="Z523" s="3">
        <f t="shared" si="106"/>
        <v>54254886589775</v>
      </c>
      <c r="AB523" s="7">
        <f t="shared" si="107"/>
        <v>13040</v>
      </c>
    </row>
    <row r="524" spans="6:28" x14ac:dyDescent="0.15">
      <c r="F524">
        <f t="shared" si="97"/>
        <v>75</v>
      </c>
      <c r="G524">
        <v>521</v>
      </c>
      <c r="H524">
        <f t="shared" si="98"/>
        <v>1366900549668182.2</v>
      </c>
      <c r="I524">
        <f t="shared" si="99"/>
        <v>1366900549668180</v>
      </c>
      <c r="J524" s="1">
        <f t="shared" si="100"/>
        <v>1</v>
      </c>
      <c r="K524" s="1">
        <f t="shared" si="101"/>
        <v>1366900549668180</v>
      </c>
      <c r="L524" s="1">
        <f t="shared" si="102"/>
        <v>489806030297764.62</v>
      </c>
      <c r="M524" s="3">
        <f t="shared" si="103"/>
        <v>4182095.6298909076</v>
      </c>
      <c r="N524" s="7">
        <f t="shared" si="108"/>
        <v>489806030297765</v>
      </c>
      <c r="O524" s="7">
        <f t="shared" si="104"/>
        <v>4182095</v>
      </c>
      <c r="P524" s="3">
        <f>SUM($O$4:O524)</f>
        <v>238343711</v>
      </c>
      <c r="Y524" s="3">
        <f t="shared" si="105"/>
        <v>521</v>
      </c>
      <c r="Z524" s="3">
        <f t="shared" si="106"/>
        <v>57077184055647</v>
      </c>
      <c r="AB524" s="7">
        <f t="shared" si="107"/>
        <v>13040</v>
      </c>
    </row>
    <row r="525" spans="6:28" x14ac:dyDescent="0.15">
      <c r="F525">
        <f t="shared" si="97"/>
        <v>75</v>
      </c>
      <c r="G525">
        <v>522</v>
      </c>
      <c r="H525">
        <f t="shared" si="98"/>
        <v>1366900549668182.2</v>
      </c>
      <c r="I525">
        <f t="shared" si="99"/>
        <v>1366900549668180</v>
      </c>
      <c r="J525" s="1">
        <f t="shared" si="100"/>
        <v>1</v>
      </c>
      <c r="K525" s="1">
        <f t="shared" si="101"/>
        <v>1366900549668180</v>
      </c>
      <c r="L525" s="1">
        <f t="shared" si="102"/>
        <v>489806030297764.62</v>
      </c>
      <c r="M525" s="3">
        <f t="shared" si="103"/>
        <v>4182095.6298909076</v>
      </c>
      <c r="N525" s="7">
        <f t="shared" si="108"/>
        <v>489806030297765</v>
      </c>
      <c r="O525" s="7">
        <f t="shared" si="104"/>
        <v>4182095</v>
      </c>
      <c r="P525" s="3">
        <f>SUM($O$4:O525)</f>
        <v>242525806</v>
      </c>
      <c r="Y525" s="3">
        <f t="shared" si="105"/>
        <v>522</v>
      </c>
      <c r="Z525" s="3">
        <f t="shared" si="106"/>
        <v>60046074051631</v>
      </c>
      <c r="AB525" s="7">
        <f t="shared" si="107"/>
        <v>13040</v>
      </c>
    </row>
    <row r="526" spans="6:28" x14ac:dyDescent="0.15">
      <c r="F526">
        <f t="shared" si="97"/>
        <v>75</v>
      </c>
      <c r="G526">
        <v>523</v>
      </c>
      <c r="H526">
        <f t="shared" si="98"/>
        <v>1366900549668182.2</v>
      </c>
      <c r="I526">
        <f t="shared" si="99"/>
        <v>1366900549668180</v>
      </c>
      <c r="J526" s="1">
        <f t="shared" si="100"/>
        <v>1</v>
      </c>
      <c r="K526" s="1">
        <f t="shared" si="101"/>
        <v>1366900549668180</v>
      </c>
      <c r="L526" s="1">
        <f t="shared" si="102"/>
        <v>489806030297764.62</v>
      </c>
      <c r="M526" s="3">
        <f t="shared" si="103"/>
        <v>4182095.6298909076</v>
      </c>
      <c r="N526" s="7">
        <f t="shared" si="108"/>
        <v>489806030297765</v>
      </c>
      <c r="O526" s="7">
        <f t="shared" si="104"/>
        <v>4182095</v>
      </c>
      <c r="P526" s="3">
        <f>SUM($O$4:O526)</f>
        <v>246707901</v>
      </c>
      <c r="Y526" s="3">
        <f t="shared" si="105"/>
        <v>523</v>
      </c>
      <c r="Z526" s="3">
        <f t="shared" si="106"/>
        <v>63169160087075</v>
      </c>
      <c r="AB526" s="7">
        <f t="shared" si="107"/>
        <v>13040</v>
      </c>
    </row>
    <row r="527" spans="6:28" x14ac:dyDescent="0.15">
      <c r="F527">
        <f t="shared" si="97"/>
        <v>75</v>
      </c>
      <c r="G527">
        <v>524</v>
      </c>
      <c r="H527">
        <f t="shared" si="98"/>
        <v>1366900549668182.2</v>
      </c>
      <c r="I527">
        <f t="shared" si="99"/>
        <v>1366900549668180</v>
      </c>
      <c r="J527" s="1">
        <f t="shared" si="100"/>
        <v>1</v>
      </c>
      <c r="K527" s="1">
        <f t="shared" si="101"/>
        <v>1366900549668180</v>
      </c>
      <c r="L527" s="1">
        <f t="shared" si="102"/>
        <v>489806030297764.62</v>
      </c>
      <c r="M527" s="3">
        <f t="shared" si="103"/>
        <v>4182095.6298909076</v>
      </c>
      <c r="N527" s="7">
        <f t="shared" si="108"/>
        <v>489806030297765</v>
      </c>
      <c r="O527" s="7">
        <f t="shared" si="104"/>
        <v>4182095</v>
      </c>
      <c r="P527" s="3">
        <f>SUM($O$4:O527)</f>
        <v>250889996</v>
      </c>
      <c r="Y527" s="3">
        <f t="shared" si="105"/>
        <v>524</v>
      </c>
      <c r="Z527" s="3">
        <f t="shared" si="106"/>
        <v>66454439540935</v>
      </c>
      <c r="AB527" s="7">
        <f t="shared" si="107"/>
        <v>13040</v>
      </c>
    </row>
    <row r="528" spans="6:28" x14ac:dyDescent="0.15">
      <c r="F528">
        <f t="shared" si="97"/>
        <v>75</v>
      </c>
      <c r="G528">
        <v>525</v>
      </c>
      <c r="H528">
        <f t="shared" si="98"/>
        <v>1366900549668182.2</v>
      </c>
      <c r="I528">
        <f t="shared" si="99"/>
        <v>1366900549668180</v>
      </c>
      <c r="J528" s="1">
        <f t="shared" si="100"/>
        <v>10</v>
      </c>
      <c r="K528" s="1">
        <f t="shared" si="101"/>
        <v>1.36690054966818E+16</v>
      </c>
      <c r="L528" s="1">
        <f t="shared" si="102"/>
        <v>4898060302977646</v>
      </c>
      <c r="M528" s="3">
        <f t="shared" si="103"/>
        <v>41820956.298909076</v>
      </c>
      <c r="N528" s="7">
        <f t="shared" si="108"/>
        <v>4898060302977650</v>
      </c>
      <c r="O528" s="7">
        <f t="shared" si="104"/>
        <v>41820956</v>
      </c>
      <c r="P528" s="3">
        <f>SUM($O$4:O528)</f>
        <v>292710952</v>
      </c>
      <c r="Y528" s="3">
        <f t="shared" si="105"/>
        <v>525</v>
      </c>
      <c r="Z528" s="3">
        <f t="shared" si="106"/>
        <v>69910324039962</v>
      </c>
      <c r="AB528" s="7">
        <f t="shared" si="107"/>
        <v>13040</v>
      </c>
    </row>
    <row r="529" spans="6:28" x14ac:dyDescent="0.15">
      <c r="F529">
        <f t="shared" si="97"/>
        <v>76</v>
      </c>
      <c r="G529">
        <v>526</v>
      </c>
      <c r="H529">
        <f t="shared" si="98"/>
        <v>2146033862979046.5</v>
      </c>
      <c r="I529">
        <f t="shared" si="99"/>
        <v>2146033862979050</v>
      </c>
      <c r="J529" s="1">
        <f t="shared" si="100"/>
        <v>1</v>
      </c>
      <c r="K529" s="1">
        <f t="shared" si="101"/>
        <v>2146033862979050</v>
      </c>
      <c r="L529" s="1">
        <f t="shared" si="102"/>
        <v>775433569156430</v>
      </c>
      <c r="M529" s="3">
        <f t="shared" si="103"/>
        <v>5092969.5245787194</v>
      </c>
      <c r="N529" s="7">
        <f t="shared" si="108"/>
        <v>775433569156430</v>
      </c>
      <c r="O529" s="7">
        <f t="shared" si="104"/>
        <v>5092969</v>
      </c>
      <c r="P529" s="3">
        <f>SUM($O$4:O529)</f>
        <v>297803921</v>
      </c>
      <c r="Y529" s="3">
        <f t="shared" si="105"/>
        <v>526</v>
      </c>
      <c r="Z529" s="3">
        <f t="shared" si="106"/>
        <v>73545660890040</v>
      </c>
      <c r="AB529" s="7">
        <f t="shared" si="107"/>
        <v>13040</v>
      </c>
    </row>
    <row r="530" spans="6:28" x14ac:dyDescent="0.15">
      <c r="F530">
        <f t="shared" si="97"/>
        <v>76</v>
      </c>
      <c r="G530">
        <v>527</v>
      </c>
      <c r="H530">
        <f t="shared" si="98"/>
        <v>2146033862979046.5</v>
      </c>
      <c r="I530">
        <f t="shared" si="99"/>
        <v>2146033862979050</v>
      </c>
      <c r="J530" s="1">
        <f t="shared" si="100"/>
        <v>1</v>
      </c>
      <c r="K530" s="1">
        <f t="shared" si="101"/>
        <v>2146033862979050</v>
      </c>
      <c r="L530" s="1">
        <f t="shared" si="102"/>
        <v>775433569156430</v>
      </c>
      <c r="M530" s="3">
        <f t="shared" si="103"/>
        <v>5092969.5245787194</v>
      </c>
      <c r="N530" s="7">
        <f t="shared" si="108"/>
        <v>775433569156430</v>
      </c>
      <c r="O530" s="7">
        <f t="shared" si="104"/>
        <v>5092969</v>
      </c>
      <c r="P530" s="3">
        <f>SUM($O$4:O530)</f>
        <v>302896890</v>
      </c>
      <c r="Y530" s="3">
        <f t="shared" si="105"/>
        <v>527</v>
      </c>
      <c r="Z530" s="3">
        <f t="shared" si="106"/>
        <v>77369755615026</v>
      </c>
      <c r="AB530" s="7">
        <f t="shared" si="107"/>
        <v>13040</v>
      </c>
    </row>
    <row r="531" spans="6:28" x14ac:dyDescent="0.15">
      <c r="F531">
        <f t="shared" si="97"/>
        <v>76</v>
      </c>
      <c r="G531">
        <v>528</v>
      </c>
      <c r="H531">
        <f t="shared" si="98"/>
        <v>2146033862979046.5</v>
      </c>
      <c r="I531">
        <f t="shared" si="99"/>
        <v>2146033862979050</v>
      </c>
      <c r="J531" s="1">
        <f t="shared" si="100"/>
        <v>1</v>
      </c>
      <c r="K531" s="1">
        <f t="shared" si="101"/>
        <v>2146033862979050</v>
      </c>
      <c r="L531" s="1">
        <f t="shared" si="102"/>
        <v>775433569156430</v>
      </c>
      <c r="M531" s="3">
        <f t="shared" si="103"/>
        <v>5092969.5245787194</v>
      </c>
      <c r="N531" s="7">
        <f t="shared" si="108"/>
        <v>775433569156430</v>
      </c>
      <c r="O531" s="7">
        <f t="shared" si="104"/>
        <v>5092969</v>
      </c>
      <c r="P531" s="3">
        <f>SUM($O$4:O531)</f>
        <v>307989859</v>
      </c>
      <c r="Y531" s="3">
        <f t="shared" si="105"/>
        <v>528</v>
      </c>
      <c r="Z531" s="3">
        <f t="shared" si="106"/>
        <v>81392395660286</v>
      </c>
      <c r="AB531" s="7">
        <f t="shared" si="107"/>
        <v>13040</v>
      </c>
    </row>
    <row r="532" spans="6:28" x14ac:dyDescent="0.15">
      <c r="F532">
        <f t="shared" si="97"/>
        <v>76</v>
      </c>
      <c r="G532">
        <v>529</v>
      </c>
      <c r="H532">
        <f t="shared" si="98"/>
        <v>2146033862979046.5</v>
      </c>
      <c r="I532">
        <f t="shared" si="99"/>
        <v>2146033862979050</v>
      </c>
      <c r="J532" s="1">
        <f t="shared" si="100"/>
        <v>1</v>
      </c>
      <c r="K532" s="1">
        <f t="shared" si="101"/>
        <v>2146033862979050</v>
      </c>
      <c r="L532" s="1">
        <f t="shared" si="102"/>
        <v>775433569156430</v>
      </c>
      <c r="M532" s="3">
        <f t="shared" si="103"/>
        <v>5092969.5245787194</v>
      </c>
      <c r="N532" s="7">
        <f t="shared" si="108"/>
        <v>775433569156430</v>
      </c>
      <c r="O532" s="7">
        <f t="shared" si="104"/>
        <v>5092969</v>
      </c>
      <c r="P532" s="3">
        <f>SUM($O$4:O532)</f>
        <v>313082828</v>
      </c>
      <c r="Y532" s="3">
        <f t="shared" si="105"/>
        <v>529</v>
      </c>
      <c r="Z532" s="3">
        <f t="shared" si="106"/>
        <v>85623875321033</v>
      </c>
      <c r="AB532" s="7">
        <f t="shared" si="107"/>
        <v>13040</v>
      </c>
    </row>
    <row r="533" spans="6:28" x14ac:dyDescent="0.15">
      <c r="F533">
        <f t="shared" si="97"/>
        <v>76</v>
      </c>
      <c r="G533">
        <v>530</v>
      </c>
      <c r="H533">
        <f t="shared" si="98"/>
        <v>2146033862979046.5</v>
      </c>
      <c r="I533">
        <f t="shared" si="99"/>
        <v>2146033862979050</v>
      </c>
      <c r="J533" s="1">
        <f t="shared" si="100"/>
        <v>1</v>
      </c>
      <c r="K533" s="1">
        <f t="shared" si="101"/>
        <v>2146033862979050</v>
      </c>
      <c r="L533" s="1">
        <f t="shared" si="102"/>
        <v>775433569156430</v>
      </c>
      <c r="M533" s="3">
        <f t="shared" si="103"/>
        <v>5092969.5245787194</v>
      </c>
      <c r="N533" s="7">
        <f t="shared" si="108"/>
        <v>775433569156430</v>
      </c>
      <c r="O533" s="7">
        <f t="shared" si="104"/>
        <v>5092969</v>
      </c>
      <c r="P533" s="3">
        <f>SUM($O$4:O533)</f>
        <v>318175797</v>
      </c>
      <c r="Y533" s="3">
        <f t="shared" si="105"/>
        <v>530</v>
      </c>
      <c r="Z533" s="3">
        <f t="shared" si="106"/>
        <v>90075021958705</v>
      </c>
      <c r="AB533" s="7">
        <f t="shared" si="107"/>
        <v>13040</v>
      </c>
    </row>
    <row r="534" spans="6:28" x14ac:dyDescent="0.15">
      <c r="F534">
        <f t="shared" si="97"/>
        <v>76</v>
      </c>
      <c r="G534">
        <v>531</v>
      </c>
      <c r="H534">
        <f t="shared" si="98"/>
        <v>2146033862979046.5</v>
      </c>
      <c r="I534">
        <f t="shared" si="99"/>
        <v>2146033862979050</v>
      </c>
      <c r="J534" s="1">
        <f t="shared" si="100"/>
        <v>1</v>
      </c>
      <c r="K534" s="1">
        <f t="shared" si="101"/>
        <v>2146033862979050</v>
      </c>
      <c r="L534" s="1">
        <f t="shared" si="102"/>
        <v>775433569156430</v>
      </c>
      <c r="M534" s="3">
        <f t="shared" si="103"/>
        <v>5092969.5245787194</v>
      </c>
      <c r="N534" s="7">
        <f t="shared" si="108"/>
        <v>775433569156430</v>
      </c>
      <c r="O534" s="7">
        <f t="shared" si="104"/>
        <v>5092969</v>
      </c>
      <c r="P534" s="3">
        <f>SUM($O$4:O534)</f>
        <v>323268766</v>
      </c>
      <c r="Y534" s="3">
        <f t="shared" si="105"/>
        <v>531</v>
      </c>
      <c r="Z534" s="3">
        <f t="shared" si="106"/>
        <v>94757223571842</v>
      </c>
      <c r="AB534" s="7">
        <f t="shared" si="107"/>
        <v>13040</v>
      </c>
    </row>
    <row r="535" spans="6:28" x14ac:dyDescent="0.15">
      <c r="F535">
        <f t="shared" si="97"/>
        <v>76</v>
      </c>
      <c r="G535">
        <v>532</v>
      </c>
      <c r="H535">
        <f t="shared" si="98"/>
        <v>2146033862979046.5</v>
      </c>
      <c r="I535">
        <f t="shared" si="99"/>
        <v>2146033862979050</v>
      </c>
      <c r="J535" s="1">
        <f t="shared" si="100"/>
        <v>2</v>
      </c>
      <c r="K535" s="1">
        <f t="shared" si="101"/>
        <v>4292067725958100</v>
      </c>
      <c r="L535" s="1">
        <f t="shared" si="102"/>
        <v>1550867138312860</v>
      </c>
      <c r="M535" s="3">
        <f t="shared" si="103"/>
        <v>10185939.049157439</v>
      </c>
      <c r="N535" s="7">
        <f t="shared" si="108"/>
        <v>1550867138312860</v>
      </c>
      <c r="O535" s="7">
        <f t="shared" si="104"/>
        <v>10185939</v>
      </c>
      <c r="P535" s="3">
        <f>SUM($O$4:O535)</f>
        <v>333454705</v>
      </c>
      <c r="Y535" s="3">
        <f t="shared" si="105"/>
        <v>532</v>
      </c>
      <c r="Z535" s="3">
        <f t="shared" si="106"/>
        <v>99682457791395</v>
      </c>
      <c r="AB535" s="7">
        <f t="shared" si="107"/>
        <v>13040</v>
      </c>
    </row>
    <row r="536" spans="6:28" x14ac:dyDescent="0.15">
      <c r="F536">
        <f t="shared" si="97"/>
        <v>77</v>
      </c>
      <c r="G536">
        <v>533</v>
      </c>
      <c r="H536">
        <f t="shared" si="98"/>
        <v>3369273164877102.5</v>
      </c>
      <c r="I536">
        <f t="shared" si="99"/>
        <v>3369273164877100</v>
      </c>
      <c r="J536" s="1">
        <f t="shared" si="100"/>
        <v>1</v>
      </c>
      <c r="K536" s="1">
        <f t="shared" si="101"/>
        <v>3369273164877100</v>
      </c>
      <c r="L536" s="1">
        <f t="shared" si="102"/>
        <v>1227538523070223.5</v>
      </c>
      <c r="M536" s="3">
        <f t="shared" si="103"/>
        <v>6201807.1486462578</v>
      </c>
      <c r="N536" s="7">
        <f t="shared" si="108"/>
        <v>1227538523070220</v>
      </c>
      <c r="O536" s="7">
        <f t="shared" si="104"/>
        <v>6201807</v>
      </c>
      <c r="P536" s="3">
        <f>SUM($O$4:O536)</f>
        <v>339656512</v>
      </c>
      <c r="Y536" s="3">
        <f t="shared" si="105"/>
        <v>533</v>
      </c>
      <c r="Z536" s="3">
        <f t="shared" si="106"/>
        <v>104863322373974</v>
      </c>
      <c r="AB536" s="7">
        <f t="shared" si="107"/>
        <v>13040</v>
      </c>
    </row>
    <row r="537" spans="6:28" x14ac:dyDescent="0.15">
      <c r="F537">
        <f t="shared" si="97"/>
        <v>77</v>
      </c>
      <c r="G537">
        <v>534</v>
      </c>
      <c r="H537">
        <f t="shared" si="98"/>
        <v>3369273164877102.5</v>
      </c>
      <c r="I537">
        <f t="shared" si="99"/>
        <v>3369273164877100</v>
      </c>
      <c r="J537" s="1">
        <f t="shared" si="100"/>
        <v>1</v>
      </c>
      <c r="K537" s="1">
        <f t="shared" si="101"/>
        <v>3369273164877100</v>
      </c>
      <c r="L537" s="1">
        <f t="shared" si="102"/>
        <v>1227538523070223.5</v>
      </c>
      <c r="M537" s="3">
        <f t="shared" si="103"/>
        <v>6201807.1486462578</v>
      </c>
      <c r="N537" s="7">
        <f t="shared" si="108"/>
        <v>1227538523070220</v>
      </c>
      <c r="O537" s="7">
        <f t="shared" si="104"/>
        <v>6201807</v>
      </c>
      <c r="P537" s="3">
        <f>SUM($O$4:O537)</f>
        <v>345858319</v>
      </c>
      <c r="Y537" s="3">
        <f t="shared" si="105"/>
        <v>534</v>
      </c>
      <c r="Z537" s="3">
        <f t="shared" si="106"/>
        <v>110313067270333</v>
      </c>
      <c r="AB537" s="7">
        <f t="shared" si="107"/>
        <v>13040</v>
      </c>
    </row>
    <row r="538" spans="6:28" x14ac:dyDescent="0.15">
      <c r="F538">
        <f t="shared" si="97"/>
        <v>77</v>
      </c>
      <c r="G538">
        <v>535</v>
      </c>
      <c r="H538">
        <f t="shared" si="98"/>
        <v>3369273164877102.5</v>
      </c>
      <c r="I538">
        <f t="shared" si="99"/>
        <v>3369273164877100</v>
      </c>
      <c r="J538" s="1">
        <f t="shared" si="100"/>
        <v>1</v>
      </c>
      <c r="K538" s="1">
        <f t="shared" si="101"/>
        <v>3369273164877100</v>
      </c>
      <c r="L538" s="1">
        <f t="shared" si="102"/>
        <v>1227538523070223.5</v>
      </c>
      <c r="M538" s="3">
        <f t="shared" si="103"/>
        <v>6201807.1486462578</v>
      </c>
      <c r="N538" s="7">
        <f t="shared" si="108"/>
        <v>1227538523070220</v>
      </c>
      <c r="O538" s="7">
        <f t="shared" si="104"/>
        <v>6201807</v>
      </c>
      <c r="P538" s="3">
        <f>SUM($O$4:O538)</f>
        <v>352060126</v>
      </c>
      <c r="Y538" s="3">
        <f t="shared" si="105"/>
        <v>535</v>
      </c>
      <c r="Z538" s="3">
        <f t="shared" si="106"/>
        <v>116045628350392</v>
      </c>
      <c r="AB538" s="7">
        <f t="shared" si="107"/>
        <v>13040</v>
      </c>
    </row>
    <row r="539" spans="6:28" x14ac:dyDescent="0.15">
      <c r="F539">
        <f t="shared" si="97"/>
        <v>77</v>
      </c>
      <c r="G539">
        <v>536</v>
      </c>
      <c r="H539">
        <f t="shared" si="98"/>
        <v>3369273164877102.5</v>
      </c>
      <c r="I539">
        <f t="shared" si="99"/>
        <v>3369273164877100</v>
      </c>
      <c r="J539" s="1">
        <f t="shared" si="100"/>
        <v>1</v>
      </c>
      <c r="K539" s="1">
        <f t="shared" si="101"/>
        <v>3369273164877100</v>
      </c>
      <c r="L539" s="1">
        <f t="shared" si="102"/>
        <v>1227538523070223.5</v>
      </c>
      <c r="M539" s="3">
        <f t="shared" si="103"/>
        <v>6201807.1486462578</v>
      </c>
      <c r="N539" s="7">
        <f t="shared" si="108"/>
        <v>1227538523070220</v>
      </c>
      <c r="O539" s="7">
        <f t="shared" si="104"/>
        <v>6201807</v>
      </c>
      <c r="P539" s="3">
        <f>SUM($O$4:O539)</f>
        <v>358261933</v>
      </c>
      <c r="Y539" s="3">
        <f t="shared" si="105"/>
        <v>536</v>
      </c>
      <c r="Z539" s="3">
        <f t="shared" si="106"/>
        <v>122075662870282</v>
      </c>
      <c r="AB539" s="7">
        <f t="shared" si="107"/>
        <v>13040</v>
      </c>
    </row>
    <row r="540" spans="6:28" x14ac:dyDescent="0.15">
      <c r="F540">
        <f t="shared" si="97"/>
        <v>77</v>
      </c>
      <c r="G540">
        <v>537</v>
      </c>
      <c r="H540">
        <f t="shared" si="98"/>
        <v>3369273164877102.5</v>
      </c>
      <c r="I540">
        <f t="shared" si="99"/>
        <v>3369273164877100</v>
      </c>
      <c r="J540" s="1">
        <f t="shared" si="100"/>
        <v>1</v>
      </c>
      <c r="K540" s="1">
        <f t="shared" si="101"/>
        <v>3369273164877100</v>
      </c>
      <c r="L540" s="1">
        <f t="shared" si="102"/>
        <v>1227538523070223.5</v>
      </c>
      <c r="M540" s="3">
        <f t="shared" si="103"/>
        <v>6201807.1486462578</v>
      </c>
      <c r="N540" s="7">
        <f t="shared" si="108"/>
        <v>1227538523070220</v>
      </c>
      <c r="O540" s="7">
        <f t="shared" si="104"/>
        <v>6201807</v>
      </c>
      <c r="P540" s="3">
        <f>SUM($O$4:O540)</f>
        <v>364463740</v>
      </c>
      <c r="Y540" s="3">
        <f t="shared" si="105"/>
        <v>537</v>
      </c>
      <c r="Z540" s="3">
        <f t="shared" si="106"/>
        <v>128418586771284</v>
      </c>
      <c r="AB540" s="7">
        <f t="shared" si="107"/>
        <v>13040</v>
      </c>
    </row>
    <row r="541" spans="6:28" x14ac:dyDescent="0.15">
      <c r="F541">
        <f t="shared" si="97"/>
        <v>77</v>
      </c>
      <c r="G541">
        <v>538</v>
      </c>
      <c r="H541">
        <f t="shared" si="98"/>
        <v>3369273164877102.5</v>
      </c>
      <c r="I541">
        <f t="shared" si="99"/>
        <v>3369273164877100</v>
      </c>
      <c r="J541" s="1">
        <f t="shared" si="100"/>
        <v>1</v>
      </c>
      <c r="K541" s="1">
        <f t="shared" si="101"/>
        <v>3369273164877100</v>
      </c>
      <c r="L541" s="1">
        <f t="shared" si="102"/>
        <v>1227538523070223.5</v>
      </c>
      <c r="M541" s="3">
        <f t="shared" si="103"/>
        <v>6201807.1486462578</v>
      </c>
      <c r="N541" s="7">
        <f t="shared" si="108"/>
        <v>1227538523070220</v>
      </c>
      <c r="O541" s="7">
        <f t="shared" si="104"/>
        <v>6201807</v>
      </c>
      <c r="P541" s="3">
        <f>SUM($O$4:O541)</f>
        <v>370665547</v>
      </c>
      <c r="Y541" s="3">
        <f t="shared" si="105"/>
        <v>538</v>
      </c>
      <c r="Z541" s="3">
        <f t="shared" si="106"/>
        <v>135090613905211</v>
      </c>
      <c r="AB541" s="7">
        <f t="shared" si="107"/>
        <v>13040</v>
      </c>
    </row>
    <row r="542" spans="6:28" x14ac:dyDescent="0.15">
      <c r="F542">
        <f t="shared" si="97"/>
        <v>77</v>
      </c>
      <c r="G542">
        <v>539</v>
      </c>
      <c r="H542">
        <f t="shared" si="98"/>
        <v>3369273164877102.5</v>
      </c>
      <c r="I542">
        <f t="shared" si="99"/>
        <v>3369273164877100</v>
      </c>
      <c r="J542" s="1">
        <f t="shared" si="100"/>
        <v>4</v>
      </c>
      <c r="K542" s="1">
        <f t="shared" si="101"/>
        <v>1.34770926595084E+16</v>
      </c>
      <c r="L542" s="1">
        <f t="shared" si="102"/>
        <v>4910154092280894</v>
      </c>
      <c r="M542" s="3">
        <f t="shared" si="103"/>
        <v>24807228.594585031</v>
      </c>
      <c r="N542" s="7">
        <f t="shared" si="108"/>
        <v>4910154092280890</v>
      </c>
      <c r="O542" s="7">
        <f t="shared" si="104"/>
        <v>24807228</v>
      </c>
      <c r="P542" s="3">
        <f>SUM($O$4:O542)</f>
        <v>395472775</v>
      </c>
      <c r="Y542" s="3">
        <f t="shared" si="105"/>
        <v>539</v>
      </c>
      <c r="Z542" s="3">
        <f t="shared" si="106"/>
        <v>142108797285603</v>
      </c>
      <c r="AB542" s="7">
        <f t="shared" si="107"/>
        <v>13040</v>
      </c>
    </row>
    <row r="543" spans="6:28" x14ac:dyDescent="0.15">
      <c r="F543">
        <f t="shared" si="97"/>
        <v>78</v>
      </c>
      <c r="G543">
        <v>540</v>
      </c>
      <c r="H543">
        <f t="shared" si="98"/>
        <v>5289758868857052</v>
      </c>
      <c r="I543">
        <f t="shared" si="99"/>
        <v>5289758868857050</v>
      </c>
      <c r="J543" s="1">
        <f t="shared" si="100"/>
        <v>1</v>
      </c>
      <c r="K543" s="1">
        <f t="shared" si="101"/>
        <v>5289758868857050</v>
      </c>
      <c r="L543" s="1">
        <f t="shared" si="102"/>
        <v>1943104757826823</v>
      </c>
      <c r="M543" s="3">
        <f t="shared" si="103"/>
        <v>7551548.0471242461</v>
      </c>
      <c r="N543" s="7">
        <f t="shared" si="108"/>
        <v>1943104757826820</v>
      </c>
      <c r="O543" s="7">
        <f t="shared" si="104"/>
        <v>7551548</v>
      </c>
      <c r="P543" s="3">
        <f>SUM($O$4:O543)</f>
        <v>403024323</v>
      </c>
      <c r="Y543" s="3">
        <f t="shared" si="105"/>
        <v>540</v>
      </c>
      <c r="Z543" s="3">
        <f t="shared" si="106"/>
        <v>149491072469270</v>
      </c>
      <c r="AB543" s="7">
        <f t="shared" si="107"/>
        <v>13040</v>
      </c>
    </row>
    <row r="544" spans="6:28" x14ac:dyDescent="0.15">
      <c r="F544">
        <f t="shared" si="97"/>
        <v>78</v>
      </c>
      <c r="G544">
        <v>541</v>
      </c>
      <c r="H544">
        <f t="shared" si="98"/>
        <v>5289758868857052</v>
      </c>
      <c r="I544">
        <f t="shared" si="99"/>
        <v>5289758868857050</v>
      </c>
      <c r="J544" s="1">
        <f t="shared" si="100"/>
        <v>1</v>
      </c>
      <c r="K544" s="1">
        <f t="shared" si="101"/>
        <v>5289758868857050</v>
      </c>
      <c r="L544" s="1">
        <f t="shared" si="102"/>
        <v>1943104757826823</v>
      </c>
      <c r="M544" s="3">
        <f t="shared" si="103"/>
        <v>7551548.0471242461</v>
      </c>
      <c r="N544" s="7">
        <f t="shared" si="108"/>
        <v>1943104757826820</v>
      </c>
      <c r="O544" s="7">
        <f t="shared" si="104"/>
        <v>7551548</v>
      </c>
      <c r="P544" s="3">
        <f>SUM($O$4:O544)</f>
        <v>410575871</v>
      </c>
      <c r="Y544" s="3">
        <f t="shared" si="105"/>
        <v>541</v>
      </c>
      <c r="Z544" s="3">
        <f t="shared" si="106"/>
        <v>157256303178091</v>
      </c>
      <c r="AB544" s="7">
        <f t="shared" si="107"/>
        <v>13040</v>
      </c>
    </row>
    <row r="545" spans="6:28" x14ac:dyDescent="0.15">
      <c r="F545">
        <f t="shared" si="97"/>
        <v>78</v>
      </c>
      <c r="G545">
        <v>542</v>
      </c>
      <c r="H545">
        <f t="shared" si="98"/>
        <v>5289758868857052</v>
      </c>
      <c r="I545">
        <f t="shared" si="99"/>
        <v>5289758868857050</v>
      </c>
      <c r="J545" s="1">
        <f t="shared" si="100"/>
        <v>1</v>
      </c>
      <c r="K545" s="1">
        <f t="shared" si="101"/>
        <v>5289758868857050</v>
      </c>
      <c r="L545" s="1">
        <f t="shared" si="102"/>
        <v>1943104757826823</v>
      </c>
      <c r="M545" s="3">
        <f t="shared" si="103"/>
        <v>7551548.0471242461</v>
      </c>
      <c r="N545" s="7">
        <f t="shared" si="108"/>
        <v>1943104757826820</v>
      </c>
      <c r="O545" s="7">
        <f t="shared" si="104"/>
        <v>7551548</v>
      </c>
      <c r="P545" s="3">
        <f>SUM($O$4:O545)</f>
        <v>418127419</v>
      </c>
      <c r="Y545" s="3">
        <f t="shared" si="105"/>
        <v>542</v>
      </c>
      <c r="Z545" s="3">
        <f t="shared" si="106"/>
        <v>165424329276620</v>
      </c>
      <c r="AB545" s="7">
        <f t="shared" si="107"/>
        <v>13040</v>
      </c>
    </row>
    <row r="546" spans="6:28" x14ac:dyDescent="0.15">
      <c r="F546">
        <f t="shared" si="97"/>
        <v>78</v>
      </c>
      <c r="G546">
        <v>543</v>
      </c>
      <c r="H546">
        <f t="shared" si="98"/>
        <v>5289758868857052</v>
      </c>
      <c r="I546">
        <f t="shared" si="99"/>
        <v>5289758868857050</v>
      </c>
      <c r="J546" s="1">
        <f t="shared" si="100"/>
        <v>1</v>
      </c>
      <c r="K546" s="1">
        <f t="shared" si="101"/>
        <v>5289758868857050</v>
      </c>
      <c r="L546" s="1">
        <f t="shared" si="102"/>
        <v>1943104757826823</v>
      </c>
      <c r="M546" s="3">
        <f t="shared" si="103"/>
        <v>7551548.0471242461</v>
      </c>
      <c r="N546" s="7">
        <f t="shared" si="108"/>
        <v>1943104757826820</v>
      </c>
      <c r="O546" s="7">
        <f t="shared" si="104"/>
        <v>7551548</v>
      </c>
      <c r="P546" s="3">
        <f>SUM($O$4:O546)</f>
        <v>425678967</v>
      </c>
      <c r="Y546" s="3">
        <f t="shared" si="105"/>
        <v>543</v>
      </c>
      <c r="Z546" s="3">
        <f t="shared" si="106"/>
        <v>174016017227057</v>
      </c>
      <c r="AB546" s="7">
        <f t="shared" si="107"/>
        <v>13040</v>
      </c>
    </row>
    <row r="547" spans="6:28" x14ac:dyDescent="0.15">
      <c r="F547">
        <f t="shared" si="97"/>
        <v>78</v>
      </c>
      <c r="G547">
        <v>544</v>
      </c>
      <c r="H547">
        <f t="shared" si="98"/>
        <v>5289758868857052</v>
      </c>
      <c r="I547">
        <f t="shared" si="99"/>
        <v>5289758868857050</v>
      </c>
      <c r="J547" s="1">
        <f t="shared" si="100"/>
        <v>1</v>
      </c>
      <c r="K547" s="1">
        <f t="shared" si="101"/>
        <v>5289758868857050</v>
      </c>
      <c r="L547" s="1">
        <f t="shared" si="102"/>
        <v>1943104757826823</v>
      </c>
      <c r="M547" s="3">
        <f t="shared" si="103"/>
        <v>7551548.0471242461</v>
      </c>
      <c r="N547" s="7">
        <f t="shared" si="108"/>
        <v>1943104757826820</v>
      </c>
      <c r="O547" s="7">
        <f t="shared" si="104"/>
        <v>7551548</v>
      </c>
      <c r="P547" s="3">
        <f>SUM($O$4:O547)</f>
        <v>433230515</v>
      </c>
      <c r="Y547" s="3">
        <f t="shared" si="105"/>
        <v>544</v>
      </c>
      <c r="Z547" s="3">
        <f t="shared" si="106"/>
        <v>183053313149346</v>
      </c>
      <c r="AB547" s="7">
        <f t="shared" si="107"/>
        <v>13040</v>
      </c>
    </row>
    <row r="548" spans="6:28" x14ac:dyDescent="0.15">
      <c r="F548">
        <f t="shared" si="97"/>
        <v>78</v>
      </c>
      <c r="G548">
        <v>545</v>
      </c>
      <c r="H548">
        <f t="shared" si="98"/>
        <v>5289758868857052</v>
      </c>
      <c r="I548">
        <f t="shared" si="99"/>
        <v>5289758868857050</v>
      </c>
      <c r="J548" s="1">
        <f t="shared" si="100"/>
        <v>1</v>
      </c>
      <c r="K548" s="1">
        <f t="shared" si="101"/>
        <v>5289758868857050</v>
      </c>
      <c r="L548" s="1">
        <f t="shared" si="102"/>
        <v>1943104757826823</v>
      </c>
      <c r="M548" s="3">
        <f t="shared" si="103"/>
        <v>7551548.0471242461</v>
      </c>
      <c r="N548" s="7">
        <f t="shared" si="108"/>
        <v>1943104757826820</v>
      </c>
      <c r="O548" s="7">
        <f t="shared" si="104"/>
        <v>7551548</v>
      </c>
      <c r="P548" s="3">
        <f>SUM($O$4:O548)</f>
        <v>440782063</v>
      </c>
      <c r="Y548" s="3">
        <f t="shared" si="105"/>
        <v>545</v>
      </c>
      <c r="Z548" s="3">
        <f t="shared" si="106"/>
        <v>192559298620797</v>
      </c>
      <c r="AB548" s="7">
        <f t="shared" si="107"/>
        <v>13040</v>
      </c>
    </row>
    <row r="549" spans="6:28" x14ac:dyDescent="0.15">
      <c r="F549">
        <f t="shared" si="97"/>
        <v>78</v>
      </c>
      <c r="G549">
        <v>546</v>
      </c>
      <c r="H549">
        <f t="shared" si="98"/>
        <v>5289758868857052</v>
      </c>
      <c r="I549">
        <f t="shared" si="99"/>
        <v>5289758868857050</v>
      </c>
      <c r="J549" s="1">
        <f t="shared" si="100"/>
        <v>6</v>
      </c>
      <c r="K549" s="1">
        <f t="shared" si="101"/>
        <v>3.17385532131423E+16</v>
      </c>
      <c r="L549" s="1">
        <f t="shared" si="102"/>
        <v>1.1658628546960938E+16</v>
      </c>
      <c r="M549" s="3">
        <f t="shared" si="103"/>
        <v>45309288.282745481</v>
      </c>
      <c r="N549" s="7">
        <f t="shared" si="108"/>
        <v>1.16586285469609E+16</v>
      </c>
      <c r="O549" s="7">
        <f t="shared" si="104"/>
        <v>45309288</v>
      </c>
      <c r="P549" s="3">
        <f>SUM($O$4:O549)</f>
        <v>486091351</v>
      </c>
      <c r="Y549" s="3">
        <f t="shared" si="105"/>
        <v>546</v>
      </c>
      <c r="Z549" s="3">
        <f t="shared" si="106"/>
        <v>202558249356519</v>
      </c>
      <c r="AB549" s="7">
        <f t="shared" si="107"/>
        <v>13040</v>
      </c>
    </row>
    <row r="550" spans="6:28" x14ac:dyDescent="0.15">
      <c r="F550">
        <f t="shared" si="97"/>
        <v>79</v>
      </c>
      <c r="G550">
        <v>547</v>
      </c>
      <c r="H550">
        <f t="shared" si="98"/>
        <v>8304921424105572</v>
      </c>
      <c r="I550">
        <f t="shared" si="99"/>
        <v>8304921424105570</v>
      </c>
      <c r="J550" s="1">
        <f t="shared" si="100"/>
        <v>1</v>
      </c>
      <c r="K550" s="1">
        <f t="shared" si="101"/>
        <v>8304921424105570</v>
      </c>
      <c r="L550" s="1">
        <f t="shared" si="102"/>
        <v>3075589234060429.5</v>
      </c>
      <c r="M550" s="3">
        <f t="shared" si="103"/>
        <v>9194428.8092680499</v>
      </c>
      <c r="N550" s="7">
        <f t="shared" si="108"/>
        <v>3075589234060430</v>
      </c>
      <c r="O550" s="7">
        <f t="shared" si="104"/>
        <v>9194428</v>
      </c>
      <c r="P550" s="3">
        <f>SUM($O$4:O550)</f>
        <v>495285779</v>
      </c>
      <c r="Y550" s="3">
        <f t="shared" si="105"/>
        <v>547</v>
      </c>
      <c r="Z550" s="3">
        <f t="shared" si="106"/>
        <v>213075696919261</v>
      </c>
      <c r="AB550" s="7">
        <f t="shared" si="107"/>
        <v>13040</v>
      </c>
    </row>
    <row r="551" spans="6:28" x14ac:dyDescent="0.15">
      <c r="F551">
        <f t="shared" si="97"/>
        <v>79</v>
      </c>
      <c r="G551">
        <v>548</v>
      </c>
      <c r="H551">
        <f t="shared" si="98"/>
        <v>8304921424105572</v>
      </c>
      <c r="I551">
        <f t="shared" si="99"/>
        <v>8304921424105570</v>
      </c>
      <c r="J551" s="1">
        <f t="shared" si="100"/>
        <v>1</v>
      </c>
      <c r="K551" s="1">
        <f t="shared" si="101"/>
        <v>8304921424105570</v>
      </c>
      <c r="L551" s="1">
        <f t="shared" si="102"/>
        <v>3075589234060429.5</v>
      </c>
      <c r="M551" s="3">
        <f t="shared" si="103"/>
        <v>9194428.8092680499</v>
      </c>
      <c r="N551" s="7">
        <f t="shared" si="108"/>
        <v>3075589234060430</v>
      </c>
      <c r="O551" s="7">
        <f t="shared" si="104"/>
        <v>9194428</v>
      </c>
      <c r="P551" s="3">
        <f>SUM($O$4:O551)</f>
        <v>504480207</v>
      </c>
      <c r="Y551" s="3">
        <f t="shared" si="105"/>
        <v>548</v>
      </c>
      <c r="Z551" s="3">
        <f t="shared" si="106"/>
        <v>224138493614886</v>
      </c>
      <c r="AB551" s="7">
        <f t="shared" si="107"/>
        <v>13040</v>
      </c>
    </row>
    <row r="552" spans="6:28" x14ac:dyDescent="0.15">
      <c r="F552">
        <f t="shared" si="97"/>
        <v>79</v>
      </c>
      <c r="G552">
        <v>549</v>
      </c>
      <c r="H552">
        <f t="shared" si="98"/>
        <v>8304921424105572</v>
      </c>
      <c r="I552">
        <f t="shared" si="99"/>
        <v>8304921424105570</v>
      </c>
      <c r="J552" s="1">
        <f t="shared" si="100"/>
        <v>1</v>
      </c>
      <c r="K552" s="1">
        <f t="shared" si="101"/>
        <v>8304921424105570</v>
      </c>
      <c r="L552" s="1">
        <f t="shared" si="102"/>
        <v>3075589234060429.5</v>
      </c>
      <c r="M552" s="3">
        <f t="shared" si="103"/>
        <v>9194428.8092680499</v>
      </c>
      <c r="N552" s="7">
        <f t="shared" si="108"/>
        <v>3075589234060430</v>
      </c>
      <c r="O552" s="7">
        <f t="shared" si="104"/>
        <v>9194428</v>
      </c>
      <c r="P552" s="3">
        <f>SUM($O$4:O552)</f>
        <v>513674635</v>
      </c>
      <c r="Y552" s="3">
        <f t="shared" si="105"/>
        <v>549</v>
      </c>
      <c r="Z552" s="3">
        <f t="shared" si="106"/>
        <v>235774880737776</v>
      </c>
      <c r="AB552" s="7">
        <f t="shared" si="107"/>
        <v>13040</v>
      </c>
    </row>
    <row r="553" spans="6:28" x14ac:dyDescent="0.15">
      <c r="F553">
        <f t="shared" si="97"/>
        <v>79</v>
      </c>
      <c r="G553">
        <v>550</v>
      </c>
      <c r="H553">
        <f t="shared" si="98"/>
        <v>8304921424105572</v>
      </c>
      <c r="I553">
        <f t="shared" si="99"/>
        <v>8304921424105570</v>
      </c>
      <c r="J553" s="1">
        <f t="shared" si="100"/>
        <v>1</v>
      </c>
      <c r="K553" s="1">
        <f t="shared" si="101"/>
        <v>8304921424105570</v>
      </c>
      <c r="L553" s="1">
        <f t="shared" si="102"/>
        <v>3075589234060429.5</v>
      </c>
      <c r="M553" s="3">
        <f t="shared" si="103"/>
        <v>9194428.8092680499</v>
      </c>
      <c r="N553" s="7">
        <f t="shared" si="108"/>
        <v>3075589234060430</v>
      </c>
      <c r="O553" s="7">
        <f t="shared" si="104"/>
        <v>9194428</v>
      </c>
      <c r="P553" s="3">
        <f>SUM($O$4:O553)</f>
        <v>522869063</v>
      </c>
      <c r="Y553" s="3">
        <f t="shared" si="105"/>
        <v>550</v>
      </c>
      <c r="Z553" s="3">
        <f t="shared" si="106"/>
        <v>248014560338917</v>
      </c>
      <c r="AB553" s="7">
        <f t="shared" si="107"/>
        <v>13040</v>
      </c>
    </row>
    <row r="554" spans="6:28" x14ac:dyDescent="0.15">
      <c r="F554">
        <f t="shared" si="97"/>
        <v>79</v>
      </c>
      <c r="G554">
        <v>551</v>
      </c>
      <c r="H554">
        <f t="shared" si="98"/>
        <v>8304921424105572</v>
      </c>
      <c r="I554">
        <f t="shared" si="99"/>
        <v>8304921424105570</v>
      </c>
      <c r="J554" s="1">
        <f t="shared" si="100"/>
        <v>1</v>
      </c>
      <c r="K554" s="1">
        <f t="shared" si="101"/>
        <v>8304921424105570</v>
      </c>
      <c r="L554" s="1">
        <f t="shared" si="102"/>
        <v>3075589234060429.5</v>
      </c>
      <c r="M554" s="3">
        <f t="shared" si="103"/>
        <v>9194428.8092680499</v>
      </c>
      <c r="N554" s="7">
        <f t="shared" si="108"/>
        <v>3075589234060430</v>
      </c>
      <c r="O554" s="7">
        <f t="shared" si="104"/>
        <v>9194428</v>
      </c>
      <c r="P554" s="3">
        <f>SUM($O$4:O554)</f>
        <v>532063491</v>
      </c>
      <c r="Y554" s="3">
        <f t="shared" si="105"/>
        <v>551</v>
      </c>
      <c r="Z554" s="3">
        <f t="shared" si="106"/>
        <v>260888770698328</v>
      </c>
      <c r="AB554" s="7">
        <f t="shared" si="107"/>
        <v>13040</v>
      </c>
    </row>
    <row r="555" spans="6:28" x14ac:dyDescent="0.15">
      <c r="F555">
        <f t="shared" si="97"/>
        <v>79</v>
      </c>
      <c r="G555">
        <v>552</v>
      </c>
      <c r="H555">
        <f t="shared" si="98"/>
        <v>8304921424105572</v>
      </c>
      <c r="I555">
        <f t="shared" si="99"/>
        <v>8304921424105570</v>
      </c>
      <c r="J555" s="1">
        <f t="shared" si="100"/>
        <v>1</v>
      </c>
      <c r="K555" s="1">
        <f t="shared" si="101"/>
        <v>8304921424105570</v>
      </c>
      <c r="L555" s="1">
        <f t="shared" si="102"/>
        <v>3075589234060429.5</v>
      </c>
      <c r="M555" s="3">
        <f t="shared" si="103"/>
        <v>9194428.8092680499</v>
      </c>
      <c r="N555" s="7">
        <f t="shared" si="108"/>
        <v>3075589234060430</v>
      </c>
      <c r="O555" s="7">
        <f t="shared" si="104"/>
        <v>9194428</v>
      </c>
      <c r="P555" s="3">
        <f>SUM($O$4:O555)</f>
        <v>541257919</v>
      </c>
      <c r="Y555" s="3">
        <f t="shared" si="105"/>
        <v>552</v>
      </c>
      <c r="Z555" s="3">
        <f t="shared" si="106"/>
        <v>274430365692833</v>
      </c>
      <c r="AB555" s="7">
        <f t="shared" si="107"/>
        <v>13040</v>
      </c>
    </row>
    <row r="556" spans="6:28" x14ac:dyDescent="0.15">
      <c r="F556">
        <f t="shared" si="97"/>
        <v>79</v>
      </c>
      <c r="G556">
        <v>553</v>
      </c>
      <c r="H556">
        <f t="shared" si="98"/>
        <v>8304921424105572</v>
      </c>
      <c r="I556">
        <f t="shared" si="99"/>
        <v>8304921424105570</v>
      </c>
      <c r="J556" s="1">
        <f t="shared" si="100"/>
        <v>7</v>
      </c>
      <c r="K556" s="1">
        <f t="shared" si="101"/>
        <v>5.8134449968738992E+16</v>
      </c>
      <c r="L556" s="1">
        <f t="shared" si="102"/>
        <v>2.1529124638423008E+16</v>
      </c>
      <c r="M556" s="3">
        <f t="shared" si="103"/>
        <v>64361001.664876364</v>
      </c>
      <c r="N556" s="7">
        <f t="shared" si="108"/>
        <v>2.1529124638423E+16</v>
      </c>
      <c r="O556" s="7">
        <f t="shared" si="104"/>
        <v>64361001</v>
      </c>
      <c r="P556" s="3">
        <f>SUM($O$4:O556)</f>
        <v>605618920</v>
      </c>
      <c r="Y556" s="3">
        <f t="shared" si="105"/>
        <v>553</v>
      </c>
      <c r="Z556" s="3">
        <f t="shared" si="106"/>
        <v>288673898260043</v>
      </c>
      <c r="AB556" s="7">
        <f t="shared" si="107"/>
        <v>13040</v>
      </c>
    </row>
    <row r="557" spans="6:28" x14ac:dyDescent="0.15">
      <c r="F557">
        <f t="shared" si="97"/>
        <v>80</v>
      </c>
      <c r="G557">
        <v>554</v>
      </c>
      <c r="H557">
        <f t="shared" si="98"/>
        <v>1.3038726635845744E+16</v>
      </c>
      <c r="I557">
        <f t="shared" si="99"/>
        <v>1.30387266358457E+16</v>
      </c>
      <c r="J557" s="1">
        <f t="shared" si="100"/>
        <v>1</v>
      </c>
      <c r="K557" s="1">
        <f t="shared" si="101"/>
        <v>1.30387266358457E+16</v>
      </c>
      <c r="L557" s="1">
        <f t="shared" si="102"/>
        <v>4867791277382394</v>
      </c>
      <c r="M557" s="3">
        <f t="shared" si="103"/>
        <v>11193992.673417492</v>
      </c>
      <c r="N557" s="7">
        <f t="shared" si="108"/>
        <v>4867791277382390</v>
      </c>
      <c r="O557" s="7">
        <f t="shared" si="104"/>
        <v>11193992</v>
      </c>
      <c r="P557" s="3">
        <f>SUM($O$4:O557)</f>
        <v>616812912</v>
      </c>
      <c r="Y557" s="3">
        <f t="shared" si="105"/>
        <v>554</v>
      </c>
      <c r="Z557" s="3">
        <f t="shared" si="106"/>
        <v>303655708169741</v>
      </c>
      <c r="AB557" s="7">
        <f t="shared" si="107"/>
        <v>13040</v>
      </c>
    </row>
    <row r="558" spans="6:28" x14ac:dyDescent="0.15">
      <c r="F558">
        <f t="shared" si="97"/>
        <v>80</v>
      </c>
      <c r="G558">
        <v>555</v>
      </c>
      <c r="H558">
        <f t="shared" si="98"/>
        <v>1.3038726635845744E+16</v>
      </c>
      <c r="I558">
        <f t="shared" si="99"/>
        <v>1.30387266358457E+16</v>
      </c>
      <c r="J558" s="1">
        <f t="shared" si="100"/>
        <v>1</v>
      </c>
      <c r="K558" s="1">
        <f t="shared" si="101"/>
        <v>1.30387266358457E+16</v>
      </c>
      <c r="L558" s="1">
        <f t="shared" si="102"/>
        <v>4867791277382394</v>
      </c>
      <c r="M558" s="3">
        <f t="shared" si="103"/>
        <v>11193992.673417492</v>
      </c>
      <c r="N558" s="7">
        <f t="shared" si="108"/>
        <v>4867791277382390</v>
      </c>
      <c r="O558" s="7">
        <f t="shared" si="104"/>
        <v>11193992</v>
      </c>
      <c r="P558" s="3">
        <f>SUM($O$4:O558)</f>
        <v>628006904</v>
      </c>
      <c r="Y558" s="3">
        <f t="shared" si="105"/>
        <v>555</v>
      </c>
      <c r="Z558" s="3">
        <f t="shared" si="106"/>
        <v>319414014324759</v>
      </c>
      <c r="AB558" s="7">
        <f t="shared" si="107"/>
        <v>13040</v>
      </c>
    </row>
    <row r="559" spans="6:28" x14ac:dyDescent="0.15">
      <c r="F559">
        <f t="shared" si="97"/>
        <v>80</v>
      </c>
      <c r="G559">
        <v>556</v>
      </c>
      <c r="H559">
        <f t="shared" si="98"/>
        <v>1.3038726635845744E+16</v>
      </c>
      <c r="I559">
        <f t="shared" si="99"/>
        <v>1.30387266358457E+16</v>
      </c>
      <c r="J559" s="1">
        <f t="shared" si="100"/>
        <v>1</v>
      </c>
      <c r="K559" s="1">
        <f t="shared" si="101"/>
        <v>1.30387266358457E+16</v>
      </c>
      <c r="L559" s="1">
        <f t="shared" si="102"/>
        <v>4867791277382394</v>
      </c>
      <c r="M559" s="3">
        <f t="shared" si="103"/>
        <v>11193992.673417492</v>
      </c>
      <c r="N559" s="7">
        <f t="shared" si="108"/>
        <v>4867791277382390</v>
      </c>
      <c r="O559" s="7">
        <f t="shared" si="104"/>
        <v>11193992</v>
      </c>
      <c r="P559" s="3">
        <f>SUM($O$4:O559)</f>
        <v>639200896</v>
      </c>
      <c r="Y559" s="3">
        <f t="shared" si="105"/>
        <v>556</v>
      </c>
      <c r="Z559" s="3">
        <f t="shared" si="106"/>
        <v>335989011824855</v>
      </c>
      <c r="AB559" s="7">
        <f t="shared" si="107"/>
        <v>13040</v>
      </c>
    </row>
    <row r="560" spans="6:28" x14ac:dyDescent="0.15">
      <c r="F560">
        <f t="shared" si="97"/>
        <v>80</v>
      </c>
      <c r="G560">
        <v>557</v>
      </c>
      <c r="H560">
        <f t="shared" si="98"/>
        <v>1.3038726635845744E+16</v>
      </c>
      <c r="I560">
        <f t="shared" si="99"/>
        <v>1.30387266358457E+16</v>
      </c>
      <c r="J560" s="1">
        <f t="shared" si="100"/>
        <v>1</v>
      </c>
      <c r="K560" s="1">
        <f t="shared" si="101"/>
        <v>1.30387266358457E+16</v>
      </c>
      <c r="L560" s="1">
        <f t="shared" si="102"/>
        <v>4867791277382394</v>
      </c>
      <c r="M560" s="3">
        <f t="shared" si="103"/>
        <v>11193992.673417492</v>
      </c>
      <c r="N560" s="7">
        <f t="shared" si="108"/>
        <v>4867791277382390</v>
      </c>
      <c r="O560" s="7">
        <f t="shared" si="104"/>
        <v>11193992</v>
      </c>
      <c r="P560" s="3">
        <f>SUM($O$4:O560)</f>
        <v>650394888</v>
      </c>
      <c r="Y560" s="3">
        <f t="shared" si="105"/>
        <v>557</v>
      </c>
      <c r="Z560" s="3">
        <f t="shared" si="106"/>
        <v>353422974039148</v>
      </c>
      <c r="AB560" s="7">
        <f t="shared" si="107"/>
        <v>13040</v>
      </c>
    </row>
    <row r="561" spans="6:28" x14ac:dyDescent="0.15">
      <c r="F561">
        <f t="shared" si="97"/>
        <v>80</v>
      </c>
      <c r="G561">
        <v>558</v>
      </c>
      <c r="H561">
        <f t="shared" si="98"/>
        <v>1.3038726635845744E+16</v>
      </c>
      <c r="I561">
        <f t="shared" si="99"/>
        <v>1.30387266358457E+16</v>
      </c>
      <c r="J561" s="1">
        <f t="shared" si="100"/>
        <v>1</v>
      </c>
      <c r="K561" s="1">
        <f t="shared" si="101"/>
        <v>1.30387266358457E+16</v>
      </c>
      <c r="L561" s="1">
        <f t="shared" si="102"/>
        <v>4867791277382394</v>
      </c>
      <c r="M561" s="3">
        <f t="shared" si="103"/>
        <v>11193992.673417492</v>
      </c>
      <c r="N561" s="7">
        <f t="shared" si="108"/>
        <v>4867791277382390</v>
      </c>
      <c r="O561" s="7">
        <f t="shared" si="104"/>
        <v>11193992</v>
      </c>
      <c r="P561" s="3">
        <f>SUM($O$4:O561)</f>
        <v>661588880</v>
      </c>
      <c r="Y561" s="3">
        <f t="shared" si="105"/>
        <v>558</v>
      </c>
      <c r="Z561" s="3">
        <f t="shared" si="106"/>
        <v>371760359945309</v>
      </c>
      <c r="AB561" s="7">
        <f t="shared" si="107"/>
        <v>13040</v>
      </c>
    </row>
    <row r="562" spans="6:28" x14ac:dyDescent="0.15">
      <c r="F562">
        <f t="shared" si="97"/>
        <v>80</v>
      </c>
      <c r="G562">
        <v>559</v>
      </c>
      <c r="H562">
        <f t="shared" si="98"/>
        <v>1.3038726635845744E+16</v>
      </c>
      <c r="I562">
        <f t="shared" si="99"/>
        <v>1.30387266358457E+16</v>
      </c>
      <c r="J562" s="1">
        <f t="shared" si="100"/>
        <v>1</v>
      </c>
      <c r="K562" s="1">
        <f t="shared" si="101"/>
        <v>1.30387266358457E+16</v>
      </c>
      <c r="L562" s="1">
        <f t="shared" si="102"/>
        <v>4867791277382394</v>
      </c>
      <c r="M562" s="3">
        <f t="shared" si="103"/>
        <v>11193992.673417492</v>
      </c>
      <c r="N562" s="7">
        <f t="shared" si="108"/>
        <v>4867791277382390</v>
      </c>
      <c r="O562" s="7">
        <f t="shared" si="104"/>
        <v>11193992</v>
      </c>
      <c r="P562" s="3">
        <f>SUM($O$4:O562)</f>
        <v>672782872</v>
      </c>
      <c r="Y562" s="3">
        <f t="shared" si="105"/>
        <v>559</v>
      </c>
      <c r="Z562" s="3">
        <f t="shared" si="106"/>
        <v>391047927006988</v>
      </c>
      <c r="AB562" s="7">
        <f t="shared" si="107"/>
        <v>13040</v>
      </c>
    </row>
    <row r="563" spans="6:28" x14ac:dyDescent="0.15">
      <c r="F563">
        <f t="shared" si="97"/>
        <v>80</v>
      </c>
      <c r="G563">
        <v>560</v>
      </c>
      <c r="H563">
        <f t="shared" si="98"/>
        <v>1.3038726635845744E+16</v>
      </c>
      <c r="I563">
        <f t="shared" si="99"/>
        <v>1.30387266358457E+16</v>
      </c>
      <c r="J563" s="1">
        <f t="shared" si="100"/>
        <v>10</v>
      </c>
      <c r="K563" s="1">
        <f t="shared" si="101"/>
        <v>1.3038726635845699E+17</v>
      </c>
      <c r="L563" s="1">
        <f t="shared" si="102"/>
        <v>4.8677912773823944E+16</v>
      </c>
      <c r="M563" s="3">
        <f t="shared" si="103"/>
        <v>111939926.73417494</v>
      </c>
      <c r="N563" s="7">
        <f t="shared" si="108"/>
        <v>4.8677912773823904E+16</v>
      </c>
      <c r="O563" s="7">
        <f t="shared" si="104"/>
        <v>111939926</v>
      </c>
      <c r="P563" s="3">
        <f>SUM($O$4:O563)</f>
        <v>784722798</v>
      </c>
      <c r="Y563" s="3">
        <f t="shared" si="105"/>
        <v>560</v>
      </c>
      <c r="Z563" s="3">
        <f t="shared" si="106"/>
        <v>411334849874971</v>
      </c>
      <c r="AB563" s="7">
        <f t="shared" si="107"/>
        <v>13040</v>
      </c>
    </row>
    <row r="564" spans="6:28" x14ac:dyDescent="0.15">
      <c r="F564">
        <f t="shared" si="97"/>
        <v>81</v>
      </c>
      <c r="G564">
        <v>561</v>
      </c>
      <c r="H564">
        <f t="shared" si="98"/>
        <v>2.047080081827782E+16</v>
      </c>
      <c r="I564">
        <f t="shared" si="99"/>
        <v>2.04708008182778E+16</v>
      </c>
      <c r="J564" s="1">
        <f t="shared" si="100"/>
        <v>1</v>
      </c>
      <c r="K564" s="1">
        <f t="shared" si="101"/>
        <v>2.04708008182778E+16</v>
      </c>
      <c r="L564" s="1">
        <f t="shared" si="102"/>
        <v>7703844707945212</v>
      </c>
      <c r="M564" s="3">
        <f t="shared" si="103"/>
        <v>13627532.852618653</v>
      </c>
      <c r="N564" s="7">
        <f t="shared" si="108"/>
        <v>7703844707945210</v>
      </c>
      <c r="O564" s="7">
        <f t="shared" si="104"/>
        <v>13627532</v>
      </c>
      <c r="P564" s="3">
        <f>SUM($O$4:O564)</f>
        <v>798350330</v>
      </c>
      <c r="Y564" s="3">
        <f t="shared" si="105"/>
        <v>561</v>
      </c>
      <c r="Z564" s="3">
        <f t="shared" si="106"/>
        <v>432672845212235</v>
      </c>
      <c r="AB564" s="7">
        <f t="shared" si="107"/>
        <v>13040</v>
      </c>
    </row>
    <row r="565" spans="6:28" x14ac:dyDescent="0.15">
      <c r="F565">
        <f t="shared" si="97"/>
        <v>81</v>
      </c>
      <c r="G565">
        <v>562</v>
      </c>
      <c r="H565">
        <f t="shared" si="98"/>
        <v>2.047080081827782E+16</v>
      </c>
      <c r="I565">
        <f t="shared" si="99"/>
        <v>2.04708008182778E+16</v>
      </c>
      <c r="J565" s="1">
        <f t="shared" si="100"/>
        <v>1</v>
      </c>
      <c r="K565" s="1">
        <f t="shared" si="101"/>
        <v>2.04708008182778E+16</v>
      </c>
      <c r="L565" s="1">
        <f t="shared" si="102"/>
        <v>7703844707945212</v>
      </c>
      <c r="M565" s="3">
        <f t="shared" si="103"/>
        <v>13627532.852618653</v>
      </c>
      <c r="N565" s="7">
        <f t="shared" si="108"/>
        <v>7703844707945210</v>
      </c>
      <c r="O565" s="7">
        <f t="shared" si="104"/>
        <v>13627532</v>
      </c>
      <c r="P565" s="3">
        <f>SUM($O$4:O565)</f>
        <v>811977862</v>
      </c>
      <c r="Y565" s="3">
        <f t="shared" si="105"/>
        <v>562</v>
      </c>
      <c r="Z565" s="3">
        <f t="shared" si="106"/>
        <v>455116302958538</v>
      </c>
      <c r="AB565" s="7">
        <f t="shared" si="107"/>
        <v>13040</v>
      </c>
    </row>
    <row r="566" spans="6:28" x14ac:dyDescent="0.15">
      <c r="F566">
        <f t="shared" si="97"/>
        <v>81</v>
      </c>
      <c r="G566">
        <v>563</v>
      </c>
      <c r="H566">
        <f t="shared" si="98"/>
        <v>2.047080081827782E+16</v>
      </c>
      <c r="I566">
        <f t="shared" si="99"/>
        <v>2.04708008182778E+16</v>
      </c>
      <c r="J566" s="1">
        <f t="shared" si="100"/>
        <v>1</v>
      </c>
      <c r="K566" s="1">
        <f t="shared" si="101"/>
        <v>2.04708008182778E+16</v>
      </c>
      <c r="L566" s="1">
        <f t="shared" si="102"/>
        <v>7703844707945212</v>
      </c>
      <c r="M566" s="3">
        <f t="shared" si="103"/>
        <v>13627532.852618653</v>
      </c>
      <c r="N566" s="7">
        <f t="shared" si="108"/>
        <v>7703844707945210</v>
      </c>
      <c r="O566" s="7">
        <f t="shared" si="104"/>
        <v>13627532</v>
      </c>
      <c r="P566" s="3">
        <f>SUM($O$4:O566)</f>
        <v>825605394</v>
      </c>
      <c r="Y566" s="3">
        <f t="shared" si="105"/>
        <v>563</v>
      </c>
      <c r="Z566" s="3">
        <f t="shared" si="106"/>
        <v>478722424366441</v>
      </c>
      <c r="AB566" s="7">
        <f t="shared" si="107"/>
        <v>13040</v>
      </c>
    </row>
    <row r="567" spans="6:28" x14ac:dyDescent="0.15">
      <c r="F567">
        <f t="shared" si="97"/>
        <v>81</v>
      </c>
      <c r="G567">
        <v>564</v>
      </c>
      <c r="H567">
        <f t="shared" si="98"/>
        <v>2.047080081827782E+16</v>
      </c>
      <c r="I567">
        <f t="shared" si="99"/>
        <v>2.04708008182778E+16</v>
      </c>
      <c r="J567" s="1">
        <f t="shared" si="100"/>
        <v>1</v>
      </c>
      <c r="K567" s="1">
        <f t="shared" si="101"/>
        <v>2.04708008182778E+16</v>
      </c>
      <c r="L567" s="1">
        <f t="shared" si="102"/>
        <v>7703844707945212</v>
      </c>
      <c r="M567" s="3">
        <f t="shared" si="103"/>
        <v>13627532.852618653</v>
      </c>
      <c r="N567" s="7">
        <f t="shared" si="108"/>
        <v>7703844707945210</v>
      </c>
      <c r="O567" s="7">
        <f t="shared" si="104"/>
        <v>13627532</v>
      </c>
      <c r="P567" s="3">
        <f>SUM($O$4:O567)</f>
        <v>839232926</v>
      </c>
      <c r="Y567" s="3">
        <f t="shared" si="105"/>
        <v>564</v>
      </c>
      <c r="Z567" s="3">
        <f t="shared" si="106"/>
        <v>503551367157738</v>
      </c>
      <c r="AB567" s="7">
        <f t="shared" si="107"/>
        <v>13040</v>
      </c>
    </row>
    <row r="568" spans="6:28" x14ac:dyDescent="0.15">
      <c r="F568">
        <f t="shared" si="97"/>
        <v>81</v>
      </c>
      <c r="G568">
        <v>565</v>
      </c>
      <c r="H568">
        <f t="shared" si="98"/>
        <v>2.047080081827782E+16</v>
      </c>
      <c r="I568">
        <f t="shared" si="99"/>
        <v>2.04708008182778E+16</v>
      </c>
      <c r="J568" s="1">
        <f t="shared" si="100"/>
        <v>1</v>
      </c>
      <c r="K568" s="1">
        <f t="shared" si="101"/>
        <v>2.04708008182778E+16</v>
      </c>
      <c r="L568" s="1">
        <f t="shared" si="102"/>
        <v>7703844707945212</v>
      </c>
      <c r="M568" s="3">
        <f t="shared" si="103"/>
        <v>13627532.852618653</v>
      </c>
      <c r="N568" s="7">
        <f t="shared" si="108"/>
        <v>7703844707945210</v>
      </c>
      <c r="O568" s="7">
        <f t="shared" si="104"/>
        <v>13627532</v>
      </c>
      <c r="P568" s="3">
        <f>SUM($O$4:O568)</f>
        <v>852860458</v>
      </c>
      <c r="Y568" s="3">
        <f t="shared" si="105"/>
        <v>565</v>
      </c>
      <c r="Z568" s="3">
        <f t="shared" si="106"/>
        <v>529666398167248</v>
      </c>
      <c r="AB568" s="7">
        <f t="shared" si="107"/>
        <v>13040</v>
      </c>
    </row>
    <row r="569" spans="6:28" x14ac:dyDescent="0.15">
      <c r="F569">
        <f t="shared" si="97"/>
        <v>81</v>
      </c>
      <c r="G569">
        <v>566</v>
      </c>
      <c r="H569">
        <f t="shared" si="98"/>
        <v>2.047080081827782E+16</v>
      </c>
      <c r="I569">
        <f t="shared" si="99"/>
        <v>2.04708008182778E+16</v>
      </c>
      <c r="J569" s="1">
        <f t="shared" si="100"/>
        <v>1</v>
      </c>
      <c r="K569" s="1">
        <f t="shared" si="101"/>
        <v>2.04708008182778E+16</v>
      </c>
      <c r="L569" s="1">
        <f t="shared" si="102"/>
        <v>7703844707945212</v>
      </c>
      <c r="M569" s="3">
        <f t="shared" si="103"/>
        <v>13627532.852618653</v>
      </c>
      <c r="N569" s="7">
        <f t="shared" si="108"/>
        <v>7703844707945210</v>
      </c>
      <c r="O569" s="7">
        <f t="shared" si="104"/>
        <v>13627532</v>
      </c>
      <c r="P569" s="3">
        <f>SUM($O$4:O569)</f>
        <v>866487990</v>
      </c>
      <c r="Y569" s="3">
        <f t="shared" si="105"/>
        <v>566</v>
      </c>
      <c r="Z569" s="3">
        <f t="shared" si="106"/>
        <v>557134053859815</v>
      </c>
      <c r="AB569" s="7">
        <f t="shared" si="107"/>
        <v>13040</v>
      </c>
    </row>
    <row r="570" spans="6:28" x14ac:dyDescent="0.15">
      <c r="F570">
        <f t="shared" si="97"/>
        <v>81</v>
      </c>
      <c r="G570">
        <v>567</v>
      </c>
      <c r="H570">
        <f t="shared" si="98"/>
        <v>2.047080081827782E+16</v>
      </c>
      <c r="I570">
        <f t="shared" si="99"/>
        <v>2.04708008182778E+16</v>
      </c>
      <c r="J570" s="1">
        <f t="shared" si="100"/>
        <v>2</v>
      </c>
      <c r="K570" s="1">
        <f t="shared" si="101"/>
        <v>4.09416016365556E+16</v>
      </c>
      <c r="L570" s="1">
        <f t="shared" si="102"/>
        <v>1.5407689415890424E+16</v>
      </c>
      <c r="M570" s="3">
        <f t="shared" si="103"/>
        <v>27255065.705237307</v>
      </c>
      <c r="N570" s="7">
        <f t="shared" si="108"/>
        <v>1.54076894158904E+16</v>
      </c>
      <c r="O570" s="7">
        <f t="shared" si="104"/>
        <v>27255065</v>
      </c>
      <c r="P570" s="3">
        <f>SUM($O$4:O570)</f>
        <v>893743055</v>
      </c>
      <c r="Y570" s="3">
        <f t="shared" si="105"/>
        <v>567</v>
      </c>
      <c r="Z570" s="3">
        <f t="shared" si="106"/>
        <v>586024309126220</v>
      </c>
      <c r="AB570" s="7">
        <f t="shared" si="107"/>
        <v>13040</v>
      </c>
    </row>
    <row r="571" spans="6:28" x14ac:dyDescent="0.15">
      <c r="F571">
        <f t="shared" si="97"/>
        <v>82</v>
      </c>
      <c r="G571">
        <v>568</v>
      </c>
      <c r="H571">
        <f t="shared" si="98"/>
        <v>3.2139157284696176E+16</v>
      </c>
      <c r="I571">
        <f t="shared" si="99"/>
        <v>3.21391572846962E+16</v>
      </c>
      <c r="J571" s="1">
        <f t="shared" si="100"/>
        <v>1</v>
      </c>
      <c r="K571" s="1">
        <f t="shared" si="101"/>
        <v>3.21391572846962E+16</v>
      </c>
      <c r="L571" s="1">
        <f t="shared" si="102"/>
        <v>1.2191453663328094E+16</v>
      </c>
      <c r="M571" s="3">
        <f t="shared" si="103"/>
        <v>16589063.05543346</v>
      </c>
      <c r="N571" s="7">
        <f t="shared" si="108"/>
        <v>1.21914536633281E+16</v>
      </c>
      <c r="O571" s="7">
        <f t="shared" si="104"/>
        <v>16589063</v>
      </c>
      <c r="P571" s="3">
        <f>SUM($O$4:O571)</f>
        <v>910332118</v>
      </c>
      <c r="Y571" s="3">
        <f t="shared" si="105"/>
        <v>568</v>
      </c>
      <c r="Z571" s="3">
        <f t="shared" si="106"/>
        <v>616410754784617</v>
      </c>
      <c r="AB571" s="7">
        <f t="shared" si="107"/>
        <v>13040</v>
      </c>
    </row>
    <row r="572" spans="6:28" x14ac:dyDescent="0.15">
      <c r="F572">
        <f t="shared" si="97"/>
        <v>82</v>
      </c>
      <c r="G572">
        <v>569</v>
      </c>
      <c r="H572">
        <f t="shared" si="98"/>
        <v>3.2139157284696176E+16</v>
      </c>
      <c r="I572">
        <f t="shared" si="99"/>
        <v>3.21391572846962E+16</v>
      </c>
      <c r="J572" s="1">
        <f t="shared" si="100"/>
        <v>1</v>
      </c>
      <c r="K572" s="1">
        <f t="shared" si="101"/>
        <v>3.21391572846962E+16</v>
      </c>
      <c r="L572" s="1">
        <f t="shared" si="102"/>
        <v>1.2191453663328094E+16</v>
      </c>
      <c r="M572" s="3">
        <f t="shared" si="103"/>
        <v>16589063.05543346</v>
      </c>
      <c r="N572" s="7">
        <f t="shared" si="108"/>
        <v>1.21914536633281E+16</v>
      </c>
      <c r="O572" s="7">
        <f t="shared" si="104"/>
        <v>16589063</v>
      </c>
      <c r="P572" s="3">
        <f>SUM($O$4:O572)</f>
        <v>926921181</v>
      </c>
      <c r="Y572" s="3">
        <f t="shared" si="105"/>
        <v>569</v>
      </c>
      <c r="Z572" s="3">
        <f t="shared" si="106"/>
        <v>648370784236038</v>
      </c>
      <c r="AB572" s="7">
        <f t="shared" si="107"/>
        <v>13040</v>
      </c>
    </row>
    <row r="573" spans="6:28" x14ac:dyDescent="0.15">
      <c r="F573">
        <f t="shared" si="97"/>
        <v>82</v>
      </c>
      <c r="G573">
        <v>570</v>
      </c>
      <c r="H573">
        <f t="shared" si="98"/>
        <v>3.2139157284696176E+16</v>
      </c>
      <c r="I573">
        <f t="shared" si="99"/>
        <v>3.21391572846962E+16</v>
      </c>
      <c r="J573" s="1">
        <f t="shared" si="100"/>
        <v>1</v>
      </c>
      <c r="K573" s="1">
        <f t="shared" si="101"/>
        <v>3.21391572846962E+16</v>
      </c>
      <c r="L573" s="1">
        <f t="shared" si="102"/>
        <v>1.2191453663328094E+16</v>
      </c>
      <c r="M573" s="3">
        <f t="shared" si="103"/>
        <v>16589063.05543346</v>
      </c>
      <c r="N573" s="7">
        <f t="shared" si="108"/>
        <v>1.21914536633281E+16</v>
      </c>
      <c r="O573" s="7">
        <f t="shared" si="104"/>
        <v>16589063</v>
      </c>
      <c r="P573" s="3">
        <f>SUM($O$4:O573)</f>
        <v>943510244</v>
      </c>
      <c r="Y573" s="3">
        <f t="shared" si="105"/>
        <v>570</v>
      </c>
      <c r="Z573" s="3">
        <f t="shared" si="106"/>
        <v>681985789745639</v>
      </c>
      <c r="AB573" s="7">
        <f t="shared" si="107"/>
        <v>13040</v>
      </c>
    </row>
    <row r="574" spans="6:28" x14ac:dyDescent="0.15">
      <c r="F574">
        <f t="shared" si="97"/>
        <v>82</v>
      </c>
      <c r="G574">
        <v>571</v>
      </c>
      <c r="H574">
        <f t="shared" si="98"/>
        <v>3.2139157284696176E+16</v>
      </c>
      <c r="I574">
        <f t="shared" si="99"/>
        <v>3.21391572846962E+16</v>
      </c>
      <c r="J574" s="1">
        <f t="shared" si="100"/>
        <v>1</v>
      </c>
      <c r="K574" s="1">
        <f t="shared" si="101"/>
        <v>3.21391572846962E+16</v>
      </c>
      <c r="L574" s="1">
        <f t="shared" si="102"/>
        <v>1.2191453663328094E+16</v>
      </c>
      <c r="M574" s="3">
        <f t="shared" si="103"/>
        <v>16589063.05543346</v>
      </c>
      <c r="N574" s="7">
        <f t="shared" si="108"/>
        <v>1.21914536633281E+16</v>
      </c>
      <c r="O574" s="7">
        <f t="shared" si="104"/>
        <v>16589063</v>
      </c>
      <c r="P574" s="3">
        <f>SUM($O$4:O574)</f>
        <v>960099307</v>
      </c>
      <c r="Y574" s="3">
        <f t="shared" si="105"/>
        <v>571</v>
      </c>
      <c r="Z574" s="3">
        <f t="shared" si="106"/>
        <v>717341368845610</v>
      </c>
      <c r="AB574" s="7">
        <f t="shared" si="107"/>
        <v>13040</v>
      </c>
    </row>
    <row r="575" spans="6:28" x14ac:dyDescent="0.15">
      <c r="F575">
        <f t="shared" si="97"/>
        <v>82</v>
      </c>
      <c r="G575">
        <v>572</v>
      </c>
      <c r="H575">
        <f t="shared" si="98"/>
        <v>3.2139157284696176E+16</v>
      </c>
      <c r="I575">
        <f t="shared" si="99"/>
        <v>3.21391572846962E+16</v>
      </c>
      <c r="J575" s="1">
        <f t="shared" si="100"/>
        <v>1</v>
      </c>
      <c r="K575" s="1">
        <f t="shared" si="101"/>
        <v>3.21391572846962E+16</v>
      </c>
      <c r="L575" s="1">
        <f t="shared" si="102"/>
        <v>1.2191453663328094E+16</v>
      </c>
      <c r="M575" s="3">
        <f t="shared" si="103"/>
        <v>16589063.05543346</v>
      </c>
      <c r="N575" s="7">
        <f t="shared" si="108"/>
        <v>1.21914536633281E+16</v>
      </c>
      <c r="O575" s="7">
        <f t="shared" si="104"/>
        <v>16589063</v>
      </c>
      <c r="P575" s="3">
        <f>SUM($O$4:O575)</f>
        <v>976688370</v>
      </c>
      <c r="Y575" s="3">
        <f t="shared" si="105"/>
        <v>572</v>
      </c>
      <c r="Z575" s="3">
        <f t="shared" si="106"/>
        <v>754527541381215</v>
      </c>
      <c r="AB575" s="7">
        <f t="shared" si="107"/>
        <v>13040</v>
      </c>
    </row>
    <row r="576" spans="6:28" x14ac:dyDescent="0.15">
      <c r="F576">
        <f t="shared" si="97"/>
        <v>82</v>
      </c>
      <c r="G576">
        <v>573</v>
      </c>
      <c r="H576">
        <f t="shared" si="98"/>
        <v>3.2139157284696176E+16</v>
      </c>
      <c r="I576">
        <f t="shared" si="99"/>
        <v>3.21391572846962E+16</v>
      </c>
      <c r="J576" s="1">
        <f t="shared" si="100"/>
        <v>1</v>
      </c>
      <c r="K576" s="1">
        <f t="shared" si="101"/>
        <v>3.21391572846962E+16</v>
      </c>
      <c r="L576" s="1">
        <f t="shared" si="102"/>
        <v>1.2191453663328094E+16</v>
      </c>
      <c r="M576" s="3">
        <f t="shared" si="103"/>
        <v>16589063.05543346</v>
      </c>
      <c r="N576" s="7">
        <f t="shared" si="108"/>
        <v>1.21914536633281E+16</v>
      </c>
      <c r="O576" s="7">
        <f t="shared" si="104"/>
        <v>16589063</v>
      </c>
      <c r="P576" s="3">
        <f>SUM($O$4:O576)</f>
        <v>993277433</v>
      </c>
      <c r="Y576" s="3">
        <f t="shared" si="105"/>
        <v>573</v>
      </c>
      <c r="Z576" s="3">
        <f t="shared" si="106"/>
        <v>793638977748266</v>
      </c>
      <c r="AB576" s="7">
        <f t="shared" si="107"/>
        <v>13040</v>
      </c>
    </row>
    <row r="577" spans="6:28" x14ac:dyDescent="0.15">
      <c r="F577">
        <f t="shared" si="97"/>
        <v>82</v>
      </c>
      <c r="G577">
        <v>574</v>
      </c>
      <c r="H577">
        <f t="shared" si="98"/>
        <v>3.2139157284696176E+16</v>
      </c>
      <c r="I577">
        <f t="shared" si="99"/>
        <v>3.21391572846962E+16</v>
      </c>
      <c r="J577" s="1">
        <f t="shared" si="100"/>
        <v>4</v>
      </c>
      <c r="K577" s="1">
        <f t="shared" si="101"/>
        <v>1.285566291387848E+17</v>
      </c>
      <c r="L577" s="1">
        <f t="shared" si="102"/>
        <v>4.8765814653312376E+16</v>
      </c>
      <c r="M577" s="3">
        <f t="shared" si="103"/>
        <v>66356252.221733838</v>
      </c>
      <c r="N577" s="7">
        <f t="shared" si="108"/>
        <v>4.87658146533124E+16</v>
      </c>
      <c r="O577" s="7">
        <f t="shared" si="104"/>
        <v>66356252</v>
      </c>
      <c r="P577" s="3">
        <f>SUM($O$4:O577)</f>
        <v>1059633685</v>
      </c>
      <c r="Y577" s="3">
        <f t="shared" si="105"/>
        <v>574</v>
      </c>
      <c r="Z577" s="3">
        <f t="shared" si="106"/>
        <v>834775238898568</v>
      </c>
      <c r="AB577" s="7">
        <f t="shared" si="107"/>
        <v>13040</v>
      </c>
    </row>
    <row r="578" spans="6:28" x14ac:dyDescent="0.15">
      <c r="F578">
        <f t="shared" si="97"/>
        <v>83</v>
      </c>
      <c r="G578">
        <v>575</v>
      </c>
      <c r="H578">
        <f t="shared" si="98"/>
        <v>5.0458476936973008E+16</v>
      </c>
      <c r="I578">
        <f t="shared" si="99"/>
        <v>5.0458476936973E+16</v>
      </c>
      <c r="J578" s="1">
        <f t="shared" si="100"/>
        <v>1</v>
      </c>
      <c r="K578" s="1">
        <f t="shared" si="101"/>
        <v>5.0458476936973E+16</v>
      </c>
      <c r="L578" s="1">
        <f t="shared" si="102"/>
        <v>1.9291957682236012E+16</v>
      </c>
      <c r="M578" s="3">
        <f t="shared" si="103"/>
        <v>20192928.795183174</v>
      </c>
      <c r="N578" s="7">
        <f t="shared" si="108"/>
        <v>1.9291957682236E+16</v>
      </c>
      <c r="O578" s="7">
        <f t="shared" si="104"/>
        <v>20192928</v>
      </c>
      <c r="P578" s="3">
        <f>SUM($O$4:O578)</f>
        <v>1079826613</v>
      </c>
      <c r="Y578" s="3">
        <f t="shared" si="105"/>
        <v>575</v>
      </c>
      <c r="Z578" s="3">
        <f t="shared" si="106"/>
        <v>878041028719531</v>
      </c>
      <c r="AB578" s="7">
        <f t="shared" si="107"/>
        <v>13040</v>
      </c>
    </row>
    <row r="579" spans="6:28" x14ac:dyDescent="0.15">
      <c r="F579">
        <f t="shared" si="97"/>
        <v>83</v>
      </c>
      <c r="G579">
        <v>576</v>
      </c>
      <c r="H579">
        <f t="shared" si="98"/>
        <v>5.0458476936973008E+16</v>
      </c>
      <c r="I579">
        <f t="shared" si="99"/>
        <v>5.0458476936973E+16</v>
      </c>
      <c r="J579" s="1">
        <f t="shared" si="100"/>
        <v>1</v>
      </c>
      <c r="K579" s="1">
        <f t="shared" si="101"/>
        <v>5.0458476936973E+16</v>
      </c>
      <c r="L579" s="1">
        <f t="shared" si="102"/>
        <v>1.9291957682236012E+16</v>
      </c>
      <c r="M579" s="3">
        <f t="shared" si="103"/>
        <v>20192928.795183174</v>
      </c>
      <c r="N579" s="7">
        <f t="shared" si="108"/>
        <v>1.9291957682236E+16</v>
      </c>
      <c r="O579" s="7">
        <f t="shared" si="104"/>
        <v>20192928</v>
      </c>
      <c r="P579" s="3">
        <f>SUM($O$4:O579)</f>
        <v>1100019541</v>
      </c>
      <c r="Y579" s="3">
        <f t="shared" si="105"/>
        <v>576</v>
      </c>
      <c r="Z579" s="3">
        <f t="shared" si="106"/>
        <v>923546459425343</v>
      </c>
      <c r="AB579" s="7">
        <f t="shared" si="107"/>
        <v>13040</v>
      </c>
    </row>
    <row r="580" spans="6:28" x14ac:dyDescent="0.15">
      <c r="F580">
        <f t="shared" si="97"/>
        <v>83</v>
      </c>
      <c r="G580">
        <v>577</v>
      </c>
      <c r="H580">
        <f t="shared" si="98"/>
        <v>5.0458476936973008E+16</v>
      </c>
      <c r="I580">
        <f t="shared" si="99"/>
        <v>5.0458476936973E+16</v>
      </c>
      <c r="J580" s="1">
        <f t="shared" si="100"/>
        <v>1</v>
      </c>
      <c r="K580" s="1">
        <f t="shared" si="101"/>
        <v>5.0458476936973E+16</v>
      </c>
      <c r="L580" s="1">
        <f t="shared" si="102"/>
        <v>1.9291957682236012E+16</v>
      </c>
      <c r="M580" s="3">
        <f t="shared" si="103"/>
        <v>20192928.795183174</v>
      </c>
      <c r="N580" s="7">
        <f t="shared" si="108"/>
        <v>1.9291957682236E+16</v>
      </c>
      <c r="O580" s="7">
        <f t="shared" si="104"/>
        <v>20192928</v>
      </c>
      <c r="P580" s="3">
        <f>SUM($O$4:O580)</f>
        <v>1120212469</v>
      </c>
      <c r="Y580" s="3">
        <f t="shared" si="105"/>
        <v>577</v>
      </c>
      <c r="Z580" s="3">
        <f t="shared" si="106"/>
        <v>971407330629938</v>
      </c>
      <c r="AB580" s="7">
        <f t="shared" si="107"/>
        <v>13040</v>
      </c>
    </row>
    <row r="581" spans="6:28" x14ac:dyDescent="0.15">
      <c r="F581">
        <f t="shared" ref="F581:F644" si="109">ROUNDUP(G581/$C$4,0)</f>
        <v>83</v>
      </c>
      <c r="G581">
        <v>578</v>
      </c>
      <c r="H581">
        <f t="shared" ref="H581:H644" si="110">18.5*1.57^MIN(F581,156)*1.17^MAX(F581-156,0)*$C$5</f>
        <v>5.0458476936973008E+16</v>
      </c>
      <c r="I581">
        <f t="shared" ref="I581:I644" si="111">ROUND(H581,0)</f>
        <v>5.0458476936973E+16</v>
      </c>
      <c r="J581" s="1">
        <f t="shared" ref="J581:J644" si="112">IF(F581=F582,1,LOOKUP(MOD(F581,5),$D$6:$D$10,$C$6:$C$10))</f>
        <v>1</v>
      </c>
      <c r="K581" s="1">
        <f t="shared" ref="K581:K644" si="113">J581*I581</f>
        <v>5.0458476936973E+16</v>
      </c>
      <c r="L581" s="1">
        <f t="shared" ref="L581:L644" si="114">K581*(0.02+0.00045*F581)/$C$5</f>
        <v>1.9291957682236012E+16</v>
      </c>
      <c r="M581" s="3">
        <f t="shared" ref="M581:M644" si="115">L581/(1.3^F581)*3</f>
        <v>20192928.795183174</v>
      </c>
      <c r="N581" s="7">
        <f t="shared" si="108"/>
        <v>1.9291957682236E+16</v>
      </c>
      <c r="O581" s="7">
        <f t="shared" ref="O581:O644" si="116">ROUNDDOWN(M581,0)</f>
        <v>20192928</v>
      </c>
      <c r="P581" s="3">
        <f>SUM($O$4:O581)</f>
        <v>1140405397</v>
      </c>
      <c r="Y581" s="3">
        <f t="shared" ref="Y581:Y644" si="117">G581</f>
        <v>578</v>
      </c>
      <c r="Z581" s="3">
        <f t="shared" ref="Z581:Z644" si="118">ROUND(1.05^Y581*Y581,0)</f>
        <v>1021745422806430</v>
      </c>
      <c r="AB581" s="7">
        <f t="shared" ref="AB581:AB644" si="119">LOOKUP(Y581,T:T,P:P)</f>
        <v>13040</v>
      </c>
    </row>
    <row r="582" spans="6:28" x14ac:dyDescent="0.15">
      <c r="F582">
        <f t="shared" si="109"/>
        <v>83</v>
      </c>
      <c r="G582">
        <v>579</v>
      </c>
      <c r="H582">
        <f t="shared" si="110"/>
        <v>5.0458476936973008E+16</v>
      </c>
      <c r="I582">
        <f t="shared" si="111"/>
        <v>5.0458476936973E+16</v>
      </c>
      <c r="J582" s="1">
        <f t="shared" si="112"/>
        <v>1</v>
      </c>
      <c r="K582" s="1">
        <f t="shared" si="113"/>
        <v>5.0458476936973E+16</v>
      </c>
      <c r="L582" s="1">
        <f t="shared" si="114"/>
        <v>1.9291957682236012E+16</v>
      </c>
      <c r="M582" s="3">
        <f t="shared" si="115"/>
        <v>20192928.795183174</v>
      </c>
      <c r="N582" s="7">
        <f t="shared" si="108"/>
        <v>1.9291957682236E+16</v>
      </c>
      <c r="O582" s="7">
        <f t="shared" si="116"/>
        <v>20192928</v>
      </c>
      <c r="P582" s="3">
        <f>SUM($O$4:O582)</f>
        <v>1160598325</v>
      </c>
      <c r="Y582" s="3">
        <f t="shared" si="117"/>
        <v>579</v>
      </c>
      <c r="Z582" s="3">
        <f t="shared" si="118"/>
        <v>1074688805873990</v>
      </c>
      <c r="AB582" s="7">
        <f t="shared" si="119"/>
        <v>13040</v>
      </c>
    </row>
    <row r="583" spans="6:28" x14ac:dyDescent="0.15">
      <c r="F583">
        <f t="shared" si="109"/>
        <v>83</v>
      </c>
      <c r="G583">
        <v>580</v>
      </c>
      <c r="H583">
        <f t="shared" si="110"/>
        <v>5.0458476936973008E+16</v>
      </c>
      <c r="I583">
        <f t="shared" si="111"/>
        <v>5.0458476936973E+16</v>
      </c>
      <c r="J583" s="1">
        <f t="shared" si="112"/>
        <v>1</v>
      </c>
      <c r="K583" s="1">
        <f t="shared" si="113"/>
        <v>5.0458476936973E+16</v>
      </c>
      <c r="L583" s="1">
        <f t="shared" si="114"/>
        <v>1.9291957682236012E+16</v>
      </c>
      <c r="M583" s="3">
        <f t="shared" si="115"/>
        <v>20192928.795183174</v>
      </c>
      <c r="N583" s="7">
        <f t="shared" si="108"/>
        <v>1.9291957682236E+16</v>
      </c>
      <c r="O583" s="7">
        <f t="shared" si="116"/>
        <v>20192928</v>
      </c>
      <c r="P583" s="3">
        <f>SUM($O$4:O583)</f>
        <v>1180791253</v>
      </c>
      <c r="Y583" s="3">
        <f t="shared" si="117"/>
        <v>580</v>
      </c>
      <c r="Z583" s="3">
        <f t="shared" si="118"/>
        <v>1130372163691300</v>
      </c>
      <c r="AB583" s="7">
        <f t="shared" si="119"/>
        <v>13040</v>
      </c>
    </row>
    <row r="584" spans="6:28" x14ac:dyDescent="0.15">
      <c r="F584">
        <f t="shared" si="109"/>
        <v>83</v>
      </c>
      <c r="G584">
        <v>581</v>
      </c>
      <c r="H584">
        <f t="shared" si="110"/>
        <v>5.0458476936973008E+16</v>
      </c>
      <c r="I584">
        <f t="shared" si="111"/>
        <v>5.0458476936973E+16</v>
      </c>
      <c r="J584" s="1">
        <f t="shared" si="112"/>
        <v>6</v>
      </c>
      <c r="K584" s="1">
        <f t="shared" si="113"/>
        <v>3.0275086162183802E+17</v>
      </c>
      <c r="L584" s="1">
        <f t="shared" si="114"/>
        <v>1.1575174609341606E+17</v>
      </c>
      <c r="M584" s="3">
        <f t="shared" si="115"/>
        <v>121157572.77109905</v>
      </c>
      <c r="N584" s="7">
        <f t="shared" ref="N584:N647" si="120">ROUND(L584,0)</f>
        <v>1.15751746093416E+17</v>
      </c>
      <c r="O584" s="7">
        <f t="shared" si="116"/>
        <v>121157572</v>
      </c>
      <c r="P584" s="3">
        <f>SUM($O$4:O584)</f>
        <v>1301948825</v>
      </c>
      <c r="Y584" s="3">
        <f t="shared" si="117"/>
        <v>581</v>
      </c>
      <c r="Z584" s="3">
        <f t="shared" si="118"/>
        <v>1188937135275650</v>
      </c>
      <c r="AB584" s="7">
        <f t="shared" si="119"/>
        <v>13040</v>
      </c>
    </row>
    <row r="585" spans="6:28" x14ac:dyDescent="0.15">
      <c r="F585">
        <f t="shared" si="109"/>
        <v>84</v>
      </c>
      <c r="G585">
        <v>582</v>
      </c>
      <c r="H585">
        <f t="shared" si="110"/>
        <v>7.92198087910476E+16</v>
      </c>
      <c r="I585">
        <f t="shared" si="111"/>
        <v>7.92198087910476E+16</v>
      </c>
      <c r="J585" s="1">
        <f t="shared" si="112"/>
        <v>1</v>
      </c>
      <c r="K585" s="1">
        <f t="shared" si="113"/>
        <v>7.92198087910476E+16</v>
      </c>
      <c r="L585" s="1">
        <f t="shared" si="114"/>
        <v>3.052603298748368E+16</v>
      </c>
      <c r="M585" s="3">
        <f t="shared" si="115"/>
        <v>24578197.524615288</v>
      </c>
      <c r="N585" s="7">
        <f t="shared" si="120"/>
        <v>3.05260329874837E+16</v>
      </c>
      <c r="O585" s="7">
        <f t="shared" si="116"/>
        <v>24578197</v>
      </c>
      <c r="P585" s="3">
        <f>SUM($O$4:O585)</f>
        <v>1326527022</v>
      </c>
      <c r="Y585" s="3">
        <f t="shared" si="117"/>
        <v>582</v>
      </c>
      <c r="Z585" s="3">
        <f t="shared" si="118"/>
        <v>1250532673609210</v>
      </c>
      <c r="AB585" s="7">
        <f t="shared" si="119"/>
        <v>13040</v>
      </c>
    </row>
    <row r="586" spans="6:28" x14ac:dyDescent="0.15">
      <c r="F586">
        <f t="shared" si="109"/>
        <v>84</v>
      </c>
      <c r="G586">
        <v>583</v>
      </c>
      <c r="H586">
        <f t="shared" si="110"/>
        <v>7.92198087910476E+16</v>
      </c>
      <c r="I586">
        <f t="shared" si="111"/>
        <v>7.92198087910476E+16</v>
      </c>
      <c r="J586" s="1">
        <f t="shared" si="112"/>
        <v>1</v>
      </c>
      <c r="K586" s="1">
        <f t="shared" si="113"/>
        <v>7.92198087910476E+16</v>
      </c>
      <c r="L586" s="1">
        <f t="shared" si="114"/>
        <v>3.052603298748368E+16</v>
      </c>
      <c r="M586" s="3">
        <f t="shared" si="115"/>
        <v>24578197.524615288</v>
      </c>
      <c r="N586" s="7">
        <f t="shared" si="120"/>
        <v>3.05260329874837E+16</v>
      </c>
      <c r="O586" s="7">
        <f t="shared" si="116"/>
        <v>24578197</v>
      </c>
      <c r="P586" s="3">
        <f>SUM($O$4:O586)</f>
        <v>1351105219</v>
      </c>
      <c r="Y586" s="3">
        <f t="shared" si="117"/>
        <v>583</v>
      </c>
      <c r="Z586" s="3">
        <f t="shared" si="118"/>
        <v>1315315422937930</v>
      </c>
      <c r="AB586" s="7">
        <f t="shared" si="119"/>
        <v>13040</v>
      </c>
    </row>
    <row r="587" spans="6:28" x14ac:dyDescent="0.15">
      <c r="F587">
        <f t="shared" si="109"/>
        <v>84</v>
      </c>
      <c r="G587">
        <v>584</v>
      </c>
      <c r="H587">
        <f t="shared" si="110"/>
        <v>7.92198087910476E+16</v>
      </c>
      <c r="I587">
        <f t="shared" si="111"/>
        <v>7.92198087910476E+16</v>
      </c>
      <c r="J587" s="1">
        <f t="shared" si="112"/>
        <v>1</v>
      </c>
      <c r="K587" s="1">
        <f t="shared" si="113"/>
        <v>7.92198087910476E+16</v>
      </c>
      <c r="L587" s="1">
        <f t="shared" si="114"/>
        <v>3.052603298748368E+16</v>
      </c>
      <c r="M587" s="3">
        <f t="shared" si="115"/>
        <v>24578197.524615288</v>
      </c>
      <c r="N587" s="7">
        <f t="shared" si="120"/>
        <v>3.05260329874837E+16</v>
      </c>
      <c r="O587" s="7">
        <f t="shared" si="116"/>
        <v>24578197</v>
      </c>
      <c r="P587" s="3">
        <f>SUM($O$4:O587)</f>
        <v>1375683416</v>
      </c>
      <c r="Y587" s="3">
        <f t="shared" si="117"/>
        <v>584</v>
      </c>
      <c r="Z587" s="3">
        <f t="shared" si="118"/>
        <v>1383450115515510</v>
      </c>
      <c r="AB587" s="7">
        <f t="shared" si="119"/>
        <v>13040</v>
      </c>
    </row>
    <row r="588" spans="6:28" x14ac:dyDescent="0.15">
      <c r="F588">
        <f t="shared" si="109"/>
        <v>84</v>
      </c>
      <c r="G588">
        <v>585</v>
      </c>
      <c r="H588">
        <f t="shared" si="110"/>
        <v>7.92198087910476E+16</v>
      </c>
      <c r="I588">
        <f t="shared" si="111"/>
        <v>7.92198087910476E+16</v>
      </c>
      <c r="J588" s="1">
        <f t="shared" si="112"/>
        <v>1</v>
      </c>
      <c r="K588" s="1">
        <f t="shared" si="113"/>
        <v>7.92198087910476E+16</v>
      </c>
      <c r="L588" s="1">
        <f t="shared" si="114"/>
        <v>3.052603298748368E+16</v>
      </c>
      <c r="M588" s="3">
        <f t="shared" si="115"/>
        <v>24578197.524615288</v>
      </c>
      <c r="N588" s="7">
        <f t="shared" si="120"/>
        <v>3.05260329874837E+16</v>
      </c>
      <c r="O588" s="7">
        <f t="shared" si="116"/>
        <v>24578197</v>
      </c>
      <c r="P588" s="3">
        <f>SUM($O$4:O588)</f>
        <v>1400261613</v>
      </c>
      <c r="Y588" s="3">
        <f t="shared" si="117"/>
        <v>585</v>
      </c>
      <c r="Z588" s="3">
        <f t="shared" si="118"/>
        <v>1455109988793490</v>
      </c>
      <c r="AB588" s="7">
        <f t="shared" si="119"/>
        <v>13040</v>
      </c>
    </row>
    <row r="589" spans="6:28" x14ac:dyDescent="0.15">
      <c r="F589">
        <f t="shared" si="109"/>
        <v>84</v>
      </c>
      <c r="G589">
        <v>586</v>
      </c>
      <c r="H589">
        <f t="shared" si="110"/>
        <v>7.92198087910476E+16</v>
      </c>
      <c r="I589">
        <f t="shared" si="111"/>
        <v>7.92198087910476E+16</v>
      </c>
      <c r="J589" s="1">
        <f t="shared" si="112"/>
        <v>1</v>
      </c>
      <c r="K589" s="1">
        <f t="shared" si="113"/>
        <v>7.92198087910476E+16</v>
      </c>
      <c r="L589" s="1">
        <f t="shared" si="114"/>
        <v>3.052603298748368E+16</v>
      </c>
      <c r="M589" s="3">
        <f t="shared" si="115"/>
        <v>24578197.524615288</v>
      </c>
      <c r="N589" s="7">
        <f t="shared" si="120"/>
        <v>3.05260329874837E+16</v>
      </c>
      <c r="O589" s="7">
        <f t="shared" si="116"/>
        <v>24578197</v>
      </c>
      <c r="P589" s="3">
        <f>SUM($O$4:O589)</f>
        <v>1424839810</v>
      </c>
      <c r="Y589" s="3">
        <f t="shared" si="117"/>
        <v>586</v>
      </c>
      <c r="Z589" s="3">
        <f t="shared" si="118"/>
        <v>1530477224110490</v>
      </c>
      <c r="AB589" s="7">
        <f t="shared" si="119"/>
        <v>13040</v>
      </c>
    </row>
    <row r="590" spans="6:28" x14ac:dyDescent="0.15">
      <c r="F590">
        <f t="shared" si="109"/>
        <v>84</v>
      </c>
      <c r="G590">
        <v>587</v>
      </c>
      <c r="H590">
        <f t="shared" si="110"/>
        <v>7.92198087910476E+16</v>
      </c>
      <c r="I590">
        <f t="shared" si="111"/>
        <v>7.92198087910476E+16</v>
      </c>
      <c r="J590" s="1">
        <f t="shared" si="112"/>
        <v>1</v>
      </c>
      <c r="K590" s="1">
        <f t="shared" si="113"/>
        <v>7.92198087910476E+16</v>
      </c>
      <c r="L590" s="1">
        <f t="shared" si="114"/>
        <v>3.052603298748368E+16</v>
      </c>
      <c r="M590" s="3">
        <f t="shared" si="115"/>
        <v>24578197.524615288</v>
      </c>
      <c r="N590" s="7">
        <f t="shared" si="120"/>
        <v>3.05260329874837E+16</v>
      </c>
      <c r="O590" s="7">
        <f t="shared" si="116"/>
        <v>24578197</v>
      </c>
      <c r="P590" s="3">
        <f>SUM($O$4:O590)</f>
        <v>1449418007</v>
      </c>
      <c r="Y590" s="3">
        <f t="shared" si="117"/>
        <v>587</v>
      </c>
      <c r="Z590" s="3">
        <f t="shared" si="118"/>
        <v>1609743407987200</v>
      </c>
      <c r="AB590" s="7">
        <f t="shared" si="119"/>
        <v>13040</v>
      </c>
    </row>
    <row r="591" spans="6:28" x14ac:dyDescent="0.15">
      <c r="F591">
        <f t="shared" si="109"/>
        <v>84</v>
      </c>
      <c r="G591">
        <v>588</v>
      </c>
      <c r="H591">
        <f t="shared" si="110"/>
        <v>7.92198087910476E+16</v>
      </c>
      <c r="I591">
        <f t="shared" si="111"/>
        <v>7.92198087910476E+16</v>
      </c>
      <c r="J591" s="1">
        <f t="shared" si="112"/>
        <v>7</v>
      </c>
      <c r="K591" s="1">
        <f t="shared" si="113"/>
        <v>5.5453866153733318E+17</v>
      </c>
      <c r="L591" s="1">
        <f t="shared" si="114"/>
        <v>2.1368223091238573E+17</v>
      </c>
      <c r="M591" s="3">
        <f t="shared" si="115"/>
        <v>172047382.67230695</v>
      </c>
      <c r="N591" s="7">
        <f t="shared" si="120"/>
        <v>2.1368223091238598E+17</v>
      </c>
      <c r="O591" s="7">
        <f t="shared" si="116"/>
        <v>172047382</v>
      </c>
      <c r="P591" s="3">
        <f>SUM($O$4:O591)</f>
        <v>1621465389</v>
      </c>
      <c r="Y591" s="3">
        <f t="shared" si="117"/>
        <v>588</v>
      </c>
      <c r="Z591" s="3">
        <f t="shared" si="118"/>
        <v>1693110017191310</v>
      </c>
      <c r="AB591" s="7">
        <f t="shared" si="119"/>
        <v>13040</v>
      </c>
    </row>
    <row r="592" spans="6:28" x14ac:dyDescent="0.15">
      <c r="F592">
        <f t="shared" si="109"/>
        <v>85</v>
      </c>
      <c r="G592">
        <v>589</v>
      </c>
      <c r="H592">
        <f t="shared" si="110"/>
        <v>1.2437509980194475E+17</v>
      </c>
      <c r="I592">
        <f t="shared" si="111"/>
        <v>1.2437509980194499E+17</v>
      </c>
      <c r="J592" s="1">
        <f t="shared" si="112"/>
        <v>1</v>
      </c>
      <c r="K592" s="1">
        <f t="shared" si="113"/>
        <v>1.2437509980194499E+17</v>
      </c>
      <c r="L592" s="1">
        <f t="shared" si="114"/>
        <v>4.8298997089755304E+16</v>
      </c>
      <c r="M592" s="3">
        <f t="shared" si="115"/>
        <v>29913995.330315188</v>
      </c>
      <c r="N592" s="7">
        <f t="shared" si="120"/>
        <v>4.8298997089755296E+16</v>
      </c>
      <c r="O592" s="7">
        <f t="shared" si="116"/>
        <v>29913995</v>
      </c>
      <c r="P592" s="3">
        <f>SUM($O$4:O592)</f>
        <v>1651379384</v>
      </c>
      <c r="Y592" s="3">
        <f t="shared" si="117"/>
        <v>589</v>
      </c>
      <c r="Z592" s="3">
        <f t="shared" si="118"/>
        <v>1780788928795860</v>
      </c>
      <c r="AB592" s="7">
        <f t="shared" si="119"/>
        <v>13040</v>
      </c>
    </row>
    <row r="593" spans="6:28" x14ac:dyDescent="0.15">
      <c r="F593">
        <f t="shared" si="109"/>
        <v>85</v>
      </c>
      <c r="G593">
        <v>590</v>
      </c>
      <c r="H593">
        <f t="shared" si="110"/>
        <v>1.2437509980194475E+17</v>
      </c>
      <c r="I593">
        <f t="shared" si="111"/>
        <v>1.2437509980194499E+17</v>
      </c>
      <c r="J593" s="1">
        <f t="shared" si="112"/>
        <v>1</v>
      </c>
      <c r="K593" s="1">
        <f t="shared" si="113"/>
        <v>1.2437509980194499E+17</v>
      </c>
      <c r="L593" s="1">
        <f t="shared" si="114"/>
        <v>4.8298997089755304E+16</v>
      </c>
      <c r="M593" s="3">
        <f t="shared" si="115"/>
        <v>29913995.330315188</v>
      </c>
      <c r="N593" s="7">
        <f t="shared" si="120"/>
        <v>4.8298997089755296E+16</v>
      </c>
      <c r="O593" s="7">
        <f t="shared" si="116"/>
        <v>29913995</v>
      </c>
      <c r="P593" s="3">
        <f>SUM($O$4:O593)</f>
        <v>1681293379</v>
      </c>
      <c r="Y593" s="3">
        <f t="shared" si="117"/>
        <v>590</v>
      </c>
      <c r="Z593" s="3">
        <f t="shared" si="118"/>
        <v>1873002956517880</v>
      </c>
      <c r="AB593" s="7">
        <f t="shared" si="119"/>
        <v>13040</v>
      </c>
    </row>
    <row r="594" spans="6:28" x14ac:dyDescent="0.15">
      <c r="F594">
        <f t="shared" si="109"/>
        <v>85</v>
      </c>
      <c r="G594">
        <v>591</v>
      </c>
      <c r="H594">
        <f t="shared" si="110"/>
        <v>1.2437509980194475E+17</v>
      </c>
      <c r="I594">
        <f t="shared" si="111"/>
        <v>1.2437509980194499E+17</v>
      </c>
      <c r="J594" s="1">
        <f t="shared" si="112"/>
        <v>1</v>
      </c>
      <c r="K594" s="1">
        <f t="shared" si="113"/>
        <v>1.2437509980194499E+17</v>
      </c>
      <c r="L594" s="1">
        <f t="shared" si="114"/>
        <v>4.8298997089755304E+16</v>
      </c>
      <c r="M594" s="3">
        <f t="shared" si="115"/>
        <v>29913995.330315188</v>
      </c>
      <c r="N594" s="7">
        <f t="shared" si="120"/>
        <v>4.8298997089755296E+16</v>
      </c>
      <c r="O594" s="7">
        <f t="shared" si="116"/>
        <v>29913995</v>
      </c>
      <c r="P594" s="3">
        <f>SUM($O$4:O594)</f>
        <v>1711207374</v>
      </c>
      <c r="Y594" s="3">
        <f t="shared" si="117"/>
        <v>591</v>
      </c>
      <c r="Z594" s="3">
        <f t="shared" si="118"/>
        <v>1969986414690120</v>
      </c>
      <c r="AB594" s="7">
        <f t="shared" si="119"/>
        <v>13040</v>
      </c>
    </row>
    <row r="595" spans="6:28" x14ac:dyDescent="0.15">
      <c r="F595">
        <f t="shared" si="109"/>
        <v>85</v>
      </c>
      <c r="G595">
        <v>592</v>
      </c>
      <c r="H595">
        <f t="shared" si="110"/>
        <v>1.2437509980194475E+17</v>
      </c>
      <c r="I595">
        <f t="shared" si="111"/>
        <v>1.2437509980194499E+17</v>
      </c>
      <c r="J595" s="1">
        <f t="shared" si="112"/>
        <v>1</v>
      </c>
      <c r="K595" s="1">
        <f t="shared" si="113"/>
        <v>1.2437509980194499E+17</v>
      </c>
      <c r="L595" s="1">
        <f t="shared" si="114"/>
        <v>4.8298997089755304E+16</v>
      </c>
      <c r="M595" s="3">
        <f t="shared" si="115"/>
        <v>29913995.330315188</v>
      </c>
      <c r="N595" s="7">
        <f t="shared" si="120"/>
        <v>4.8298997089755296E+16</v>
      </c>
      <c r="O595" s="7">
        <f t="shared" si="116"/>
        <v>29913995</v>
      </c>
      <c r="P595" s="3">
        <f>SUM($O$4:O595)</f>
        <v>1741121369</v>
      </c>
      <c r="Y595" s="3">
        <f t="shared" si="117"/>
        <v>592</v>
      </c>
      <c r="Z595" s="3">
        <f t="shared" si="118"/>
        <v>2071985711288290</v>
      </c>
      <c r="AB595" s="7">
        <f t="shared" si="119"/>
        <v>13040</v>
      </c>
    </row>
    <row r="596" spans="6:28" x14ac:dyDescent="0.15">
      <c r="F596">
        <f t="shared" si="109"/>
        <v>85</v>
      </c>
      <c r="G596">
        <v>593</v>
      </c>
      <c r="H596">
        <f t="shared" si="110"/>
        <v>1.2437509980194475E+17</v>
      </c>
      <c r="I596">
        <f t="shared" si="111"/>
        <v>1.2437509980194499E+17</v>
      </c>
      <c r="J596" s="1">
        <f t="shared" si="112"/>
        <v>1</v>
      </c>
      <c r="K596" s="1">
        <f t="shared" si="113"/>
        <v>1.2437509980194499E+17</v>
      </c>
      <c r="L596" s="1">
        <f t="shared" si="114"/>
        <v>4.8298997089755304E+16</v>
      </c>
      <c r="M596" s="3">
        <f t="shared" si="115"/>
        <v>29913995.330315188</v>
      </c>
      <c r="N596" s="7">
        <f t="shared" si="120"/>
        <v>4.8298997089755296E+16</v>
      </c>
      <c r="O596" s="7">
        <f t="shared" si="116"/>
        <v>29913995</v>
      </c>
      <c r="P596" s="3">
        <f>SUM($O$4:O596)</f>
        <v>1771035364</v>
      </c>
      <c r="Y596" s="3">
        <f t="shared" si="117"/>
        <v>593</v>
      </c>
      <c r="Z596" s="3">
        <f t="shared" si="118"/>
        <v>2179259971509550</v>
      </c>
      <c r="AB596" s="7">
        <f t="shared" si="119"/>
        <v>13040</v>
      </c>
    </row>
    <row r="597" spans="6:28" x14ac:dyDescent="0.15">
      <c r="F597">
        <f t="shared" si="109"/>
        <v>85</v>
      </c>
      <c r="G597">
        <v>594</v>
      </c>
      <c r="H597">
        <f t="shared" si="110"/>
        <v>1.2437509980194475E+17</v>
      </c>
      <c r="I597">
        <f t="shared" si="111"/>
        <v>1.2437509980194499E+17</v>
      </c>
      <c r="J597" s="1">
        <f t="shared" si="112"/>
        <v>1</v>
      </c>
      <c r="K597" s="1">
        <f t="shared" si="113"/>
        <v>1.2437509980194499E+17</v>
      </c>
      <c r="L597" s="1">
        <f t="shared" si="114"/>
        <v>4.8298997089755304E+16</v>
      </c>
      <c r="M597" s="3">
        <f t="shared" si="115"/>
        <v>29913995.330315188</v>
      </c>
      <c r="N597" s="7">
        <f t="shared" si="120"/>
        <v>4.8298997089755296E+16</v>
      </c>
      <c r="O597" s="7">
        <f t="shared" si="116"/>
        <v>29913995</v>
      </c>
      <c r="P597" s="3">
        <f>SUM($O$4:O597)</f>
        <v>1800949359</v>
      </c>
      <c r="Y597" s="3">
        <f t="shared" si="117"/>
        <v>594</v>
      </c>
      <c r="Z597" s="3">
        <f t="shared" si="118"/>
        <v>2292081693474720</v>
      </c>
      <c r="AB597" s="7">
        <f t="shared" si="119"/>
        <v>13040</v>
      </c>
    </row>
    <row r="598" spans="6:28" x14ac:dyDescent="0.15">
      <c r="F598">
        <f t="shared" si="109"/>
        <v>85</v>
      </c>
      <c r="G598">
        <v>595</v>
      </c>
      <c r="H598">
        <f t="shared" si="110"/>
        <v>1.2437509980194475E+17</v>
      </c>
      <c r="I598">
        <f t="shared" si="111"/>
        <v>1.2437509980194499E+17</v>
      </c>
      <c r="J598" s="1">
        <f t="shared" si="112"/>
        <v>10</v>
      </c>
      <c r="K598" s="1">
        <f t="shared" si="113"/>
        <v>1.2437509980194499E+18</v>
      </c>
      <c r="L598" s="1">
        <f t="shared" si="114"/>
        <v>4.8298997089755296E+17</v>
      </c>
      <c r="M598" s="3">
        <f t="shared" si="115"/>
        <v>299139953.30315185</v>
      </c>
      <c r="N598" s="7">
        <f t="shared" si="120"/>
        <v>4.8298997089755302E+17</v>
      </c>
      <c r="O598" s="7">
        <f t="shared" si="116"/>
        <v>299139953</v>
      </c>
      <c r="P598" s="3">
        <f>SUM($O$4:O598)</f>
        <v>2100089312</v>
      </c>
      <c r="Y598" s="3">
        <f t="shared" si="117"/>
        <v>595</v>
      </c>
      <c r="Z598" s="3">
        <f t="shared" si="118"/>
        <v>2410737437707630</v>
      </c>
      <c r="AB598" s="7">
        <f t="shared" si="119"/>
        <v>13040</v>
      </c>
    </row>
    <row r="599" spans="6:28" x14ac:dyDescent="0.15">
      <c r="F599">
        <f t="shared" si="109"/>
        <v>86</v>
      </c>
      <c r="G599">
        <v>596</v>
      </c>
      <c r="H599">
        <f t="shared" si="110"/>
        <v>1.9526890668905325E+17</v>
      </c>
      <c r="I599">
        <f t="shared" si="111"/>
        <v>1.9526890668905299E+17</v>
      </c>
      <c r="J599" s="1">
        <f t="shared" si="112"/>
        <v>1</v>
      </c>
      <c r="K599" s="1">
        <f t="shared" si="113"/>
        <v>1.9526890668905299E+17</v>
      </c>
      <c r="L599" s="1">
        <f t="shared" si="114"/>
        <v>7.6415232150982752E+16</v>
      </c>
      <c r="M599" s="3">
        <f t="shared" si="115"/>
        <v>36405993.999953903</v>
      </c>
      <c r="N599" s="7">
        <f t="shared" si="120"/>
        <v>7.64152321509828E+16</v>
      </c>
      <c r="O599" s="7">
        <f t="shared" si="116"/>
        <v>36405993</v>
      </c>
      <c r="P599" s="3">
        <f>SUM($O$4:O599)</f>
        <v>2136495305</v>
      </c>
      <c r="Y599" s="3">
        <f t="shared" si="117"/>
        <v>596</v>
      </c>
      <c r="Z599" s="3">
        <f t="shared" si="118"/>
        <v>2535528552130140</v>
      </c>
      <c r="AB599" s="7">
        <f t="shared" si="119"/>
        <v>13040</v>
      </c>
    </row>
    <row r="600" spans="6:28" x14ac:dyDescent="0.15">
      <c r="F600">
        <f t="shared" si="109"/>
        <v>86</v>
      </c>
      <c r="G600">
        <v>597</v>
      </c>
      <c r="H600">
        <f t="shared" si="110"/>
        <v>1.9526890668905325E+17</v>
      </c>
      <c r="I600">
        <f t="shared" si="111"/>
        <v>1.9526890668905299E+17</v>
      </c>
      <c r="J600" s="1">
        <f t="shared" si="112"/>
        <v>1</v>
      </c>
      <c r="K600" s="1">
        <f t="shared" si="113"/>
        <v>1.9526890668905299E+17</v>
      </c>
      <c r="L600" s="1">
        <f t="shared" si="114"/>
        <v>7.6415232150982752E+16</v>
      </c>
      <c r="M600" s="3">
        <f t="shared" si="115"/>
        <v>36405993.999953903</v>
      </c>
      <c r="N600" s="7">
        <f t="shared" si="120"/>
        <v>7.64152321509828E+16</v>
      </c>
      <c r="O600" s="7">
        <f t="shared" si="116"/>
        <v>36405993</v>
      </c>
      <c r="P600" s="3">
        <f>SUM($O$4:O600)</f>
        <v>2172901298</v>
      </c>
      <c r="Y600" s="3">
        <f t="shared" si="117"/>
        <v>597</v>
      </c>
      <c r="Z600" s="3">
        <f t="shared" si="118"/>
        <v>2666771934400630</v>
      </c>
      <c r="AB600" s="7">
        <f t="shared" si="119"/>
        <v>13040</v>
      </c>
    </row>
    <row r="601" spans="6:28" x14ac:dyDescent="0.15">
      <c r="F601">
        <f t="shared" si="109"/>
        <v>86</v>
      </c>
      <c r="G601">
        <v>598</v>
      </c>
      <c r="H601">
        <f t="shared" si="110"/>
        <v>1.9526890668905325E+17</v>
      </c>
      <c r="I601">
        <f t="shared" si="111"/>
        <v>1.9526890668905299E+17</v>
      </c>
      <c r="J601" s="1">
        <f t="shared" si="112"/>
        <v>1</v>
      </c>
      <c r="K601" s="1">
        <f t="shared" si="113"/>
        <v>1.9526890668905299E+17</v>
      </c>
      <c r="L601" s="1">
        <f t="shared" si="114"/>
        <v>7.6415232150982752E+16</v>
      </c>
      <c r="M601" s="3">
        <f t="shared" si="115"/>
        <v>36405993.999953903</v>
      </c>
      <c r="N601" s="7">
        <f t="shared" si="120"/>
        <v>7.64152321509828E+16</v>
      </c>
      <c r="O601" s="7">
        <f t="shared" si="116"/>
        <v>36405993</v>
      </c>
      <c r="P601" s="3">
        <f>SUM($O$4:O601)</f>
        <v>2209307291</v>
      </c>
      <c r="Y601" s="3">
        <f t="shared" si="117"/>
        <v>598</v>
      </c>
      <c r="Z601" s="3">
        <f t="shared" si="118"/>
        <v>2804800833517850</v>
      </c>
      <c r="AB601" s="7">
        <f t="shared" si="119"/>
        <v>13040</v>
      </c>
    </row>
    <row r="602" spans="6:28" x14ac:dyDescent="0.15">
      <c r="F602">
        <f t="shared" si="109"/>
        <v>86</v>
      </c>
      <c r="G602">
        <v>599</v>
      </c>
      <c r="H602">
        <f t="shared" si="110"/>
        <v>1.9526890668905325E+17</v>
      </c>
      <c r="I602">
        <f t="shared" si="111"/>
        <v>1.9526890668905299E+17</v>
      </c>
      <c r="J602" s="1">
        <f t="shared" si="112"/>
        <v>1</v>
      </c>
      <c r="K602" s="1">
        <f t="shared" si="113"/>
        <v>1.9526890668905299E+17</v>
      </c>
      <c r="L602" s="1">
        <f t="shared" si="114"/>
        <v>7.6415232150982752E+16</v>
      </c>
      <c r="M602" s="3">
        <f t="shared" si="115"/>
        <v>36405993.999953903</v>
      </c>
      <c r="N602" s="7">
        <f t="shared" si="120"/>
        <v>7.64152321509828E+16</v>
      </c>
      <c r="O602" s="7">
        <f t="shared" si="116"/>
        <v>36405993</v>
      </c>
      <c r="P602" s="3">
        <f>SUM($O$4:O602)</f>
        <v>2245713284</v>
      </c>
      <c r="Y602" s="3">
        <f t="shared" si="117"/>
        <v>599</v>
      </c>
      <c r="Z602" s="3">
        <f t="shared" si="118"/>
        <v>2949965692710790</v>
      </c>
      <c r="AB602" s="7">
        <f t="shared" si="119"/>
        <v>13040</v>
      </c>
    </row>
    <row r="603" spans="6:28" x14ac:dyDescent="0.15">
      <c r="F603">
        <f t="shared" si="109"/>
        <v>86</v>
      </c>
      <c r="G603">
        <v>600</v>
      </c>
      <c r="H603">
        <f t="shared" si="110"/>
        <v>1.9526890668905325E+17</v>
      </c>
      <c r="I603">
        <f t="shared" si="111"/>
        <v>1.9526890668905299E+17</v>
      </c>
      <c r="J603" s="1">
        <f t="shared" si="112"/>
        <v>1</v>
      </c>
      <c r="K603" s="1">
        <f t="shared" si="113"/>
        <v>1.9526890668905299E+17</v>
      </c>
      <c r="L603" s="1">
        <f t="shared" si="114"/>
        <v>7.6415232150982752E+16</v>
      </c>
      <c r="M603" s="3">
        <f t="shared" si="115"/>
        <v>36405993.999953903</v>
      </c>
      <c r="N603" s="7">
        <f t="shared" si="120"/>
        <v>7.64152321509828E+16</v>
      </c>
      <c r="O603" s="7">
        <f t="shared" si="116"/>
        <v>36405993</v>
      </c>
      <c r="P603" s="3">
        <f>SUM($O$4:O603)</f>
        <v>2282119277</v>
      </c>
      <c r="Y603" s="3">
        <f t="shared" si="117"/>
        <v>600</v>
      </c>
      <c r="Z603" s="3">
        <f t="shared" si="118"/>
        <v>3102635035739230</v>
      </c>
      <c r="AB603" s="7">
        <f t="shared" si="119"/>
        <v>13040</v>
      </c>
    </row>
    <row r="604" spans="6:28" x14ac:dyDescent="0.15">
      <c r="F604">
        <f t="shared" si="109"/>
        <v>86</v>
      </c>
      <c r="G604">
        <v>601</v>
      </c>
      <c r="H604">
        <f t="shared" si="110"/>
        <v>1.9526890668905325E+17</v>
      </c>
      <c r="I604">
        <f t="shared" si="111"/>
        <v>1.9526890668905299E+17</v>
      </c>
      <c r="J604" s="1">
        <f t="shared" si="112"/>
        <v>1</v>
      </c>
      <c r="K604" s="1">
        <f t="shared" si="113"/>
        <v>1.9526890668905299E+17</v>
      </c>
      <c r="L604" s="1">
        <f t="shared" si="114"/>
        <v>7.6415232150982752E+16</v>
      </c>
      <c r="M604" s="3">
        <f t="shared" si="115"/>
        <v>36405993.999953903</v>
      </c>
      <c r="N604" s="7">
        <f t="shared" si="120"/>
        <v>7.64152321509828E+16</v>
      </c>
      <c r="O604" s="7">
        <f t="shared" si="116"/>
        <v>36405993</v>
      </c>
      <c r="P604" s="3">
        <f>SUM($O$4:O604)</f>
        <v>2318525270</v>
      </c>
      <c r="Y604" s="3">
        <f t="shared" si="117"/>
        <v>601</v>
      </c>
      <c r="Z604" s="3">
        <f t="shared" si="118"/>
        <v>3263196398838740</v>
      </c>
      <c r="AB604" s="7">
        <f t="shared" si="119"/>
        <v>13040</v>
      </c>
    </row>
    <row r="605" spans="6:28" x14ac:dyDescent="0.15">
      <c r="F605">
        <f t="shared" si="109"/>
        <v>86</v>
      </c>
      <c r="G605">
        <v>602</v>
      </c>
      <c r="H605">
        <f t="shared" si="110"/>
        <v>1.9526890668905325E+17</v>
      </c>
      <c r="I605">
        <f t="shared" si="111"/>
        <v>1.9526890668905299E+17</v>
      </c>
      <c r="J605" s="1">
        <f t="shared" si="112"/>
        <v>2</v>
      </c>
      <c r="K605" s="1">
        <f t="shared" si="113"/>
        <v>3.9053781337810598E+17</v>
      </c>
      <c r="L605" s="1">
        <f t="shared" si="114"/>
        <v>1.528304643019655E+17</v>
      </c>
      <c r="M605" s="3">
        <f t="shared" si="115"/>
        <v>72811987.999907807</v>
      </c>
      <c r="N605" s="7">
        <f t="shared" si="120"/>
        <v>1.5283046430196602E+17</v>
      </c>
      <c r="O605" s="7">
        <f t="shared" si="116"/>
        <v>72811987</v>
      </c>
      <c r="P605" s="3">
        <f>SUM($O$4:O605)</f>
        <v>2391337257</v>
      </c>
      <c r="Y605" s="3">
        <f t="shared" si="117"/>
        <v>602</v>
      </c>
      <c r="Z605" s="3">
        <f t="shared" si="118"/>
        <v>3432057310658840</v>
      </c>
      <c r="AB605" s="7">
        <f t="shared" si="119"/>
        <v>13040</v>
      </c>
    </row>
    <row r="606" spans="6:28" x14ac:dyDescent="0.15">
      <c r="F606">
        <f t="shared" si="109"/>
        <v>87</v>
      </c>
      <c r="G606">
        <v>603</v>
      </c>
      <c r="H606">
        <f t="shared" si="110"/>
        <v>3.0657218350181357E+17</v>
      </c>
      <c r="I606">
        <f t="shared" si="111"/>
        <v>3.0657218350181402E+17</v>
      </c>
      <c r="J606" s="1">
        <f t="shared" si="112"/>
        <v>1</v>
      </c>
      <c r="K606" s="1">
        <f t="shared" si="113"/>
        <v>3.0657218350181402E+17</v>
      </c>
      <c r="L606" s="1">
        <f t="shared" si="114"/>
        <v>1.2089163102754864E+17</v>
      </c>
      <c r="M606" s="3">
        <f t="shared" si="115"/>
        <v>44304296.105395444</v>
      </c>
      <c r="N606" s="7">
        <f t="shared" si="120"/>
        <v>1.2089163102754899E+17</v>
      </c>
      <c r="O606" s="7">
        <f t="shared" si="116"/>
        <v>44304296</v>
      </c>
      <c r="P606" s="3">
        <f>SUM($O$4:O606)</f>
        <v>2435641553</v>
      </c>
      <c r="Y606" s="3">
        <f t="shared" si="117"/>
        <v>603</v>
      </c>
      <c r="Z606" s="3">
        <f t="shared" si="118"/>
        <v>3609646322663870</v>
      </c>
      <c r="AB606" s="7">
        <f t="shared" si="119"/>
        <v>13040</v>
      </c>
    </row>
    <row r="607" spans="6:28" x14ac:dyDescent="0.15">
      <c r="F607">
        <f t="shared" si="109"/>
        <v>87</v>
      </c>
      <c r="G607">
        <v>604</v>
      </c>
      <c r="H607">
        <f t="shared" si="110"/>
        <v>3.0657218350181357E+17</v>
      </c>
      <c r="I607">
        <f t="shared" si="111"/>
        <v>3.0657218350181402E+17</v>
      </c>
      <c r="J607" s="1">
        <f t="shared" si="112"/>
        <v>1</v>
      </c>
      <c r="K607" s="1">
        <f t="shared" si="113"/>
        <v>3.0657218350181402E+17</v>
      </c>
      <c r="L607" s="1">
        <f t="shared" si="114"/>
        <v>1.2089163102754864E+17</v>
      </c>
      <c r="M607" s="3">
        <f t="shared" si="115"/>
        <v>44304296.105395444</v>
      </c>
      <c r="N607" s="7">
        <f t="shared" si="120"/>
        <v>1.2089163102754899E+17</v>
      </c>
      <c r="O607" s="7">
        <f t="shared" si="116"/>
        <v>44304296</v>
      </c>
      <c r="P607" s="3">
        <f>SUM($O$4:O607)</f>
        <v>2479945849</v>
      </c>
      <c r="Y607" s="3">
        <f t="shared" si="117"/>
        <v>604</v>
      </c>
      <c r="Z607" s="3">
        <f t="shared" si="118"/>
        <v>3796414092592740</v>
      </c>
      <c r="AB607" s="7">
        <f t="shared" si="119"/>
        <v>13040</v>
      </c>
    </row>
    <row r="608" spans="6:28" x14ac:dyDescent="0.15">
      <c r="F608">
        <f t="shared" si="109"/>
        <v>87</v>
      </c>
      <c r="G608">
        <v>605</v>
      </c>
      <c r="H608">
        <f t="shared" si="110"/>
        <v>3.0657218350181357E+17</v>
      </c>
      <c r="I608">
        <f t="shared" si="111"/>
        <v>3.0657218350181402E+17</v>
      </c>
      <c r="J608" s="1">
        <f t="shared" si="112"/>
        <v>1</v>
      </c>
      <c r="K608" s="1">
        <f t="shared" si="113"/>
        <v>3.0657218350181402E+17</v>
      </c>
      <c r="L608" s="1">
        <f t="shared" si="114"/>
        <v>1.2089163102754864E+17</v>
      </c>
      <c r="M608" s="3">
        <f t="shared" si="115"/>
        <v>44304296.105395444</v>
      </c>
      <c r="N608" s="7">
        <f t="shared" si="120"/>
        <v>1.2089163102754899E+17</v>
      </c>
      <c r="O608" s="7">
        <f t="shared" si="116"/>
        <v>44304296</v>
      </c>
      <c r="P608" s="3">
        <f>SUM($O$4:O608)</f>
        <v>2524250145</v>
      </c>
      <c r="Y608" s="3">
        <f t="shared" si="117"/>
        <v>605</v>
      </c>
      <c r="Z608" s="3">
        <f t="shared" si="118"/>
        <v>3992834523707850</v>
      </c>
      <c r="AB608" s="7">
        <f t="shared" si="119"/>
        <v>13040</v>
      </c>
    </row>
    <row r="609" spans="6:28" x14ac:dyDescent="0.15">
      <c r="F609">
        <f t="shared" si="109"/>
        <v>87</v>
      </c>
      <c r="G609">
        <v>606</v>
      </c>
      <c r="H609">
        <f t="shared" si="110"/>
        <v>3.0657218350181357E+17</v>
      </c>
      <c r="I609">
        <f t="shared" si="111"/>
        <v>3.0657218350181402E+17</v>
      </c>
      <c r="J609" s="1">
        <f t="shared" si="112"/>
        <v>1</v>
      </c>
      <c r="K609" s="1">
        <f t="shared" si="113"/>
        <v>3.0657218350181402E+17</v>
      </c>
      <c r="L609" s="1">
        <f t="shared" si="114"/>
        <v>1.2089163102754864E+17</v>
      </c>
      <c r="M609" s="3">
        <f t="shared" si="115"/>
        <v>44304296.105395444</v>
      </c>
      <c r="N609" s="7">
        <f t="shared" si="120"/>
        <v>1.2089163102754899E+17</v>
      </c>
      <c r="O609" s="7">
        <f t="shared" si="116"/>
        <v>44304296</v>
      </c>
      <c r="P609" s="3">
        <f>SUM($O$4:O609)</f>
        <v>2568554441</v>
      </c>
      <c r="Y609" s="3">
        <f t="shared" si="117"/>
        <v>606</v>
      </c>
      <c r="Z609" s="3">
        <f t="shared" si="118"/>
        <v>4199405962702980</v>
      </c>
      <c r="AB609" s="7">
        <f t="shared" si="119"/>
        <v>13040</v>
      </c>
    </row>
    <row r="610" spans="6:28" x14ac:dyDescent="0.15">
      <c r="F610">
        <f t="shared" si="109"/>
        <v>87</v>
      </c>
      <c r="G610">
        <v>607</v>
      </c>
      <c r="H610">
        <f t="shared" si="110"/>
        <v>3.0657218350181357E+17</v>
      </c>
      <c r="I610">
        <f t="shared" si="111"/>
        <v>3.0657218350181402E+17</v>
      </c>
      <c r="J610" s="1">
        <f t="shared" si="112"/>
        <v>1</v>
      </c>
      <c r="K610" s="1">
        <f t="shared" si="113"/>
        <v>3.0657218350181402E+17</v>
      </c>
      <c r="L610" s="1">
        <f t="shared" si="114"/>
        <v>1.2089163102754864E+17</v>
      </c>
      <c r="M610" s="3">
        <f t="shared" si="115"/>
        <v>44304296.105395444</v>
      </c>
      <c r="N610" s="7">
        <f t="shared" si="120"/>
        <v>1.2089163102754899E+17</v>
      </c>
      <c r="O610" s="7">
        <f t="shared" si="116"/>
        <v>44304296</v>
      </c>
      <c r="P610" s="3">
        <f>SUM($O$4:O610)</f>
        <v>2612858737</v>
      </c>
      <c r="Y610" s="3">
        <f t="shared" si="117"/>
        <v>607</v>
      </c>
      <c r="Z610" s="3">
        <f t="shared" si="118"/>
        <v>4416652459288360</v>
      </c>
      <c r="AB610" s="7">
        <f t="shared" si="119"/>
        <v>13040</v>
      </c>
    </row>
    <row r="611" spans="6:28" x14ac:dyDescent="0.15">
      <c r="F611">
        <f t="shared" si="109"/>
        <v>87</v>
      </c>
      <c r="G611">
        <v>608</v>
      </c>
      <c r="H611">
        <f t="shared" si="110"/>
        <v>3.0657218350181357E+17</v>
      </c>
      <c r="I611">
        <f t="shared" si="111"/>
        <v>3.0657218350181402E+17</v>
      </c>
      <c r="J611" s="1">
        <f t="shared" si="112"/>
        <v>1</v>
      </c>
      <c r="K611" s="1">
        <f t="shared" si="113"/>
        <v>3.0657218350181402E+17</v>
      </c>
      <c r="L611" s="1">
        <f t="shared" si="114"/>
        <v>1.2089163102754864E+17</v>
      </c>
      <c r="M611" s="3">
        <f t="shared" si="115"/>
        <v>44304296.105395444</v>
      </c>
      <c r="N611" s="7">
        <f t="shared" si="120"/>
        <v>1.2089163102754899E+17</v>
      </c>
      <c r="O611" s="7">
        <f t="shared" si="116"/>
        <v>44304296</v>
      </c>
      <c r="P611" s="3">
        <f>SUM($O$4:O611)</f>
        <v>2657163033</v>
      </c>
      <c r="Y611" s="3">
        <f t="shared" si="117"/>
        <v>608</v>
      </c>
      <c r="Z611" s="3">
        <f t="shared" si="118"/>
        <v>4645125090625510</v>
      </c>
      <c r="AB611" s="7">
        <f t="shared" si="119"/>
        <v>13040</v>
      </c>
    </row>
    <row r="612" spans="6:28" x14ac:dyDescent="0.15">
      <c r="F612">
        <f t="shared" si="109"/>
        <v>87</v>
      </c>
      <c r="G612">
        <v>609</v>
      </c>
      <c r="H612">
        <f t="shared" si="110"/>
        <v>3.0657218350181357E+17</v>
      </c>
      <c r="I612">
        <f t="shared" si="111"/>
        <v>3.0657218350181402E+17</v>
      </c>
      <c r="J612" s="1">
        <f t="shared" si="112"/>
        <v>4</v>
      </c>
      <c r="K612" s="1">
        <f t="shared" si="113"/>
        <v>1.2262887340072561E+18</v>
      </c>
      <c r="L612" s="1">
        <f t="shared" si="114"/>
        <v>4.8356652411019456E+17</v>
      </c>
      <c r="M612" s="3">
        <f t="shared" si="115"/>
        <v>177217184.42158177</v>
      </c>
      <c r="N612" s="7">
        <f t="shared" si="120"/>
        <v>4.8356652411019501E+17</v>
      </c>
      <c r="O612" s="7">
        <f t="shared" si="116"/>
        <v>177217184</v>
      </c>
      <c r="P612" s="3">
        <f>SUM($O$4:O612)</f>
        <v>2834380217</v>
      </c>
      <c r="Y612" s="3">
        <f t="shared" si="117"/>
        <v>609</v>
      </c>
      <c r="Z612" s="3">
        <f t="shared" si="118"/>
        <v>4885403353948170</v>
      </c>
      <c r="AB612" s="7">
        <f t="shared" si="119"/>
        <v>13040</v>
      </c>
    </row>
    <row r="613" spans="6:28" x14ac:dyDescent="0.15">
      <c r="F613">
        <f t="shared" si="109"/>
        <v>88</v>
      </c>
      <c r="G613">
        <v>610</v>
      </c>
      <c r="H613">
        <f t="shared" si="110"/>
        <v>4.8131832809784736E+17</v>
      </c>
      <c r="I613">
        <f t="shared" si="111"/>
        <v>4.8131832809784698E+17</v>
      </c>
      <c r="J613" s="1">
        <f t="shared" si="112"/>
        <v>1</v>
      </c>
      <c r="K613" s="1">
        <f t="shared" si="113"/>
        <v>4.8131832809784698E+17</v>
      </c>
      <c r="L613" s="1">
        <f t="shared" si="114"/>
        <v>1.9124381569754454E+17</v>
      </c>
      <c r="M613" s="3">
        <f t="shared" si="115"/>
        <v>53913018.989193767</v>
      </c>
      <c r="N613" s="7">
        <f t="shared" si="120"/>
        <v>1.9124381569754499E+17</v>
      </c>
      <c r="O613" s="7">
        <f t="shared" si="116"/>
        <v>53913018</v>
      </c>
      <c r="P613" s="3">
        <f>SUM($O$4:O613)</f>
        <v>2888293235</v>
      </c>
      <c r="Y613" s="3">
        <f t="shared" si="117"/>
        <v>610</v>
      </c>
      <c r="Z613" s="3">
        <f t="shared" si="118"/>
        <v>5138096630876520</v>
      </c>
      <c r="AB613" s="7">
        <f t="shared" si="119"/>
        <v>13040</v>
      </c>
    </row>
    <row r="614" spans="6:28" x14ac:dyDescent="0.15">
      <c r="F614">
        <f t="shared" si="109"/>
        <v>88</v>
      </c>
      <c r="G614">
        <v>611</v>
      </c>
      <c r="H614">
        <f t="shared" si="110"/>
        <v>4.8131832809784736E+17</v>
      </c>
      <c r="I614">
        <f t="shared" si="111"/>
        <v>4.8131832809784698E+17</v>
      </c>
      <c r="J614" s="1">
        <f t="shared" si="112"/>
        <v>1</v>
      </c>
      <c r="K614" s="1">
        <f t="shared" si="113"/>
        <v>4.8131832809784698E+17</v>
      </c>
      <c r="L614" s="1">
        <f t="shared" si="114"/>
        <v>1.9124381569754454E+17</v>
      </c>
      <c r="M614" s="3">
        <f t="shared" si="115"/>
        <v>53913018.989193767</v>
      </c>
      <c r="N614" s="7">
        <f t="shared" si="120"/>
        <v>1.9124381569754499E+17</v>
      </c>
      <c r="O614" s="7">
        <f t="shared" si="116"/>
        <v>53913018</v>
      </c>
      <c r="P614" s="3">
        <f>SUM($O$4:O614)</f>
        <v>2942206253</v>
      </c>
      <c r="Y614" s="3">
        <f t="shared" si="117"/>
        <v>611</v>
      </c>
      <c r="Z614" s="3">
        <f t="shared" si="118"/>
        <v>5403845727112840</v>
      </c>
      <c r="AB614" s="7">
        <f t="shared" si="119"/>
        <v>13040</v>
      </c>
    </row>
    <row r="615" spans="6:28" x14ac:dyDescent="0.15">
      <c r="F615">
        <f t="shared" si="109"/>
        <v>88</v>
      </c>
      <c r="G615">
        <v>612</v>
      </c>
      <c r="H615">
        <f t="shared" si="110"/>
        <v>4.8131832809784736E+17</v>
      </c>
      <c r="I615">
        <f t="shared" si="111"/>
        <v>4.8131832809784698E+17</v>
      </c>
      <c r="J615" s="1">
        <f t="shared" si="112"/>
        <v>1</v>
      </c>
      <c r="K615" s="1">
        <f t="shared" si="113"/>
        <v>4.8131832809784698E+17</v>
      </c>
      <c r="L615" s="1">
        <f t="shared" si="114"/>
        <v>1.9124381569754454E+17</v>
      </c>
      <c r="M615" s="3">
        <f t="shared" si="115"/>
        <v>53913018.989193767</v>
      </c>
      <c r="N615" s="7">
        <f t="shared" si="120"/>
        <v>1.9124381569754499E+17</v>
      </c>
      <c r="O615" s="7">
        <f t="shared" si="116"/>
        <v>53913018</v>
      </c>
      <c r="P615" s="3">
        <f>SUM($O$4:O615)</f>
        <v>2996119271</v>
      </c>
      <c r="Y615" s="3">
        <f t="shared" si="117"/>
        <v>612</v>
      </c>
      <c r="Z615" s="3">
        <f t="shared" si="118"/>
        <v>5683324491395600</v>
      </c>
      <c r="AB615" s="7">
        <f t="shared" si="119"/>
        <v>13040</v>
      </c>
    </row>
    <row r="616" spans="6:28" x14ac:dyDescent="0.15">
      <c r="F616">
        <f t="shared" si="109"/>
        <v>88</v>
      </c>
      <c r="G616">
        <v>613</v>
      </c>
      <c r="H616">
        <f t="shared" si="110"/>
        <v>4.8131832809784736E+17</v>
      </c>
      <c r="I616">
        <f t="shared" si="111"/>
        <v>4.8131832809784698E+17</v>
      </c>
      <c r="J616" s="1">
        <f t="shared" si="112"/>
        <v>1</v>
      </c>
      <c r="K616" s="1">
        <f t="shared" si="113"/>
        <v>4.8131832809784698E+17</v>
      </c>
      <c r="L616" s="1">
        <f t="shared" si="114"/>
        <v>1.9124381569754454E+17</v>
      </c>
      <c r="M616" s="3">
        <f t="shared" si="115"/>
        <v>53913018.989193767</v>
      </c>
      <c r="N616" s="7">
        <f t="shared" si="120"/>
        <v>1.9124381569754499E+17</v>
      </c>
      <c r="O616" s="7">
        <f t="shared" si="116"/>
        <v>53913018</v>
      </c>
      <c r="P616" s="3">
        <f>SUM($O$4:O616)</f>
        <v>3050032289</v>
      </c>
      <c r="Y616" s="3">
        <f t="shared" si="117"/>
        <v>613</v>
      </c>
      <c r="Z616" s="3">
        <f t="shared" si="118"/>
        <v>5977241517788850</v>
      </c>
      <c r="AB616" s="7">
        <f t="shared" si="119"/>
        <v>13040</v>
      </c>
    </row>
    <row r="617" spans="6:28" x14ac:dyDescent="0.15">
      <c r="F617">
        <f t="shared" si="109"/>
        <v>88</v>
      </c>
      <c r="G617">
        <v>614</v>
      </c>
      <c r="H617">
        <f t="shared" si="110"/>
        <v>4.8131832809784736E+17</v>
      </c>
      <c r="I617">
        <f t="shared" si="111"/>
        <v>4.8131832809784698E+17</v>
      </c>
      <c r="J617" s="1">
        <f t="shared" si="112"/>
        <v>1</v>
      </c>
      <c r="K617" s="1">
        <f t="shared" si="113"/>
        <v>4.8131832809784698E+17</v>
      </c>
      <c r="L617" s="1">
        <f t="shared" si="114"/>
        <v>1.9124381569754454E+17</v>
      </c>
      <c r="M617" s="3">
        <f t="shared" si="115"/>
        <v>53913018.989193767</v>
      </c>
      <c r="N617" s="7">
        <f t="shared" si="120"/>
        <v>1.9124381569754499E+17</v>
      </c>
      <c r="O617" s="7">
        <f t="shared" si="116"/>
        <v>53913018</v>
      </c>
      <c r="P617" s="3">
        <f>SUM($O$4:O617)</f>
        <v>3103945307</v>
      </c>
      <c r="Y617" s="3">
        <f t="shared" si="117"/>
        <v>614</v>
      </c>
      <c r="Z617" s="3">
        <f t="shared" si="118"/>
        <v>6286341935592940</v>
      </c>
      <c r="AB617" s="7">
        <f t="shared" si="119"/>
        <v>13040</v>
      </c>
    </row>
    <row r="618" spans="6:28" x14ac:dyDescent="0.15">
      <c r="F618">
        <f t="shared" si="109"/>
        <v>88</v>
      </c>
      <c r="G618">
        <v>615</v>
      </c>
      <c r="H618">
        <f t="shared" si="110"/>
        <v>4.8131832809784736E+17</v>
      </c>
      <c r="I618">
        <f t="shared" si="111"/>
        <v>4.8131832809784698E+17</v>
      </c>
      <c r="J618" s="1">
        <f t="shared" si="112"/>
        <v>1</v>
      </c>
      <c r="K618" s="1">
        <f t="shared" si="113"/>
        <v>4.8131832809784698E+17</v>
      </c>
      <c r="L618" s="1">
        <f t="shared" si="114"/>
        <v>1.9124381569754454E+17</v>
      </c>
      <c r="M618" s="3">
        <f t="shared" si="115"/>
        <v>53913018.989193767</v>
      </c>
      <c r="N618" s="7">
        <f t="shared" si="120"/>
        <v>1.9124381569754499E+17</v>
      </c>
      <c r="O618" s="7">
        <f t="shared" si="116"/>
        <v>53913018</v>
      </c>
      <c r="P618" s="3">
        <f>SUM($O$4:O618)</f>
        <v>3157858325</v>
      </c>
      <c r="Y618" s="3">
        <f t="shared" si="117"/>
        <v>615</v>
      </c>
      <c r="Z618" s="3">
        <f t="shared" si="118"/>
        <v>6611409291382960</v>
      </c>
      <c r="AB618" s="7">
        <f t="shared" si="119"/>
        <v>13040</v>
      </c>
    </row>
    <row r="619" spans="6:28" x14ac:dyDescent="0.15">
      <c r="F619">
        <f t="shared" si="109"/>
        <v>88</v>
      </c>
      <c r="G619">
        <v>616</v>
      </c>
      <c r="H619">
        <f t="shared" si="110"/>
        <v>4.8131832809784736E+17</v>
      </c>
      <c r="I619">
        <f t="shared" si="111"/>
        <v>4.8131832809784698E+17</v>
      </c>
      <c r="J619" s="1">
        <f t="shared" si="112"/>
        <v>6</v>
      </c>
      <c r="K619" s="1">
        <f t="shared" si="113"/>
        <v>2.8879099685870817E+18</v>
      </c>
      <c r="L619" s="1">
        <f t="shared" si="114"/>
        <v>1.1474628941852672E+18</v>
      </c>
      <c r="M619" s="3">
        <f t="shared" si="115"/>
        <v>323478113.9351626</v>
      </c>
      <c r="N619" s="7">
        <f t="shared" si="120"/>
        <v>1.14746289418527E+18</v>
      </c>
      <c r="O619" s="7">
        <f t="shared" si="116"/>
        <v>323478113</v>
      </c>
      <c r="P619" s="3">
        <f>SUM($O$4:O619)</f>
        <v>3481336438</v>
      </c>
      <c r="Y619" s="3">
        <f t="shared" si="117"/>
        <v>616</v>
      </c>
      <c r="Z619" s="3">
        <f t="shared" si="118"/>
        <v>6953267527913010</v>
      </c>
      <c r="AB619" s="7">
        <f t="shared" si="119"/>
        <v>13040</v>
      </c>
    </row>
    <row r="620" spans="6:28" x14ac:dyDescent="0.15">
      <c r="F620">
        <f t="shared" si="109"/>
        <v>89</v>
      </c>
      <c r="G620">
        <v>617</v>
      </c>
      <c r="H620">
        <f t="shared" si="110"/>
        <v>7.5566977511362035E+17</v>
      </c>
      <c r="I620">
        <f t="shared" si="111"/>
        <v>7.5566977511361997E+17</v>
      </c>
      <c r="J620" s="1">
        <f t="shared" si="112"/>
        <v>1</v>
      </c>
      <c r="K620" s="1">
        <f t="shared" si="113"/>
        <v>7.5566977511361997E+17</v>
      </c>
      <c r="L620" s="1">
        <f t="shared" si="114"/>
        <v>3.0251979997048589E+17</v>
      </c>
      <c r="M620" s="3">
        <f t="shared" si="115"/>
        <v>65601943.221124232</v>
      </c>
      <c r="N620" s="7">
        <f t="shared" si="120"/>
        <v>3.0251979997048602E+17</v>
      </c>
      <c r="O620" s="7">
        <f t="shared" si="116"/>
        <v>65601943</v>
      </c>
      <c r="P620" s="3">
        <f>SUM($O$4:O620)</f>
        <v>3546938381</v>
      </c>
      <c r="Y620" s="3">
        <f t="shared" si="117"/>
        <v>617</v>
      </c>
      <c r="Z620" s="3">
        <f t="shared" si="118"/>
        <v>7312783064867600</v>
      </c>
      <c r="AB620" s="7">
        <f t="shared" si="119"/>
        <v>13040</v>
      </c>
    </row>
    <row r="621" spans="6:28" x14ac:dyDescent="0.15">
      <c r="F621">
        <f t="shared" si="109"/>
        <v>89</v>
      </c>
      <c r="G621">
        <v>618</v>
      </c>
      <c r="H621">
        <f t="shared" si="110"/>
        <v>7.5566977511362035E+17</v>
      </c>
      <c r="I621">
        <f t="shared" si="111"/>
        <v>7.5566977511361997E+17</v>
      </c>
      <c r="J621" s="1">
        <f t="shared" si="112"/>
        <v>1</v>
      </c>
      <c r="K621" s="1">
        <f t="shared" si="113"/>
        <v>7.5566977511361997E+17</v>
      </c>
      <c r="L621" s="1">
        <f t="shared" si="114"/>
        <v>3.0251979997048589E+17</v>
      </c>
      <c r="M621" s="3">
        <f t="shared" si="115"/>
        <v>65601943.221124232</v>
      </c>
      <c r="N621" s="7">
        <f t="shared" si="120"/>
        <v>3.0251979997048602E+17</v>
      </c>
      <c r="O621" s="7">
        <f t="shared" si="116"/>
        <v>65601943</v>
      </c>
      <c r="P621" s="3">
        <f>SUM($O$4:O621)</f>
        <v>3612540324</v>
      </c>
      <c r="Y621" s="3">
        <f t="shared" si="117"/>
        <v>618</v>
      </c>
      <c r="Z621" s="3">
        <f t="shared" si="118"/>
        <v>7690866986697870</v>
      </c>
      <c r="AB621" s="7">
        <f t="shared" si="119"/>
        <v>13040</v>
      </c>
    </row>
    <row r="622" spans="6:28" x14ac:dyDescent="0.15">
      <c r="F622">
        <f t="shared" si="109"/>
        <v>89</v>
      </c>
      <c r="G622">
        <v>619</v>
      </c>
      <c r="H622">
        <f t="shared" si="110"/>
        <v>7.5566977511362035E+17</v>
      </c>
      <c r="I622">
        <f t="shared" si="111"/>
        <v>7.5566977511361997E+17</v>
      </c>
      <c r="J622" s="1">
        <f t="shared" si="112"/>
        <v>1</v>
      </c>
      <c r="K622" s="1">
        <f t="shared" si="113"/>
        <v>7.5566977511361997E+17</v>
      </c>
      <c r="L622" s="1">
        <f t="shared" si="114"/>
        <v>3.0251979997048589E+17</v>
      </c>
      <c r="M622" s="3">
        <f t="shared" si="115"/>
        <v>65601943.221124232</v>
      </c>
      <c r="N622" s="7">
        <f t="shared" si="120"/>
        <v>3.0251979997048602E+17</v>
      </c>
      <c r="O622" s="7">
        <f t="shared" si="116"/>
        <v>65601943</v>
      </c>
      <c r="P622" s="3">
        <f>SUM($O$4:O622)</f>
        <v>3678142267</v>
      </c>
      <c r="Y622" s="3">
        <f t="shared" si="117"/>
        <v>619</v>
      </c>
      <c r="Z622" s="3">
        <f t="shared" si="118"/>
        <v>8088477343049000</v>
      </c>
      <c r="AB622" s="7">
        <f t="shared" si="119"/>
        <v>13040</v>
      </c>
    </row>
    <row r="623" spans="6:28" x14ac:dyDescent="0.15">
      <c r="F623">
        <f t="shared" si="109"/>
        <v>89</v>
      </c>
      <c r="G623">
        <v>620</v>
      </c>
      <c r="H623">
        <f t="shared" si="110"/>
        <v>7.5566977511362035E+17</v>
      </c>
      <c r="I623">
        <f t="shared" si="111"/>
        <v>7.5566977511361997E+17</v>
      </c>
      <c r="J623" s="1">
        <f t="shared" si="112"/>
        <v>1</v>
      </c>
      <c r="K623" s="1">
        <f t="shared" si="113"/>
        <v>7.5566977511361997E+17</v>
      </c>
      <c r="L623" s="1">
        <f t="shared" si="114"/>
        <v>3.0251979997048589E+17</v>
      </c>
      <c r="M623" s="3">
        <f t="shared" si="115"/>
        <v>65601943.221124232</v>
      </c>
      <c r="N623" s="7">
        <f t="shared" si="120"/>
        <v>3.0251979997048602E+17</v>
      </c>
      <c r="O623" s="7">
        <f t="shared" si="116"/>
        <v>65601943</v>
      </c>
      <c r="P623" s="3">
        <f>SUM($O$4:O623)</f>
        <v>3743744210</v>
      </c>
      <c r="Y623" s="3">
        <f t="shared" si="117"/>
        <v>620</v>
      </c>
      <c r="Z623" s="3">
        <f t="shared" si="118"/>
        <v>8506621567568500</v>
      </c>
      <c r="AB623" s="7">
        <f t="shared" si="119"/>
        <v>13040</v>
      </c>
    </row>
    <row r="624" spans="6:28" x14ac:dyDescent="0.15">
      <c r="F624">
        <f t="shared" si="109"/>
        <v>89</v>
      </c>
      <c r="G624">
        <v>621</v>
      </c>
      <c r="H624">
        <f t="shared" si="110"/>
        <v>7.5566977511362035E+17</v>
      </c>
      <c r="I624">
        <f t="shared" si="111"/>
        <v>7.5566977511361997E+17</v>
      </c>
      <c r="J624" s="1">
        <f t="shared" si="112"/>
        <v>1</v>
      </c>
      <c r="K624" s="1">
        <f t="shared" si="113"/>
        <v>7.5566977511361997E+17</v>
      </c>
      <c r="L624" s="1">
        <f t="shared" si="114"/>
        <v>3.0251979997048589E+17</v>
      </c>
      <c r="M624" s="3">
        <f t="shared" si="115"/>
        <v>65601943.221124232</v>
      </c>
      <c r="N624" s="7">
        <f t="shared" si="120"/>
        <v>3.0251979997048602E+17</v>
      </c>
      <c r="O624" s="7">
        <f t="shared" si="116"/>
        <v>65601943</v>
      </c>
      <c r="P624" s="3">
        <f>SUM($O$4:O624)</f>
        <v>3809346153</v>
      </c>
      <c r="Y624" s="3">
        <f t="shared" si="117"/>
        <v>621</v>
      </c>
      <c r="Z624" s="3">
        <f t="shared" si="118"/>
        <v>8946359021182320</v>
      </c>
      <c r="AB624" s="7">
        <f t="shared" si="119"/>
        <v>13040</v>
      </c>
    </row>
    <row r="625" spans="6:28" x14ac:dyDescent="0.15">
      <c r="F625">
        <f t="shared" si="109"/>
        <v>89</v>
      </c>
      <c r="G625">
        <v>622</v>
      </c>
      <c r="H625">
        <f t="shared" si="110"/>
        <v>7.5566977511362035E+17</v>
      </c>
      <c r="I625">
        <f t="shared" si="111"/>
        <v>7.5566977511361997E+17</v>
      </c>
      <c r="J625" s="1">
        <f t="shared" si="112"/>
        <v>1</v>
      </c>
      <c r="K625" s="1">
        <f t="shared" si="113"/>
        <v>7.5566977511361997E+17</v>
      </c>
      <c r="L625" s="1">
        <f t="shared" si="114"/>
        <v>3.0251979997048589E+17</v>
      </c>
      <c r="M625" s="3">
        <f t="shared" si="115"/>
        <v>65601943.221124232</v>
      </c>
      <c r="N625" s="7">
        <f t="shared" si="120"/>
        <v>3.0251979997048602E+17</v>
      </c>
      <c r="O625" s="7">
        <f t="shared" si="116"/>
        <v>65601943</v>
      </c>
      <c r="P625" s="3">
        <f>SUM($O$4:O625)</f>
        <v>3874948096</v>
      </c>
      <c r="Y625" s="3">
        <f t="shared" si="117"/>
        <v>622</v>
      </c>
      <c r="Z625" s="3">
        <f t="shared" si="118"/>
        <v>9408803666238600</v>
      </c>
      <c r="AB625" s="7">
        <f t="shared" si="119"/>
        <v>13040</v>
      </c>
    </row>
    <row r="626" spans="6:28" x14ac:dyDescent="0.15">
      <c r="F626">
        <f t="shared" si="109"/>
        <v>89</v>
      </c>
      <c r="G626">
        <v>623</v>
      </c>
      <c r="H626">
        <f t="shared" si="110"/>
        <v>7.5566977511362035E+17</v>
      </c>
      <c r="I626">
        <f t="shared" si="111"/>
        <v>7.5566977511361997E+17</v>
      </c>
      <c r="J626" s="1">
        <f t="shared" si="112"/>
        <v>7</v>
      </c>
      <c r="K626" s="1">
        <f t="shared" si="113"/>
        <v>5.2896884257953403E+18</v>
      </c>
      <c r="L626" s="1">
        <f t="shared" si="114"/>
        <v>2.1176385997934016E+18</v>
      </c>
      <c r="M626" s="3">
        <f t="shared" si="115"/>
        <v>459213602.5478698</v>
      </c>
      <c r="N626" s="7">
        <f t="shared" si="120"/>
        <v>2.1176385997934001E+18</v>
      </c>
      <c r="O626" s="7">
        <f t="shared" si="116"/>
        <v>459213602</v>
      </c>
      <c r="P626" s="3">
        <f>SUM($O$4:O626)</f>
        <v>4334161698</v>
      </c>
      <c r="Y626" s="3">
        <f t="shared" si="117"/>
        <v>623</v>
      </c>
      <c r="Z626" s="3">
        <f t="shared" si="118"/>
        <v>9895126878247560</v>
      </c>
      <c r="AB626" s="7">
        <f t="shared" si="119"/>
        <v>13040</v>
      </c>
    </row>
    <row r="627" spans="6:28" x14ac:dyDescent="0.15">
      <c r="F627">
        <f t="shared" si="109"/>
        <v>90</v>
      </c>
      <c r="G627">
        <v>624</v>
      </c>
      <c r="H627">
        <f t="shared" si="110"/>
        <v>1.186401546928384E+18</v>
      </c>
      <c r="I627">
        <f t="shared" si="111"/>
        <v>1.1864015469283799E+18</v>
      </c>
      <c r="J627" s="1">
        <f t="shared" si="112"/>
        <v>1</v>
      </c>
      <c r="K627" s="1">
        <f t="shared" si="113"/>
        <v>1.1864015469283799E+18</v>
      </c>
      <c r="L627" s="1">
        <f t="shared" si="114"/>
        <v>4.7851529059444659E+17</v>
      </c>
      <c r="M627" s="3">
        <f t="shared" si="115"/>
        <v>79820669.658085793</v>
      </c>
      <c r="N627" s="7">
        <f t="shared" si="120"/>
        <v>4.7851529059444698E+17</v>
      </c>
      <c r="O627" s="7">
        <f t="shared" si="116"/>
        <v>79820669</v>
      </c>
      <c r="P627" s="3">
        <f>SUM($O$4:O627)</f>
        <v>4413982367</v>
      </c>
      <c r="Y627" s="3">
        <f t="shared" si="117"/>
        <v>624</v>
      </c>
      <c r="Z627" s="3">
        <f t="shared" si="118"/>
        <v>1.04065604022918E+16</v>
      </c>
      <c r="AB627" s="7">
        <f t="shared" si="119"/>
        <v>13040</v>
      </c>
    </row>
    <row r="628" spans="6:28" x14ac:dyDescent="0.15">
      <c r="F628">
        <f t="shared" si="109"/>
        <v>90</v>
      </c>
      <c r="G628">
        <v>625</v>
      </c>
      <c r="H628">
        <f t="shared" si="110"/>
        <v>1.186401546928384E+18</v>
      </c>
      <c r="I628">
        <f t="shared" si="111"/>
        <v>1.1864015469283799E+18</v>
      </c>
      <c r="J628" s="1">
        <f t="shared" si="112"/>
        <v>1</v>
      </c>
      <c r="K628" s="1">
        <f t="shared" si="113"/>
        <v>1.1864015469283799E+18</v>
      </c>
      <c r="L628" s="1">
        <f t="shared" si="114"/>
        <v>4.7851529059444659E+17</v>
      </c>
      <c r="M628" s="3">
        <f t="shared" si="115"/>
        <v>79820669.658085793</v>
      </c>
      <c r="N628" s="7">
        <f t="shared" si="120"/>
        <v>4.7851529059444698E+17</v>
      </c>
      <c r="O628" s="7">
        <f t="shared" si="116"/>
        <v>79820669</v>
      </c>
      <c r="P628" s="3">
        <f>SUM($O$4:O628)</f>
        <v>4493803036</v>
      </c>
      <c r="Y628" s="3">
        <f t="shared" si="117"/>
        <v>625</v>
      </c>
      <c r="Z628" s="3">
        <f t="shared" si="118"/>
        <v>1.09443994615449E+16</v>
      </c>
      <c r="AB628" s="7">
        <f t="shared" si="119"/>
        <v>13040</v>
      </c>
    </row>
    <row r="629" spans="6:28" x14ac:dyDescent="0.15">
      <c r="F629">
        <f t="shared" si="109"/>
        <v>90</v>
      </c>
      <c r="G629">
        <v>626</v>
      </c>
      <c r="H629">
        <f t="shared" si="110"/>
        <v>1.186401546928384E+18</v>
      </c>
      <c r="I629">
        <f t="shared" si="111"/>
        <v>1.1864015469283799E+18</v>
      </c>
      <c r="J629" s="1">
        <f t="shared" si="112"/>
        <v>1</v>
      </c>
      <c r="K629" s="1">
        <f t="shared" si="113"/>
        <v>1.1864015469283799E+18</v>
      </c>
      <c r="L629" s="1">
        <f t="shared" si="114"/>
        <v>4.7851529059444659E+17</v>
      </c>
      <c r="M629" s="3">
        <f t="shared" si="115"/>
        <v>79820669.658085793</v>
      </c>
      <c r="N629" s="7">
        <f t="shared" si="120"/>
        <v>4.7851529059444698E+17</v>
      </c>
      <c r="O629" s="7">
        <f t="shared" si="116"/>
        <v>79820669</v>
      </c>
      <c r="P629" s="3">
        <f>SUM($O$4:O629)</f>
        <v>4573623705</v>
      </c>
      <c r="Y629" s="3">
        <f t="shared" si="117"/>
        <v>626</v>
      </c>
      <c r="Z629" s="3">
        <f t="shared" si="118"/>
        <v>1.15100060257175E+16</v>
      </c>
      <c r="AB629" s="7">
        <f t="shared" si="119"/>
        <v>13040</v>
      </c>
    </row>
    <row r="630" spans="6:28" x14ac:dyDescent="0.15">
      <c r="F630">
        <f t="shared" si="109"/>
        <v>90</v>
      </c>
      <c r="G630">
        <v>627</v>
      </c>
      <c r="H630">
        <f t="shared" si="110"/>
        <v>1.186401546928384E+18</v>
      </c>
      <c r="I630">
        <f t="shared" si="111"/>
        <v>1.1864015469283799E+18</v>
      </c>
      <c r="J630" s="1">
        <f t="shared" si="112"/>
        <v>1</v>
      </c>
      <c r="K630" s="1">
        <f t="shared" si="113"/>
        <v>1.1864015469283799E+18</v>
      </c>
      <c r="L630" s="1">
        <f t="shared" si="114"/>
        <v>4.7851529059444659E+17</v>
      </c>
      <c r="M630" s="3">
        <f t="shared" si="115"/>
        <v>79820669.658085793</v>
      </c>
      <c r="N630" s="7">
        <f t="shared" si="120"/>
        <v>4.7851529059444698E+17</v>
      </c>
      <c r="O630" s="7">
        <f t="shared" si="116"/>
        <v>79820669</v>
      </c>
      <c r="P630" s="3">
        <f>SUM($O$4:O630)</f>
        <v>4653444374</v>
      </c>
      <c r="Y630" s="3">
        <f t="shared" si="117"/>
        <v>627</v>
      </c>
      <c r="Z630" s="3">
        <f t="shared" si="118"/>
        <v>1.21048122476536E+16</v>
      </c>
      <c r="AB630" s="7">
        <f t="shared" si="119"/>
        <v>13040</v>
      </c>
    </row>
    <row r="631" spans="6:28" x14ac:dyDescent="0.15">
      <c r="F631">
        <f t="shared" si="109"/>
        <v>90</v>
      </c>
      <c r="G631">
        <v>628</v>
      </c>
      <c r="H631">
        <f t="shared" si="110"/>
        <v>1.186401546928384E+18</v>
      </c>
      <c r="I631">
        <f t="shared" si="111"/>
        <v>1.1864015469283799E+18</v>
      </c>
      <c r="J631" s="1">
        <f t="shared" si="112"/>
        <v>1</v>
      </c>
      <c r="K631" s="1">
        <f t="shared" si="113"/>
        <v>1.1864015469283799E+18</v>
      </c>
      <c r="L631" s="1">
        <f t="shared" si="114"/>
        <v>4.7851529059444659E+17</v>
      </c>
      <c r="M631" s="3">
        <f t="shared" si="115"/>
        <v>79820669.658085793</v>
      </c>
      <c r="N631" s="7">
        <f t="shared" si="120"/>
        <v>4.7851529059444698E+17</v>
      </c>
      <c r="O631" s="7">
        <f t="shared" si="116"/>
        <v>79820669</v>
      </c>
      <c r="P631" s="3">
        <f>SUM($O$4:O631)</f>
        <v>4733265043</v>
      </c>
      <c r="Y631" s="3">
        <f t="shared" si="117"/>
        <v>628</v>
      </c>
      <c r="Z631" s="3">
        <f t="shared" si="118"/>
        <v>1.27303240767189E+16</v>
      </c>
      <c r="AB631" s="7">
        <f t="shared" si="119"/>
        <v>13040</v>
      </c>
    </row>
    <row r="632" spans="6:28" x14ac:dyDescent="0.15">
      <c r="F632">
        <f t="shared" si="109"/>
        <v>90</v>
      </c>
      <c r="G632">
        <v>629</v>
      </c>
      <c r="H632">
        <f t="shared" si="110"/>
        <v>1.186401546928384E+18</v>
      </c>
      <c r="I632">
        <f t="shared" si="111"/>
        <v>1.1864015469283799E+18</v>
      </c>
      <c r="J632" s="1">
        <f t="shared" si="112"/>
        <v>1</v>
      </c>
      <c r="K632" s="1">
        <f t="shared" si="113"/>
        <v>1.1864015469283799E+18</v>
      </c>
      <c r="L632" s="1">
        <f t="shared" si="114"/>
        <v>4.7851529059444659E+17</v>
      </c>
      <c r="M632" s="3">
        <f t="shared" si="115"/>
        <v>79820669.658085793</v>
      </c>
      <c r="N632" s="7">
        <f t="shared" si="120"/>
        <v>4.7851529059444698E+17</v>
      </c>
      <c r="O632" s="7">
        <f t="shared" si="116"/>
        <v>79820669</v>
      </c>
      <c r="P632" s="3">
        <f>SUM($O$4:O632)</f>
        <v>4813085712</v>
      </c>
      <c r="Y632" s="3">
        <f t="shared" si="117"/>
        <v>629</v>
      </c>
      <c r="Z632" s="3">
        <f t="shared" si="118"/>
        <v>1.33881250580717E+16</v>
      </c>
      <c r="AB632" s="7">
        <f t="shared" si="119"/>
        <v>13040</v>
      </c>
    </row>
    <row r="633" spans="6:28" x14ac:dyDescent="0.15">
      <c r="F633">
        <f t="shared" si="109"/>
        <v>90</v>
      </c>
      <c r="G633">
        <v>630</v>
      </c>
      <c r="H633">
        <f t="shared" si="110"/>
        <v>1.186401546928384E+18</v>
      </c>
      <c r="I633">
        <f t="shared" si="111"/>
        <v>1.1864015469283799E+18</v>
      </c>
      <c r="J633" s="1">
        <f t="shared" si="112"/>
        <v>10</v>
      </c>
      <c r="K633" s="1">
        <f t="shared" si="113"/>
        <v>1.1864015469283799E+19</v>
      </c>
      <c r="L633" s="1">
        <f t="shared" si="114"/>
        <v>4.7851529059444654E+18</v>
      </c>
      <c r="M633" s="3">
        <f t="shared" si="115"/>
        <v>798206696.58085787</v>
      </c>
      <c r="N633" s="7">
        <f t="shared" si="120"/>
        <v>4.7851529059444695E+18</v>
      </c>
      <c r="O633" s="7">
        <f t="shared" si="116"/>
        <v>798206696</v>
      </c>
      <c r="P633" s="3">
        <f>SUM($O$4:O633)</f>
        <v>5611292408</v>
      </c>
      <c r="Y633" s="3">
        <f t="shared" si="117"/>
        <v>630</v>
      </c>
      <c r="Z633" s="3">
        <f t="shared" si="118"/>
        <v>1.40798803273679E+16</v>
      </c>
      <c r="AB633" s="7">
        <f t="shared" si="119"/>
        <v>13040</v>
      </c>
    </row>
    <row r="634" spans="6:28" x14ac:dyDescent="0.15">
      <c r="F634">
        <f t="shared" si="109"/>
        <v>91</v>
      </c>
      <c r="G634">
        <v>631</v>
      </c>
      <c r="H634">
        <f t="shared" si="110"/>
        <v>1.8626504286775631E+18</v>
      </c>
      <c r="I634">
        <f t="shared" si="111"/>
        <v>1.8626504286775601E+18</v>
      </c>
      <c r="J634" s="1">
        <f t="shared" si="112"/>
        <v>1</v>
      </c>
      <c r="K634" s="1">
        <f t="shared" si="113"/>
        <v>1.8626504286775601E+18</v>
      </c>
      <c r="L634" s="1">
        <f t="shared" si="114"/>
        <v>7.5685695751931533E+17</v>
      </c>
      <c r="M634" s="3">
        <f t="shared" si="115"/>
        <v>97115824.673702866</v>
      </c>
      <c r="N634" s="7">
        <f t="shared" si="120"/>
        <v>7.5685695751931494E+17</v>
      </c>
      <c r="O634" s="7">
        <f t="shared" si="116"/>
        <v>97115824</v>
      </c>
      <c r="P634" s="3">
        <f>SUM($O$4:O634)</f>
        <v>5708408232</v>
      </c>
      <c r="Y634" s="3">
        <f t="shared" si="117"/>
        <v>631</v>
      </c>
      <c r="Z634" s="3">
        <f t="shared" si="118"/>
        <v>1.48073408109486E+16</v>
      </c>
      <c r="AB634" s="7">
        <f t="shared" si="119"/>
        <v>13040</v>
      </c>
    </row>
    <row r="635" spans="6:28" x14ac:dyDescent="0.15">
      <c r="F635">
        <f t="shared" si="109"/>
        <v>91</v>
      </c>
      <c r="G635">
        <v>632</v>
      </c>
      <c r="H635">
        <f t="shared" si="110"/>
        <v>1.8626504286775631E+18</v>
      </c>
      <c r="I635">
        <f t="shared" si="111"/>
        <v>1.8626504286775601E+18</v>
      </c>
      <c r="J635" s="1">
        <f t="shared" si="112"/>
        <v>1</v>
      </c>
      <c r="K635" s="1">
        <f t="shared" si="113"/>
        <v>1.8626504286775601E+18</v>
      </c>
      <c r="L635" s="1">
        <f t="shared" si="114"/>
        <v>7.5685695751931533E+17</v>
      </c>
      <c r="M635" s="3">
        <f t="shared" si="115"/>
        <v>97115824.673702866</v>
      </c>
      <c r="N635" s="7">
        <f t="shared" si="120"/>
        <v>7.5685695751931494E+17</v>
      </c>
      <c r="O635" s="7">
        <f t="shared" si="116"/>
        <v>97115824</v>
      </c>
      <c r="P635" s="3">
        <f>SUM($O$4:O635)</f>
        <v>5805524056</v>
      </c>
      <c r="Y635" s="3">
        <f t="shared" si="117"/>
        <v>632</v>
      </c>
      <c r="Z635" s="3">
        <f t="shared" si="118"/>
        <v>1.55723476420689E+16</v>
      </c>
      <c r="AB635" s="7">
        <f t="shared" si="119"/>
        <v>13040</v>
      </c>
    </row>
    <row r="636" spans="6:28" x14ac:dyDescent="0.15">
      <c r="F636">
        <f t="shared" si="109"/>
        <v>91</v>
      </c>
      <c r="G636">
        <v>633</v>
      </c>
      <c r="H636">
        <f t="shared" si="110"/>
        <v>1.8626504286775631E+18</v>
      </c>
      <c r="I636">
        <f t="shared" si="111"/>
        <v>1.8626504286775601E+18</v>
      </c>
      <c r="J636" s="1">
        <f t="shared" si="112"/>
        <v>1</v>
      </c>
      <c r="K636" s="1">
        <f t="shared" si="113"/>
        <v>1.8626504286775601E+18</v>
      </c>
      <c r="L636" s="1">
        <f t="shared" si="114"/>
        <v>7.5685695751931533E+17</v>
      </c>
      <c r="M636" s="3">
        <f t="shared" si="115"/>
        <v>97115824.673702866</v>
      </c>
      <c r="N636" s="7">
        <f t="shared" si="120"/>
        <v>7.5685695751931494E+17</v>
      </c>
      <c r="O636" s="7">
        <f t="shared" si="116"/>
        <v>97115824</v>
      </c>
      <c r="P636" s="3">
        <f>SUM($O$4:O636)</f>
        <v>5902639880</v>
      </c>
      <c r="Y636" s="3">
        <f t="shared" si="117"/>
        <v>633</v>
      </c>
      <c r="Z636" s="3">
        <f t="shared" si="118"/>
        <v>1.63768368042739E+16</v>
      </c>
      <c r="AB636" s="7">
        <f t="shared" si="119"/>
        <v>13040</v>
      </c>
    </row>
    <row r="637" spans="6:28" x14ac:dyDescent="0.15">
      <c r="F637">
        <f t="shared" si="109"/>
        <v>91</v>
      </c>
      <c r="G637">
        <v>634</v>
      </c>
      <c r="H637">
        <f t="shared" si="110"/>
        <v>1.8626504286775631E+18</v>
      </c>
      <c r="I637">
        <f t="shared" si="111"/>
        <v>1.8626504286775601E+18</v>
      </c>
      <c r="J637" s="1">
        <f t="shared" si="112"/>
        <v>1</v>
      </c>
      <c r="K637" s="1">
        <f t="shared" si="113"/>
        <v>1.8626504286775601E+18</v>
      </c>
      <c r="L637" s="1">
        <f t="shared" si="114"/>
        <v>7.5685695751931533E+17</v>
      </c>
      <c r="M637" s="3">
        <f t="shared" si="115"/>
        <v>97115824.673702866</v>
      </c>
      <c r="N637" s="7">
        <f t="shared" si="120"/>
        <v>7.5685695751931494E+17</v>
      </c>
      <c r="O637" s="7">
        <f t="shared" si="116"/>
        <v>97115824</v>
      </c>
      <c r="P637" s="3">
        <f>SUM($O$4:O637)</f>
        <v>5999755704</v>
      </c>
      <c r="Y637" s="3">
        <f t="shared" si="117"/>
        <v>634</v>
      </c>
      <c r="Z637" s="3">
        <f t="shared" si="118"/>
        <v>1.72228440135942E+16</v>
      </c>
      <c r="AB637" s="7">
        <f t="shared" si="119"/>
        <v>13040</v>
      </c>
    </row>
    <row r="638" spans="6:28" x14ac:dyDescent="0.15">
      <c r="F638">
        <f t="shared" si="109"/>
        <v>91</v>
      </c>
      <c r="G638">
        <v>635</v>
      </c>
      <c r="H638">
        <f t="shared" si="110"/>
        <v>1.8626504286775631E+18</v>
      </c>
      <c r="I638">
        <f t="shared" si="111"/>
        <v>1.8626504286775601E+18</v>
      </c>
      <c r="J638" s="1">
        <f t="shared" si="112"/>
        <v>1</v>
      </c>
      <c r="K638" s="1">
        <f t="shared" si="113"/>
        <v>1.8626504286775601E+18</v>
      </c>
      <c r="L638" s="1">
        <f t="shared" si="114"/>
        <v>7.5685695751931533E+17</v>
      </c>
      <c r="M638" s="3">
        <f t="shared" si="115"/>
        <v>97115824.673702866</v>
      </c>
      <c r="N638" s="7">
        <f t="shared" si="120"/>
        <v>7.5685695751931494E+17</v>
      </c>
      <c r="O638" s="7">
        <f t="shared" si="116"/>
        <v>97115824</v>
      </c>
      <c r="P638" s="3">
        <f>SUM($O$4:O638)</f>
        <v>6096871528</v>
      </c>
      <c r="Y638" s="3">
        <f t="shared" si="117"/>
        <v>635</v>
      </c>
      <c r="Z638" s="3">
        <f t="shared" si="118"/>
        <v>1.81125098518358E+16</v>
      </c>
      <c r="AB638" s="7">
        <f t="shared" si="119"/>
        <v>13040</v>
      </c>
    </row>
    <row r="639" spans="6:28" x14ac:dyDescent="0.15">
      <c r="F639">
        <f t="shared" si="109"/>
        <v>91</v>
      </c>
      <c r="G639">
        <v>636</v>
      </c>
      <c r="H639">
        <f t="shared" si="110"/>
        <v>1.8626504286775631E+18</v>
      </c>
      <c r="I639">
        <f t="shared" si="111"/>
        <v>1.8626504286775601E+18</v>
      </c>
      <c r="J639" s="1">
        <f t="shared" si="112"/>
        <v>1</v>
      </c>
      <c r="K639" s="1">
        <f t="shared" si="113"/>
        <v>1.8626504286775601E+18</v>
      </c>
      <c r="L639" s="1">
        <f t="shared" si="114"/>
        <v>7.5685695751931533E+17</v>
      </c>
      <c r="M639" s="3">
        <f t="shared" si="115"/>
        <v>97115824.673702866</v>
      </c>
      <c r="N639" s="7">
        <f t="shared" si="120"/>
        <v>7.5685695751931494E+17</v>
      </c>
      <c r="O639" s="7">
        <f t="shared" si="116"/>
        <v>97115824</v>
      </c>
      <c r="P639" s="3">
        <f>SUM($O$4:O639)</f>
        <v>6193987352</v>
      </c>
      <c r="Y639" s="3">
        <f t="shared" si="117"/>
        <v>636</v>
      </c>
      <c r="Z639" s="3">
        <f t="shared" si="118"/>
        <v>1.90480851638677E+16</v>
      </c>
      <c r="AB639" s="7">
        <f t="shared" si="119"/>
        <v>13040</v>
      </c>
    </row>
    <row r="640" spans="6:28" x14ac:dyDescent="0.15">
      <c r="F640">
        <f t="shared" si="109"/>
        <v>91</v>
      </c>
      <c r="G640">
        <v>637</v>
      </c>
      <c r="H640">
        <f t="shared" si="110"/>
        <v>1.8626504286775631E+18</v>
      </c>
      <c r="I640">
        <f t="shared" si="111"/>
        <v>1.8626504286775601E+18</v>
      </c>
      <c r="J640" s="1">
        <f t="shared" si="112"/>
        <v>2</v>
      </c>
      <c r="K640" s="1">
        <f t="shared" si="113"/>
        <v>3.7253008573551201E+18</v>
      </c>
      <c r="L640" s="1">
        <f t="shared" si="114"/>
        <v>1.5137139150386307E+18</v>
      </c>
      <c r="M640" s="3">
        <f t="shared" si="115"/>
        <v>194231649.34740573</v>
      </c>
      <c r="N640" s="7">
        <f t="shared" si="120"/>
        <v>1.5137139150386299E+18</v>
      </c>
      <c r="O640" s="7">
        <f t="shared" si="116"/>
        <v>194231649</v>
      </c>
      <c r="P640" s="3">
        <f>SUM($O$4:O640)</f>
        <v>6388219001</v>
      </c>
      <c r="Y640" s="3">
        <f t="shared" si="117"/>
        <v>637</v>
      </c>
      <c r="Z640" s="3">
        <f t="shared" si="118"/>
        <v>2.00319367324731E+16</v>
      </c>
      <c r="AB640" s="7">
        <f t="shared" si="119"/>
        <v>13040</v>
      </c>
    </row>
    <row r="641" spans="6:28" x14ac:dyDescent="0.15">
      <c r="F641">
        <f t="shared" si="109"/>
        <v>92</v>
      </c>
      <c r="G641">
        <v>638</v>
      </c>
      <c r="H641">
        <f t="shared" si="110"/>
        <v>2.9243611730237737E+18</v>
      </c>
      <c r="I641">
        <f t="shared" si="111"/>
        <v>2.9243611730237701E+18</v>
      </c>
      <c r="J641" s="1">
        <f t="shared" si="112"/>
        <v>1</v>
      </c>
      <c r="K641" s="1">
        <f t="shared" si="113"/>
        <v>2.9243611730237701E+18</v>
      </c>
      <c r="L641" s="1">
        <f t="shared" si="114"/>
        <v>1.1970385068243965E+18</v>
      </c>
      <c r="M641" s="3">
        <f t="shared" si="115"/>
        <v>118151969.04014149</v>
      </c>
      <c r="N641" s="7">
        <f t="shared" si="120"/>
        <v>1.1970385068243999E+18</v>
      </c>
      <c r="O641" s="7">
        <f t="shared" si="116"/>
        <v>118151969</v>
      </c>
      <c r="P641" s="3">
        <f>SUM($O$4:O641)</f>
        <v>6506370970</v>
      </c>
      <c r="Y641" s="3">
        <f t="shared" si="117"/>
        <v>638</v>
      </c>
      <c r="Z641" s="3">
        <f t="shared" si="118"/>
        <v>2.10665532450294E+16</v>
      </c>
      <c r="AB641" s="7">
        <f t="shared" si="119"/>
        <v>13040</v>
      </c>
    </row>
    <row r="642" spans="6:28" x14ac:dyDescent="0.15">
      <c r="F642">
        <f t="shared" si="109"/>
        <v>92</v>
      </c>
      <c r="G642">
        <v>639</v>
      </c>
      <c r="H642">
        <f t="shared" si="110"/>
        <v>2.9243611730237737E+18</v>
      </c>
      <c r="I642">
        <f t="shared" si="111"/>
        <v>2.9243611730237701E+18</v>
      </c>
      <c r="J642" s="1">
        <f t="shared" si="112"/>
        <v>1</v>
      </c>
      <c r="K642" s="1">
        <f t="shared" si="113"/>
        <v>2.9243611730237701E+18</v>
      </c>
      <c r="L642" s="1">
        <f t="shared" si="114"/>
        <v>1.1970385068243965E+18</v>
      </c>
      <c r="M642" s="3">
        <f t="shared" si="115"/>
        <v>118151969.04014149</v>
      </c>
      <c r="N642" s="7">
        <f t="shared" si="120"/>
        <v>1.1970385068243999E+18</v>
      </c>
      <c r="O642" s="7">
        <f t="shared" si="116"/>
        <v>118151969</v>
      </c>
      <c r="P642" s="3">
        <f>SUM($O$4:O642)</f>
        <v>6624522939</v>
      </c>
      <c r="Y642" s="3">
        <f t="shared" si="117"/>
        <v>639</v>
      </c>
      <c r="Z642" s="3">
        <f t="shared" si="118"/>
        <v>2.21545515670102E+16</v>
      </c>
      <c r="AB642" s="7">
        <f t="shared" si="119"/>
        <v>13040</v>
      </c>
    </row>
    <row r="643" spans="6:28" x14ac:dyDescent="0.15">
      <c r="F643">
        <f t="shared" si="109"/>
        <v>92</v>
      </c>
      <c r="G643">
        <v>640</v>
      </c>
      <c r="H643">
        <f t="shared" si="110"/>
        <v>2.9243611730237737E+18</v>
      </c>
      <c r="I643">
        <f t="shared" si="111"/>
        <v>2.9243611730237701E+18</v>
      </c>
      <c r="J643" s="1">
        <f t="shared" si="112"/>
        <v>1</v>
      </c>
      <c r="K643" s="1">
        <f t="shared" si="113"/>
        <v>2.9243611730237701E+18</v>
      </c>
      <c r="L643" s="1">
        <f t="shared" si="114"/>
        <v>1.1970385068243965E+18</v>
      </c>
      <c r="M643" s="3">
        <f t="shared" si="115"/>
        <v>118151969.04014149</v>
      </c>
      <c r="N643" s="7">
        <f t="shared" si="120"/>
        <v>1.1970385068243999E+18</v>
      </c>
      <c r="O643" s="7">
        <f t="shared" si="116"/>
        <v>118151969</v>
      </c>
      <c r="P643" s="3">
        <f>SUM($O$4:O643)</f>
        <v>6742674908</v>
      </c>
      <c r="Y643" s="3">
        <f t="shared" si="117"/>
        <v>640</v>
      </c>
      <c r="Z643" s="3">
        <f t="shared" si="118"/>
        <v>2.32986833380764E+16</v>
      </c>
      <c r="AB643" s="7">
        <f t="shared" si="119"/>
        <v>13040</v>
      </c>
    </row>
    <row r="644" spans="6:28" x14ac:dyDescent="0.15">
      <c r="F644">
        <f t="shared" si="109"/>
        <v>92</v>
      </c>
      <c r="G644">
        <v>641</v>
      </c>
      <c r="H644">
        <f t="shared" si="110"/>
        <v>2.9243611730237737E+18</v>
      </c>
      <c r="I644">
        <f t="shared" si="111"/>
        <v>2.9243611730237701E+18</v>
      </c>
      <c r="J644" s="1">
        <f t="shared" si="112"/>
        <v>1</v>
      </c>
      <c r="K644" s="1">
        <f t="shared" si="113"/>
        <v>2.9243611730237701E+18</v>
      </c>
      <c r="L644" s="1">
        <f t="shared" si="114"/>
        <v>1.1970385068243965E+18</v>
      </c>
      <c r="M644" s="3">
        <f t="shared" si="115"/>
        <v>118151969.04014149</v>
      </c>
      <c r="N644" s="7">
        <f t="shared" si="120"/>
        <v>1.1970385068243999E+18</v>
      </c>
      <c r="O644" s="7">
        <f t="shared" si="116"/>
        <v>118151969</v>
      </c>
      <c r="P644" s="3">
        <f>SUM($O$4:O644)</f>
        <v>6860826877</v>
      </c>
      <c r="Y644" s="3">
        <f t="shared" si="117"/>
        <v>641</v>
      </c>
      <c r="Z644" s="3">
        <f t="shared" si="118"/>
        <v>2.45018419073318E+16</v>
      </c>
      <c r="AB644" s="7">
        <f t="shared" si="119"/>
        <v>13040</v>
      </c>
    </row>
    <row r="645" spans="6:28" x14ac:dyDescent="0.15">
      <c r="F645">
        <f t="shared" ref="F645:F708" si="121">ROUNDUP(G645/$C$4,0)</f>
        <v>92</v>
      </c>
      <c r="G645">
        <v>642</v>
      </c>
      <c r="H645">
        <f t="shared" ref="H645:H708" si="122">18.5*1.57^MIN(F645,156)*1.17^MAX(F645-156,0)*$C$5</f>
        <v>2.9243611730237737E+18</v>
      </c>
      <c r="I645">
        <f t="shared" ref="I645:I708" si="123">ROUND(H645,0)</f>
        <v>2.9243611730237701E+18</v>
      </c>
      <c r="J645" s="1">
        <f t="shared" ref="J645:J708" si="124">IF(F645=F646,1,LOOKUP(MOD(F645,5),$D$6:$D$10,$C$6:$C$10))</f>
        <v>1</v>
      </c>
      <c r="K645" s="1">
        <f t="shared" ref="K645:K708" si="125">J645*I645</f>
        <v>2.9243611730237701E+18</v>
      </c>
      <c r="L645" s="1">
        <f t="shared" ref="L645:L708" si="126">K645*(0.02+0.00045*F645)/$C$5</f>
        <v>1.1970385068243965E+18</v>
      </c>
      <c r="M645" s="3">
        <f t="shared" ref="M645:M708" si="127">L645/(1.3^F645)*3</f>
        <v>118151969.04014149</v>
      </c>
      <c r="N645" s="7">
        <f t="shared" si="120"/>
        <v>1.1970385068243999E+18</v>
      </c>
      <c r="O645" s="7">
        <f t="shared" ref="O645:O708" si="128">ROUNDDOWN(M645,0)</f>
        <v>118151969</v>
      </c>
      <c r="P645" s="3">
        <f>SUM($O$4:O645)</f>
        <v>6978978846</v>
      </c>
      <c r="Y645" s="3">
        <f t="shared" ref="Y645:Y708" si="129">G645</f>
        <v>642</v>
      </c>
      <c r="Z645" s="3">
        <f t="shared" ref="Z645:Z708" si="130">ROUND(1.05^Y645*Y645,0)</f>
        <v>2.57670696251675E+16</v>
      </c>
      <c r="AB645" s="7">
        <f t="shared" ref="AB645:AB708" si="131">LOOKUP(Y645,T:T,P:P)</f>
        <v>13040</v>
      </c>
    </row>
    <row r="646" spans="6:28" x14ac:dyDescent="0.15">
      <c r="F646">
        <f t="shared" si="121"/>
        <v>92</v>
      </c>
      <c r="G646">
        <v>643</v>
      </c>
      <c r="H646">
        <f t="shared" si="122"/>
        <v>2.9243611730237737E+18</v>
      </c>
      <c r="I646">
        <f t="shared" si="123"/>
        <v>2.9243611730237701E+18</v>
      </c>
      <c r="J646" s="1">
        <f t="shared" si="124"/>
        <v>1</v>
      </c>
      <c r="K646" s="1">
        <f t="shared" si="125"/>
        <v>2.9243611730237701E+18</v>
      </c>
      <c r="L646" s="1">
        <f t="shared" si="126"/>
        <v>1.1970385068243965E+18</v>
      </c>
      <c r="M646" s="3">
        <f t="shared" si="127"/>
        <v>118151969.04014149</v>
      </c>
      <c r="N646" s="7">
        <f t="shared" si="120"/>
        <v>1.1970385068243999E+18</v>
      </c>
      <c r="O646" s="7">
        <f t="shared" si="128"/>
        <v>118151969</v>
      </c>
      <c r="P646" s="3">
        <f>SUM($O$4:O646)</f>
        <v>7097130815</v>
      </c>
      <c r="Y646" s="3">
        <f t="shared" si="129"/>
        <v>643</v>
      </c>
      <c r="Z646" s="3">
        <f t="shared" si="130"/>
        <v>2.70975655100184E+16</v>
      </c>
      <c r="AB646" s="7">
        <f t="shared" si="131"/>
        <v>13040</v>
      </c>
    </row>
    <row r="647" spans="6:28" x14ac:dyDescent="0.15">
      <c r="F647">
        <f t="shared" si="121"/>
        <v>92</v>
      </c>
      <c r="G647">
        <v>644</v>
      </c>
      <c r="H647">
        <f t="shared" si="122"/>
        <v>2.9243611730237737E+18</v>
      </c>
      <c r="I647">
        <f t="shared" si="123"/>
        <v>2.9243611730237701E+18</v>
      </c>
      <c r="J647" s="1">
        <f t="shared" si="124"/>
        <v>4</v>
      </c>
      <c r="K647" s="1">
        <f t="shared" si="125"/>
        <v>1.169744469209508E+19</v>
      </c>
      <c r="L647" s="1">
        <f t="shared" si="126"/>
        <v>4.7881540272975862E+18</v>
      </c>
      <c r="M647" s="3">
        <f t="shared" si="127"/>
        <v>472607876.16056597</v>
      </c>
      <c r="N647" s="7">
        <f t="shared" si="120"/>
        <v>4.7881540272975903E+18</v>
      </c>
      <c r="O647" s="7">
        <f t="shared" si="128"/>
        <v>472607876</v>
      </c>
      <c r="P647" s="3">
        <f>SUM($O$4:O647)</f>
        <v>7569738691</v>
      </c>
      <c r="Y647" s="3">
        <f t="shared" si="129"/>
        <v>644</v>
      </c>
      <c r="Z647" s="3">
        <f t="shared" si="130"/>
        <v>2.84966933092915E+16</v>
      </c>
      <c r="AB647" s="7">
        <f t="shared" si="131"/>
        <v>13040</v>
      </c>
    </row>
    <row r="648" spans="6:28" x14ac:dyDescent="0.15">
      <c r="F648">
        <f t="shared" si="121"/>
        <v>93</v>
      </c>
      <c r="G648">
        <v>645</v>
      </c>
      <c r="H648">
        <f t="shared" si="122"/>
        <v>4.5912470416473242E+18</v>
      </c>
      <c r="I648">
        <f t="shared" si="123"/>
        <v>4.5912470416473201E+18</v>
      </c>
      <c r="J648" s="1">
        <f t="shared" si="124"/>
        <v>1</v>
      </c>
      <c r="K648" s="1">
        <f t="shared" si="125"/>
        <v>4.5912470416473201E+18</v>
      </c>
      <c r="L648" s="1">
        <f t="shared" si="126"/>
        <v>1.8931241968392451E+18</v>
      </c>
      <c r="M648" s="3">
        <f t="shared" si="127"/>
        <v>143737006.73588601</v>
      </c>
      <c r="N648" s="7">
        <f t="shared" ref="N648:N711" si="132">ROUND(L648,0)</f>
        <v>1.8931241968392499E+18</v>
      </c>
      <c r="O648" s="7">
        <f t="shared" si="128"/>
        <v>143737006</v>
      </c>
      <c r="P648" s="3">
        <f>SUM($O$4:O648)</f>
        <v>7713475697</v>
      </c>
      <c r="Y648" s="3">
        <f t="shared" si="129"/>
        <v>645</v>
      </c>
      <c r="Z648" s="3">
        <f t="shared" si="130"/>
        <v>2.99679899747169E+16</v>
      </c>
      <c r="AB648" s="7">
        <f t="shared" si="131"/>
        <v>13040</v>
      </c>
    </row>
    <row r="649" spans="6:28" x14ac:dyDescent="0.15">
      <c r="F649">
        <f t="shared" si="121"/>
        <v>93</v>
      </c>
      <c r="G649">
        <v>646</v>
      </c>
      <c r="H649">
        <f t="shared" si="122"/>
        <v>4.5912470416473242E+18</v>
      </c>
      <c r="I649">
        <f t="shared" si="123"/>
        <v>4.5912470416473201E+18</v>
      </c>
      <c r="J649" s="1">
        <f t="shared" si="124"/>
        <v>1</v>
      </c>
      <c r="K649" s="1">
        <f t="shared" si="125"/>
        <v>4.5912470416473201E+18</v>
      </c>
      <c r="L649" s="1">
        <f t="shared" si="126"/>
        <v>1.8931241968392451E+18</v>
      </c>
      <c r="M649" s="3">
        <f t="shared" si="127"/>
        <v>143737006.73588601</v>
      </c>
      <c r="N649" s="7">
        <f t="shared" si="132"/>
        <v>1.8931241968392499E+18</v>
      </c>
      <c r="O649" s="7">
        <f t="shared" si="128"/>
        <v>143737006</v>
      </c>
      <c r="P649" s="3">
        <f>SUM($O$4:O649)</f>
        <v>7857212703</v>
      </c>
      <c r="Y649" s="3">
        <f t="shared" si="129"/>
        <v>646</v>
      </c>
      <c r="Z649" s="3">
        <f t="shared" si="130"/>
        <v>3.15151745734116E+16</v>
      </c>
      <c r="AB649" s="7">
        <f t="shared" si="131"/>
        <v>13040</v>
      </c>
    </row>
    <row r="650" spans="6:28" x14ac:dyDescent="0.15">
      <c r="F650">
        <f t="shared" si="121"/>
        <v>93</v>
      </c>
      <c r="G650">
        <v>647</v>
      </c>
      <c r="H650">
        <f t="shared" si="122"/>
        <v>4.5912470416473242E+18</v>
      </c>
      <c r="I650">
        <f t="shared" si="123"/>
        <v>4.5912470416473201E+18</v>
      </c>
      <c r="J650" s="1">
        <f t="shared" si="124"/>
        <v>1</v>
      </c>
      <c r="K650" s="1">
        <f t="shared" si="125"/>
        <v>4.5912470416473201E+18</v>
      </c>
      <c r="L650" s="1">
        <f t="shared" si="126"/>
        <v>1.8931241968392451E+18</v>
      </c>
      <c r="M650" s="3">
        <f t="shared" si="127"/>
        <v>143737006.73588601</v>
      </c>
      <c r="N650" s="7">
        <f t="shared" si="132"/>
        <v>1.8931241968392499E+18</v>
      </c>
      <c r="O650" s="7">
        <f t="shared" si="128"/>
        <v>143737006</v>
      </c>
      <c r="P650" s="3">
        <f>SUM($O$4:O650)</f>
        <v>8000949709</v>
      </c>
      <c r="Y650" s="3">
        <f t="shared" si="129"/>
        <v>647</v>
      </c>
      <c r="Z650" s="3">
        <f t="shared" si="130"/>
        <v>3.31421576570389E+16</v>
      </c>
      <c r="AB650" s="7">
        <f t="shared" si="131"/>
        <v>13040</v>
      </c>
    </row>
    <row r="651" spans="6:28" x14ac:dyDescent="0.15">
      <c r="F651">
        <f t="shared" si="121"/>
        <v>93</v>
      </c>
      <c r="G651">
        <v>648</v>
      </c>
      <c r="H651">
        <f t="shared" si="122"/>
        <v>4.5912470416473242E+18</v>
      </c>
      <c r="I651">
        <f t="shared" si="123"/>
        <v>4.5912470416473201E+18</v>
      </c>
      <c r="J651" s="1">
        <f t="shared" si="124"/>
        <v>1</v>
      </c>
      <c r="K651" s="1">
        <f t="shared" si="125"/>
        <v>4.5912470416473201E+18</v>
      </c>
      <c r="L651" s="1">
        <f t="shared" si="126"/>
        <v>1.8931241968392451E+18</v>
      </c>
      <c r="M651" s="3">
        <f t="shared" si="127"/>
        <v>143737006.73588601</v>
      </c>
      <c r="N651" s="7">
        <f t="shared" si="132"/>
        <v>1.8931241968392499E+18</v>
      </c>
      <c r="O651" s="7">
        <f t="shared" si="128"/>
        <v>143737006</v>
      </c>
      <c r="P651" s="3">
        <f>SUM($O$4:O651)</f>
        <v>8144686715</v>
      </c>
      <c r="Y651" s="3">
        <f t="shared" si="129"/>
        <v>648</v>
      </c>
      <c r="Z651" s="3">
        <f t="shared" si="130"/>
        <v>3.48530511125955E+16</v>
      </c>
      <c r="AB651" s="7">
        <f t="shared" si="131"/>
        <v>13040</v>
      </c>
    </row>
    <row r="652" spans="6:28" x14ac:dyDescent="0.15">
      <c r="F652">
        <f t="shared" si="121"/>
        <v>93</v>
      </c>
      <c r="G652">
        <v>649</v>
      </c>
      <c r="H652">
        <f t="shared" si="122"/>
        <v>4.5912470416473242E+18</v>
      </c>
      <c r="I652">
        <f t="shared" si="123"/>
        <v>4.5912470416473201E+18</v>
      </c>
      <c r="J652" s="1">
        <f t="shared" si="124"/>
        <v>1</v>
      </c>
      <c r="K652" s="1">
        <f t="shared" si="125"/>
        <v>4.5912470416473201E+18</v>
      </c>
      <c r="L652" s="1">
        <f t="shared" si="126"/>
        <v>1.8931241968392451E+18</v>
      </c>
      <c r="M652" s="3">
        <f t="shared" si="127"/>
        <v>143737006.73588601</v>
      </c>
      <c r="N652" s="7">
        <f t="shared" si="132"/>
        <v>1.8931241968392499E+18</v>
      </c>
      <c r="O652" s="7">
        <f t="shared" si="128"/>
        <v>143737006</v>
      </c>
      <c r="P652" s="3">
        <f>SUM($O$4:O652)</f>
        <v>8288423721</v>
      </c>
      <c r="Y652" s="3">
        <f t="shared" si="129"/>
        <v>649</v>
      </c>
      <c r="Z652" s="3">
        <f t="shared" si="130"/>
        <v>3.66521785195652E+16</v>
      </c>
      <c r="AB652" s="7">
        <f t="shared" si="131"/>
        <v>13040</v>
      </c>
    </row>
    <row r="653" spans="6:28" x14ac:dyDescent="0.15">
      <c r="F653">
        <f t="shared" si="121"/>
        <v>93</v>
      </c>
      <c r="G653">
        <v>650</v>
      </c>
      <c r="H653">
        <f t="shared" si="122"/>
        <v>4.5912470416473242E+18</v>
      </c>
      <c r="I653">
        <f t="shared" si="123"/>
        <v>4.5912470416473201E+18</v>
      </c>
      <c r="J653" s="1">
        <f t="shared" si="124"/>
        <v>1</v>
      </c>
      <c r="K653" s="1">
        <f t="shared" si="125"/>
        <v>4.5912470416473201E+18</v>
      </c>
      <c r="L653" s="1">
        <f t="shared" si="126"/>
        <v>1.8931241968392451E+18</v>
      </c>
      <c r="M653" s="3">
        <f t="shared" si="127"/>
        <v>143737006.73588601</v>
      </c>
      <c r="N653" s="7">
        <f t="shared" si="132"/>
        <v>1.8931241968392499E+18</v>
      </c>
      <c r="O653" s="7">
        <f t="shared" si="128"/>
        <v>143737006</v>
      </c>
      <c r="P653" s="3">
        <f>SUM($O$4:O653)</f>
        <v>8432160727</v>
      </c>
      <c r="Y653" s="3">
        <f t="shared" si="129"/>
        <v>650</v>
      </c>
      <c r="Z653" s="3">
        <f t="shared" si="130"/>
        <v>3.8544086039450304E+16</v>
      </c>
      <c r="AB653" s="7">
        <f t="shared" si="131"/>
        <v>13040</v>
      </c>
    </row>
    <row r="654" spans="6:28" x14ac:dyDescent="0.15">
      <c r="F654">
        <f t="shared" si="121"/>
        <v>93</v>
      </c>
      <c r="G654">
        <v>651</v>
      </c>
      <c r="H654">
        <f t="shared" si="122"/>
        <v>4.5912470416473242E+18</v>
      </c>
      <c r="I654">
        <f t="shared" si="123"/>
        <v>4.5912470416473201E+18</v>
      </c>
      <c r="J654" s="1">
        <f t="shared" si="124"/>
        <v>6</v>
      </c>
      <c r="K654" s="1">
        <f t="shared" si="125"/>
        <v>2.7547482249883918E+19</v>
      </c>
      <c r="L654" s="1">
        <f t="shared" si="126"/>
        <v>1.1358745181035469E+19</v>
      </c>
      <c r="M654" s="3">
        <f t="shared" si="127"/>
        <v>862422040.41531587</v>
      </c>
      <c r="N654" s="7">
        <f t="shared" si="132"/>
        <v>1.13587451810355E+19</v>
      </c>
      <c r="O654" s="7">
        <f t="shared" si="128"/>
        <v>862422040</v>
      </c>
      <c r="P654" s="3">
        <f>SUM($O$4:O654)</f>
        <v>9294582767</v>
      </c>
      <c r="Y654" s="3">
        <f t="shared" si="129"/>
        <v>651</v>
      </c>
      <c r="Z654" s="3">
        <f t="shared" si="130"/>
        <v>4.0533553865025E+16</v>
      </c>
      <c r="AB654" s="7">
        <f t="shared" si="131"/>
        <v>13040</v>
      </c>
    </row>
    <row r="655" spans="6:28" x14ac:dyDescent="0.15">
      <c r="F655">
        <f t="shared" si="121"/>
        <v>94</v>
      </c>
      <c r="G655">
        <v>652</v>
      </c>
      <c r="H655">
        <f t="shared" si="122"/>
        <v>7.2082578553863014E+18</v>
      </c>
      <c r="I655">
        <f t="shared" si="123"/>
        <v>7.2082578553863004E+18</v>
      </c>
      <c r="J655" s="1">
        <f t="shared" si="124"/>
        <v>1</v>
      </c>
      <c r="K655" s="1">
        <f t="shared" si="125"/>
        <v>7.2082578553863004E+18</v>
      </c>
      <c r="L655" s="1">
        <f t="shared" si="126"/>
        <v>2.9938297626037765E+18</v>
      </c>
      <c r="M655" s="3">
        <f t="shared" si="127"/>
        <v>174853060.95197764</v>
      </c>
      <c r="N655" s="7">
        <f t="shared" si="132"/>
        <v>2.9938297626037801E+18</v>
      </c>
      <c r="O655" s="7">
        <f t="shared" si="128"/>
        <v>174853060</v>
      </c>
      <c r="P655" s="3">
        <f>SUM($O$4:O655)</f>
        <v>9469435827</v>
      </c>
      <c r="Y655" s="3">
        <f t="shared" si="129"/>
        <v>652</v>
      </c>
      <c r="Z655" s="3">
        <f t="shared" si="130"/>
        <v>4.2625608258058496E+16</v>
      </c>
      <c r="AB655" s="7">
        <f t="shared" si="131"/>
        <v>13040</v>
      </c>
    </row>
    <row r="656" spans="6:28" x14ac:dyDescent="0.15">
      <c r="F656">
        <f t="shared" si="121"/>
        <v>94</v>
      </c>
      <c r="G656">
        <v>653</v>
      </c>
      <c r="H656">
        <f t="shared" si="122"/>
        <v>7.2082578553863014E+18</v>
      </c>
      <c r="I656">
        <f t="shared" si="123"/>
        <v>7.2082578553863004E+18</v>
      </c>
      <c r="J656" s="1">
        <f t="shared" si="124"/>
        <v>1</v>
      </c>
      <c r="K656" s="1">
        <f t="shared" si="125"/>
        <v>7.2082578553863004E+18</v>
      </c>
      <c r="L656" s="1">
        <f t="shared" si="126"/>
        <v>2.9938297626037765E+18</v>
      </c>
      <c r="M656" s="3">
        <f t="shared" si="127"/>
        <v>174853060.95197764</v>
      </c>
      <c r="N656" s="7">
        <f t="shared" si="132"/>
        <v>2.9938297626037801E+18</v>
      </c>
      <c r="O656" s="7">
        <f t="shared" si="128"/>
        <v>174853060</v>
      </c>
      <c r="P656" s="3">
        <f>SUM($O$4:O656)</f>
        <v>9644288887</v>
      </c>
      <c r="Y656" s="3">
        <f t="shared" si="129"/>
        <v>653</v>
      </c>
      <c r="Z656" s="3">
        <f t="shared" si="130"/>
        <v>4.48255342057328E+16</v>
      </c>
      <c r="AB656" s="7">
        <f t="shared" si="131"/>
        <v>13040</v>
      </c>
    </row>
    <row r="657" spans="6:28" x14ac:dyDescent="0.15">
      <c r="F657">
        <f t="shared" si="121"/>
        <v>94</v>
      </c>
      <c r="G657">
        <v>654</v>
      </c>
      <c r="H657">
        <f t="shared" si="122"/>
        <v>7.2082578553863014E+18</v>
      </c>
      <c r="I657">
        <f t="shared" si="123"/>
        <v>7.2082578553863004E+18</v>
      </c>
      <c r="J657" s="1">
        <f t="shared" si="124"/>
        <v>1</v>
      </c>
      <c r="K657" s="1">
        <f t="shared" si="125"/>
        <v>7.2082578553863004E+18</v>
      </c>
      <c r="L657" s="1">
        <f t="shared" si="126"/>
        <v>2.9938297626037765E+18</v>
      </c>
      <c r="M657" s="3">
        <f t="shared" si="127"/>
        <v>174853060.95197764</v>
      </c>
      <c r="N657" s="7">
        <f t="shared" si="132"/>
        <v>2.9938297626037801E+18</v>
      </c>
      <c r="O657" s="7">
        <f t="shared" si="128"/>
        <v>174853060</v>
      </c>
      <c r="P657" s="3">
        <f>SUM($O$4:O657)</f>
        <v>9819141947</v>
      </c>
      <c r="Y657" s="3">
        <f t="shared" si="129"/>
        <v>654</v>
      </c>
      <c r="Z657" s="3">
        <f t="shared" si="130"/>
        <v>4.7138888727529504E+16</v>
      </c>
      <c r="AB657" s="7">
        <f t="shared" si="131"/>
        <v>13040</v>
      </c>
    </row>
    <row r="658" spans="6:28" x14ac:dyDescent="0.15">
      <c r="F658">
        <f t="shared" si="121"/>
        <v>94</v>
      </c>
      <c r="G658">
        <v>655</v>
      </c>
      <c r="H658">
        <f t="shared" si="122"/>
        <v>7.2082578553863014E+18</v>
      </c>
      <c r="I658">
        <f t="shared" si="123"/>
        <v>7.2082578553863004E+18</v>
      </c>
      <c r="J658" s="1">
        <f t="shared" si="124"/>
        <v>1</v>
      </c>
      <c r="K658" s="1">
        <f t="shared" si="125"/>
        <v>7.2082578553863004E+18</v>
      </c>
      <c r="L658" s="1">
        <f t="shared" si="126"/>
        <v>2.9938297626037765E+18</v>
      </c>
      <c r="M658" s="3">
        <f t="shared" si="127"/>
        <v>174853060.95197764</v>
      </c>
      <c r="N658" s="7">
        <f t="shared" si="132"/>
        <v>2.9938297626037801E+18</v>
      </c>
      <c r="O658" s="7">
        <f t="shared" si="128"/>
        <v>174853060</v>
      </c>
      <c r="P658" s="3">
        <f>SUM($O$4:O658)</f>
        <v>9993995007</v>
      </c>
      <c r="Y658" s="3">
        <f t="shared" si="129"/>
        <v>655</v>
      </c>
      <c r="Z658" s="3">
        <f t="shared" si="130"/>
        <v>4.95715148659914E+16</v>
      </c>
      <c r="AB658" s="7">
        <f t="shared" si="131"/>
        <v>13040</v>
      </c>
    </row>
    <row r="659" spans="6:28" x14ac:dyDescent="0.15">
      <c r="F659">
        <f t="shared" si="121"/>
        <v>94</v>
      </c>
      <c r="G659">
        <v>656</v>
      </c>
      <c r="H659">
        <f t="shared" si="122"/>
        <v>7.2082578553863014E+18</v>
      </c>
      <c r="I659">
        <f t="shared" si="123"/>
        <v>7.2082578553863004E+18</v>
      </c>
      <c r="J659" s="1">
        <f t="shared" si="124"/>
        <v>1</v>
      </c>
      <c r="K659" s="1">
        <f t="shared" si="125"/>
        <v>7.2082578553863004E+18</v>
      </c>
      <c r="L659" s="1">
        <f t="shared" si="126"/>
        <v>2.9938297626037765E+18</v>
      </c>
      <c r="M659" s="3">
        <f t="shared" si="127"/>
        <v>174853060.95197764</v>
      </c>
      <c r="N659" s="7">
        <f t="shared" si="132"/>
        <v>2.9938297626037801E+18</v>
      </c>
      <c r="O659" s="7">
        <f t="shared" si="128"/>
        <v>174853060</v>
      </c>
      <c r="P659" s="3">
        <f>SUM($O$4:O659)</f>
        <v>10168848067</v>
      </c>
      <c r="Y659" s="3">
        <f t="shared" si="129"/>
        <v>656</v>
      </c>
      <c r="Z659" s="3">
        <f t="shared" si="130"/>
        <v>5.21295563964808E+16</v>
      </c>
      <c r="AB659" s="7">
        <f t="shared" si="131"/>
        <v>13040</v>
      </c>
    </row>
    <row r="660" spans="6:28" x14ac:dyDescent="0.15">
      <c r="F660">
        <f t="shared" si="121"/>
        <v>94</v>
      </c>
      <c r="G660">
        <v>657</v>
      </c>
      <c r="H660">
        <f t="shared" si="122"/>
        <v>7.2082578553863014E+18</v>
      </c>
      <c r="I660">
        <f t="shared" si="123"/>
        <v>7.2082578553863004E+18</v>
      </c>
      <c r="J660" s="1">
        <f t="shared" si="124"/>
        <v>1</v>
      </c>
      <c r="K660" s="1">
        <f t="shared" si="125"/>
        <v>7.2082578553863004E+18</v>
      </c>
      <c r="L660" s="1">
        <f t="shared" si="126"/>
        <v>2.9938297626037765E+18</v>
      </c>
      <c r="M660" s="3">
        <f t="shared" si="127"/>
        <v>174853060.95197764</v>
      </c>
      <c r="N660" s="7">
        <f t="shared" si="132"/>
        <v>2.9938297626037801E+18</v>
      </c>
      <c r="O660" s="7">
        <f t="shared" si="128"/>
        <v>174853060</v>
      </c>
      <c r="P660" s="3">
        <f>SUM($O$4:O660)</f>
        <v>10343701127</v>
      </c>
      <c r="Y660" s="3">
        <f t="shared" si="129"/>
        <v>657</v>
      </c>
      <c r="Z660" s="3">
        <f t="shared" si="130"/>
        <v>5.4819473292854E+16</v>
      </c>
      <c r="AB660" s="7">
        <f t="shared" si="131"/>
        <v>13040</v>
      </c>
    </row>
    <row r="661" spans="6:28" x14ac:dyDescent="0.15">
      <c r="F661">
        <f t="shared" si="121"/>
        <v>94</v>
      </c>
      <c r="G661">
        <v>658</v>
      </c>
      <c r="H661">
        <f t="shared" si="122"/>
        <v>7.2082578553863014E+18</v>
      </c>
      <c r="I661">
        <f t="shared" si="123"/>
        <v>7.2082578553863004E+18</v>
      </c>
      <c r="J661" s="1">
        <f t="shared" si="124"/>
        <v>7</v>
      </c>
      <c r="K661" s="1">
        <f t="shared" si="125"/>
        <v>5.0457804987704099E+19</v>
      </c>
      <c r="L661" s="1">
        <f t="shared" si="126"/>
        <v>2.0956808338226438E+19</v>
      </c>
      <c r="M661" s="3">
        <f t="shared" si="127"/>
        <v>1223971426.6638434</v>
      </c>
      <c r="N661" s="7">
        <f t="shared" si="132"/>
        <v>2.0956808338226401E+19</v>
      </c>
      <c r="O661" s="7">
        <f t="shared" si="128"/>
        <v>1223971426</v>
      </c>
      <c r="P661" s="3">
        <f>SUM($O$4:O661)</f>
        <v>11567672553</v>
      </c>
      <c r="Y661" s="3">
        <f t="shared" si="129"/>
        <v>658</v>
      </c>
      <c r="Z661" s="3">
        <f t="shared" si="130"/>
        <v>5.7648057987873504E+16</v>
      </c>
      <c r="AB661" s="7">
        <f t="shared" si="131"/>
        <v>13040</v>
      </c>
    </row>
    <row r="662" spans="6:28" x14ac:dyDescent="0.15">
      <c r="F662">
        <f t="shared" si="121"/>
        <v>95</v>
      </c>
      <c r="G662">
        <v>659</v>
      </c>
      <c r="H662">
        <f t="shared" si="122"/>
        <v>1.1316964832956492E+19</v>
      </c>
      <c r="I662">
        <f t="shared" si="123"/>
        <v>1.13169648329565E+19</v>
      </c>
      <c r="J662" s="1">
        <f t="shared" si="124"/>
        <v>1</v>
      </c>
      <c r="K662" s="1">
        <f t="shared" si="125"/>
        <v>1.13169648329565E+19</v>
      </c>
      <c r="L662" s="1">
        <f t="shared" si="126"/>
        <v>4.7342636217868022E+18</v>
      </c>
      <c r="M662" s="3">
        <f t="shared" si="127"/>
        <v>212693992.25011069</v>
      </c>
      <c r="N662" s="7">
        <f t="shared" si="132"/>
        <v>4.7342636217868001E+18</v>
      </c>
      <c r="O662" s="7">
        <f t="shared" si="128"/>
        <v>212693992</v>
      </c>
      <c r="P662" s="3">
        <f>SUM($O$4:O662)</f>
        <v>11780366545</v>
      </c>
      <c r="Y662" s="3">
        <f t="shared" si="129"/>
        <v>659</v>
      </c>
      <c r="Z662" s="3">
        <f t="shared" si="130"/>
        <v>6.0622452469162704E+16</v>
      </c>
      <c r="AB662" s="7">
        <f t="shared" si="131"/>
        <v>13040</v>
      </c>
    </row>
    <row r="663" spans="6:28" x14ac:dyDescent="0.15">
      <c r="F663">
        <f t="shared" si="121"/>
        <v>95</v>
      </c>
      <c r="G663">
        <v>660</v>
      </c>
      <c r="H663">
        <f t="shared" si="122"/>
        <v>1.1316964832956492E+19</v>
      </c>
      <c r="I663">
        <f t="shared" si="123"/>
        <v>1.13169648329565E+19</v>
      </c>
      <c r="J663" s="1">
        <f t="shared" si="124"/>
        <v>1</v>
      </c>
      <c r="K663" s="1">
        <f t="shared" si="125"/>
        <v>1.13169648329565E+19</v>
      </c>
      <c r="L663" s="1">
        <f t="shared" si="126"/>
        <v>4.7342636217868022E+18</v>
      </c>
      <c r="M663" s="3">
        <f t="shared" si="127"/>
        <v>212693992.25011069</v>
      </c>
      <c r="N663" s="7">
        <f t="shared" si="132"/>
        <v>4.7342636217868001E+18</v>
      </c>
      <c r="O663" s="7">
        <f t="shared" si="128"/>
        <v>212693992</v>
      </c>
      <c r="P663" s="3">
        <f>SUM($O$4:O663)</f>
        <v>11993060537</v>
      </c>
      <c r="Y663" s="3">
        <f t="shared" si="129"/>
        <v>660</v>
      </c>
      <c r="Z663" s="3">
        <f t="shared" si="130"/>
        <v>6.3750166253611104E+16</v>
      </c>
      <c r="AB663" s="7">
        <f t="shared" si="131"/>
        <v>13040</v>
      </c>
    </row>
    <row r="664" spans="6:28" x14ac:dyDescent="0.15">
      <c r="F664">
        <f t="shared" si="121"/>
        <v>95</v>
      </c>
      <c r="G664">
        <v>661</v>
      </c>
      <c r="H664">
        <f t="shared" si="122"/>
        <v>1.1316964832956492E+19</v>
      </c>
      <c r="I664">
        <f t="shared" si="123"/>
        <v>1.13169648329565E+19</v>
      </c>
      <c r="J664" s="1">
        <f t="shared" si="124"/>
        <v>1</v>
      </c>
      <c r="K664" s="1">
        <f t="shared" si="125"/>
        <v>1.13169648329565E+19</v>
      </c>
      <c r="L664" s="1">
        <f t="shared" si="126"/>
        <v>4.7342636217868022E+18</v>
      </c>
      <c r="M664" s="3">
        <f t="shared" si="127"/>
        <v>212693992.25011069</v>
      </c>
      <c r="N664" s="7">
        <f t="shared" si="132"/>
        <v>4.7342636217868001E+18</v>
      </c>
      <c r="O664" s="7">
        <f t="shared" si="128"/>
        <v>212693992</v>
      </c>
      <c r="P664" s="3">
        <f>SUM($O$4:O664)</f>
        <v>12205754529</v>
      </c>
      <c r="Y664" s="3">
        <f t="shared" si="129"/>
        <v>661</v>
      </c>
      <c r="Z664" s="3">
        <f t="shared" si="130"/>
        <v>6.7039095285331504E+16</v>
      </c>
      <c r="AB664" s="7">
        <f t="shared" si="131"/>
        <v>13040</v>
      </c>
    </row>
    <row r="665" spans="6:28" x14ac:dyDescent="0.15">
      <c r="F665">
        <f t="shared" si="121"/>
        <v>95</v>
      </c>
      <c r="G665">
        <v>662</v>
      </c>
      <c r="H665">
        <f t="shared" si="122"/>
        <v>1.1316964832956492E+19</v>
      </c>
      <c r="I665">
        <f t="shared" si="123"/>
        <v>1.13169648329565E+19</v>
      </c>
      <c r="J665" s="1">
        <f t="shared" si="124"/>
        <v>1</v>
      </c>
      <c r="K665" s="1">
        <f t="shared" si="125"/>
        <v>1.13169648329565E+19</v>
      </c>
      <c r="L665" s="1">
        <f t="shared" si="126"/>
        <v>4.7342636217868022E+18</v>
      </c>
      <c r="M665" s="3">
        <f t="shared" si="127"/>
        <v>212693992.25011069</v>
      </c>
      <c r="N665" s="7">
        <f t="shared" si="132"/>
        <v>4.7342636217868001E+18</v>
      </c>
      <c r="O665" s="7">
        <f t="shared" si="128"/>
        <v>212693992</v>
      </c>
      <c r="P665" s="3">
        <f>SUM($O$4:O665)</f>
        <v>12418448521</v>
      </c>
      <c r="Y665" s="3">
        <f t="shared" si="129"/>
        <v>662</v>
      </c>
      <c r="Z665" s="3">
        <f t="shared" si="130"/>
        <v>7.0497541804589904E+16</v>
      </c>
      <c r="AB665" s="7">
        <f t="shared" si="131"/>
        <v>13040</v>
      </c>
    </row>
    <row r="666" spans="6:28" x14ac:dyDescent="0.15">
      <c r="F666">
        <f t="shared" si="121"/>
        <v>95</v>
      </c>
      <c r="G666">
        <v>663</v>
      </c>
      <c r="H666">
        <f t="shared" si="122"/>
        <v>1.1316964832956492E+19</v>
      </c>
      <c r="I666">
        <f t="shared" si="123"/>
        <v>1.13169648329565E+19</v>
      </c>
      <c r="J666" s="1">
        <f t="shared" si="124"/>
        <v>1</v>
      </c>
      <c r="K666" s="1">
        <f t="shared" si="125"/>
        <v>1.13169648329565E+19</v>
      </c>
      <c r="L666" s="1">
        <f t="shared" si="126"/>
        <v>4.7342636217868022E+18</v>
      </c>
      <c r="M666" s="3">
        <f t="shared" si="127"/>
        <v>212693992.25011069</v>
      </c>
      <c r="N666" s="7">
        <f t="shared" si="132"/>
        <v>4.7342636217868001E+18</v>
      </c>
      <c r="O666" s="7">
        <f t="shared" si="128"/>
        <v>212693992</v>
      </c>
      <c r="P666" s="3">
        <f>SUM($O$4:O666)</f>
        <v>12631142513</v>
      </c>
      <c r="Y666" s="3">
        <f t="shared" si="129"/>
        <v>663</v>
      </c>
      <c r="Z666" s="3">
        <f t="shared" si="130"/>
        <v>7.41342352375608E+16</v>
      </c>
      <c r="AB666" s="7">
        <f t="shared" si="131"/>
        <v>13040</v>
      </c>
    </row>
    <row r="667" spans="6:28" x14ac:dyDescent="0.15">
      <c r="F667">
        <f t="shared" si="121"/>
        <v>95</v>
      </c>
      <c r="G667">
        <v>664</v>
      </c>
      <c r="H667">
        <f t="shared" si="122"/>
        <v>1.1316964832956492E+19</v>
      </c>
      <c r="I667">
        <f t="shared" si="123"/>
        <v>1.13169648329565E+19</v>
      </c>
      <c r="J667" s="1">
        <f t="shared" si="124"/>
        <v>1</v>
      </c>
      <c r="K667" s="1">
        <f t="shared" si="125"/>
        <v>1.13169648329565E+19</v>
      </c>
      <c r="L667" s="1">
        <f t="shared" si="126"/>
        <v>4.7342636217868022E+18</v>
      </c>
      <c r="M667" s="3">
        <f t="shared" si="127"/>
        <v>212693992.25011069</v>
      </c>
      <c r="N667" s="7">
        <f t="shared" si="132"/>
        <v>4.7342636217868001E+18</v>
      </c>
      <c r="O667" s="7">
        <f t="shared" si="128"/>
        <v>212693992</v>
      </c>
      <c r="P667" s="3">
        <f>SUM($O$4:O667)</f>
        <v>12843836505</v>
      </c>
      <c r="Y667" s="3">
        <f t="shared" si="129"/>
        <v>664</v>
      </c>
      <c r="Z667" s="3">
        <f t="shared" si="130"/>
        <v>7.7958354159317408E+16</v>
      </c>
      <c r="AB667" s="7">
        <f t="shared" si="131"/>
        <v>13040</v>
      </c>
    </row>
    <row r="668" spans="6:28" x14ac:dyDescent="0.15">
      <c r="F668">
        <f t="shared" si="121"/>
        <v>95</v>
      </c>
      <c r="G668">
        <v>665</v>
      </c>
      <c r="H668">
        <f t="shared" si="122"/>
        <v>1.1316964832956492E+19</v>
      </c>
      <c r="I668">
        <f t="shared" si="123"/>
        <v>1.13169648329565E+19</v>
      </c>
      <c r="J668" s="1">
        <f t="shared" si="124"/>
        <v>10</v>
      </c>
      <c r="K668" s="1">
        <f t="shared" si="125"/>
        <v>1.13169648329565E+20</v>
      </c>
      <c r="L668" s="1">
        <f t="shared" si="126"/>
        <v>4.7342636217868026E+19</v>
      </c>
      <c r="M668" s="3">
        <f t="shared" si="127"/>
        <v>2126939922.5011072</v>
      </c>
      <c r="N668" s="7">
        <f t="shared" si="132"/>
        <v>4.7342636217868001E+19</v>
      </c>
      <c r="O668" s="7">
        <f t="shared" si="128"/>
        <v>2126939922</v>
      </c>
      <c r="P668" s="3">
        <f>SUM($O$4:O668)</f>
        <v>14970776427</v>
      </c>
      <c r="Y668" s="3">
        <f t="shared" si="129"/>
        <v>665</v>
      </c>
      <c r="Z668" s="3">
        <f t="shared" si="130"/>
        <v>8.19795493851556E+16</v>
      </c>
      <c r="AB668" s="7">
        <f t="shared" si="131"/>
        <v>13040</v>
      </c>
    </row>
    <row r="669" spans="6:28" x14ac:dyDescent="0.15">
      <c r="F669">
        <f t="shared" si="121"/>
        <v>96</v>
      </c>
      <c r="G669">
        <v>666</v>
      </c>
      <c r="H669">
        <f t="shared" si="122"/>
        <v>1.7767634787741688E+19</v>
      </c>
      <c r="I669">
        <f t="shared" si="123"/>
        <v>1.77676347877417E+19</v>
      </c>
      <c r="J669" s="1">
        <f t="shared" si="124"/>
        <v>1</v>
      </c>
      <c r="K669" s="1">
        <f t="shared" si="125"/>
        <v>1.77676347877417E+19</v>
      </c>
      <c r="L669" s="1">
        <f t="shared" si="126"/>
        <v>7.4860967905685033E+18</v>
      </c>
      <c r="M669" s="3">
        <f t="shared" si="127"/>
        <v>258710986.04995376</v>
      </c>
      <c r="N669" s="7">
        <f t="shared" si="132"/>
        <v>7.4860967905685002E+18</v>
      </c>
      <c r="O669" s="7">
        <f t="shared" si="128"/>
        <v>258710986</v>
      </c>
      <c r="P669" s="3">
        <f>SUM($O$4:O669)</f>
        <v>15229487413</v>
      </c>
      <c r="Y669" s="3">
        <f t="shared" si="129"/>
        <v>666</v>
      </c>
      <c r="Z669" s="3">
        <f t="shared" si="130"/>
        <v>8.6207968248179504E+16</v>
      </c>
      <c r="AB669" s="7">
        <f t="shared" si="131"/>
        <v>13040</v>
      </c>
    </row>
    <row r="670" spans="6:28" x14ac:dyDescent="0.15">
      <c r="F670">
        <f t="shared" si="121"/>
        <v>96</v>
      </c>
      <c r="G670">
        <v>667</v>
      </c>
      <c r="H670">
        <f t="shared" si="122"/>
        <v>1.7767634787741688E+19</v>
      </c>
      <c r="I670">
        <f t="shared" si="123"/>
        <v>1.77676347877417E+19</v>
      </c>
      <c r="J670" s="1">
        <f t="shared" si="124"/>
        <v>1</v>
      </c>
      <c r="K670" s="1">
        <f t="shared" si="125"/>
        <v>1.77676347877417E+19</v>
      </c>
      <c r="L670" s="1">
        <f t="shared" si="126"/>
        <v>7.4860967905685033E+18</v>
      </c>
      <c r="M670" s="3">
        <f t="shared" si="127"/>
        <v>258710986.04995376</v>
      </c>
      <c r="N670" s="7">
        <f t="shared" si="132"/>
        <v>7.4860967905685002E+18</v>
      </c>
      <c r="O670" s="7">
        <f t="shared" si="128"/>
        <v>258710986</v>
      </c>
      <c r="P670" s="3">
        <f>SUM($O$4:O670)</f>
        <v>15488198399</v>
      </c>
      <c r="Y670" s="3">
        <f t="shared" si="129"/>
        <v>667</v>
      </c>
      <c r="Z670" s="3">
        <f t="shared" si="130"/>
        <v>9.06542801240428E+16</v>
      </c>
      <c r="AB670" s="7">
        <f t="shared" si="131"/>
        <v>13040</v>
      </c>
    </row>
    <row r="671" spans="6:28" x14ac:dyDescent="0.15">
      <c r="F671">
        <f t="shared" si="121"/>
        <v>96</v>
      </c>
      <c r="G671">
        <v>668</v>
      </c>
      <c r="H671">
        <f t="shared" si="122"/>
        <v>1.7767634787741688E+19</v>
      </c>
      <c r="I671">
        <f t="shared" si="123"/>
        <v>1.77676347877417E+19</v>
      </c>
      <c r="J671" s="1">
        <f t="shared" si="124"/>
        <v>1</v>
      </c>
      <c r="K671" s="1">
        <f t="shared" si="125"/>
        <v>1.77676347877417E+19</v>
      </c>
      <c r="L671" s="1">
        <f t="shared" si="126"/>
        <v>7.4860967905685033E+18</v>
      </c>
      <c r="M671" s="3">
        <f t="shared" si="127"/>
        <v>258710986.04995376</v>
      </c>
      <c r="N671" s="7">
        <f t="shared" si="132"/>
        <v>7.4860967905685002E+18</v>
      </c>
      <c r="O671" s="7">
        <f t="shared" si="128"/>
        <v>258710986</v>
      </c>
      <c r="P671" s="3">
        <f>SUM($O$4:O671)</f>
        <v>15746909385</v>
      </c>
      <c r="Y671" s="3">
        <f t="shared" si="129"/>
        <v>668</v>
      </c>
      <c r="Z671" s="3">
        <f t="shared" si="130"/>
        <v>9.5329703266872E+16</v>
      </c>
      <c r="AB671" s="7">
        <f t="shared" si="131"/>
        <v>13040</v>
      </c>
    </row>
    <row r="672" spans="6:28" x14ac:dyDescent="0.15">
      <c r="F672">
        <f t="shared" si="121"/>
        <v>96</v>
      </c>
      <c r="G672">
        <v>669</v>
      </c>
      <c r="H672">
        <f t="shared" si="122"/>
        <v>1.7767634787741688E+19</v>
      </c>
      <c r="I672">
        <f t="shared" si="123"/>
        <v>1.77676347877417E+19</v>
      </c>
      <c r="J672" s="1">
        <f t="shared" si="124"/>
        <v>1</v>
      </c>
      <c r="K672" s="1">
        <f t="shared" si="125"/>
        <v>1.77676347877417E+19</v>
      </c>
      <c r="L672" s="1">
        <f t="shared" si="126"/>
        <v>7.4860967905685033E+18</v>
      </c>
      <c r="M672" s="3">
        <f t="shared" si="127"/>
        <v>258710986.04995376</v>
      </c>
      <c r="N672" s="7">
        <f t="shared" si="132"/>
        <v>7.4860967905685002E+18</v>
      </c>
      <c r="O672" s="7">
        <f t="shared" si="128"/>
        <v>258710986</v>
      </c>
      <c r="P672" s="3">
        <f>SUM($O$4:O672)</f>
        <v>16005620371</v>
      </c>
      <c r="Y672" s="3">
        <f t="shared" si="129"/>
        <v>669</v>
      </c>
      <c r="Z672" s="3">
        <f t="shared" si="130"/>
        <v>1.00246033023674E+17</v>
      </c>
      <c r="AB672" s="7">
        <f t="shared" si="131"/>
        <v>13040</v>
      </c>
    </row>
    <row r="673" spans="6:28" x14ac:dyDescent="0.15">
      <c r="F673">
        <f t="shared" si="121"/>
        <v>96</v>
      </c>
      <c r="G673">
        <v>670</v>
      </c>
      <c r="H673">
        <f t="shared" si="122"/>
        <v>1.7767634787741688E+19</v>
      </c>
      <c r="I673">
        <f t="shared" si="123"/>
        <v>1.77676347877417E+19</v>
      </c>
      <c r="J673" s="1">
        <f t="shared" si="124"/>
        <v>1</v>
      </c>
      <c r="K673" s="1">
        <f t="shared" si="125"/>
        <v>1.77676347877417E+19</v>
      </c>
      <c r="L673" s="1">
        <f t="shared" si="126"/>
        <v>7.4860967905685033E+18</v>
      </c>
      <c r="M673" s="3">
        <f t="shared" si="127"/>
        <v>258710986.04995376</v>
      </c>
      <c r="N673" s="7">
        <f t="shared" si="132"/>
        <v>7.4860967905685002E+18</v>
      </c>
      <c r="O673" s="7">
        <f t="shared" si="128"/>
        <v>258710986</v>
      </c>
      <c r="P673" s="3">
        <f>SUM($O$4:O673)</f>
        <v>16264331357</v>
      </c>
      <c r="Y673" s="3">
        <f t="shared" si="129"/>
        <v>670</v>
      </c>
      <c r="Z673" s="3">
        <f t="shared" si="130"/>
        <v>1.0541567149798899E+17</v>
      </c>
      <c r="AB673" s="7">
        <f t="shared" si="131"/>
        <v>13040</v>
      </c>
    </row>
    <row r="674" spans="6:28" x14ac:dyDescent="0.15">
      <c r="F674">
        <f t="shared" si="121"/>
        <v>96</v>
      </c>
      <c r="G674">
        <v>671</v>
      </c>
      <c r="H674">
        <f t="shared" si="122"/>
        <v>1.7767634787741688E+19</v>
      </c>
      <c r="I674">
        <f t="shared" si="123"/>
        <v>1.77676347877417E+19</v>
      </c>
      <c r="J674" s="1">
        <f t="shared" si="124"/>
        <v>1</v>
      </c>
      <c r="K674" s="1">
        <f t="shared" si="125"/>
        <v>1.77676347877417E+19</v>
      </c>
      <c r="L674" s="1">
        <f t="shared" si="126"/>
        <v>7.4860967905685033E+18</v>
      </c>
      <c r="M674" s="3">
        <f t="shared" si="127"/>
        <v>258710986.04995376</v>
      </c>
      <c r="N674" s="7">
        <f t="shared" si="132"/>
        <v>7.4860967905685002E+18</v>
      </c>
      <c r="O674" s="7">
        <f t="shared" si="128"/>
        <v>258710986</v>
      </c>
      <c r="P674" s="3">
        <f>SUM($O$4:O674)</f>
        <v>16523042343</v>
      </c>
      <c r="Y674" s="3">
        <f t="shared" si="129"/>
        <v>671</v>
      </c>
      <c r="Z674" s="3">
        <f t="shared" si="130"/>
        <v>1.10851658737176E+17</v>
      </c>
      <c r="AB674" s="7">
        <f t="shared" si="131"/>
        <v>13040</v>
      </c>
    </row>
    <row r="675" spans="6:28" x14ac:dyDescent="0.15">
      <c r="F675">
        <f t="shared" si="121"/>
        <v>96</v>
      </c>
      <c r="G675">
        <v>672</v>
      </c>
      <c r="H675">
        <f t="shared" si="122"/>
        <v>1.7767634787741688E+19</v>
      </c>
      <c r="I675">
        <f t="shared" si="123"/>
        <v>1.77676347877417E+19</v>
      </c>
      <c r="J675" s="1">
        <f t="shared" si="124"/>
        <v>2</v>
      </c>
      <c r="K675" s="1">
        <f t="shared" si="125"/>
        <v>3.55352695754834E+19</v>
      </c>
      <c r="L675" s="1">
        <f t="shared" si="126"/>
        <v>1.4972193581137007E+19</v>
      </c>
      <c r="M675" s="3">
        <f t="shared" si="127"/>
        <v>517421972.09990752</v>
      </c>
      <c r="N675" s="7">
        <f t="shared" si="132"/>
        <v>1.4972193581137E+19</v>
      </c>
      <c r="O675" s="7">
        <f t="shared" si="128"/>
        <v>517421972</v>
      </c>
      <c r="P675" s="3">
        <f>SUM($O$4:O675)</f>
        <v>17040464315</v>
      </c>
      <c r="Y675" s="3">
        <f t="shared" si="129"/>
        <v>672</v>
      </c>
      <c r="Z675" s="3">
        <f t="shared" si="130"/>
        <v>1.1656770552153699E+17</v>
      </c>
      <c r="AB675" s="7">
        <f t="shared" si="131"/>
        <v>13040</v>
      </c>
    </row>
    <row r="676" spans="6:28" x14ac:dyDescent="0.15">
      <c r="F676">
        <f t="shared" si="121"/>
        <v>97</v>
      </c>
      <c r="G676">
        <v>673</v>
      </c>
      <c r="H676">
        <f t="shared" si="122"/>
        <v>2.789518661675445E+19</v>
      </c>
      <c r="I676">
        <f t="shared" si="123"/>
        <v>2.78951866167545E+19</v>
      </c>
      <c r="J676" s="1">
        <f t="shared" si="124"/>
        <v>1</v>
      </c>
      <c r="K676" s="1">
        <f t="shared" si="125"/>
        <v>2.78951866167545E+19</v>
      </c>
      <c r="L676" s="1">
        <f t="shared" si="126"/>
        <v>1.1836857521042827E+19</v>
      </c>
      <c r="M676" s="3">
        <f t="shared" si="127"/>
        <v>314667942.93409121</v>
      </c>
      <c r="N676" s="7">
        <f t="shared" si="132"/>
        <v>1.1836857521042801E+19</v>
      </c>
      <c r="O676" s="7">
        <f t="shared" si="128"/>
        <v>314667942</v>
      </c>
      <c r="P676" s="3">
        <f>SUM($O$4:O676)</f>
        <v>17355132257</v>
      </c>
      <c r="Y676" s="3">
        <f t="shared" si="129"/>
        <v>673</v>
      </c>
      <c r="Z676" s="3">
        <f t="shared" si="130"/>
        <v>1.22578227837492E+17</v>
      </c>
      <c r="AB676" s="7">
        <f t="shared" si="131"/>
        <v>13040</v>
      </c>
    </row>
    <row r="677" spans="6:28" x14ac:dyDescent="0.15">
      <c r="F677">
        <f t="shared" si="121"/>
        <v>97</v>
      </c>
      <c r="G677">
        <v>674</v>
      </c>
      <c r="H677">
        <f t="shared" si="122"/>
        <v>2.789518661675445E+19</v>
      </c>
      <c r="I677">
        <f t="shared" si="123"/>
        <v>2.78951866167545E+19</v>
      </c>
      <c r="J677" s="1">
        <f t="shared" si="124"/>
        <v>1</v>
      </c>
      <c r="K677" s="1">
        <f t="shared" si="125"/>
        <v>2.78951866167545E+19</v>
      </c>
      <c r="L677" s="1">
        <f t="shared" si="126"/>
        <v>1.1836857521042827E+19</v>
      </c>
      <c r="M677" s="3">
        <f t="shared" si="127"/>
        <v>314667942.93409121</v>
      </c>
      <c r="N677" s="7">
        <f t="shared" si="132"/>
        <v>1.1836857521042801E+19</v>
      </c>
      <c r="O677" s="7">
        <f t="shared" si="128"/>
        <v>314667942</v>
      </c>
      <c r="P677" s="3">
        <f>SUM($O$4:O677)</f>
        <v>17669800199</v>
      </c>
      <c r="Y677" s="3">
        <f t="shared" si="129"/>
        <v>674</v>
      </c>
      <c r="Z677" s="3">
        <f t="shared" si="130"/>
        <v>1.28898383121238E+17</v>
      </c>
      <c r="AB677" s="7">
        <f t="shared" si="131"/>
        <v>13040</v>
      </c>
    </row>
    <row r="678" spans="6:28" x14ac:dyDescent="0.15">
      <c r="F678">
        <f t="shared" si="121"/>
        <v>97</v>
      </c>
      <c r="G678">
        <v>675</v>
      </c>
      <c r="H678">
        <f t="shared" si="122"/>
        <v>2.789518661675445E+19</v>
      </c>
      <c r="I678">
        <f t="shared" si="123"/>
        <v>2.78951866167545E+19</v>
      </c>
      <c r="J678" s="1">
        <f t="shared" si="124"/>
        <v>1</v>
      </c>
      <c r="K678" s="1">
        <f t="shared" si="125"/>
        <v>2.78951866167545E+19</v>
      </c>
      <c r="L678" s="1">
        <f t="shared" si="126"/>
        <v>1.1836857521042827E+19</v>
      </c>
      <c r="M678" s="3">
        <f t="shared" si="127"/>
        <v>314667942.93409121</v>
      </c>
      <c r="N678" s="7">
        <f t="shared" si="132"/>
        <v>1.1836857521042801E+19</v>
      </c>
      <c r="O678" s="7">
        <f t="shared" si="128"/>
        <v>314667942</v>
      </c>
      <c r="P678" s="3">
        <f>SUM($O$4:O678)</f>
        <v>17984468141</v>
      </c>
      <c r="Y678" s="3">
        <f t="shared" si="129"/>
        <v>675</v>
      </c>
      <c r="Z678" s="3">
        <f t="shared" si="130"/>
        <v>1.35544108363764E+17</v>
      </c>
      <c r="AB678" s="7">
        <f t="shared" si="131"/>
        <v>13040</v>
      </c>
    </row>
    <row r="679" spans="6:28" x14ac:dyDescent="0.15">
      <c r="F679">
        <f t="shared" si="121"/>
        <v>97</v>
      </c>
      <c r="G679">
        <v>676</v>
      </c>
      <c r="H679">
        <f t="shared" si="122"/>
        <v>2.789518661675445E+19</v>
      </c>
      <c r="I679">
        <f t="shared" si="123"/>
        <v>2.78951866167545E+19</v>
      </c>
      <c r="J679" s="1">
        <f t="shared" si="124"/>
        <v>1</v>
      </c>
      <c r="K679" s="1">
        <f t="shared" si="125"/>
        <v>2.78951866167545E+19</v>
      </c>
      <c r="L679" s="1">
        <f t="shared" si="126"/>
        <v>1.1836857521042827E+19</v>
      </c>
      <c r="M679" s="3">
        <f t="shared" si="127"/>
        <v>314667942.93409121</v>
      </c>
      <c r="N679" s="7">
        <f t="shared" si="132"/>
        <v>1.1836857521042801E+19</v>
      </c>
      <c r="O679" s="7">
        <f t="shared" si="128"/>
        <v>314667942</v>
      </c>
      <c r="P679" s="3">
        <f>SUM($O$4:O679)</f>
        <v>18299136083</v>
      </c>
      <c r="Y679" s="3">
        <f t="shared" si="129"/>
        <v>676</v>
      </c>
      <c r="Z679" s="3">
        <f t="shared" si="130"/>
        <v>1.4253216017274099E+17</v>
      </c>
      <c r="AB679" s="7">
        <f t="shared" si="131"/>
        <v>13040</v>
      </c>
    </row>
    <row r="680" spans="6:28" x14ac:dyDescent="0.15">
      <c r="F680">
        <f t="shared" si="121"/>
        <v>97</v>
      </c>
      <c r="G680">
        <v>677</v>
      </c>
      <c r="H680">
        <f t="shared" si="122"/>
        <v>2.789518661675445E+19</v>
      </c>
      <c r="I680">
        <f t="shared" si="123"/>
        <v>2.78951866167545E+19</v>
      </c>
      <c r="J680" s="1">
        <f t="shared" si="124"/>
        <v>1</v>
      </c>
      <c r="K680" s="1">
        <f t="shared" si="125"/>
        <v>2.78951866167545E+19</v>
      </c>
      <c r="L680" s="1">
        <f t="shared" si="126"/>
        <v>1.1836857521042827E+19</v>
      </c>
      <c r="M680" s="3">
        <f t="shared" si="127"/>
        <v>314667942.93409121</v>
      </c>
      <c r="N680" s="7">
        <f t="shared" si="132"/>
        <v>1.1836857521042801E+19</v>
      </c>
      <c r="O680" s="7">
        <f t="shared" si="128"/>
        <v>314667942</v>
      </c>
      <c r="P680" s="3">
        <f>SUM($O$4:O680)</f>
        <v>18613804025</v>
      </c>
      <c r="Y680" s="3">
        <f t="shared" si="129"/>
        <v>677</v>
      </c>
      <c r="Z680" s="3">
        <f t="shared" si="130"/>
        <v>1.4988015689170499E+17</v>
      </c>
      <c r="AB680" s="7">
        <f t="shared" si="131"/>
        <v>13040</v>
      </c>
    </row>
    <row r="681" spans="6:28" x14ac:dyDescent="0.15">
      <c r="F681">
        <f t="shared" si="121"/>
        <v>97</v>
      </c>
      <c r="G681">
        <v>678</v>
      </c>
      <c r="H681">
        <f t="shared" si="122"/>
        <v>2.789518661675445E+19</v>
      </c>
      <c r="I681">
        <f t="shared" si="123"/>
        <v>2.78951866167545E+19</v>
      </c>
      <c r="J681" s="1">
        <f t="shared" si="124"/>
        <v>1</v>
      </c>
      <c r="K681" s="1">
        <f t="shared" si="125"/>
        <v>2.78951866167545E+19</v>
      </c>
      <c r="L681" s="1">
        <f t="shared" si="126"/>
        <v>1.1836857521042827E+19</v>
      </c>
      <c r="M681" s="3">
        <f t="shared" si="127"/>
        <v>314667942.93409121</v>
      </c>
      <c r="N681" s="7">
        <f t="shared" si="132"/>
        <v>1.1836857521042801E+19</v>
      </c>
      <c r="O681" s="7">
        <f t="shared" si="128"/>
        <v>314667942</v>
      </c>
      <c r="P681" s="3">
        <f>SUM($O$4:O681)</f>
        <v>18928471967</v>
      </c>
      <c r="Y681" s="3">
        <f t="shared" si="129"/>
        <v>678</v>
      </c>
      <c r="Z681" s="3">
        <f t="shared" si="130"/>
        <v>1.5760662288213402E+17</v>
      </c>
      <c r="AB681" s="7">
        <f t="shared" si="131"/>
        <v>13040</v>
      </c>
    </row>
    <row r="682" spans="6:28" x14ac:dyDescent="0.15">
      <c r="F682">
        <f t="shared" si="121"/>
        <v>97</v>
      </c>
      <c r="G682">
        <v>679</v>
      </c>
      <c r="H682">
        <f t="shared" si="122"/>
        <v>2.789518661675445E+19</v>
      </c>
      <c r="I682">
        <f t="shared" si="123"/>
        <v>2.78951866167545E+19</v>
      </c>
      <c r="J682" s="1">
        <f t="shared" si="124"/>
        <v>4</v>
      </c>
      <c r="K682" s="1">
        <f t="shared" si="125"/>
        <v>1.11580746467018E+20</v>
      </c>
      <c r="L682" s="1">
        <f t="shared" si="126"/>
        <v>4.7347430084171309E+19</v>
      </c>
      <c r="M682" s="3">
        <f t="shared" si="127"/>
        <v>1258671771.7363648</v>
      </c>
      <c r="N682" s="7">
        <f t="shared" si="132"/>
        <v>4.7347430084171301E+19</v>
      </c>
      <c r="O682" s="7">
        <f t="shared" si="128"/>
        <v>1258671771</v>
      </c>
      <c r="P682" s="3">
        <f>SUM($O$4:O682)</f>
        <v>20187143738</v>
      </c>
      <c r="Y682" s="3">
        <f t="shared" si="129"/>
        <v>679</v>
      </c>
      <c r="Z682" s="3">
        <f t="shared" si="130"/>
        <v>1.6573103507937699E+17</v>
      </c>
      <c r="AB682" s="7">
        <f t="shared" si="131"/>
        <v>13040</v>
      </c>
    </row>
    <row r="683" spans="6:28" x14ac:dyDescent="0.15">
      <c r="F683">
        <f t="shared" si="121"/>
        <v>98</v>
      </c>
      <c r="G683">
        <v>680</v>
      </c>
      <c r="H683">
        <f t="shared" si="122"/>
        <v>4.379544298830449E+19</v>
      </c>
      <c r="I683">
        <f t="shared" si="123"/>
        <v>4.3795442988304499E+19</v>
      </c>
      <c r="J683" s="1">
        <f t="shared" si="124"/>
        <v>1</v>
      </c>
      <c r="K683" s="1">
        <f t="shared" si="125"/>
        <v>4.3795442988304499E+19</v>
      </c>
      <c r="L683" s="1">
        <f t="shared" si="126"/>
        <v>1.8715252637002125E+19</v>
      </c>
      <c r="M683" s="3">
        <f t="shared" si="127"/>
        <v>382708777.24404007</v>
      </c>
      <c r="N683" s="7">
        <f t="shared" si="132"/>
        <v>1.8715252637002101E+19</v>
      </c>
      <c r="O683" s="7">
        <f t="shared" si="128"/>
        <v>382708777</v>
      </c>
      <c r="P683" s="3">
        <f>SUM($O$4:O683)</f>
        <v>20569852515</v>
      </c>
      <c r="Y683" s="3">
        <f t="shared" si="129"/>
        <v>680</v>
      </c>
      <c r="Z683" s="3">
        <f t="shared" si="130"/>
        <v>1.7427387193913901E+17</v>
      </c>
      <c r="AB683" s="7">
        <f t="shared" si="131"/>
        <v>13040</v>
      </c>
    </row>
    <row r="684" spans="6:28" x14ac:dyDescent="0.15">
      <c r="F684">
        <f t="shared" si="121"/>
        <v>98</v>
      </c>
      <c r="G684">
        <v>681</v>
      </c>
      <c r="H684">
        <f t="shared" si="122"/>
        <v>4.379544298830449E+19</v>
      </c>
      <c r="I684">
        <f t="shared" si="123"/>
        <v>4.3795442988304499E+19</v>
      </c>
      <c r="J684" s="1">
        <f t="shared" si="124"/>
        <v>1</v>
      </c>
      <c r="K684" s="1">
        <f t="shared" si="125"/>
        <v>4.3795442988304499E+19</v>
      </c>
      <c r="L684" s="1">
        <f t="shared" si="126"/>
        <v>1.8715252637002125E+19</v>
      </c>
      <c r="M684" s="3">
        <f t="shared" si="127"/>
        <v>382708777.24404007</v>
      </c>
      <c r="N684" s="7">
        <f t="shared" si="132"/>
        <v>1.8715252637002101E+19</v>
      </c>
      <c r="O684" s="7">
        <f t="shared" si="128"/>
        <v>382708777</v>
      </c>
      <c r="P684" s="3">
        <f>SUM($O$4:O684)</f>
        <v>20952561292</v>
      </c>
      <c r="Y684" s="3">
        <f t="shared" si="129"/>
        <v>681</v>
      </c>
      <c r="Z684" s="3">
        <f t="shared" si="130"/>
        <v>1.8325666489717798E+17</v>
      </c>
      <c r="AB684" s="7">
        <f t="shared" si="131"/>
        <v>13040</v>
      </c>
    </row>
    <row r="685" spans="6:28" x14ac:dyDescent="0.15">
      <c r="F685">
        <f t="shared" si="121"/>
        <v>98</v>
      </c>
      <c r="G685">
        <v>682</v>
      </c>
      <c r="H685">
        <f t="shared" si="122"/>
        <v>4.379544298830449E+19</v>
      </c>
      <c r="I685">
        <f t="shared" si="123"/>
        <v>4.3795442988304499E+19</v>
      </c>
      <c r="J685" s="1">
        <f t="shared" si="124"/>
        <v>1</v>
      </c>
      <c r="K685" s="1">
        <f t="shared" si="125"/>
        <v>4.3795442988304499E+19</v>
      </c>
      <c r="L685" s="1">
        <f t="shared" si="126"/>
        <v>1.8715252637002125E+19</v>
      </c>
      <c r="M685" s="3">
        <f t="shared" si="127"/>
        <v>382708777.24404007</v>
      </c>
      <c r="N685" s="7">
        <f t="shared" si="132"/>
        <v>1.8715252637002101E+19</v>
      </c>
      <c r="O685" s="7">
        <f t="shared" si="128"/>
        <v>382708777</v>
      </c>
      <c r="P685" s="3">
        <f>SUM($O$4:O685)</f>
        <v>21335270069</v>
      </c>
      <c r="Y685" s="3">
        <f t="shared" si="129"/>
        <v>682</v>
      </c>
      <c r="Z685" s="3">
        <f t="shared" si="130"/>
        <v>1.9270205247117402E+17</v>
      </c>
      <c r="AB685" s="7">
        <f t="shared" si="131"/>
        <v>13040</v>
      </c>
    </row>
    <row r="686" spans="6:28" x14ac:dyDescent="0.15">
      <c r="F686">
        <f t="shared" si="121"/>
        <v>98</v>
      </c>
      <c r="G686">
        <v>683</v>
      </c>
      <c r="H686">
        <f t="shared" si="122"/>
        <v>4.379544298830449E+19</v>
      </c>
      <c r="I686">
        <f t="shared" si="123"/>
        <v>4.3795442988304499E+19</v>
      </c>
      <c r="J686" s="1">
        <f t="shared" si="124"/>
        <v>1</v>
      </c>
      <c r="K686" s="1">
        <f t="shared" si="125"/>
        <v>4.3795442988304499E+19</v>
      </c>
      <c r="L686" s="1">
        <f t="shared" si="126"/>
        <v>1.8715252637002125E+19</v>
      </c>
      <c r="M686" s="3">
        <f t="shared" si="127"/>
        <v>382708777.24404007</v>
      </c>
      <c r="N686" s="7">
        <f t="shared" si="132"/>
        <v>1.8715252637002101E+19</v>
      </c>
      <c r="O686" s="7">
        <f t="shared" si="128"/>
        <v>382708777</v>
      </c>
      <c r="P686" s="3">
        <f>SUM($O$4:O686)</f>
        <v>21717978846</v>
      </c>
      <c r="Y686" s="3">
        <f t="shared" si="129"/>
        <v>683</v>
      </c>
      <c r="Z686" s="3">
        <f t="shared" si="130"/>
        <v>2.0263383714032602E+17</v>
      </c>
      <c r="AB686" s="7">
        <f t="shared" si="131"/>
        <v>13040</v>
      </c>
    </row>
    <row r="687" spans="6:28" x14ac:dyDescent="0.15">
      <c r="F687">
        <f t="shared" si="121"/>
        <v>98</v>
      </c>
      <c r="G687">
        <v>684</v>
      </c>
      <c r="H687">
        <f t="shared" si="122"/>
        <v>4.379544298830449E+19</v>
      </c>
      <c r="I687">
        <f t="shared" si="123"/>
        <v>4.3795442988304499E+19</v>
      </c>
      <c r="J687" s="1">
        <f t="shared" si="124"/>
        <v>1</v>
      </c>
      <c r="K687" s="1">
        <f t="shared" si="125"/>
        <v>4.3795442988304499E+19</v>
      </c>
      <c r="L687" s="1">
        <f t="shared" si="126"/>
        <v>1.8715252637002125E+19</v>
      </c>
      <c r="M687" s="3">
        <f t="shared" si="127"/>
        <v>382708777.24404007</v>
      </c>
      <c r="N687" s="7">
        <f t="shared" si="132"/>
        <v>1.8715252637002101E+19</v>
      </c>
      <c r="O687" s="7">
        <f t="shared" si="128"/>
        <v>382708777</v>
      </c>
      <c r="P687" s="3">
        <f>SUM($O$4:O687)</f>
        <v>22100687623</v>
      </c>
      <c r="Y687" s="3">
        <f t="shared" si="129"/>
        <v>684</v>
      </c>
      <c r="Z687" s="3">
        <f t="shared" si="130"/>
        <v>2.1307704514521501E+17</v>
      </c>
      <c r="AB687" s="7">
        <f t="shared" si="131"/>
        <v>13040</v>
      </c>
    </row>
    <row r="688" spans="6:28" x14ac:dyDescent="0.15">
      <c r="F688">
        <f t="shared" si="121"/>
        <v>98</v>
      </c>
      <c r="G688">
        <v>685</v>
      </c>
      <c r="H688">
        <f t="shared" si="122"/>
        <v>4.379544298830449E+19</v>
      </c>
      <c r="I688">
        <f t="shared" si="123"/>
        <v>4.3795442988304499E+19</v>
      </c>
      <c r="J688" s="1">
        <f t="shared" si="124"/>
        <v>1</v>
      </c>
      <c r="K688" s="1">
        <f t="shared" si="125"/>
        <v>4.3795442988304499E+19</v>
      </c>
      <c r="L688" s="1">
        <f t="shared" si="126"/>
        <v>1.8715252637002125E+19</v>
      </c>
      <c r="M688" s="3">
        <f t="shared" si="127"/>
        <v>382708777.24404007</v>
      </c>
      <c r="N688" s="7">
        <f t="shared" si="132"/>
        <v>1.8715252637002101E+19</v>
      </c>
      <c r="O688" s="7">
        <f t="shared" si="128"/>
        <v>382708777</v>
      </c>
      <c r="P688" s="3">
        <f>SUM($O$4:O688)</f>
        <v>22483396400</v>
      </c>
      <c r="Y688" s="3">
        <f t="shared" si="129"/>
        <v>685</v>
      </c>
      <c r="Z688" s="3">
        <f t="shared" si="130"/>
        <v>2.2405798935774301E+17</v>
      </c>
      <c r="AB688" s="7">
        <f t="shared" si="131"/>
        <v>13040</v>
      </c>
    </row>
    <row r="689" spans="6:28" x14ac:dyDescent="0.15">
      <c r="F689">
        <f t="shared" si="121"/>
        <v>98</v>
      </c>
      <c r="G689">
        <v>686</v>
      </c>
      <c r="H689">
        <f t="shared" si="122"/>
        <v>4.379544298830449E+19</v>
      </c>
      <c r="I689">
        <f t="shared" si="123"/>
        <v>4.3795442988304499E+19</v>
      </c>
      <c r="J689" s="1">
        <f t="shared" si="124"/>
        <v>6</v>
      </c>
      <c r="K689" s="1">
        <f t="shared" si="125"/>
        <v>2.6277265792982699E+20</v>
      </c>
      <c r="L689" s="1">
        <f t="shared" si="126"/>
        <v>1.1229151582201274E+20</v>
      </c>
      <c r="M689" s="3">
        <f t="shared" si="127"/>
        <v>2296252663.4642401</v>
      </c>
      <c r="N689" s="7">
        <f t="shared" si="132"/>
        <v>1.1229151582201301E+20</v>
      </c>
      <c r="O689" s="7">
        <f t="shared" si="128"/>
        <v>2296252663</v>
      </c>
      <c r="P689" s="3">
        <f>SUM($O$4:O689)</f>
        <v>24779649063</v>
      </c>
      <c r="Y689" s="3">
        <f t="shared" si="129"/>
        <v>686</v>
      </c>
      <c r="Z689" s="3">
        <f t="shared" si="130"/>
        <v>2.3560433537866E+17</v>
      </c>
      <c r="AB689" s="7">
        <f t="shared" si="131"/>
        <v>13040</v>
      </c>
    </row>
    <row r="690" spans="6:28" x14ac:dyDescent="0.15">
      <c r="F690">
        <f t="shared" si="121"/>
        <v>99</v>
      </c>
      <c r="G690">
        <v>687</v>
      </c>
      <c r="H690">
        <f t="shared" si="122"/>
        <v>6.8758845491638059E+19</v>
      </c>
      <c r="I690">
        <f t="shared" si="123"/>
        <v>6.87588454916381E+19</v>
      </c>
      <c r="J690" s="1">
        <f t="shared" si="124"/>
        <v>1</v>
      </c>
      <c r="K690" s="1">
        <f t="shared" si="125"/>
        <v>6.87588454916381E+19</v>
      </c>
      <c r="L690" s="1">
        <f t="shared" si="126"/>
        <v>2.9589223176568263E+19</v>
      </c>
      <c r="M690" s="3">
        <f t="shared" si="127"/>
        <v>465439181.16682327</v>
      </c>
      <c r="N690" s="7">
        <f t="shared" si="132"/>
        <v>2.95892231765683E+19</v>
      </c>
      <c r="O690" s="7">
        <f t="shared" si="128"/>
        <v>465439181</v>
      </c>
      <c r="P690" s="3">
        <f>SUM($O$4:O690)</f>
        <v>25245088244</v>
      </c>
      <c r="Y690" s="3">
        <f t="shared" si="129"/>
        <v>687</v>
      </c>
      <c r="Z690" s="3">
        <f t="shared" si="130"/>
        <v>2.4774517102827501E+17</v>
      </c>
      <c r="AB690" s="7">
        <f t="shared" si="131"/>
        <v>13040</v>
      </c>
    </row>
    <row r="691" spans="6:28" x14ac:dyDescent="0.15">
      <c r="F691">
        <f t="shared" si="121"/>
        <v>99</v>
      </c>
      <c r="G691">
        <v>688</v>
      </c>
      <c r="H691">
        <f t="shared" si="122"/>
        <v>6.8758845491638059E+19</v>
      </c>
      <c r="I691">
        <f t="shared" si="123"/>
        <v>6.87588454916381E+19</v>
      </c>
      <c r="J691" s="1">
        <f t="shared" si="124"/>
        <v>1</v>
      </c>
      <c r="K691" s="1">
        <f t="shared" si="125"/>
        <v>6.87588454916381E+19</v>
      </c>
      <c r="L691" s="1">
        <f t="shared" si="126"/>
        <v>2.9589223176568263E+19</v>
      </c>
      <c r="M691" s="3">
        <f t="shared" si="127"/>
        <v>465439181.16682327</v>
      </c>
      <c r="N691" s="7">
        <f t="shared" si="132"/>
        <v>2.95892231765683E+19</v>
      </c>
      <c r="O691" s="7">
        <f t="shared" si="128"/>
        <v>465439181</v>
      </c>
      <c r="P691" s="3">
        <f>SUM($O$4:O691)</f>
        <v>25710527425</v>
      </c>
      <c r="Y691" s="3">
        <f t="shared" si="129"/>
        <v>688</v>
      </c>
      <c r="Z691" s="3">
        <f t="shared" si="130"/>
        <v>2.60511079404404E+17</v>
      </c>
      <c r="AB691" s="7">
        <f t="shared" si="131"/>
        <v>13040</v>
      </c>
    </row>
    <row r="692" spans="6:28" x14ac:dyDescent="0.15">
      <c r="F692">
        <f t="shared" si="121"/>
        <v>99</v>
      </c>
      <c r="G692">
        <v>689</v>
      </c>
      <c r="H692">
        <f t="shared" si="122"/>
        <v>6.8758845491638059E+19</v>
      </c>
      <c r="I692">
        <f t="shared" si="123"/>
        <v>6.87588454916381E+19</v>
      </c>
      <c r="J692" s="1">
        <f t="shared" si="124"/>
        <v>1</v>
      </c>
      <c r="K692" s="1">
        <f t="shared" si="125"/>
        <v>6.87588454916381E+19</v>
      </c>
      <c r="L692" s="1">
        <f t="shared" si="126"/>
        <v>2.9589223176568263E+19</v>
      </c>
      <c r="M692" s="3">
        <f t="shared" si="127"/>
        <v>465439181.16682327</v>
      </c>
      <c r="N692" s="7">
        <f t="shared" si="132"/>
        <v>2.95892231765683E+19</v>
      </c>
      <c r="O692" s="7">
        <f t="shared" si="128"/>
        <v>465439181</v>
      </c>
      <c r="P692" s="3">
        <f>SUM($O$4:O692)</f>
        <v>26175966606</v>
      </c>
      <c r="Y692" s="3">
        <f t="shared" si="129"/>
        <v>689</v>
      </c>
      <c r="Z692" s="3">
        <f t="shared" si="130"/>
        <v>2.73934215690576E+17</v>
      </c>
      <c r="AB692" s="7">
        <f t="shared" si="131"/>
        <v>13040</v>
      </c>
    </row>
    <row r="693" spans="6:28" x14ac:dyDescent="0.15">
      <c r="F693">
        <f t="shared" si="121"/>
        <v>99</v>
      </c>
      <c r="G693">
        <v>690</v>
      </c>
      <c r="H693">
        <f t="shared" si="122"/>
        <v>6.8758845491638059E+19</v>
      </c>
      <c r="I693">
        <f t="shared" si="123"/>
        <v>6.87588454916381E+19</v>
      </c>
      <c r="J693" s="1">
        <f t="shared" si="124"/>
        <v>1</v>
      </c>
      <c r="K693" s="1">
        <f t="shared" si="125"/>
        <v>6.87588454916381E+19</v>
      </c>
      <c r="L693" s="1">
        <f t="shared" si="126"/>
        <v>2.9589223176568263E+19</v>
      </c>
      <c r="M693" s="3">
        <f t="shared" si="127"/>
        <v>465439181.16682327</v>
      </c>
      <c r="N693" s="7">
        <f t="shared" si="132"/>
        <v>2.95892231765683E+19</v>
      </c>
      <c r="O693" s="7">
        <f t="shared" si="128"/>
        <v>465439181</v>
      </c>
      <c r="P693" s="3">
        <f>SUM($O$4:O693)</f>
        <v>26641405787</v>
      </c>
      <c r="Y693" s="3">
        <f t="shared" si="129"/>
        <v>690</v>
      </c>
      <c r="Z693" s="3">
        <f t="shared" si="130"/>
        <v>2.8804838790685402E+17</v>
      </c>
      <c r="AB693" s="7">
        <f t="shared" si="131"/>
        <v>13040</v>
      </c>
    </row>
    <row r="694" spans="6:28" x14ac:dyDescent="0.15">
      <c r="F694">
        <f t="shared" si="121"/>
        <v>99</v>
      </c>
      <c r="G694">
        <v>691</v>
      </c>
      <c r="H694">
        <f t="shared" si="122"/>
        <v>6.8758845491638059E+19</v>
      </c>
      <c r="I694">
        <f t="shared" si="123"/>
        <v>6.87588454916381E+19</v>
      </c>
      <c r="J694" s="1">
        <f t="shared" si="124"/>
        <v>1</v>
      </c>
      <c r="K694" s="1">
        <f t="shared" si="125"/>
        <v>6.87588454916381E+19</v>
      </c>
      <c r="L694" s="1">
        <f t="shared" si="126"/>
        <v>2.9589223176568263E+19</v>
      </c>
      <c r="M694" s="3">
        <f t="shared" si="127"/>
        <v>465439181.16682327</v>
      </c>
      <c r="N694" s="7">
        <f t="shared" si="132"/>
        <v>2.95892231765683E+19</v>
      </c>
      <c r="O694" s="7">
        <f t="shared" si="128"/>
        <v>465439181</v>
      </c>
      <c r="P694" s="3">
        <f>SUM($O$4:O694)</f>
        <v>27106844968</v>
      </c>
      <c r="Y694" s="3">
        <f t="shared" si="129"/>
        <v>691</v>
      </c>
      <c r="Z694" s="3">
        <f t="shared" si="130"/>
        <v>3.0288914180553299E+17</v>
      </c>
      <c r="AB694" s="7">
        <f t="shared" si="131"/>
        <v>13040</v>
      </c>
    </row>
    <row r="695" spans="6:28" x14ac:dyDescent="0.15">
      <c r="F695">
        <f t="shared" si="121"/>
        <v>99</v>
      </c>
      <c r="G695">
        <v>692</v>
      </c>
      <c r="H695">
        <f t="shared" si="122"/>
        <v>6.8758845491638059E+19</v>
      </c>
      <c r="I695">
        <f t="shared" si="123"/>
        <v>6.87588454916381E+19</v>
      </c>
      <c r="J695" s="1">
        <f t="shared" si="124"/>
        <v>1</v>
      </c>
      <c r="K695" s="1">
        <f t="shared" si="125"/>
        <v>6.87588454916381E+19</v>
      </c>
      <c r="L695" s="1">
        <f t="shared" si="126"/>
        <v>2.9589223176568263E+19</v>
      </c>
      <c r="M695" s="3">
        <f t="shared" si="127"/>
        <v>465439181.16682327</v>
      </c>
      <c r="N695" s="7">
        <f t="shared" si="132"/>
        <v>2.95892231765683E+19</v>
      </c>
      <c r="O695" s="7">
        <f t="shared" si="128"/>
        <v>465439181</v>
      </c>
      <c r="P695" s="3">
        <f>SUM($O$4:O695)</f>
        <v>27572284149</v>
      </c>
      <c r="Y695" s="3">
        <f t="shared" si="129"/>
        <v>692</v>
      </c>
      <c r="Z695" s="3">
        <f t="shared" si="130"/>
        <v>3.1849385012431302E+17</v>
      </c>
      <c r="AB695" s="7">
        <f t="shared" si="131"/>
        <v>13040</v>
      </c>
    </row>
    <row r="696" spans="6:28" x14ac:dyDescent="0.15">
      <c r="F696">
        <f t="shared" si="121"/>
        <v>99</v>
      </c>
      <c r="G696">
        <v>693</v>
      </c>
      <c r="H696">
        <f t="shared" si="122"/>
        <v>6.8758845491638059E+19</v>
      </c>
      <c r="I696">
        <f t="shared" si="123"/>
        <v>6.87588454916381E+19</v>
      </c>
      <c r="J696" s="1">
        <f t="shared" si="124"/>
        <v>7</v>
      </c>
      <c r="K696" s="1">
        <f t="shared" si="125"/>
        <v>4.8131191844146669E+20</v>
      </c>
      <c r="L696" s="1">
        <f t="shared" si="126"/>
        <v>2.0712456223597783E+20</v>
      </c>
      <c r="M696" s="3">
        <f t="shared" si="127"/>
        <v>3258074268.1677628</v>
      </c>
      <c r="N696" s="7">
        <f t="shared" si="132"/>
        <v>2.0712456223597799E+20</v>
      </c>
      <c r="O696" s="7">
        <f t="shared" si="128"/>
        <v>3258074268</v>
      </c>
      <c r="P696" s="3">
        <f>SUM($O$4:O696)</f>
        <v>30830358417</v>
      </c>
      <c r="Y696" s="3">
        <f t="shared" si="129"/>
        <v>693</v>
      </c>
      <c r="Z696" s="3">
        <f t="shared" si="130"/>
        <v>3.3490180642045702E+17</v>
      </c>
      <c r="AB696" s="7">
        <f t="shared" si="131"/>
        <v>13040</v>
      </c>
    </row>
    <row r="697" spans="6:28" x14ac:dyDescent="0.15">
      <c r="F697">
        <f t="shared" si="121"/>
        <v>100</v>
      </c>
      <c r="G697">
        <v>694</v>
      </c>
      <c r="H697">
        <f t="shared" si="122"/>
        <v>1.0795138742187175E+20</v>
      </c>
      <c r="I697">
        <f t="shared" si="123"/>
        <v>1.07951387421872E+20</v>
      </c>
      <c r="J697" s="1">
        <f t="shared" si="124"/>
        <v>1</v>
      </c>
      <c r="K697" s="1">
        <f t="shared" si="125"/>
        <v>1.07951387421872E+20</v>
      </c>
      <c r="L697" s="1">
        <f t="shared" si="126"/>
        <v>4.6778934549477868E+19</v>
      </c>
      <c r="M697" s="3">
        <f t="shared" si="127"/>
        <v>566025960.05570388</v>
      </c>
      <c r="N697" s="7">
        <f t="shared" si="132"/>
        <v>4.67789345494779E+19</v>
      </c>
      <c r="O697" s="7">
        <f t="shared" si="128"/>
        <v>566025960</v>
      </c>
      <c r="P697" s="3">
        <f>SUM($O$4:O697)</f>
        <v>31396384377</v>
      </c>
      <c r="Y697" s="3">
        <f t="shared" si="129"/>
        <v>694</v>
      </c>
      <c r="Z697" s="3">
        <f t="shared" si="130"/>
        <v>3.5215432372090502E+17</v>
      </c>
      <c r="AB697" s="7">
        <f t="shared" si="131"/>
        <v>13040</v>
      </c>
    </row>
    <row r="698" spans="6:28" x14ac:dyDescent="0.15">
      <c r="F698">
        <f t="shared" si="121"/>
        <v>100</v>
      </c>
      <c r="G698">
        <v>695</v>
      </c>
      <c r="H698">
        <f t="shared" si="122"/>
        <v>1.0795138742187175E+20</v>
      </c>
      <c r="I698">
        <f t="shared" si="123"/>
        <v>1.07951387421872E+20</v>
      </c>
      <c r="J698" s="1">
        <f t="shared" si="124"/>
        <v>1</v>
      </c>
      <c r="K698" s="1">
        <f t="shared" si="125"/>
        <v>1.07951387421872E+20</v>
      </c>
      <c r="L698" s="1">
        <f t="shared" si="126"/>
        <v>4.6778934549477868E+19</v>
      </c>
      <c r="M698" s="3">
        <f t="shared" si="127"/>
        <v>566025960.05570388</v>
      </c>
      <c r="N698" s="7">
        <f t="shared" si="132"/>
        <v>4.67789345494779E+19</v>
      </c>
      <c r="O698" s="7">
        <f t="shared" si="128"/>
        <v>566025960</v>
      </c>
      <c r="P698" s="3">
        <f>SUM($O$4:O698)</f>
        <v>31962410337</v>
      </c>
      <c r="Y698" s="3">
        <f t="shared" si="129"/>
        <v>695</v>
      </c>
      <c r="Z698" s="3">
        <f t="shared" si="130"/>
        <v>3.7029483823534598E+17</v>
      </c>
      <c r="AB698" s="7">
        <f t="shared" si="131"/>
        <v>13040</v>
      </c>
    </row>
    <row r="699" spans="6:28" x14ac:dyDescent="0.15">
      <c r="F699">
        <f t="shared" si="121"/>
        <v>100</v>
      </c>
      <c r="G699">
        <v>696</v>
      </c>
      <c r="H699">
        <f t="shared" si="122"/>
        <v>1.0795138742187175E+20</v>
      </c>
      <c r="I699">
        <f t="shared" si="123"/>
        <v>1.07951387421872E+20</v>
      </c>
      <c r="J699" s="1">
        <f t="shared" si="124"/>
        <v>1</v>
      </c>
      <c r="K699" s="1">
        <f t="shared" si="125"/>
        <v>1.07951387421872E+20</v>
      </c>
      <c r="L699" s="1">
        <f t="shared" si="126"/>
        <v>4.6778934549477868E+19</v>
      </c>
      <c r="M699" s="3">
        <f t="shared" si="127"/>
        <v>566025960.05570388</v>
      </c>
      <c r="N699" s="7">
        <f t="shared" si="132"/>
        <v>4.67789345494779E+19</v>
      </c>
      <c r="O699" s="7">
        <f t="shared" si="128"/>
        <v>566025960</v>
      </c>
      <c r="P699" s="3">
        <f>SUM($O$4:O699)</f>
        <v>32528436297</v>
      </c>
      <c r="Y699" s="3">
        <f t="shared" si="129"/>
        <v>696</v>
      </c>
      <c r="Z699" s="3">
        <f t="shared" si="130"/>
        <v>3.8936901839192902E+17</v>
      </c>
      <c r="AB699" s="7">
        <f t="shared" si="131"/>
        <v>13040</v>
      </c>
    </row>
    <row r="700" spans="6:28" x14ac:dyDescent="0.15">
      <c r="F700">
        <f t="shared" si="121"/>
        <v>100</v>
      </c>
      <c r="G700">
        <v>697</v>
      </c>
      <c r="H700">
        <f t="shared" si="122"/>
        <v>1.0795138742187175E+20</v>
      </c>
      <c r="I700">
        <f t="shared" si="123"/>
        <v>1.07951387421872E+20</v>
      </c>
      <c r="J700" s="1">
        <f t="shared" si="124"/>
        <v>1</v>
      </c>
      <c r="K700" s="1">
        <f t="shared" si="125"/>
        <v>1.07951387421872E+20</v>
      </c>
      <c r="L700" s="1">
        <f t="shared" si="126"/>
        <v>4.6778934549477868E+19</v>
      </c>
      <c r="M700" s="3">
        <f t="shared" si="127"/>
        <v>566025960.05570388</v>
      </c>
      <c r="N700" s="7">
        <f t="shared" si="132"/>
        <v>4.67789345494779E+19</v>
      </c>
      <c r="O700" s="7">
        <f t="shared" si="128"/>
        <v>566025960</v>
      </c>
      <c r="P700" s="3">
        <f>SUM($O$4:O700)</f>
        <v>33094462257</v>
      </c>
      <c r="Y700" s="3">
        <f t="shared" si="129"/>
        <v>697</v>
      </c>
      <c r="Z700" s="3">
        <f t="shared" si="130"/>
        <v>4.0942487946858298E+17</v>
      </c>
      <c r="AB700" s="7">
        <f t="shared" si="131"/>
        <v>13040</v>
      </c>
    </row>
    <row r="701" spans="6:28" x14ac:dyDescent="0.15">
      <c r="F701">
        <f t="shared" si="121"/>
        <v>100</v>
      </c>
      <c r="G701">
        <v>698</v>
      </c>
      <c r="H701">
        <f t="shared" si="122"/>
        <v>1.0795138742187175E+20</v>
      </c>
      <c r="I701">
        <f t="shared" si="123"/>
        <v>1.07951387421872E+20</v>
      </c>
      <c r="J701" s="1">
        <f t="shared" si="124"/>
        <v>1</v>
      </c>
      <c r="K701" s="1">
        <f t="shared" si="125"/>
        <v>1.07951387421872E+20</v>
      </c>
      <c r="L701" s="1">
        <f t="shared" si="126"/>
        <v>4.6778934549477868E+19</v>
      </c>
      <c r="M701" s="3">
        <f t="shared" si="127"/>
        <v>566025960.05570388</v>
      </c>
      <c r="N701" s="7">
        <f t="shared" si="132"/>
        <v>4.67789345494779E+19</v>
      </c>
      <c r="O701" s="7">
        <f t="shared" si="128"/>
        <v>566025960</v>
      </c>
      <c r="P701" s="3">
        <f>SUM($O$4:O701)</f>
        <v>33660488217</v>
      </c>
      <c r="Y701" s="3">
        <f t="shared" si="129"/>
        <v>698</v>
      </c>
      <c r="Z701" s="3">
        <f t="shared" si="130"/>
        <v>4.3051290410692198E+17</v>
      </c>
      <c r="AB701" s="7">
        <f t="shared" si="131"/>
        <v>13040</v>
      </c>
    </row>
    <row r="702" spans="6:28" x14ac:dyDescent="0.15">
      <c r="F702">
        <f t="shared" si="121"/>
        <v>100</v>
      </c>
      <c r="G702">
        <v>699</v>
      </c>
      <c r="H702">
        <f t="shared" si="122"/>
        <v>1.0795138742187175E+20</v>
      </c>
      <c r="I702">
        <f t="shared" si="123"/>
        <v>1.07951387421872E+20</v>
      </c>
      <c r="J702" s="1">
        <f t="shared" si="124"/>
        <v>1</v>
      </c>
      <c r="K702" s="1">
        <f t="shared" si="125"/>
        <v>1.07951387421872E+20</v>
      </c>
      <c r="L702" s="1">
        <f t="shared" si="126"/>
        <v>4.6778934549477868E+19</v>
      </c>
      <c r="M702" s="3">
        <f t="shared" si="127"/>
        <v>566025960.05570388</v>
      </c>
      <c r="N702" s="7">
        <f t="shared" si="132"/>
        <v>4.67789345494779E+19</v>
      </c>
      <c r="O702" s="7">
        <f t="shared" si="128"/>
        <v>566025960</v>
      </c>
      <c r="P702" s="3">
        <f>SUM($O$4:O702)</f>
        <v>34226514177</v>
      </c>
      <c r="Y702" s="3">
        <f t="shared" si="129"/>
        <v>699</v>
      </c>
      <c r="Z702" s="3">
        <f t="shared" si="130"/>
        <v>4.5268616901042298E+17</v>
      </c>
      <c r="AB702" s="7">
        <f t="shared" si="131"/>
        <v>13040</v>
      </c>
    </row>
    <row r="703" spans="6:28" x14ac:dyDescent="0.15">
      <c r="F703">
        <f t="shared" si="121"/>
        <v>100</v>
      </c>
      <c r="G703">
        <v>700</v>
      </c>
      <c r="H703">
        <f t="shared" si="122"/>
        <v>1.0795138742187175E+20</v>
      </c>
      <c r="I703">
        <f t="shared" si="123"/>
        <v>1.07951387421872E+20</v>
      </c>
      <c r="J703" s="1">
        <f t="shared" si="124"/>
        <v>10</v>
      </c>
      <c r="K703" s="1">
        <f t="shared" si="125"/>
        <v>1.0795138742187199E+21</v>
      </c>
      <c r="L703" s="1">
        <f t="shared" si="126"/>
        <v>4.6778934549477864E+20</v>
      </c>
      <c r="M703" s="3">
        <f t="shared" si="127"/>
        <v>5660259600.5570383</v>
      </c>
      <c r="N703" s="7">
        <f t="shared" si="132"/>
        <v>4.6778934549477897E+20</v>
      </c>
      <c r="O703" s="7">
        <f t="shared" si="128"/>
        <v>5660259600</v>
      </c>
      <c r="P703" s="3">
        <f>SUM($O$4:O703)</f>
        <v>39886773777</v>
      </c>
      <c r="Y703" s="3">
        <f t="shared" si="129"/>
        <v>700</v>
      </c>
      <c r="Z703" s="3">
        <f t="shared" si="130"/>
        <v>4.7600047814400698E+17</v>
      </c>
      <c r="AB703" s="7">
        <f t="shared" si="131"/>
        <v>13040</v>
      </c>
    </row>
    <row r="704" spans="6:28" x14ac:dyDescent="0.15">
      <c r="F704">
        <f t="shared" si="121"/>
        <v>101</v>
      </c>
      <c r="G704">
        <v>701</v>
      </c>
      <c r="H704">
        <f t="shared" si="122"/>
        <v>1.6948367825233864E+20</v>
      </c>
      <c r="I704">
        <f t="shared" si="123"/>
        <v>1.69483678252339E+20</v>
      </c>
      <c r="J704" s="1">
        <f t="shared" si="124"/>
        <v>1</v>
      </c>
      <c r="K704" s="1">
        <f t="shared" si="125"/>
        <v>1.69483678252339E+20</v>
      </c>
      <c r="L704" s="1">
        <f t="shared" si="126"/>
        <v>7.395137827743726E+19</v>
      </c>
      <c r="M704" s="3">
        <f t="shared" si="127"/>
        <v>688317710.82205832</v>
      </c>
      <c r="N704" s="7">
        <f t="shared" si="132"/>
        <v>7.3951378277437293E+19</v>
      </c>
      <c r="O704" s="7">
        <f t="shared" si="128"/>
        <v>688317710</v>
      </c>
      <c r="P704" s="3">
        <f>SUM($O$4:O704)</f>
        <v>40575091487</v>
      </c>
      <c r="Y704" s="3">
        <f t="shared" si="129"/>
        <v>701</v>
      </c>
      <c r="Z704" s="3">
        <f t="shared" si="130"/>
        <v>5.0051450276842298E+17</v>
      </c>
      <c r="AB704" s="7">
        <f t="shared" si="131"/>
        <v>13040</v>
      </c>
    </row>
    <row r="705" spans="6:28" x14ac:dyDescent="0.15">
      <c r="F705">
        <f t="shared" si="121"/>
        <v>101</v>
      </c>
      <c r="G705">
        <v>702</v>
      </c>
      <c r="H705">
        <f t="shared" si="122"/>
        <v>1.6948367825233864E+20</v>
      </c>
      <c r="I705">
        <f t="shared" si="123"/>
        <v>1.69483678252339E+20</v>
      </c>
      <c r="J705" s="1">
        <f t="shared" si="124"/>
        <v>1</v>
      </c>
      <c r="K705" s="1">
        <f t="shared" si="125"/>
        <v>1.69483678252339E+20</v>
      </c>
      <c r="L705" s="1">
        <f t="shared" si="126"/>
        <v>7.395137827743726E+19</v>
      </c>
      <c r="M705" s="3">
        <f t="shared" si="127"/>
        <v>688317710.82205832</v>
      </c>
      <c r="N705" s="7">
        <f t="shared" si="132"/>
        <v>7.3951378277437293E+19</v>
      </c>
      <c r="O705" s="7">
        <f t="shared" si="128"/>
        <v>688317710</v>
      </c>
      <c r="P705" s="3">
        <f>SUM($O$4:O705)</f>
        <v>41263409197</v>
      </c>
      <c r="Y705" s="3">
        <f t="shared" si="129"/>
        <v>702</v>
      </c>
      <c r="Z705" s="3">
        <f t="shared" si="130"/>
        <v>5.2628992865992102E+17</v>
      </c>
      <c r="AB705" s="7">
        <f t="shared" si="131"/>
        <v>13040</v>
      </c>
    </row>
    <row r="706" spans="6:28" x14ac:dyDescent="0.15">
      <c r="F706">
        <f t="shared" si="121"/>
        <v>101</v>
      </c>
      <c r="G706">
        <v>703</v>
      </c>
      <c r="H706">
        <f t="shared" si="122"/>
        <v>1.6948367825233864E+20</v>
      </c>
      <c r="I706">
        <f t="shared" si="123"/>
        <v>1.69483678252339E+20</v>
      </c>
      <c r="J706" s="1">
        <f t="shared" si="124"/>
        <v>1</v>
      </c>
      <c r="K706" s="1">
        <f t="shared" si="125"/>
        <v>1.69483678252339E+20</v>
      </c>
      <c r="L706" s="1">
        <f t="shared" si="126"/>
        <v>7.395137827743726E+19</v>
      </c>
      <c r="M706" s="3">
        <f t="shared" si="127"/>
        <v>688317710.82205832</v>
      </c>
      <c r="N706" s="7">
        <f t="shared" si="132"/>
        <v>7.3951378277437293E+19</v>
      </c>
      <c r="O706" s="7">
        <f t="shared" si="128"/>
        <v>688317710</v>
      </c>
      <c r="P706" s="3">
        <f>SUM($O$4:O706)</f>
        <v>41951726907</v>
      </c>
      <c r="Y706" s="3">
        <f t="shared" si="129"/>
        <v>703</v>
      </c>
      <c r="Z706" s="3">
        <f t="shared" si="130"/>
        <v>5.53391610883648E+17</v>
      </c>
      <c r="AB706" s="7">
        <f t="shared" si="131"/>
        <v>13040</v>
      </c>
    </row>
    <row r="707" spans="6:28" x14ac:dyDescent="0.15">
      <c r="F707">
        <f t="shared" si="121"/>
        <v>101</v>
      </c>
      <c r="G707">
        <v>704</v>
      </c>
      <c r="H707">
        <f t="shared" si="122"/>
        <v>1.6948367825233864E+20</v>
      </c>
      <c r="I707">
        <f t="shared" si="123"/>
        <v>1.69483678252339E+20</v>
      </c>
      <c r="J707" s="1">
        <f t="shared" si="124"/>
        <v>1</v>
      </c>
      <c r="K707" s="1">
        <f t="shared" si="125"/>
        <v>1.69483678252339E+20</v>
      </c>
      <c r="L707" s="1">
        <f t="shared" si="126"/>
        <v>7.395137827743726E+19</v>
      </c>
      <c r="M707" s="3">
        <f t="shared" si="127"/>
        <v>688317710.82205832</v>
      </c>
      <c r="N707" s="7">
        <f t="shared" si="132"/>
        <v>7.3951378277437293E+19</v>
      </c>
      <c r="O707" s="7">
        <f t="shared" si="128"/>
        <v>688317710</v>
      </c>
      <c r="P707" s="3">
        <f>SUM($O$4:O707)</f>
        <v>42640044617</v>
      </c>
      <c r="Y707" s="3">
        <f t="shared" si="129"/>
        <v>704</v>
      </c>
      <c r="Z707" s="3">
        <f t="shared" si="130"/>
        <v>5.8188773650809702E+17</v>
      </c>
      <c r="AB707" s="7">
        <f t="shared" si="131"/>
        <v>13040</v>
      </c>
    </row>
    <row r="708" spans="6:28" x14ac:dyDescent="0.15">
      <c r="F708">
        <f t="shared" si="121"/>
        <v>101</v>
      </c>
      <c r="G708">
        <v>705</v>
      </c>
      <c r="H708">
        <f t="shared" si="122"/>
        <v>1.6948367825233864E+20</v>
      </c>
      <c r="I708">
        <f t="shared" si="123"/>
        <v>1.69483678252339E+20</v>
      </c>
      <c r="J708" s="1">
        <f t="shared" si="124"/>
        <v>1</v>
      </c>
      <c r="K708" s="1">
        <f t="shared" si="125"/>
        <v>1.69483678252339E+20</v>
      </c>
      <c r="L708" s="1">
        <f t="shared" si="126"/>
        <v>7.395137827743726E+19</v>
      </c>
      <c r="M708" s="3">
        <f t="shared" si="127"/>
        <v>688317710.82205832</v>
      </c>
      <c r="N708" s="7">
        <f t="shared" si="132"/>
        <v>7.3951378277437293E+19</v>
      </c>
      <c r="O708" s="7">
        <f t="shared" si="128"/>
        <v>688317710</v>
      </c>
      <c r="P708" s="3">
        <f>SUM($O$4:O708)</f>
        <v>43328362327</v>
      </c>
      <c r="Y708" s="3">
        <f t="shared" si="129"/>
        <v>705</v>
      </c>
      <c r="Z708" s="3">
        <f t="shared" si="130"/>
        <v>6.1184999566778304E+17</v>
      </c>
      <c r="AB708" s="7">
        <f t="shared" si="131"/>
        <v>13040</v>
      </c>
    </row>
    <row r="709" spans="6:28" x14ac:dyDescent="0.15">
      <c r="F709">
        <f t="shared" ref="F709:F772" si="133">ROUNDUP(G709/$C$4,0)</f>
        <v>101</v>
      </c>
      <c r="G709">
        <v>706</v>
      </c>
      <c r="H709">
        <f t="shared" ref="H709:H772" si="134">18.5*1.57^MIN(F709,156)*1.17^MAX(F709-156,0)*$C$5</f>
        <v>1.6948367825233864E+20</v>
      </c>
      <c r="I709">
        <f t="shared" ref="I709:I772" si="135">ROUND(H709,0)</f>
        <v>1.69483678252339E+20</v>
      </c>
      <c r="J709" s="1">
        <f t="shared" ref="J709:J772" si="136">IF(F709=F710,1,LOOKUP(MOD(F709,5),$D$6:$D$10,$C$6:$C$10))</f>
        <v>1</v>
      </c>
      <c r="K709" s="1">
        <f t="shared" ref="K709:K772" si="137">J709*I709</f>
        <v>1.69483678252339E+20</v>
      </c>
      <c r="L709" s="1">
        <f t="shared" ref="L709:L772" si="138">K709*(0.02+0.00045*F709)/$C$5</f>
        <v>7.395137827743726E+19</v>
      </c>
      <c r="M709" s="3">
        <f t="shared" ref="M709:M772" si="139">L709/(1.3^F709)*3</f>
        <v>688317710.82205832</v>
      </c>
      <c r="N709" s="7">
        <f t="shared" si="132"/>
        <v>7.3951378277437293E+19</v>
      </c>
      <c r="O709" s="7">
        <f t="shared" ref="O709:O772" si="140">ROUNDDOWN(M709,0)</f>
        <v>688317710</v>
      </c>
      <c r="P709" s="3">
        <f>SUM($O$4:O709)</f>
        <v>44016680037</v>
      </c>
      <c r="Y709" s="3">
        <f t="shared" ref="Y709:Y772" si="141">G709</f>
        <v>706</v>
      </c>
      <c r="Z709" s="3">
        <f t="shared" ref="Z709:Z772" si="142">ROUND(1.05^Y709*Y709,0)</f>
        <v>6.4335376140216704E+17</v>
      </c>
      <c r="AB709" s="7">
        <f t="shared" ref="AB709:AB772" si="143">LOOKUP(Y709,T:T,P:P)</f>
        <v>13040</v>
      </c>
    </row>
    <row r="710" spans="6:28" x14ac:dyDescent="0.15">
      <c r="F710">
        <f t="shared" si="133"/>
        <v>101</v>
      </c>
      <c r="G710">
        <v>707</v>
      </c>
      <c r="H710">
        <f t="shared" si="134"/>
        <v>1.6948367825233864E+20</v>
      </c>
      <c r="I710">
        <f t="shared" si="135"/>
        <v>1.69483678252339E+20</v>
      </c>
      <c r="J710" s="1">
        <f t="shared" si="136"/>
        <v>2</v>
      </c>
      <c r="K710" s="1">
        <f t="shared" si="137"/>
        <v>3.3896735650467801E+20</v>
      </c>
      <c r="L710" s="1">
        <f t="shared" si="138"/>
        <v>1.4790275655487452E+20</v>
      </c>
      <c r="M710" s="3">
        <f t="shared" si="139"/>
        <v>1376635421.6441166</v>
      </c>
      <c r="N710" s="7">
        <f t="shared" si="132"/>
        <v>1.4790275655487501E+20</v>
      </c>
      <c r="O710" s="7">
        <f t="shared" si="140"/>
        <v>1376635421</v>
      </c>
      <c r="P710" s="3">
        <f>SUM($O$4:O710)</f>
        <v>45393315458</v>
      </c>
      <c r="Y710" s="3">
        <f t="shared" si="141"/>
        <v>707</v>
      </c>
      <c r="Z710" s="3">
        <f t="shared" si="142"/>
        <v>6.7647827872081894E+17</v>
      </c>
      <c r="AB710" s="7">
        <f t="shared" si="143"/>
        <v>13040</v>
      </c>
    </row>
    <row r="711" spans="6:28" x14ac:dyDescent="0.15">
      <c r="F711">
        <f t="shared" si="133"/>
        <v>102</v>
      </c>
      <c r="G711">
        <v>708</v>
      </c>
      <c r="H711">
        <f t="shared" si="134"/>
        <v>2.6608937485617168E+20</v>
      </c>
      <c r="I711">
        <f t="shared" si="135"/>
        <v>2.6608937485617201E+20</v>
      </c>
      <c r="J711" s="1">
        <f t="shared" si="136"/>
        <v>1</v>
      </c>
      <c r="K711" s="1">
        <f t="shared" si="137"/>
        <v>2.6608937485617201E+20</v>
      </c>
      <c r="L711" s="1">
        <f t="shared" si="138"/>
        <v>1.1690193202014491E+20</v>
      </c>
      <c r="M711" s="3">
        <f t="shared" si="139"/>
        <v>836991424.04398608</v>
      </c>
      <c r="N711" s="7">
        <f t="shared" si="132"/>
        <v>1.16901932020145E+20</v>
      </c>
      <c r="O711" s="7">
        <f t="shared" si="140"/>
        <v>836991424</v>
      </c>
      <c r="P711" s="3">
        <f>SUM($O$4:O711)</f>
        <v>46230306882</v>
      </c>
      <c r="Y711" s="3">
        <f t="shared" si="141"/>
        <v>708</v>
      </c>
      <c r="Z711" s="3">
        <f t="shared" si="142"/>
        <v>7.1130686336783206E+17</v>
      </c>
      <c r="AB711" s="7">
        <f t="shared" si="143"/>
        <v>13040</v>
      </c>
    </row>
    <row r="712" spans="6:28" x14ac:dyDescent="0.15">
      <c r="F712">
        <f t="shared" si="133"/>
        <v>102</v>
      </c>
      <c r="G712">
        <v>709</v>
      </c>
      <c r="H712">
        <f t="shared" si="134"/>
        <v>2.6608937485617168E+20</v>
      </c>
      <c r="I712">
        <f t="shared" si="135"/>
        <v>2.6608937485617201E+20</v>
      </c>
      <c r="J712" s="1">
        <f t="shared" si="136"/>
        <v>1</v>
      </c>
      <c r="K712" s="1">
        <f t="shared" si="137"/>
        <v>2.6608937485617201E+20</v>
      </c>
      <c r="L712" s="1">
        <f t="shared" si="138"/>
        <v>1.1690193202014491E+20</v>
      </c>
      <c r="M712" s="3">
        <f t="shared" si="139"/>
        <v>836991424.04398608</v>
      </c>
      <c r="N712" s="7">
        <f t="shared" ref="N712:N775" si="144">ROUND(L712,0)</f>
        <v>1.16901932020145E+20</v>
      </c>
      <c r="O712" s="7">
        <f t="shared" si="140"/>
        <v>836991424</v>
      </c>
      <c r="P712" s="3">
        <f>SUM($O$4:O712)</f>
        <v>47067298306</v>
      </c>
      <c r="Y712" s="3">
        <f t="shared" si="141"/>
        <v>709</v>
      </c>
      <c r="Z712" s="3">
        <f t="shared" si="142"/>
        <v>7.4792711078274304E+17</v>
      </c>
      <c r="AB712" s="7">
        <f t="shared" si="143"/>
        <v>13040</v>
      </c>
    </row>
    <row r="713" spans="6:28" x14ac:dyDescent="0.15">
      <c r="F713">
        <f t="shared" si="133"/>
        <v>102</v>
      </c>
      <c r="G713">
        <v>710</v>
      </c>
      <c r="H713">
        <f t="shared" si="134"/>
        <v>2.6608937485617168E+20</v>
      </c>
      <c r="I713">
        <f t="shared" si="135"/>
        <v>2.6608937485617201E+20</v>
      </c>
      <c r="J713" s="1">
        <f t="shared" si="136"/>
        <v>1</v>
      </c>
      <c r="K713" s="1">
        <f t="shared" si="137"/>
        <v>2.6608937485617201E+20</v>
      </c>
      <c r="L713" s="1">
        <f t="shared" si="138"/>
        <v>1.1690193202014491E+20</v>
      </c>
      <c r="M713" s="3">
        <f t="shared" si="139"/>
        <v>836991424.04398608</v>
      </c>
      <c r="N713" s="7">
        <f t="shared" si="144"/>
        <v>1.16901932020145E+20</v>
      </c>
      <c r="O713" s="7">
        <f t="shared" si="140"/>
        <v>836991424</v>
      </c>
      <c r="P713" s="3">
        <f>SUM($O$4:O713)</f>
        <v>47904289730</v>
      </c>
      <c r="Y713" s="3">
        <f t="shared" si="141"/>
        <v>710</v>
      </c>
      <c r="Z713" s="3">
        <f t="shared" si="142"/>
        <v>7.8643111578072704E+17</v>
      </c>
      <c r="AB713" s="7">
        <f t="shared" si="143"/>
        <v>13040</v>
      </c>
    </row>
    <row r="714" spans="6:28" x14ac:dyDescent="0.15">
      <c r="F714">
        <f t="shared" si="133"/>
        <v>102</v>
      </c>
      <c r="G714">
        <v>711</v>
      </c>
      <c r="H714">
        <f t="shared" si="134"/>
        <v>2.6608937485617168E+20</v>
      </c>
      <c r="I714">
        <f t="shared" si="135"/>
        <v>2.6608937485617201E+20</v>
      </c>
      <c r="J714" s="1">
        <f t="shared" si="136"/>
        <v>1</v>
      </c>
      <c r="K714" s="1">
        <f t="shared" si="137"/>
        <v>2.6608937485617201E+20</v>
      </c>
      <c r="L714" s="1">
        <f t="shared" si="138"/>
        <v>1.1690193202014491E+20</v>
      </c>
      <c r="M714" s="3">
        <f t="shared" si="139"/>
        <v>836991424.04398608</v>
      </c>
      <c r="N714" s="7">
        <f t="shared" si="144"/>
        <v>1.16901932020145E+20</v>
      </c>
      <c r="O714" s="7">
        <f t="shared" si="140"/>
        <v>836991424</v>
      </c>
      <c r="P714" s="3">
        <f>SUM($O$4:O714)</f>
        <v>48741281154</v>
      </c>
      <c r="Y714" s="3">
        <f t="shared" si="141"/>
        <v>711</v>
      </c>
      <c r="Z714" s="3">
        <f t="shared" si="142"/>
        <v>8.2691570350155098E+17</v>
      </c>
      <c r="AB714" s="7">
        <f t="shared" si="143"/>
        <v>13040</v>
      </c>
    </row>
    <row r="715" spans="6:28" x14ac:dyDescent="0.15">
      <c r="F715">
        <f t="shared" si="133"/>
        <v>102</v>
      </c>
      <c r="G715">
        <v>712</v>
      </c>
      <c r="H715">
        <f t="shared" si="134"/>
        <v>2.6608937485617168E+20</v>
      </c>
      <c r="I715">
        <f t="shared" si="135"/>
        <v>2.6608937485617201E+20</v>
      </c>
      <c r="J715" s="1">
        <f t="shared" si="136"/>
        <v>1</v>
      </c>
      <c r="K715" s="1">
        <f t="shared" si="137"/>
        <v>2.6608937485617201E+20</v>
      </c>
      <c r="L715" s="1">
        <f t="shared" si="138"/>
        <v>1.1690193202014491E+20</v>
      </c>
      <c r="M715" s="3">
        <f t="shared" si="139"/>
        <v>836991424.04398608</v>
      </c>
      <c r="N715" s="7">
        <f t="shared" si="144"/>
        <v>1.16901932020145E+20</v>
      </c>
      <c r="O715" s="7">
        <f t="shared" si="140"/>
        <v>836991424</v>
      </c>
      <c r="P715" s="3">
        <f>SUM($O$4:O715)</f>
        <v>49578272578</v>
      </c>
      <c r="Y715" s="3">
        <f t="shared" si="141"/>
        <v>712</v>
      </c>
      <c r="Z715" s="3">
        <f t="shared" si="142"/>
        <v>8.6948267220500698E+17</v>
      </c>
      <c r="AB715" s="7">
        <f t="shared" si="143"/>
        <v>13040</v>
      </c>
    </row>
    <row r="716" spans="6:28" x14ac:dyDescent="0.15">
      <c r="F716">
        <f t="shared" si="133"/>
        <v>102</v>
      </c>
      <c r="G716">
        <v>713</v>
      </c>
      <c r="H716">
        <f t="shared" si="134"/>
        <v>2.6608937485617168E+20</v>
      </c>
      <c r="I716">
        <f t="shared" si="135"/>
        <v>2.6608937485617201E+20</v>
      </c>
      <c r="J716" s="1">
        <f t="shared" si="136"/>
        <v>1</v>
      </c>
      <c r="K716" s="1">
        <f t="shared" si="137"/>
        <v>2.6608937485617201E+20</v>
      </c>
      <c r="L716" s="1">
        <f t="shared" si="138"/>
        <v>1.1690193202014491E+20</v>
      </c>
      <c r="M716" s="3">
        <f t="shared" si="139"/>
        <v>836991424.04398608</v>
      </c>
      <c r="N716" s="7">
        <f t="shared" si="144"/>
        <v>1.16901932020145E+20</v>
      </c>
      <c r="O716" s="7">
        <f t="shared" si="140"/>
        <v>836991424</v>
      </c>
      <c r="P716" s="3">
        <f>SUM($O$4:O716)</f>
        <v>50415264002</v>
      </c>
      <c r="Y716" s="3">
        <f t="shared" si="141"/>
        <v>713</v>
      </c>
      <c r="Z716" s="3">
        <f t="shared" si="142"/>
        <v>9.1423904852005402E+17</v>
      </c>
      <c r="AB716" s="7">
        <f t="shared" si="143"/>
        <v>13040</v>
      </c>
    </row>
    <row r="717" spans="6:28" x14ac:dyDescent="0.15">
      <c r="F717">
        <f t="shared" si="133"/>
        <v>102</v>
      </c>
      <c r="G717">
        <v>714</v>
      </c>
      <c r="H717">
        <f t="shared" si="134"/>
        <v>2.6608937485617168E+20</v>
      </c>
      <c r="I717">
        <f t="shared" si="135"/>
        <v>2.6608937485617201E+20</v>
      </c>
      <c r="J717" s="1">
        <f t="shared" si="136"/>
        <v>4</v>
      </c>
      <c r="K717" s="1">
        <f t="shared" si="137"/>
        <v>1.064357499424688E+21</v>
      </c>
      <c r="L717" s="1">
        <f t="shared" si="138"/>
        <v>4.6760772808057966E+20</v>
      </c>
      <c r="M717" s="3">
        <f t="shared" si="139"/>
        <v>3347965696.1759443</v>
      </c>
      <c r="N717" s="7">
        <f t="shared" si="144"/>
        <v>4.6760772808057999E+20</v>
      </c>
      <c r="O717" s="7">
        <f t="shared" si="140"/>
        <v>3347965696</v>
      </c>
      <c r="P717" s="3">
        <f>SUM($O$4:O717)</f>
        <v>53763229698</v>
      </c>
      <c r="Y717" s="3">
        <f t="shared" si="141"/>
        <v>714</v>
      </c>
      <c r="Z717" s="3">
        <f t="shared" si="142"/>
        <v>9.6129735578609306E+17</v>
      </c>
      <c r="AB717" s="7">
        <f t="shared" si="143"/>
        <v>13040</v>
      </c>
    </row>
    <row r="718" spans="6:28" x14ac:dyDescent="0.15">
      <c r="F718">
        <f t="shared" si="133"/>
        <v>103</v>
      </c>
      <c r="G718">
        <v>715</v>
      </c>
      <c r="H718">
        <f t="shared" si="134"/>
        <v>4.1776031852418951E+20</v>
      </c>
      <c r="I718">
        <f t="shared" si="135"/>
        <v>4.1776031852419003E+20</v>
      </c>
      <c r="J718" s="1">
        <f t="shared" si="136"/>
        <v>1</v>
      </c>
      <c r="K718" s="1">
        <f t="shared" si="137"/>
        <v>4.1776031852419003E+20</v>
      </c>
      <c r="L718" s="1">
        <f t="shared" si="138"/>
        <v>1.8478931422720003E+20</v>
      </c>
      <c r="M718" s="3">
        <f t="shared" si="139"/>
        <v>1017730572.5102131</v>
      </c>
      <c r="N718" s="7">
        <f t="shared" si="144"/>
        <v>1.847893142272E+20</v>
      </c>
      <c r="O718" s="7">
        <f t="shared" si="140"/>
        <v>1017730572</v>
      </c>
      <c r="P718" s="3">
        <f>SUM($O$4:O718)</f>
        <v>54780960270</v>
      </c>
      <c r="Y718" s="3">
        <f t="shared" si="141"/>
        <v>715</v>
      </c>
      <c r="Z718" s="3">
        <f t="shared" si="142"/>
        <v>1.01077589615744E+18</v>
      </c>
      <c r="AB718" s="7">
        <f t="shared" si="143"/>
        <v>13040</v>
      </c>
    </row>
    <row r="719" spans="6:28" x14ac:dyDescent="0.15">
      <c r="F719">
        <f t="shared" si="133"/>
        <v>103</v>
      </c>
      <c r="G719">
        <v>716</v>
      </c>
      <c r="H719">
        <f t="shared" si="134"/>
        <v>4.1776031852418951E+20</v>
      </c>
      <c r="I719">
        <f t="shared" si="135"/>
        <v>4.1776031852419003E+20</v>
      </c>
      <c r="J719" s="1">
        <f t="shared" si="136"/>
        <v>1</v>
      </c>
      <c r="K719" s="1">
        <f t="shared" si="137"/>
        <v>4.1776031852419003E+20</v>
      </c>
      <c r="L719" s="1">
        <f t="shared" si="138"/>
        <v>1.8478931422720003E+20</v>
      </c>
      <c r="M719" s="3">
        <f t="shared" si="139"/>
        <v>1017730572.5102131</v>
      </c>
      <c r="N719" s="7">
        <f t="shared" si="144"/>
        <v>1.847893142272E+20</v>
      </c>
      <c r="O719" s="7">
        <f t="shared" si="140"/>
        <v>1017730572</v>
      </c>
      <c r="P719" s="3">
        <f>SUM($O$4:O719)</f>
        <v>55798690842</v>
      </c>
      <c r="Y719" s="3">
        <f t="shared" si="141"/>
        <v>716</v>
      </c>
      <c r="Z719" s="3">
        <f t="shared" si="142"/>
        <v>1.06279904717645E+18</v>
      </c>
      <c r="AB719" s="7">
        <f t="shared" si="143"/>
        <v>13040</v>
      </c>
    </row>
    <row r="720" spans="6:28" x14ac:dyDescent="0.15">
      <c r="F720">
        <f t="shared" si="133"/>
        <v>103</v>
      </c>
      <c r="G720">
        <v>717</v>
      </c>
      <c r="H720">
        <f t="shared" si="134"/>
        <v>4.1776031852418951E+20</v>
      </c>
      <c r="I720">
        <f t="shared" si="135"/>
        <v>4.1776031852419003E+20</v>
      </c>
      <c r="J720" s="1">
        <f t="shared" si="136"/>
        <v>1</v>
      </c>
      <c r="K720" s="1">
        <f t="shared" si="137"/>
        <v>4.1776031852419003E+20</v>
      </c>
      <c r="L720" s="1">
        <f t="shared" si="138"/>
        <v>1.8478931422720003E+20</v>
      </c>
      <c r="M720" s="3">
        <f t="shared" si="139"/>
        <v>1017730572.5102131</v>
      </c>
      <c r="N720" s="7">
        <f t="shared" si="144"/>
        <v>1.847893142272E+20</v>
      </c>
      <c r="O720" s="7">
        <f t="shared" si="140"/>
        <v>1017730572</v>
      </c>
      <c r="P720" s="3">
        <f>SUM($O$4:O720)</f>
        <v>56816421414</v>
      </c>
      <c r="Y720" s="3">
        <f t="shared" si="141"/>
        <v>717</v>
      </c>
      <c r="Z720" s="3">
        <f t="shared" si="142"/>
        <v>1.11749757355697E+18</v>
      </c>
      <c r="AB720" s="7">
        <f t="shared" si="143"/>
        <v>13040</v>
      </c>
    </row>
    <row r="721" spans="6:28" x14ac:dyDescent="0.15">
      <c r="F721">
        <f t="shared" si="133"/>
        <v>103</v>
      </c>
      <c r="G721">
        <v>718</v>
      </c>
      <c r="H721">
        <f t="shared" si="134"/>
        <v>4.1776031852418951E+20</v>
      </c>
      <c r="I721">
        <f t="shared" si="135"/>
        <v>4.1776031852419003E+20</v>
      </c>
      <c r="J721" s="1">
        <f t="shared" si="136"/>
        <v>1</v>
      </c>
      <c r="K721" s="1">
        <f t="shared" si="137"/>
        <v>4.1776031852419003E+20</v>
      </c>
      <c r="L721" s="1">
        <f t="shared" si="138"/>
        <v>1.8478931422720003E+20</v>
      </c>
      <c r="M721" s="3">
        <f t="shared" si="139"/>
        <v>1017730572.5102131</v>
      </c>
      <c r="N721" s="7">
        <f t="shared" si="144"/>
        <v>1.847893142272E+20</v>
      </c>
      <c r="O721" s="7">
        <f t="shared" si="140"/>
        <v>1017730572</v>
      </c>
      <c r="P721" s="3">
        <f>SUM($O$4:O721)</f>
        <v>57834151986</v>
      </c>
      <c r="Y721" s="3">
        <f t="shared" si="141"/>
        <v>718</v>
      </c>
      <c r="Z721" s="3">
        <f t="shared" si="142"/>
        <v>1.1750089549576E+18</v>
      </c>
      <c r="AB721" s="7">
        <f t="shared" si="143"/>
        <v>13040</v>
      </c>
    </row>
    <row r="722" spans="6:28" x14ac:dyDescent="0.15">
      <c r="F722">
        <f t="shared" si="133"/>
        <v>103</v>
      </c>
      <c r="G722">
        <v>719</v>
      </c>
      <c r="H722">
        <f t="shared" si="134"/>
        <v>4.1776031852418951E+20</v>
      </c>
      <c r="I722">
        <f t="shared" si="135"/>
        <v>4.1776031852419003E+20</v>
      </c>
      <c r="J722" s="1">
        <f t="shared" si="136"/>
        <v>1</v>
      </c>
      <c r="K722" s="1">
        <f t="shared" si="137"/>
        <v>4.1776031852419003E+20</v>
      </c>
      <c r="L722" s="1">
        <f t="shared" si="138"/>
        <v>1.8478931422720003E+20</v>
      </c>
      <c r="M722" s="3">
        <f t="shared" si="139"/>
        <v>1017730572.5102131</v>
      </c>
      <c r="N722" s="7">
        <f t="shared" si="144"/>
        <v>1.847893142272E+20</v>
      </c>
      <c r="O722" s="7">
        <f t="shared" si="140"/>
        <v>1017730572</v>
      </c>
      <c r="P722" s="3">
        <f>SUM($O$4:O722)</f>
        <v>58851882558</v>
      </c>
      <c r="Y722" s="3">
        <f t="shared" si="141"/>
        <v>719</v>
      </c>
      <c r="Z722" s="3">
        <f t="shared" si="142"/>
        <v>1.2354777305644001E+18</v>
      </c>
      <c r="AB722" s="7">
        <f t="shared" si="143"/>
        <v>13040</v>
      </c>
    </row>
    <row r="723" spans="6:28" x14ac:dyDescent="0.15">
      <c r="F723">
        <f t="shared" si="133"/>
        <v>103</v>
      </c>
      <c r="G723">
        <v>720</v>
      </c>
      <c r="H723">
        <f t="shared" si="134"/>
        <v>4.1776031852418951E+20</v>
      </c>
      <c r="I723">
        <f t="shared" si="135"/>
        <v>4.1776031852419003E+20</v>
      </c>
      <c r="J723" s="1">
        <f t="shared" si="136"/>
        <v>1</v>
      </c>
      <c r="K723" s="1">
        <f t="shared" si="137"/>
        <v>4.1776031852419003E+20</v>
      </c>
      <c r="L723" s="1">
        <f t="shared" si="138"/>
        <v>1.8478931422720003E+20</v>
      </c>
      <c r="M723" s="3">
        <f t="shared" si="139"/>
        <v>1017730572.5102131</v>
      </c>
      <c r="N723" s="7">
        <f t="shared" si="144"/>
        <v>1.847893142272E+20</v>
      </c>
      <c r="O723" s="7">
        <f t="shared" si="140"/>
        <v>1017730572</v>
      </c>
      <c r="P723" s="3">
        <f>SUM($O$4:O723)</f>
        <v>59869613130</v>
      </c>
      <c r="Y723" s="3">
        <f t="shared" si="141"/>
        <v>720</v>
      </c>
      <c r="Z723" s="3">
        <f t="shared" si="142"/>
        <v>1.29905586134449E+18</v>
      </c>
      <c r="AB723" s="7">
        <f t="shared" si="143"/>
        <v>13040</v>
      </c>
    </row>
    <row r="724" spans="6:28" x14ac:dyDescent="0.15">
      <c r="F724">
        <f t="shared" si="133"/>
        <v>103</v>
      </c>
      <c r="G724">
        <v>721</v>
      </c>
      <c r="H724">
        <f t="shared" si="134"/>
        <v>4.1776031852418951E+20</v>
      </c>
      <c r="I724">
        <f t="shared" si="135"/>
        <v>4.1776031852419003E+20</v>
      </c>
      <c r="J724" s="1">
        <f t="shared" si="136"/>
        <v>6</v>
      </c>
      <c r="K724" s="1">
        <f t="shared" si="137"/>
        <v>2.5065619111451401E+21</v>
      </c>
      <c r="L724" s="1">
        <f t="shared" si="138"/>
        <v>1.1087358853632003E+21</v>
      </c>
      <c r="M724" s="3">
        <f t="shared" si="139"/>
        <v>6106383435.0612793</v>
      </c>
      <c r="N724" s="7">
        <f t="shared" si="144"/>
        <v>1.1087358853632E+21</v>
      </c>
      <c r="O724" s="7">
        <f t="shared" si="140"/>
        <v>6106383435</v>
      </c>
      <c r="P724" s="3">
        <f>SUM($O$4:O724)</f>
        <v>65975996565</v>
      </c>
      <c r="Y724" s="3">
        <f t="shared" si="141"/>
        <v>721</v>
      </c>
      <c r="Z724" s="3">
        <f t="shared" si="142"/>
        <v>1.36590311087617E+18</v>
      </c>
      <c r="AB724" s="7">
        <f t="shared" si="143"/>
        <v>13040</v>
      </c>
    </row>
    <row r="725" spans="6:28" x14ac:dyDescent="0.15">
      <c r="F725">
        <f t="shared" si="133"/>
        <v>104</v>
      </c>
      <c r="G725">
        <v>722</v>
      </c>
      <c r="H725">
        <f t="shared" si="134"/>
        <v>6.5588370008297754E+20</v>
      </c>
      <c r="I725">
        <f t="shared" si="135"/>
        <v>6.5588370008297806E+20</v>
      </c>
      <c r="J725" s="1">
        <f t="shared" si="136"/>
        <v>1</v>
      </c>
      <c r="K725" s="1">
        <f t="shared" si="137"/>
        <v>6.5588370008297806E+20</v>
      </c>
      <c r="L725" s="1">
        <f t="shared" si="138"/>
        <v>2.9208687443695288E+20</v>
      </c>
      <c r="M725" s="3">
        <f t="shared" si="139"/>
        <v>1237441441.3376741</v>
      </c>
      <c r="N725" s="7">
        <f t="shared" si="144"/>
        <v>2.9208687443695301E+20</v>
      </c>
      <c r="O725" s="7">
        <f t="shared" si="140"/>
        <v>1237441441</v>
      </c>
      <c r="P725" s="3">
        <f>SUM($O$4:O725)</f>
        <v>67213438006</v>
      </c>
      <c r="Y725" s="3">
        <f t="shared" si="141"/>
        <v>722</v>
      </c>
      <c r="Z725" s="3">
        <f t="shared" si="142"/>
        <v>1.43618744570766E+18</v>
      </c>
      <c r="AB725" s="7">
        <f t="shared" si="143"/>
        <v>13040</v>
      </c>
    </row>
    <row r="726" spans="6:28" x14ac:dyDescent="0.15">
      <c r="F726">
        <f t="shared" si="133"/>
        <v>104</v>
      </c>
      <c r="G726">
        <v>723</v>
      </c>
      <c r="H726">
        <f t="shared" si="134"/>
        <v>6.5588370008297754E+20</v>
      </c>
      <c r="I726">
        <f t="shared" si="135"/>
        <v>6.5588370008297806E+20</v>
      </c>
      <c r="J726" s="1">
        <f t="shared" si="136"/>
        <v>1</v>
      </c>
      <c r="K726" s="1">
        <f t="shared" si="137"/>
        <v>6.5588370008297806E+20</v>
      </c>
      <c r="L726" s="1">
        <f t="shared" si="138"/>
        <v>2.9208687443695288E+20</v>
      </c>
      <c r="M726" s="3">
        <f t="shared" si="139"/>
        <v>1237441441.3376741</v>
      </c>
      <c r="N726" s="7">
        <f t="shared" si="144"/>
        <v>2.9208687443695301E+20</v>
      </c>
      <c r="O726" s="7">
        <f t="shared" si="140"/>
        <v>1237441441</v>
      </c>
      <c r="P726" s="3">
        <f>SUM($O$4:O726)</f>
        <v>68450879447</v>
      </c>
      <c r="Y726" s="3">
        <f t="shared" si="141"/>
        <v>723</v>
      </c>
      <c r="Z726" s="3">
        <f t="shared" si="142"/>
        <v>1.51008545624512E+18</v>
      </c>
      <c r="AB726" s="7">
        <f t="shared" si="143"/>
        <v>13040</v>
      </c>
    </row>
    <row r="727" spans="6:28" x14ac:dyDescent="0.15">
      <c r="F727">
        <f t="shared" si="133"/>
        <v>104</v>
      </c>
      <c r="G727">
        <v>724</v>
      </c>
      <c r="H727">
        <f t="shared" si="134"/>
        <v>6.5588370008297754E+20</v>
      </c>
      <c r="I727">
        <f t="shared" si="135"/>
        <v>6.5588370008297806E+20</v>
      </c>
      <c r="J727" s="1">
        <f t="shared" si="136"/>
        <v>1</v>
      </c>
      <c r="K727" s="1">
        <f t="shared" si="137"/>
        <v>6.5588370008297806E+20</v>
      </c>
      <c r="L727" s="1">
        <f t="shared" si="138"/>
        <v>2.9208687443695288E+20</v>
      </c>
      <c r="M727" s="3">
        <f t="shared" si="139"/>
        <v>1237441441.3376741</v>
      </c>
      <c r="N727" s="7">
        <f t="shared" si="144"/>
        <v>2.9208687443695301E+20</v>
      </c>
      <c r="O727" s="7">
        <f t="shared" si="140"/>
        <v>1237441441</v>
      </c>
      <c r="P727" s="3">
        <f>SUM($O$4:O727)</f>
        <v>69688320888</v>
      </c>
      <c r="Y727" s="3">
        <f t="shared" si="141"/>
        <v>724</v>
      </c>
      <c r="Z727" s="3">
        <f t="shared" si="142"/>
        <v>1.5877827992220401E+18</v>
      </c>
      <c r="AB727" s="7">
        <f t="shared" si="143"/>
        <v>13040</v>
      </c>
    </row>
    <row r="728" spans="6:28" x14ac:dyDescent="0.15">
      <c r="F728">
        <f t="shared" si="133"/>
        <v>104</v>
      </c>
      <c r="G728">
        <v>725</v>
      </c>
      <c r="H728">
        <f t="shared" si="134"/>
        <v>6.5588370008297754E+20</v>
      </c>
      <c r="I728">
        <f t="shared" si="135"/>
        <v>6.5588370008297806E+20</v>
      </c>
      <c r="J728" s="1">
        <f t="shared" si="136"/>
        <v>1</v>
      </c>
      <c r="K728" s="1">
        <f t="shared" si="137"/>
        <v>6.5588370008297806E+20</v>
      </c>
      <c r="L728" s="1">
        <f t="shared" si="138"/>
        <v>2.9208687443695288E+20</v>
      </c>
      <c r="M728" s="3">
        <f t="shared" si="139"/>
        <v>1237441441.3376741</v>
      </c>
      <c r="N728" s="7">
        <f t="shared" si="144"/>
        <v>2.9208687443695301E+20</v>
      </c>
      <c r="O728" s="7">
        <f t="shared" si="140"/>
        <v>1237441441</v>
      </c>
      <c r="P728" s="3">
        <f>SUM($O$4:O728)</f>
        <v>70925762329</v>
      </c>
      <c r="Y728" s="3">
        <f t="shared" si="141"/>
        <v>725</v>
      </c>
      <c r="Z728" s="3">
        <f t="shared" si="142"/>
        <v>1.6694746628560499E+18</v>
      </c>
      <c r="AB728" s="7">
        <f t="shared" si="143"/>
        <v>13040</v>
      </c>
    </row>
    <row r="729" spans="6:28" x14ac:dyDescent="0.15">
      <c r="F729">
        <f t="shared" si="133"/>
        <v>104</v>
      </c>
      <c r="G729">
        <v>726</v>
      </c>
      <c r="H729">
        <f t="shared" si="134"/>
        <v>6.5588370008297754E+20</v>
      </c>
      <c r="I729">
        <f t="shared" si="135"/>
        <v>6.5588370008297806E+20</v>
      </c>
      <c r="J729" s="1">
        <f t="shared" si="136"/>
        <v>1</v>
      </c>
      <c r="K729" s="1">
        <f t="shared" si="137"/>
        <v>6.5588370008297806E+20</v>
      </c>
      <c r="L729" s="1">
        <f t="shared" si="138"/>
        <v>2.9208687443695288E+20</v>
      </c>
      <c r="M729" s="3">
        <f t="shared" si="139"/>
        <v>1237441441.3376741</v>
      </c>
      <c r="N729" s="7">
        <f t="shared" si="144"/>
        <v>2.9208687443695301E+20</v>
      </c>
      <c r="O729" s="7">
        <f t="shared" si="140"/>
        <v>1237441441</v>
      </c>
      <c r="P729" s="3">
        <f>SUM($O$4:O729)</f>
        <v>72163203770</v>
      </c>
      <c r="Y729" s="3">
        <f t="shared" si="141"/>
        <v>726</v>
      </c>
      <c r="Z729" s="3">
        <f t="shared" si="142"/>
        <v>1.7553662558553999E+18</v>
      </c>
      <c r="AB729" s="7">
        <f t="shared" si="143"/>
        <v>13040</v>
      </c>
    </row>
    <row r="730" spans="6:28" x14ac:dyDescent="0.15">
      <c r="F730">
        <f t="shared" si="133"/>
        <v>104</v>
      </c>
      <c r="G730">
        <v>727</v>
      </c>
      <c r="H730">
        <f t="shared" si="134"/>
        <v>6.5588370008297754E+20</v>
      </c>
      <c r="I730">
        <f t="shared" si="135"/>
        <v>6.5588370008297806E+20</v>
      </c>
      <c r="J730" s="1">
        <f t="shared" si="136"/>
        <v>1</v>
      </c>
      <c r="K730" s="1">
        <f t="shared" si="137"/>
        <v>6.5588370008297806E+20</v>
      </c>
      <c r="L730" s="1">
        <f t="shared" si="138"/>
        <v>2.9208687443695288E+20</v>
      </c>
      <c r="M730" s="3">
        <f t="shared" si="139"/>
        <v>1237441441.3376741</v>
      </c>
      <c r="N730" s="7">
        <f t="shared" si="144"/>
        <v>2.9208687443695301E+20</v>
      </c>
      <c r="O730" s="7">
        <f t="shared" si="140"/>
        <v>1237441441</v>
      </c>
      <c r="P730" s="3">
        <f>SUM($O$4:O730)</f>
        <v>73400645211</v>
      </c>
      <c r="Y730" s="3">
        <f t="shared" si="141"/>
        <v>727</v>
      </c>
      <c r="Z730" s="3">
        <f t="shared" si="142"/>
        <v>1.8456733214975501E+18</v>
      </c>
      <c r="AB730" s="7">
        <f t="shared" si="143"/>
        <v>13040</v>
      </c>
    </row>
    <row r="731" spans="6:28" x14ac:dyDescent="0.15">
      <c r="F731">
        <f t="shared" si="133"/>
        <v>104</v>
      </c>
      <c r="G731">
        <v>728</v>
      </c>
      <c r="H731">
        <f t="shared" si="134"/>
        <v>6.5588370008297754E+20</v>
      </c>
      <c r="I731">
        <f t="shared" si="135"/>
        <v>6.5588370008297806E+20</v>
      </c>
      <c r="J731" s="1">
        <f t="shared" si="136"/>
        <v>7</v>
      </c>
      <c r="K731" s="1">
        <f t="shared" si="137"/>
        <v>4.5911859005808464E+21</v>
      </c>
      <c r="L731" s="1">
        <f t="shared" si="138"/>
        <v>2.0446081210586704E+21</v>
      </c>
      <c r="M731" s="3">
        <f t="shared" si="139"/>
        <v>8662090089.3637199</v>
      </c>
      <c r="N731" s="7">
        <f t="shared" si="144"/>
        <v>2.0446081210586699E+21</v>
      </c>
      <c r="O731" s="7">
        <f t="shared" si="140"/>
        <v>8662090089</v>
      </c>
      <c r="P731" s="3">
        <f>SUM($O$4:O731)</f>
        <v>82062735300</v>
      </c>
      <c r="Y731" s="3">
        <f t="shared" si="141"/>
        <v>728</v>
      </c>
      <c r="Z731" s="3">
        <f t="shared" si="142"/>
        <v>1.9406226780642701E+18</v>
      </c>
      <c r="AB731" s="7">
        <f t="shared" si="143"/>
        <v>13040</v>
      </c>
    </row>
    <row r="732" spans="6:28" x14ac:dyDescent="0.15">
      <c r="F732">
        <f t="shared" si="133"/>
        <v>105</v>
      </c>
      <c r="G732">
        <v>729</v>
      </c>
      <c r="H732">
        <f t="shared" si="134"/>
        <v>1.0297374091302748E+21</v>
      </c>
      <c r="I732">
        <f t="shared" si="135"/>
        <v>1.02973740913027E+21</v>
      </c>
      <c r="J732" s="1">
        <f t="shared" si="136"/>
        <v>1</v>
      </c>
      <c r="K732" s="1">
        <f t="shared" si="137"/>
        <v>1.02973740913027E+21</v>
      </c>
      <c r="L732" s="1">
        <f t="shared" si="138"/>
        <v>4.6166560509340444E+20</v>
      </c>
      <c r="M732" s="3">
        <f t="shared" si="139"/>
        <v>1504515902.5798516</v>
      </c>
      <c r="N732" s="7">
        <f t="shared" si="144"/>
        <v>4.6166560509340398E+20</v>
      </c>
      <c r="O732" s="7">
        <f t="shared" si="140"/>
        <v>1504515902</v>
      </c>
      <c r="P732" s="3">
        <f>SUM($O$4:O732)</f>
        <v>83567251202</v>
      </c>
      <c r="Y732" s="3">
        <f t="shared" si="141"/>
        <v>729</v>
      </c>
      <c r="Z732" s="3">
        <f t="shared" si="142"/>
        <v>2.0404527869839301E+18</v>
      </c>
      <c r="AB732" s="7">
        <f t="shared" si="143"/>
        <v>13040</v>
      </c>
    </row>
    <row r="733" spans="6:28" x14ac:dyDescent="0.15">
      <c r="F733">
        <f t="shared" si="133"/>
        <v>105</v>
      </c>
      <c r="G733">
        <v>730</v>
      </c>
      <c r="H733">
        <f t="shared" si="134"/>
        <v>1.0297374091302748E+21</v>
      </c>
      <c r="I733">
        <f t="shared" si="135"/>
        <v>1.02973740913027E+21</v>
      </c>
      <c r="J733" s="1">
        <f t="shared" si="136"/>
        <v>1</v>
      </c>
      <c r="K733" s="1">
        <f t="shared" si="137"/>
        <v>1.02973740913027E+21</v>
      </c>
      <c r="L733" s="1">
        <f t="shared" si="138"/>
        <v>4.6166560509340444E+20</v>
      </c>
      <c r="M733" s="3">
        <f t="shared" si="139"/>
        <v>1504515902.5798516</v>
      </c>
      <c r="N733" s="7">
        <f t="shared" si="144"/>
        <v>4.6166560509340398E+20</v>
      </c>
      <c r="O733" s="7">
        <f t="shared" si="140"/>
        <v>1504515902</v>
      </c>
      <c r="P733" s="3">
        <f>SUM($O$4:O733)</f>
        <v>85071767104</v>
      </c>
      <c r="Y733" s="3">
        <f t="shared" si="141"/>
        <v>730</v>
      </c>
      <c r="Z733" s="3">
        <f t="shared" si="142"/>
        <v>2.1454143501003799E+18</v>
      </c>
      <c r="AB733" s="7">
        <f t="shared" si="143"/>
        <v>13040</v>
      </c>
    </row>
    <row r="734" spans="6:28" x14ac:dyDescent="0.15">
      <c r="F734">
        <f t="shared" si="133"/>
        <v>105</v>
      </c>
      <c r="G734">
        <v>731</v>
      </c>
      <c r="H734">
        <f t="shared" si="134"/>
        <v>1.0297374091302748E+21</v>
      </c>
      <c r="I734">
        <f t="shared" si="135"/>
        <v>1.02973740913027E+21</v>
      </c>
      <c r="J734" s="1">
        <f t="shared" si="136"/>
        <v>1</v>
      </c>
      <c r="K734" s="1">
        <f t="shared" si="137"/>
        <v>1.02973740913027E+21</v>
      </c>
      <c r="L734" s="1">
        <f t="shared" si="138"/>
        <v>4.6166560509340444E+20</v>
      </c>
      <c r="M734" s="3">
        <f t="shared" si="139"/>
        <v>1504515902.5798516</v>
      </c>
      <c r="N734" s="7">
        <f t="shared" si="144"/>
        <v>4.6166560509340398E+20</v>
      </c>
      <c r="O734" s="7">
        <f t="shared" si="140"/>
        <v>1504515902</v>
      </c>
      <c r="P734" s="3">
        <f>SUM($O$4:O734)</f>
        <v>86576283006</v>
      </c>
      <c r="Y734" s="3">
        <f t="shared" si="141"/>
        <v>731</v>
      </c>
      <c r="Z734" s="3">
        <f t="shared" si="142"/>
        <v>2.2557709375610299E+18</v>
      </c>
      <c r="AB734" s="7">
        <f t="shared" si="143"/>
        <v>13040</v>
      </c>
    </row>
    <row r="735" spans="6:28" x14ac:dyDescent="0.15">
      <c r="F735">
        <f t="shared" si="133"/>
        <v>105</v>
      </c>
      <c r="G735">
        <v>732</v>
      </c>
      <c r="H735">
        <f t="shared" si="134"/>
        <v>1.0297374091302748E+21</v>
      </c>
      <c r="I735">
        <f t="shared" si="135"/>
        <v>1.02973740913027E+21</v>
      </c>
      <c r="J735" s="1">
        <f t="shared" si="136"/>
        <v>1</v>
      </c>
      <c r="K735" s="1">
        <f t="shared" si="137"/>
        <v>1.02973740913027E+21</v>
      </c>
      <c r="L735" s="1">
        <f t="shared" si="138"/>
        <v>4.6166560509340444E+20</v>
      </c>
      <c r="M735" s="3">
        <f t="shared" si="139"/>
        <v>1504515902.5798516</v>
      </c>
      <c r="N735" s="7">
        <f t="shared" si="144"/>
        <v>4.6166560509340398E+20</v>
      </c>
      <c r="O735" s="7">
        <f t="shared" si="140"/>
        <v>1504515902</v>
      </c>
      <c r="P735" s="3">
        <f>SUM($O$4:O735)</f>
        <v>88080798908</v>
      </c>
      <c r="Y735" s="3">
        <f t="shared" si="141"/>
        <v>732</v>
      </c>
      <c r="Z735" s="3">
        <f t="shared" si="142"/>
        <v>2.37179964789248E+18</v>
      </c>
      <c r="AB735" s="7">
        <f t="shared" si="143"/>
        <v>13040</v>
      </c>
    </row>
    <row r="736" spans="6:28" x14ac:dyDescent="0.15">
      <c r="F736">
        <f t="shared" si="133"/>
        <v>105</v>
      </c>
      <c r="G736">
        <v>733</v>
      </c>
      <c r="H736">
        <f t="shared" si="134"/>
        <v>1.0297374091302748E+21</v>
      </c>
      <c r="I736">
        <f t="shared" si="135"/>
        <v>1.02973740913027E+21</v>
      </c>
      <c r="J736" s="1">
        <f t="shared" si="136"/>
        <v>1</v>
      </c>
      <c r="K736" s="1">
        <f t="shared" si="137"/>
        <v>1.02973740913027E+21</v>
      </c>
      <c r="L736" s="1">
        <f t="shared" si="138"/>
        <v>4.6166560509340444E+20</v>
      </c>
      <c r="M736" s="3">
        <f t="shared" si="139"/>
        <v>1504515902.5798516</v>
      </c>
      <c r="N736" s="7">
        <f t="shared" si="144"/>
        <v>4.6166560509340398E+20</v>
      </c>
      <c r="O736" s="7">
        <f t="shared" si="140"/>
        <v>1504515902</v>
      </c>
      <c r="P736" s="3">
        <f>SUM($O$4:O736)</f>
        <v>89585314810</v>
      </c>
      <c r="Y736" s="3">
        <f t="shared" si="141"/>
        <v>733</v>
      </c>
      <c r="Z736" s="3">
        <f t="shared" si="142"/>
        <v>2.4937918019131802E+18</v>
      </c>
      <c r="AB736" s="7">
        <f t="shared" si="143"/>
        <v>13040</v>
      </c>
    </row>
    <row r="737" spans="6:28" x14ac:dyDescent="0.15">
      <c r="F737">
        <f t="shared" si="133"/>
        <v>105</v>
      </c>
      <c r="G737">
        <v>734</v>
      </c>
      <c r="H737">
        <f t="shared" si="134"/>
        <v>1.0297374091302748E+21</v>
      </c>
      <c r="I737">
        <f t="shared" si="135"/>
        <v>1.02973740913027E+21</v>
      </c>
      <c r="J737" s="1">
        <f t="shared" si="136"/>
        <v>1</v>
      </c>
      <c r="K737" s="1">
        <f t="shared" si="137"/>
        <v>1.02973740913027E+21</v>
      </c>
      <c r="L737" s="1">
        <f t="shared" si="138"/>
        <v>4.6166560509340444E+20</v>
      </c>
      <c r="M737" s="3">
        <f t="shared" si="139"/>
        <v>1504515902.5798516</v>
      </c>
      <c r="N737" s="7">
        <f t="shared" si="144"/>
        <v>4.6166560509340398E+20</v>
      </c>
      <c r="O737" s="7">
        <f t="shared" si="140"/>
        <v>1504515902</v>
      </c>
      <c r="P737" s="3">
        <f>SUM($O$4:O737)</f>
        <v>91089830712</v>
      </c>
      <c r="Y737" s="3">
        <f t="shared" si="141"/>
        <v>734</v>
      </c>
      <c r="Z737" s="3">
        <f t="shared" si="142"/>
        <v>2.6220536722162202E+18</v>
      </c>
      <c r="AB737" s="7">
        <f t="shared" si="143"/>
        <v>13040</v>
      </c>
    </row>
    <row r="738" spans="6:28" x14ac:dyDescent="0.15">
      <c r="F738">
        <f t="shared" si="133"/>
        <v>105</v>
      </c>
      <c r="G738">
        <v>735</v>
      </c>
      <c r="H738">
        <f t="shared" si="134"/>
        <v>1.0297374091302748E+21</v>
      </c>
      <c r="I738">
        <f t="shared" si="135"/>
        <v>1.02973740913027E+21</v>
      </c>
      <c r="J738" s="1">
        <f t="shared" si="136"/>
        <v>10</v>
      </c>
      <c r="K738" s="1">
        <f t="shared" si="137"/>
        <v>1.02973740913027E+22</v>
      </c>
      <c r="L738" s="1">
        <f t="shared" si="138"/>
        <v>4.6166560509340444E+21</v>
      </c>
      <c r="M738" s="3">
        <f t="shared" si="139"/>
        <v>15045159025.798515</v>
      </c>
      <c r="N738" s="7">
        <f t="shared" si="144"/>
        <v>4.6166560509340402E+21</v>
      </c>
      <c r="O738" s="7">
        <f t="shared" si="140"/>
        <v>15045159025</v>
      </c>
      <c r="P738" s="3">
        <f>SUM($O$4:O738)</f>
        <v>106134989737</v>
      </c>
      <c r="Y738" s="3">
        <f t="shared" si="141"/>
        <v>735</v>
      </c>
      <c r="Z738" s="3">
        <f t="shared" si="142"/>
        <v>2.75690725004478E+18</v>
      </c>
      <c r="AB738" s="7">
        <f t="shared" si="143"/>
        <v>13040</v>
      </c>
    </row>
    <row r="739" spans="6:28" x14ac:dyDescent="0.15">
      <c r="F739">
        <f t="shared" si="133"/>
        <v>106</v>
      </c>
      <c r="G739">
        <v>736</v>
      </c>
      <c r="H739">
        <f t="shared" si="134"/>
        <v>1.6166877323345314E+21</v>
      </c>
      <c r="I739">
        <f t="shared" si="135"/>
        <v>1.6166877323345299E+21</v>
      </c>
      <c r="J739" s="1">
        <f t="shared" si="136"/>
        <v>1</v>
      </c>
      <c r="K739" s="1">
        <f t="shared" si="137"/>
        <v>1.6166877323345299E+21</v>
      </c>
      <c r="L739" s="1">
        <f t="shared" si="138"/>
        <v>7.2966506319365118E+20</v>
      </c>
      <c r="M739" s="3">
        <f t="shared" si="139"/>
        <v>1829150595.0164187</v>
      </c>
      <c r="N739" s="7">
        <f t="shared" si="144"/>
        <v>7.2966506319365105E+20</v>
      </c>
      <c r="O739" s="7">
        <f t="shared" si="140"/>
        <v>1829150595</v>
      </c>
      <c r="P739" s="3">
        <f>SUM($O$4:O739)</f>
        <v>107964140332</v>
      </c>
      <c r="Y739" s="3">
        <f t="shared" si="141"/>
        <v>736</v>
      </c>
      <c r="Z739" s="3">
        <f t="shared" si="142"/>
        <v>2.8986910514756598E+18</v>
      </c>
      <c r="AB739" s="7">
        <f t="shared" si="143"/>
        <v>13040</v>
      </c>
    </row>
    <row r="740" spans="6:28" x14ac:dyDescent="0.15">
      <c r="F740">
        <f t="shared" si="133"/>
        <v>106</v>
      </c>
      <c r="G740">
        <v>737</v>
      </c>
      <c r="H740">
        <f t="shared" si="134"/>
        <v>1.6166877323345314E+21</v>
      </c>
      <c r="I740">
        <f t="shared" si="135"/>
        <v>1.6166877323345299E+21</v>
      </c>
      <c r="J740" s="1">
        <f t="shared" si="136"/>
        <v>1</v>
      </c>
      <c r="K740" s="1">
        <f t="shared" si="137"/>
        <v>1.6166877323345299E+21</v>
      </c>
      <c r="L740" s="1">
        <f t="shared" si="138"/>
        <v>7.2966506319365118E+20</v>
      </c>
      <c r="M740" s="3">
        <f t="shared" si="139"/>
        <v>1829150595.0164187</v>
      </c>
      <c r="N740" s="7">
        <f t="shared" si="144"/>
        <v>7.2966506319365105E+20</v>
      </c>
      <c r="O740" s="7">
        <f t="shared" si="140"/>
        <v>1829150595</v>
      </c>
      <c r="P740" s="3">
        <f>SUM($O$4:O740)</f>
        <v>109793290927</v>
      </c>
      <c r="Y740" s="3">
        <f t="shared" si="141"/>
        <v>737</v>
      </c>
      <c r="Z740" s="3">
        <f t="shared" si="142"/>
        <v>3.0477609649245102E+18</v>
      </c>
      <c r="AB740" s="7">
        <f t="shared" si="143"/>
        <v>13040</v>
      </c>
    </row>
    <row r="741" spans="6:28" x14ac:dyDescent="0.15">
      <c r="F741">
        <f t="shared" si="133"/>
        <v>106</v>
      </c>
      <c r="G741">
        <v>738</v>
      </c>
      <c r="H741">
        <f t="shared" si="134"/>
        <v>1.6166877323345314E+21</v>
      </c>
      <c r="I741">
        <f t="shared" si="135"/>
        <v>1.6166877323345299E+21</v>
      </c>
      <c r="J741" s="1">
        <f t="shared" si="136"/>
        <v>1</v>
      </c>
      <c r="K741" s="1">
        <f t="shared" si="137"/>
        <v>1.6166877323345299E+21</v>
      </c>
      <c r="L741" s="1">
        <f t="shared" si="138"/>
        <v>7.2966506319365118E+20</v>
      </c>
      <c r="M741" s="3">
        <f t="shared" si="139"/>
        <v>1829150595.0164187</v>
      </c>
      <c r="N741" s="7">
        <f t="shared" si="144"/>
        <v>7.2966506319365105E+20</v>
      </c>
      <c r="O741" s="7">
        <f t="shared" si="140"/>
        <v>1829150595</v>
      </c>
      <c r="P741" s="3">
        <f>SUM($O$4:O741)</f>
        <v>111622441522</v>
      </c>
      <c r="Y741" s="3">
        <f t="shared" si="141"/>
        <v>738</v>
      </c>
      <c r="Z741" s="3">
        <f t="shared" si="142"/>
        <v>3.2044911420895498E+18</v>
      </c>
      <c r="AB741" s="7">
        <f t="shared" si="143"/>
        <v>13040</v>
      </c>
    </row>
    <row r="742" spans="6:28" x14ac:dyDescent="0.15">
      <c r="F742">
        <f t="shared" si="133"/>
        <v>106</v>
      </c>
      <c r="G742">
        <v>739</v>
      </c>
      <c r="H742">
        <f t="shared" si="134"/>
        <v>1.6166877323345314E+21</v>
      </c>
      <c r="I742">
        <f t="shared" si="135"/>
        <v>1.6166877323345299E+21</v>
      </c>
      <c r="J742" s="1">
        <f t="shared" si="136"/>
        <v>1</v>
      </c>
      <c r="K742" s="1">
        <f t="shared" si="137"/>
        <v>1.6166877323345299E+21</v>
      </c>
      <c r="L742" s="1">
        <f t="shared" si="138"/>
        <v>7.2966506319365118E+20</v>
      </c>
      <c r="M742" s="3">
        <f t="shared" si="139"/>
        <v>1829150595.0164187</v>
      </c>
      <c r="N742" s="7">
        <f t="shared" si="144"/>
        <v>7.2966506319365105E+20</v>
      </c>
      <c r="O742" s="7">
        <f t="shared" si="140"/>
        <v>1829150595</v>
      </c>
      <c r="P742" s="3">
        <f>SUM($O$4:O742)</f>
        <v>113451592117</v>
      </c>
      <c r="Y742" s="3">
        <f t="shared" si="141"/>
        <v>739</v>
      </c>
      <c r="Z742" s="3">
        <f t="shared" si="142"/>
        <v>3.3692749345587901E+18</v>
      </c>
      <c r="AB742" s="7">
        <f t="shared" si="143"/>
        <v>13040</v>
      </c>
    </row>
    <row r="743" spans="6:28" x14ac:dyDescent="0.15">
      <c r="F743">
        <f t="shared" si="133"/>
        <v>106</v>
      </c>
      <c r="G743">
        <v>740</v>
      </c>
      <c r="H743">
        <f t="shared" si="134"/>
        <v>1.6166877323345314E+21</v>
      </c>
      <c r="I743">
        <f t="shared" si="135"/>
        <v>1.6166877323345299E+21</v>
      </c>
      <c r="J743" s="1">
        <f t="shared" si="136"/>
        <v>1</v>
      </c>
      <c r="K743" s="1">
        <f t="shared" si="137"/>
        <v>1.6166877323345299E+21</v>
      </c>
      <c r="L743" s="1">
        <f t="shared" si="138"/>
        <v>7.2966506319365118E+20</v>
      </c>
      <c r="M743" s="3">
        <f t="shared" si="139"/>
        <v>1829150595.0164187</v>
      </c>
      <c r="N743" s="7">
        <f t="shared" si="144"/>
        <v>7.2966506319365105E+20</v>
      </c>
      <c r="O743" s="7">
        <f t="shared" si="140"/>
        <v>1829150595</v>
      </c>
      <c r="P743" s="3">
        <f>SUM($O$4:O743)</f>
        <v>115280742712</v>
      </c>
      <c r="Y743" s="3">
        <f t="shared" si="141"/>
        <v>740</v>
      </c>
      <c r="Z743" s="3">
        <f t="shared" si="142"/>
        <v>3.5425258784197299E+18</v>
      </c>
      <c r="AB743" s="7">
        <f t="shared" si="143"/>
        <v>13040</v>
      </c>
    </row>
    <row r="744" spans="6:28" x14ac:dyDescent="0.15">
      <c r="F744">
        <f t="shared" si="133"/>
        <v>106</v>
      </c>
      <c r="G744">
        <v>741</v>
      </c>
      <c r="H744">
        <f t="shared" si="134"/>
        <v>1.6166877323345314E+21</v>
      </c>
      <c r="I744">
        <f t="shared" si="135"/>
        <v>1.6166877323345299E+21</v>
      </c>
      <c r="J744" s="1">
        <f t="shared" si="136"/>
        <v>1</v>
      </c>
      <c r="K744" s="1">
        <f t="shared" si="137"/>
        <v>1.6166877323345299E+21</v>
      </c>
      <c r="L744" s="1">
        <f t="shared" si="138"/>
        <v>7.2966506319365118E+20</v>
      </c>
      <c r="M744" s="3">
        <f t="shared" si="139"/>
        <v>1829150595.0164187</v>
      </c>
      <c r="N744" s="7">
        <f t="shared" si="144"/>
        <v>7.2966506319365105E+20</v>
      </c>
      <c r="O744" s="7">
        <f t="shared" si="140"/>
        <v>1829150595</v>
      </c>
      <c r="P744" s="3">
        <f>SUM($O$4:O744)</f>
        <v>117109893307</v>
      </c>
      <c r="Y744" s="3">
        <f t="shared" si="141"/>
        <v>741</v>
      </c>
      <c r="Z744" s="3">
        <f t="shared" si="142"/>
        <v>3.7246787293303598E+18</v>
      </c>
      <c r="AB744" s="7">
        <f t="shared" si="143"/>
        <v>13040</v>
      </c>
    </row>
    <row r="745" spans="6:28" x14ac:dyDescent="0.15">
      <c r="F745">
        <f t="shared" si="133"/>
        <v>106</v>
      </c>
      <c r="G745">
        <v>742</v>
      </c>
      <c r="H745">
        <f t="shared" si="134"/>
        <v>1.6166877323345314E+21</v>
      </c>
      <c r="I745">
        <f t="shared" si="135"/>
        <v>1.6166877323345299E+21</v>
      </c>
      <c r="J745" s="1">
        <f t="shared" si="136"/>
        <v>2</v>
      </c>
      <c r="K745" s="1">
        <f t="shared" si="137"/>
        <v>3.2333754646690597E+21</v>
      </c>
      <c r="L745" s="1">
        <f t="shared" si="138"/>
        <v>1.4593301263873024E+21</v>
      </c>
      <c r="M745" s="3">
        <f t="shared" si="139"/>
        <v>3658301190.0328374</v>
      </c>
      <c r="N745" s="7">
        <f t="shared" si="144"/>
        <v>1.4593301263873E+21</v>
      </c>
      <c r="O745" s="7">
        <f t="shared" si="140"/>
        <v>3658301190</v>
      </c>
      <c r="P745" s="3">
        <f>SUM($O$4:O745)</f>
        <v>120768194497</v>
      </c>
      <c r="Y745" s="3">
        <f t="shared" si="141"/>
        <v>742</v>
      </c>
      <c r="Z745" s="3">
        <f t="shared" si="142"/>
        <v>3.9161905506360202E+18</v>
      </c>
      <c r="AB745" s="7">
        <f t="shared" si="143"/>
        <v>13040</v>
      </c>
    </row>
    <row r="746" spans="6:28" x14ac:dyDescent="0.15">
      <c r="F746">
        <f t="shared" si="133"/>
        <v>107</v>
      </c>
      <c r="G746">
        <v>743</v>
      </c>
      <c r="H746">
        <f t="shared" si="134"/>
        <v>2.5381997397652139E+21</v>
      </c>
      <c r="I746">
        <f t="shared" si="135"/>
        <v>2.5381997397652102E+21</v>
      </c>
      <c r="J746" s="1">
        <f t="shared" si="136"/>
        <v>1</v>
      </c>
      <c r="K746" s="1">
        <f t="shared" si="137"/>
        <v>2.5381997397652102E+21</v>
      </c>
      <c r="L746" s="1">
        <f t="shared" si="138"/>
        <v>1.1531887484333273E+21</v>
      </c>
      <c r="M746" s="3">
        <f t="shared" si="139"/>
        <v>2223734603.8981829</v>
      </c>
      <c r="N746" s="7">
        <f t="shared" si="144"/>
        <v>1.15318874843333E+21</v>
      </c>
      <c r="O746" s="7">
        <f t="shared" si="140"/>
        <v>2223734603</v>
      </c>
      <c r="P746" s="3">
        <f>SUM($O$4:O746)</f>
        <v>122991929100</v>
      </c>
      <c r="Y746" s="3">
        <f t="shared" si="141"/>
        <v>743</v>
      </c>
      <c r="Z746" s="3">
        <f t="shared" si="142"/>
        <v>4.1175418572489098E+18</v>
      </c>
      <c r="AB746" s="7">
        <f t="shared" si="143"/>
        <v>13040</v>
      </c>
    </row>
    <row r="747" spans="6:28" x14ac:dyDescent="0.15">
      <c r="F747">
        <f t="shared" si="133"/>
        <v>107</v>
      </c>
      <c r="G747">
        <v>744</v>
      </c>
      <c r="H747">
        <f t="shared" si="134"/>
        <v>2.5381997397652139E+21</v>
      </c>
      <c r="I747">
        <f t="shared" si="135"/>
        <v>2.5381997397652102E+21</v>
      </c>
      <c r="J747" s="1">
        <f t="shared" si="136"/>
        <v>1</v>
      </c>
      <c r="K747" s="1">
        <f t="shared" si="137"/>
        <v>2.5381997397652102E+21</v>
      </c>
      <c r="L747" s="1">
        <f t="shared" si="138"/>
        <v>1.1531887484333273E+21</v>
      </c>
      <c r="M747" s="3">
        <f t="shared" si="139"/>
        <v>2223734603.8981829</v>
      </c>
      <c r="N747" s="7">
        <f t="shared" si="144"/>
        <v>1.15318874843333E+21</v>
      </c>
      <c r="O747" s="7">
        <f t="shared" si="140"/>
        <v>2223734603</v>
      </c>
      <c r="P747" s="3">
        <f>SUM($O$4:O747)</f>
        <v>125215663703</v>
      </c>
      <c r="Y747" s="3">
        <f t="shared" si="141"/>
        <v>744</v>
      </c>
      <c r="Z747" s="3">
        <f t="shared" si="142"/>
        <v>4.3292378181464899E+18</v>
      </c>
      <c r="AB747" s="7">
        <f t="shared" si="143"/>
        <v>13040</v>
      </c>
    </row>
    <row r="748" spans="6:28" x14ac:dyDescent="0.15">
      <c r="F748">
        <f t="shared" si="133"/>
        <v>107</v>
      </c>
      <c r="G748">
        <v>745</v>
      </c>
      <c r="H748">
        <f t="shared" si="134"/>
        <v>2.5381997397652139E+21</v>
      </c>
      <c r="I748">
        <f t="shared" si="135"/>
        <v>2.5381997397652102E+21</v>
      </c>
      <c r="J748" s="1">
        <f t="shared" si="136"/>
        <v>1</v>
      </c>
      <c r="K748" s="1">
        <f t="shared" si="137"/>
        <v>2.5381997397652102E+21</v>
      </c>
      <c r="L748" s="1">
        <f t="shared" si="138"/>
        <v>1.1531887484333273E+21</v>
      </c>
      <c r="M748" s="3">
        <f t="shared" si="139"/>
        <v>2223734603.8981829</v>
      </c>
      <c r="N748" s="7">
        <f t="shared" si="144"/>
        <v>1.15318874843333E+21</v>
      </c>
      <c r="O748" s="7">
        <f t="shared" si="140"/>
        <v>2223734603</v>
      </c>
      <c r="P748" s="3">
        <f>SUM($O$4:O748)</f>
        <v>127439398306</v>
      </c>
      <c r="Y748" s="3">
        <f t="shared" si="141"/>
        <v>745</v>
      </c>
      <c r="Z748" s="3">
        <f t="shared" si="142"/>
        <v>4.5518095204907203E+18</v>
      </c>
      <c r="AB748" s="7">
        <f t="shared" si="143"/>
        <v>13040</v>
      </c>
    </row>
    <row r="749" spans="6:28" x14ac:dyDescent="0.15">
      <c r="F749">
        <f t="shared" si="133"/>
        <v>107</v>
      </c>
      <c r="G749">
        <v>746</v>
      </c>
      <c r="H749">
        <f t="shared" si="134"/>
        <v>2.5381997397652139E+21</v>
      </c>
      <c r="I749">
        <f t="shared" si="135"/>
        <v>2.5381997397652102E+21</v>
      </c>
      <c r="J749" s="1">
        <f t="shared" si="136"/>
        <v>1</v>
      </c>
      <c r="K749" s="1">
        <f t="shared" si="137"/>
        <v>2.5381997397652102E+21</v>
      </c>
      <c r="L749" s="1">
        <f t="shared" si="138"/>
        <v>1.1531887484333273E+21</v>
      </c>
      <c r="M749" s="3">
        <f t="shared" si="139"/>
        <v>2223734603.8981829</v>
      </c>
      <c r="N749" s="7">
        <f t="shared" si="144"/>
        <v>1.15318874843333E+21</v>
      </c>
      <c r="O749" s="7">
        <f t="shared" si="140"/>
        <v>2223734603</v>
      </c>
      <c r="P749" s="3">
        <f>SUM($O$4:O749)</f>
        <v>129663132909</v>
      </c>
      <c r="Y749" s="3">
        <f t="shared" si="141"/>
        <v>746</v>
      </c>
      <c r="Z749" s="3">
        <f t="shared" si="142"/>
        <v>4.7858152985240003E+18</v>
      </c>
      <c r="AB749" s="7">
        <f t="shared" si="143"/>
        <v>13040</v>
      </c>
    </row>
    <row r="750" spans="6:28" x14ac:dyDescent="0.15">
      <c r="F750">
        <f t="shared" si="133"/>
        <v>107</v>
      </c>
      <c r="G750">
        <v>747</v>
      </c>
      <c r="H750">
        <f t="shared" si="134"/>
        <v>2.5381997397652139E+21</v>
      </c>
      <c r="I750">
        <f t="shared" si="135"/>
        <v>2.5381997397652102E+21</v>
      </c>
      <c r="J750" s="1">
        <f t="shared" si="136"/>
        <v>1</v>
      </c>
      <c r="K750" s="1">
        <f t="shared" si="137"/>
        <v>2.5381997397652102E+21</v>
      </c>
      <c r="L750" s="1">
        <f t="shared" si="138"/>
        <v>1.1531887484333273E+21</v>
      </c>
      <c r="M750" s="3">
        <f t="shared" si="139"/>
        <v>2223734603.8981829</v>
      </c>
      <c r="N750" s="7">
        <f t="shared" si="144"/>
        <v>1.15318874843333E+21</v>
      </c>
      <c r="O750" s="7">
        <f t="shared" si="140"/>
        <v>2223734603</v>
      </c>
      <c r="P750" s="3">
        <f>SUM($O$4:O750)</f>
        <v>131886867512</v>
      </c>
      <c r="Y750" s="3">
        <f t="shared" si="141"/>
        <v>747</v>
      </c>
      <c r="Z750" s="3">
        <f t="shared" si="142"/>
        <v>5.0318421305593805E+18</v>
      </c>
      <c r="AB750" s="7">
        <f t="shared" si="143"/>
        <v>13040</v>
      </c>
    </row>
    <row r="751" spans="6:28" x14ac:dyDescent="0.15">
      <c r="F751">
        <f t="shared" si="133"/>
        <v>107</v>
      </c>
      <c r="G751">
        <v>748</v>
      </c>
      <c r="H751">
        <f t="shared" si="134"/>
        <v>2.5381997397652139E+21</v>
      </c>
      <c r="I751">
        <f t="shared" si="135"/>
        <v>2.5381997397652102E+21</v>
      </c>
      <c r="J751" s="1">
        <f t="shared" si="136"/>
        <v>1</v>
      </c>
      <c r="K751" s="1">
        <f t="shared" si="137"/>
        <v>2.5381997397652102E+21</v>
      </c>
      <c r="L751" s="1">
        <f t="shared" si="138"/>
        <v>1.1531887484333273E+21</v>
      </c>
      <c r="M751" s="3">
        <f t="shared" si="139"/>
        <v>2223734603.8981829</v>
      </c>
      <c r="N751" s="7">
        <f t="shared" si="144"/>
        <v>1.15318874843333E+21</v>
      </c>
      <c r="O751" s="7">
        <f t="shared" si="140"/>
        <v>2223734603</v>
      </c>
      <c r="P751" s="3">
        <f>SUM($O$4:O751)</f>
        <v>134110602115</v>
      </c>
      <c r="Y751" s="3">
        <f t="shared" si="141"/>
        <v>748</v>
      </c>
      <c r="Z751" s="3">
        <f t="shared" si="142"/>
        <v>5.2905071075519898E+18</v>
      </c>
      <c r="AB751" s="7">
        <f t="shared" si="143"/>
        <v>13040</v>
      </c>
    </row>
    <row r="752" spans="6:28" x14ac:dyDescent="0.15">
      <c r="F752">
        <f t="shared" si="133"/>
        <v>107</v>
      </c>
      <c r="G752">
        <v>749</v>
      </c>
      <c r="H752">
        <f t="shared" si="134"/>
        <v>2.5381997397652139E+21</v>
      </c>
      <c r="I752">
        <f t="shared" si="135"/>
        <v>2.5381997397652102E+21</v>
      </c>
      <c r="J752" s="1">
        <f t="shared" si="136"/>
        <v>4</v>
      </c>
      <c r="K752" s="1">
        <f t="shared" si="137"/>
        <v>1.0152798959060841E+22</v>
      </c>
      <c r="L752" s="1">
        <f t="shared" si="138"/>
        <v>4.612754993733309E+21</v>
      </c>
      <c r="M752" s="3">
        <f t="shared" si="139"/>
        <v>8894938415.5927315</v>
      </c>
      <c r="N752" s="7">
        <f t="shared" si="144"/>
        <v>4.6127549937333101E+21</v>
      </c>
      <c r="O752" s="7">
        <f t="shared" si="140"/>
        <v>8894938415</v>
      </c>
      <c r="P752" s="3">
        <f>SUM($O$4:O752)</f>
        <v>143005540530</v>
      </c>
      <c r="Y752" s="3">
        <f t="shared" si="141"/>
        <v>749</v>
      </c>
      <c r="Z752" s="3">
        <f t="shared" si="142"/>
        <v>5.5624589769174702E+18</v>
      </c>
      <c r="AB752" s="7">
        <f t="shared" si="143"/>
        <v>13040</v>
      </c>
    </row>
    <row r="753" spans="6:28" x14ac:dyDescent="0.15">
      <c r="F753">
        <f t="shared" si="133"/>
        <v>108</v>
      </c>
      <c r="G753">
        <v>750</v>
      </c>
      <c r="H753">
        <f t="shared" si="134"/>
        <v>3.9849735914313865E+21</v>
      </c>
      <c r="I753">
        <f t="shared" si="135"/>
        <v>3.9849735914313902E+21</v>
      </c>
      <c r="J753" s="1">
        <f t="shared" si="136"/>
        <v>1</v>
      </c>
      <c r="K753" s="1">
        <f t="shared" si="137"/>
        <v>3.9849735914313902E+21</v>
      </c>
      <c r="L753" s="1">
        <f t="shared" si="138"/>
        <v>1.8224612558146225E+21</v>
      </c>
      <c r="M753" s="3">
        <f t="shared" si="139"/>
        <v>2703320326.3055782</v>
      </c>
      <c r="N753" s="7">
        <f t="shared" si="144"/>
        <v>1.8224612558146201E+21</v>
      </c>
      <c r="O753" s="7">
        <f t="shared" si="140"/>
        <v>2703320326</v>
      </c>
      <c r="P753" s="3">
        <f>SUM($O$4:O753)</f>
        <v>145708860856</v>
      </c>
      <c r="Y753" s="3">
        <f t="shared" si="141"/>
        <v>750</v>
      </c>
      <c r="Z753" s="3">
        <f t="shared" si="142"/>
        <v>5.8483797654506097E+18</v>
      </c>
      <c r="AB753" s="7">
        <f t="shared" si="143"/>
        <v>13040</v>
      </c>
    </row>
    <row r="754" spans="6:28" x14ac:dyDescent="0.15">
      <c r="F754">
        <f t="shared" si="133"/>
        <v>108</v>
      </c>
      <c r="G754">
        <v>751</v>
      </c>
      <c r="H754">
        <f t="shared" si="134"/>
        <v>3.9849735914313865E+21</v>
      </c>
      <c r="I754">
        <f t="shared" si="135"/>
        <v>3.9849735914313902E+21</v>
      </c>
      <c r="J754" s="1">
        <f t="shared" si="136"/>
        <v>1</v>
      </c>
      <c r="K754" s="1">
        <f t="shared" si="137"/>
        <v>3.9849735914313902E+21</v>
      </c>
      <c r="L754" s="1">
        <f t="shared" si="138"/>
        <v>1.8224612558146225E+21</v>
      </c>
      <c r="M754" s="3">
        <f t="shared" si="139"/>
        <v>2703320326.3055782</v>
      </c>
      <c r="N754" s="7">
        <f t="shared" si="144"/>
        <v>1.8224612558146201E+21</v>
      </c>
      <c r="O754" s="7">
        <f t="shared" si="140"/>
        <v>2703320326</v>
      </c>
      <c r="P754" s="3">
        <f>SUM($O$4:O754)</f>
        <v>148412181182</v>
      </c>
      <c r="Y754" s="3">
        <f t="shared" si="141"/>
        <v>751</v>
      </c>
      <c r="Z754" s="3">
        <f t="shared" si="142"/>
        <v>6.1489864853947699E+18</v>
      </c>
      <c r="AB754" s="7">
        <f t="shared" si="143"/>
        <v>13040</v>
      </c>
    </row>
    <row r="755" spans="6:28" x14ac:dyDescent="0.15">
      <c r="F755">
        <f t="shared" si="133"/>
        <v>108</v>
      </c>
      <c r="G755">
        <v>752</v>
      </c>
      <c r="H755">
        <f t="shared" si="134"/>
        <v>3.9849735914313865E+21</v>
      </c>
      <c r="I755">
        <f t="shared" si="135"/>
        <v>3.9849735914313902E+21</v>
      </c>
      <c r="J755" s="1">
        <f t="shared" si="136"/>
        <v>1</v>
      </c>
      <c r="K755" s="1">
        <f t="shared" si="137"/>
        <v>3.9849735914313902E+21</v>
      </c>
      <c r="L755" s="1">
        <f t="shared" si="138"/>
        <v>1.8224612558146225E+21</v>
      </c>
      <c r="M755" s="3">
        <f t="shared" si="139"/>
        <v>2703320326.3055782</v>
      </c>
      <c r="N755" s="7">
        <f t="shared" si="144"/>
        <v>1.8224612558146201E+21</v>
      </c>
      <c r="O755" s="7">
        <f t="shared" si="140"/>
        <v>2703320326</v>
      </c>
      <c r="P755" s="3">
        <f>SUM($O$4:O755)</f>
        <v>151115501508</v>
      </c>
      <c r="Y755" s="3">
        <f t="shared" si="141"/>
        <v>752</v>
      </c>
      <c r="Z755" s="3">
        <f t="shared" si="142"/>
        <v>6.4650329279197204E+18</v>
      </c>
      <c r="AB755" s="7">
        <f t="shared" si="143"/>
        <v>13040</v>
      </c>
    </row>
    <row r="756" spans="6:28" x14ac:dyDescent="0.15">
      <c r="F756">
        <f t="shared" si="133"/>
        <v>108</v>
      </c>
      <c r="G756">
        <v>753</v>
      </c>
      <c r="H756">
        <f t="shared" si="134"/>
        <v>3.9849735914313865E+21</v>
      </c>
      <c r="I756">
        <f t="shared" si="135"/>
        <v>3.9849735914313902E+21</v>
      </c>
      <c r="J756" s="1">
        <f t="shared" si="136"/>
        <v>1</v>
      </c>
      <c r="K756" s="1">
        <f t="shared" si="137"/>
        <v>3.9849735914313902E+21</v>
      </c>
      <c r="L756" s="1">
        <f t="shared" si="138"/>
        <v>1.8224612558146225E+21</v>
      </c>
      <c r="M756" s="3">
        <f t="shared" si="139"/>
        <v>2703320326.3055782</v>
      </c>
      <c r="N756" s="7">
        <f t="shared" si="144"/>
        <v>1.8224612558146201E+21</v>
      </c>
      <c r="O756" s="7">
        <f t="shared" si="140"/>
        <v>2703320326</v>
      </c>
      <c r="P756" s="3">
        <f>SUM($O$4:O756)</f>
        <v>153818821834</v>
      </c>
      <c r="Y756" s="3">
        <f t="shared" si="141"/>
        <v>753</v>
      </c>
      <c r="Z756" s="3">
        <f t="shared" si="142"/>
        <v>6.7973115484836803E+18</v>
      </c>
      <c r="AB756" s="7">
        <f t="shared" si="143"/>
        <v>13040</v>
      </c>
    </row>
    <row r="757" spans="6:28" x14ac:dyDescent="0.15">
      <c r="F757">
        <f t="shared" si="133"/>
        <v>108</v>
      </c>
      <c r="G757">
        <v>754</v>
      </c>
      <c r="H757">
        <f t="shared" si="134"/>
        <v>3.9849735914313865E+21</v>
      </c>
      <c r="I757">
        <f t="shared" si="135"/>
        <v>3.9849735914313902E+21</v>
      </c>
      <c r="J757" s="1">
        <f t="shared" si="136"/>
        <v>1</v>
      </c>
      <c r="K757" s="1">
        <f t="shared" si="137"/>
        <v>3.9849735914313902E+21</v>
      </c>
      <c r="L757" s="1">
        <f t="shared" si="138"/>
        <v>1.8224612558146225E+21</v>
      </c>
      <c r="M757" s="3">
        <f t="shared" si="139"/>
        <v>2703320326.3055782</v>
      </c>
      <c r="N757" s="7">
        <f t="shared" si="144"/>
        <v>1.8224612558146201E+21</v>
      </c>
      <c r="O757" s="7">
        <f t="shared" si="140"/>
        <v>2703320326</v>
      </c>
      <c r="P757" s="3">
        <f>SUM($O$4:O757)</f>
        <v>156522142160</v>
      </c>
      <c r="Y757" s="3">
        <f t="shared" si="141"/>
        <v>754</v>
      </c>
      <c r="Z757" s="3">
        <f t="shared" si="142"/>
        <v>7.1466554487842396E+18</v>
      </c>
      <c r="AB757" s="7">
        <f t="shared" si="143"/>
        <v>13040</v>
      </c>
    </row>
    <row r="758" spans="6:28" x14ac:dyDescent="0.15">
      <c r="F758">
        <f t="shared" si="133"/>
        <v>108</v>
      </c>
      <c r="G758">
        <v>755</v>
      </c>
      <c r="H758">
        <f t="shared" si="134"/>
        <v>3.9849735914313865E+21</v>
      </c>
      <c r="I758">
        <f t="shared" si="135"/>
        <v>3.9849735914313902E+21</v>
      </c>
      <c r="J758" s="1">
        <f t="shared" si="136"/>
        <v>1</v>
      </c>
      <c r="K758" s="1">
        <f t="shared" si="137"/>
        <v>3.9849735914313902E+21</v>
      </c>
      <c r="L758" s="1">
        <f t="shared" si="138"/>
        <v>1.8224612558146225E+21</v>
      </c>
      <c r="M758" s="3">
        <f t="shared" si="139"/>
        <v>2703320326.3055782</v>
      </c>
      <c r="N758" s="7">
        <f t="shared" si="144"/>
        <v>1.8224612558146201E+21</v>
      </c>
      <c r="O758" s="7">
        <f t="shared" si="140"/>
        <v>2703320326</v>
      </c>
      <c r="P758" s="3">
        <f>SUM($O$4:O758)</f>
        <v>159225462486</v>
      </c>
      <c r="Y758" s="3">
        <f t="shared" si="141"/>
        <v>755</v>
      </c>
      <c r="Z758" s="3">
        <f t="shared" si="142"/>
        <v>7.5139404602436403E+18</v>
      </c>
      <c r="AB758" s="7">
        <f t="shared" si="143"/>
        <v>13040</v>
      </c>
    </row>
    <row r="759" spans="6:28" x14ac:dyDescent="0.15">
      <c r="F759">
        <f t="shared" si="133"/>
        <v>108</v>
      </c>
      <c r="G759">
        <v>756</v>
      </c>
      <c r="H759">
        <f t="shared" si="134"/>
        <v>3.9849735914313865E+21</v>
      </c>
      <c r="I759">
        <f t="shared" si="135"/>
        <v>3.9849735914313902E+21</v>
      </c>
      <c r="J759" s="1">
        <f t="shared" si="136"/>
        <v>6</v>
      </c>
      <c r="K759" s="1">
        <f t="shared" si="137"/>
        <v>2.3909841548588341E+22</v>
      </c>
      <c r="L759" s="1">
        <f t="shared" si="138"/>
        <v>1.0934767534887735E+22</v>
      </c>
      <c r="M759" s="3">
        <f t="shared" si="139"/>
        <v>16219921957.833469</v>
      </c>
      <c r="N759" s="7">
        <f t="shared" si="144"/>
        <v>1.0934767534887699E+22</v>
      </c>
      <c r="O759" s="7">
        <f t="shared" si="140"/>
        <v>16219921957</v>
      </c>
      <c r="P759" s="3">
        <f>SUM($O$4:O759)</f>
        <v>175445384443</v>
      </c>
      <c r="Y759" s="3">
        <f t="shared" si="141"/>
        <v>756</v>
      </c>
      <c r="Z759" s="3">
        <f t="shared" si="142"/>
        <v>7.9000873342270198E+18</v>
      </c>
      <c r="AB759" s="7">
        <f t="shared" si="143"/>
        <v>13040</v>
      </c>
    </row>
    <row r="760" spans="6:28" x14ac:dyDescent="0.15">
      <c r="F760">
        <f t="shared" si="133"/>
        <v>109</v>
      </c>
      <c r="G760">
        <v>757</v>
      </c>
      <c r="H760">
        <f t="shared" si="134"/>
        <v>6.2564085385472781E+21</v>
      </c>
      <c r="I760">
        <f t="shared" si="135"/>
        <v>6.2564085385472802E+21</v>
      </c>
      <c r="J760" s="1">
        <f t="shared" si="136"/>
        <v>1</v>
      </c>
      <c r="K760" s="1">
        <f t="shared" si="137"/>
        <v>6.2564085385472802E+21</v>
      </c>
      <c r="L760" s="1">
        <f t="shared" si="138"/>
        <v>2.8800333972445982E+21</v>
      </c>
      <c r="M760" s="3">
        <f t="shared" si="139"/>
        <v>3286195353.154274</v>
      </c>
      <c r="N760" s="7">
        <f t="shared" si="144"/>
        <v>2.8800333972446003E+21</v>
      </c>
      <c r="O760" s="7">
        <f t="shared" si="140"/>
        <v>3286195353</v>
      </c>
      <c r="P760" s="3">
        <f>SUM($O$4:O760)</f>
        <v>178731579796</v>
      </c>
      <c r="Y760" s="3">
        <f t="shared" si="141"/>
        <v>757</v>
      </c>
      <c r="Z760" s="3">
        <f t="shared" si="142"/>
        <v>8.3060640444581304E+18</v>
      </c>
      <c r="AB760" s="7">
        <f t="shared" si="143"/>
        <v>13040</v>
      </c>
    </row>
    <row r="761" spans="6:28" x14ac:dyDescent="0.15">
      <c r="F761">
        <f t="shared" si="133"/>
        <v>109</v>
      </c>
      <c r="G761">
        <v>758</v>
      </c>
      <c r="H761">
        <f t="shared" si="134"/>
        <v>6.2564085385472781E+21</v>
      </c>
      <c r="I761">
        <f t="shared" si="135"/>
        <v>6.2564085385472802E+21</v>
      </c>
      <c r="J761" s="1">
        <f t="shared" si="136"/>
        <v>1</v>
      </c>
      <c r="K761" s="1">
        <f t="shared" si="137"/>
        <v>6.2564085385472802E+21</v>
      </c>
      <c r="L761" s="1">
        <f t="shared" si="138"/>
        <v>2.8800333972445982E+21</v>
      </c>
      <c r="M761" s="3">
        <f t="shared" si="139"/>
        <v>3286195353.154274</v>
      </c>
      <c r="N761" s="7">
        <f t="shared" si="144"/>
        <v>2.8800333972446003E+21</v>
      </c>
      <c r="O761" s="7">
        <f t="shared" si="140"/>
        <v>3286195353</v>
      </c>
      <c r="P761" s="3">
        <f>SUM($O$4:O761)</f>
        <v>182017775149</v>
      </c>
      <c r="Y761" s="3">
        <f t="shared" si="141"/>
        <v>758</v>
      </c>
      <c r="Z761" s="3">
        <f t="shared" si="142"/>
        <v>8.7328882073767803E+18</v>
      </c>
      <c r="AB761" s="7">
        <f t="shared" si="143"/>
        <v>13040</v>
      </c>
    </row>
    <row r="762" spans="6:28" x14ac:dyDescent="0.15">
      <c r="F762">
        <f t="shared" si="133"/>
        <v>109</v>
      </c>
      <c r="G762">
        <v>759</v>
      </c>
      <c r="H762">
        <f t="shared" si="134"/>
        <v>6.2564085385472781E+21</v>
      </c>
      <c r="I762">
        <f t="shared" si="135"/>
        <v>6.2564085385472802E+21</v>
      </c>
      <c r="J762" s="1">
        <f t="shared" si="136"/>
        <v>1</v>
      </c>
      <c r="K762" s="1">
        <f t="shared" si="137"/>
        <v>6.2564085385472802E+21</v>
      </c>
      <c r="L762" s="1">
        <f t="shared" si="138"/>
        <v>2.8800333972445982E+21</v>
      </c>
      <c r="M762" s="3">
        <f t="shared" si="139"/>
        <v>3286195353.154274</v>
      </c>
      <c r="N762" s="7">
        <f t="shared" si="144"/>
        <v>2.8800333972446003E+21</v>
      </c>
      <c r="O762" s="7">
        <f t="shared" si="140"/>
        <v>3286195353</v>
      </c>
      <c r="P762" s="3">
        <f>SUM($O$4:O762)</f>
        <v>185303970502</v>
      </c>
      <c r="Y762" s="3">
        <f t="shared" si="141"/>
        <v>759</v>
      </c>
      <c r="Z762" s="3">
        <f t="shared" si="142"/>
        <v>9.18162962647616E+18</v>
      </c>
      <c r="AB762" s="7">
        <f t="shared" si="143"/>
        <v>13040</v>
      </c>
    </row>
    <row r="763" spans="6:28" x14ac:dyDescent="0.15">
      <c r="F763">
        <f t="shared" si="133"/>
        <v>109</v>
      </c>
      <c r="G763">
        <v>760</v>
      </c>
      <c r="H763">
        <f t="shared" si="134"/>
        <v>6.2564085385472781E+21</v>
      </c>
      <c r="I763">
        <f t="shared" si="135"/>
        <v>6.2564085385472802E+21</v>
      </c>
      <c r="J763" s="1">
        <f t="shared" si="136"/>
        <v>1</v>
      </c>
      <c r="K763" s="1">
        <f t="shared" si="137"/>
        <v>6.2564085385472802E+21</v>
      </c>
      <c r="L763" s="1">
        <f t="shared" si="138"/>
        <v>2.8800333972445982E+21</v>
      </c>
      <c r="M763" s="3">
        <f t="shared" si="139"/>
        <v>3286195353.154274</v>
      </c>
      <c r="N763" s="7">
        <f t="shared" si="144"/>
        <v>2.8800333972446003E+21</v>
      </c>
      <c r="O763" s="7">
        <f t="shared" si="140"/>
        <v>3286195353</v>
      </c>
      <c r="P763" s="3">
        <f>SUM($O$4:O763)</f>
        <v>188590165855</v>
      </c>
      <c r="Y763" s="3">
        <f t="shared" si="141"/>
        <v>760</v>
      </c>
      <c r="Z763" s="3">
        <f t="shared" si="142"/>
        <v>9.6534129669670298E+18</v>
      </c>
      <c r="AB763" s="7">
        <f t="shared" si="143"/>
        <v>13040</v>
      </c>
    </row>
    <row r="764" spans="6:28" x14ac:dyDescent="0.15">
      <c r="F764">
        <f t="shared" si="133"/>
        <v>109</v>
      </c>
      <c r="G764">
        <v>761</v>
      </c>
      <c r="H764">
        <f t="shared" si="134"/>
        <v>6.2564085385472781E+21</v>
      </c>
      <c r="I764">
        <f t="shared" si="135"/>
        <v>6.2564085385472802E+21</v>
      </c>
      <c r="J764" s="1">
        <f t="shared" si="136"/>
        <v>1</v>
      </c>
      <c r="K764" s="1">
        <f t="shared" si="137"/>
        <v>6.2564085385472802E+21</v>
      </c>
      <c r="L764" s="1">
        <f t="shared" si="138"/>
        <v>2.8800333972445982E+21</v>
      </c>
      <c r="M764" s="3">
        <f t="shared" si="139"/>
        <v>3286195353.154274</v>
      </c>
      <c r="N764" s="7">
        <f t="shared" si="144"/>
        <v>2.8800333972446003E+21</v>
      </c>
      <c r="O764" s="7">
        <f t="shared" si="140"/>
        <v>3286195353</v>
      </c>
      <c r="P764" s="3">
        <f>SUM($O$4:O764)</f>
        <v>191876361208</v>
      </c>
      <c r="Y764" s="3">
        <f t="shared" si="141"/>
        <v>761</v>
      </c>
      <c r="Z764" s="3">
        <f t="shared" si="142"/>
        <v>1.01494205674408E+19</v>
      </c>
      <c r="AB764" s="7">
        <f t="shared" si="143"/>
        <v>13040</v>
      </c>
    </row>
    <row r="765" spans="6:28" x14ac:dyDescent="0.15">
      <c r="F765">
        <f t="shared" si="133"/>
        <v>109</v>
      </c>
      <c r="G765">
        <v>762</v>
      </c>
      <c r="H765">
        <f t="shared" si="134"/>
        <v>6.2564085385472781E+21</v>
      </c>
      <c r="I765">
        <f t="shared" si="135"/>
        <v>6.2564085385472802E+21</v>
      </c>
      <c r="J765" s="1">
        <f t="shared" si="136"/>
        <v>1</v>
      </c>
      <c r="K765" s="1">
        <f t="shared" si="137"/>
        <v>6.2564085385472802E+21</v>
      </c>
      <c r="L765" s="1">
        <f t="shared" si="138"/>
        <v>2.8800333972445982E+21</v>
      </c>
      <c r="M765" s="3">
        <f t="shared" si="139"/>
        <v>3286195353.154274</v>
      </c>
      <c r="N765" s="7">
        <f t="shared" si="144"/>
        <v>2.8800333972446003E+21</v>
      </c>
      <c r="O765" s="7">
        <f t="shared" si="140"/>
        <v>3286195353</v>
      </c>
      <c r="P765" s="3">
        <f>SUM($O$4:O765)</f>
        <v>195162556561</v>
      </c>
      <c r="Y765" s="3">
        <f t="shared" si="141"/>
        <v>762</v>
      </c>
      <c r="Z765" s="3">
        <f t="shared" si="142"/>
        <v>1.06708953955445E+19</v>
      </c>
      <c r="AB765" s="7">
        <f t="shared" si="143"/>
        <v>13040</v>
      </c>
    </row>
    <row r="766" spans="6:28" x14ac:dyDescent="0.15">
      <c r="F766">
        <f t="shared" si="133"/>
        <v>109</v>
      </c>
      <c r="G766">
        <v>763</v>
      </c>
      <c r="H766">
        <f t="shared" si="134"/>
        <v>6.2564085385472781E+21</v>
      </c>
      <c r="I766">
        <f t="shared" si="135"/>
        <v>6.2564085385472802E+21</v>
      </c>
      <c r="J766" s="1">
        <f t="shared" si="136"/>
        <v>7</v>
      </c>
      <c r="K766" s="1">
        <f t="shared" si="137"/>
        <v>4.379485976983096E+22</v>
      </c>
      <c r="L766" s="1">
        <f t="shared" si="138"/>
        <v>2.0160233780712187E+22</v>
      </c>
      <c r="M766" s="3">
        <f t="shared" si="139"/>
        <v>23003367472.079918</v>
      </c>
      <c r="N766" s="7">
        <f t="shared" si="144"/>
        <v>2.01602337807122E+22</v>
      </c>
      <c r="O766" s="7">
        <f t="shared" si="140"/>
        <v>23003367472</v>
      </c>
      <c r="P766" s="3">
        <f>SUM($O$4:O766)</f>
        <v>218165924033</v>
      </c>
      <c r="Y766" s="3">
        <f t="shared" si="141"/>
        <v>763</v>
      </c>
      <c r="Z766" s="3">
        <f t="shared" si="142"/>
        <v>1.121914415504E+19</v>
      </c>
      <c r="AB766" s="7">
        <f t="shared" si="143"/>
        <v>13040</v>
      </c>
    </row>
    <row r="767" spans="6:28" x14ac:dyDescent="0.15">
      <c r="F767">
        <f t="shared" si="133"/>
        <v>110</v>
      </c>
      <c r="G767">
        <v>764</v>
      </c>
      <c r="H767">
        <f t="shared" si="134"/>
        <v>9.8225614055192238E+21</v>
      </c>
      <c r="I767">
        <f t="shared" si="135"/>
        <v>9.8225614055192197E+21</v>
      </c>
      <c r="J767" s="1">
        <f t="shared" si="136"/>
        <v>1</v>
      </c>
      <c r="K767" s="1">
        <f t="shared" si="137"/>
        <v>9.8225614055192197E+21</v>
      </c>
      <c r="L767" s="1">
        <f t="shared" si="138"/>
        <v>4.5511201178905713E+21</v>
      </c>
      <c r="M767" s="3">
        <f t="shared" si="139"/>
        <v>3994577017.3166399</v>
      </c>
      <c r="N767" s="7">
        <f t="shared" si="144"/>
        <v>4.5511201178905703E+21</v>
      </c>
      <c r="O767" s="7">
        <f t="shared" si="140"/>
        <v>3994577017</v>
      </c>
      <c r="P767" s="3">
        <f>SUM($O$4:O767)</f>
        <v>222160501050</v>
      </c>
      <c r="Y767" s="3">
        <f t="shared" si="141"/>
        <v>764</v>
      </c>
      <c r="Z767" s="3">
        <f t="shared" si="142"/>
        <v>1.1795540551996201E+19</v>
      </c>
      <c r="AB767" s="7">
        <f t="shared" si="143"/>
        <v>13040</v>
      </c>
    </row>
    <row r="768" spans="6:28" x14ac:dyDescent="0.15">
      <c r="F768">
        <f t="shared" si="133"/>
        <v>110</v>
      </c>
      <c r="G768">
        <v>765</v>
      </c>
      <c r="H768">
        <f t="shared" si="134"/>
        <v>9.8225614055192238E+21</v>
      </c>
      <c r="I768">
        <f t="shared" si="135"/>
        <v>9.8225614055192197E+21</v>
      </c>
      <c r="J768" s="1">
        <f t="shared" si="136"/>
        <v>1</v>
      </c>
      <c r="K768" s="1">
        <f t="shared" si="137"/>
        <v>9.8225614055192197E+21</v>
      </c>
      <c r="L768" s="1">
        <f t="shared" si="138"/>
        <v>4.5511201178905713E+21</v>
      </c>
      <c r="M768" s="3">
        <f t="shared" si="139"/>
        <v>3994577017.3166399</v>
      </c>
      <c r="N768" s="7">
        <f t="shared" si="144"/>
        <v>4.5511201178905703E+21</v>
      </c>
      <c r="O768" s="7">
        <f t="shared" si="140"/>
        <v>3994577017</v>
      </c>
      <c r="P768" s="3">
        <f>SUM($O$4:O768)</f>
        <v>226155078067</v>
      </c>
      <c r="Y768" s="3">
        <f t="shared" si="141"/>
        <v>765</v>
      </c>
      <c r="Z768" s="3">
        <f t="shared" si="142"/>
        <v>1.2401528728260399E+19</v>
      </c>
      <c r="AB768" s="7">
        <f t="shared" si="143"/>
        <v>13040</v>
      </c>
    </row>
    <row r="769" spans="6:28" x14ac:dyDescent="0.15">
      <c r="F769">
        <f t="shared" si="133"/>
        <v>110</v>
      </c>
      <c r="G769">
        <v>766</v>
      </c>
      <c r="H769">
        <f t="shared" si="134"/>
        <v>9.8225614055192238E+21</v>
      </c>
      <c r="I769">
        <f t="shared" si="135"/>
        <v>9.8225614055192197E+21</v>
      </c>
      <c r="J769" s="1">
        <f t="shared" si="136"/>
        <v>1</v>
      </c>
      <c r="K769" s="1">
        <f t="shared" si="137"/>
        <v>9.8225614055192197E+21</v>
      </c>
      <c r="L769" s="1">
        <f t="shared" si="138"/>
        <v>4.5511201178905713E+21</v>
      </c>
      <c r="M769" s="3">
        <f t="shared" si="139"/>
        <v>3994577017.3166399</v>
      </c>
      <c r="N769" s="7">
        <f t="shared" si="144"/>
        <v>4.5511201178905703E+21</v>
      </c>
      <c r="O769" s="7">
        <f t="shared" si="140"/>
        <v>3994577017</v>
      </c>
      <c r="P769" s="3">
        <f>SUM($O$4:O769)</f>
        <v>230149655084</v>
      </c>
      <c r="Y769" s="3">
        <f t="shared" si="141"/>
        <v>766</v>
      </c>
      <c r="Z769" s="3">
        <f t="shared" si="142"/>
        <v>1.3038626870770999E+19</v>
      </c>
      <c r="AB769" s="7">
        <f t="shared" si="143"/>
        <v>13040</v>
      </c>
    </row>
    <row r="770" spans="6:28" x14ac:dyDescent="0.15">
      <c r="F770">
        <f t="shared" si="133"/>
        <v>110</v>
      </c>
      <c r="G770">
        <v>767</v>
      </c>
      <c r="H770">
        <f t="shared" si="134"/>
        <v>9.8225614055192238E+21</v>
      </c>
      <c r="I770">
        <f t="shared" si="135"/>
        <v>9.8225614055192197E+21</v>
      </c>
      <c r="J770" s="1">
        <f t="shared" si="136"/>
        <v>1</v>
      </c>
      <c r="K770" s="1">
        <f t="shared" si="137"/>
        <v>9.8225614055192197E+21</v>
      </c>
      <c r="L770" s="1">
        <f t="shared" si="138"/>
        <v>4.5511201178905713E+21</v>
      </c>
      <c r="M770" s="3">
        <f t="shared" si="139"/>
        <v>3994577017.3166399</v>
      </c>
      <c r="N770" s="7">
        <f t="shared" si="144"/>
        <v>4.5511201178905703E+21</v>
      </c>
      <c r="O770" s="7">
        <f t="shared" si="140"/>
        <v>3994577017</v>
      </c>
      <c r="P770" s="3">
        <f>SUM($O$4:O770)</f>
        <v>234144232101</v>
      </c>
      <c r="Y770" s="3">
        <f t="shared" si="141"/>
        <v>767</v>
      </c>
      <c r="Z770" s="3">
        <f t="shared" si="142"/>
        <v>1.3708431005712099E+19</v>
      </c>
      <c r="AB770" s="7">
        <f t="shared" si="143"/>
        <v>13040</v>
      </c>
    </row>
    <row r="771" spans="6:28" x14ac:dyDescent="0.15">
      <c r="F771">
        <f t="shared" si="133"/>
        <v>110</v>
      </c>
      <c r="G771">
        <v>768</v>
      </c>
      <c r="H771">
        <f t="shared" si="134"/>
        <v>9.8225614055192238E+21</v>
      </c>
      <c r="I771">
        <f t="shared" si="135"/>
        <v>9.8225614055192197E+21</v>
      </c>
      <c r="J771" s="1">
        <f t="shared" si="136"/>
        <v>1</v>
      </c>
      <c r="K771" s="1">
        <f t="shared" si="137"/>
        <v>9.8225614055192197E+21</v>
      </c>
      <c r="L771" s="1">
        <f t="shared" si="138"/>
        <v>4.5511201178905713E+21</v>
      </c>
      <c r="M771" s="3">
        <f t="shared" si="139"/>
        <v>3994577017.3166399</v>
      </c>
      <c r="N771" s="7">
        <f t="shared" si="144"/>
        <v>4.5511201178905703E+21</v>
      </c>
      <c r="O771" s="7">
        <f t="shared" si="140"/>
        <v>3994577017</v>
      </c>
      <c r="P771" s="3">
        <f>SUM($O$4:O771)</f>
        <v>238138809118</v>
      </c>
      <c r="Y771" s="3">
        <f t="shared" si="141"/>
        <v>768</v>
      </c>
      <c r="Z771" s="3">
        <f t="shared" si="142"/>
        <v>1.44126189869703E+19</v>
      </c>
      <c r="AB771" s="7">
        <f t="shared" si="143"/>
        <v>13040</v>
      </c>
    </row>
    <row r="772" spans="6:28" x14ac:dyDescent="0.15">
      <c r="F772">
        <f t="shared" si="133"/>
        <v>110</v>
      </c>
      <c r="G772">
        <v>769</v>
      </c>
      <c r="H772">
        <f t="shared" si="134"/>
        <v>9.8225614055192238E+21</v>
      </c>
      <c r="I772">
        <f t="shared" si="135"/>
        <v>9.8225614055192197E+21</v>
      </c>
      <c r="J772" s="1">
        <f t="shared" si="136"/>
        <v>1</v>
      </c>
      <c r="K772" s="1">
        <f t="shared" si="137"/>
        <v>9.8225614055192197E+21</v>
      </c>
      <c r="L772" s="1">
        <f t="shared" si="138"/>
        <v>4.5511201178905713E+21</v>
      </c>
      <c r="M772" s="3">
        <f t="shared" si="139"/>
        <v>3994577017.3166399</v>
      </c>
      <c r="N772" s="7">
        <f t="shared" si="144"/>
        <v>4.5511201178905703E+21</v>
      </c>
      <c r="O772" s="7">
        <f t="shared" si="140"/>
        <v>3994577017</v>
      </c>
      <c r="P772" s="3">
        <f>SUM($O$4:O772)</f>
        <v>242133386135</v>
      </c>
      <c r="Y772" s="3">
        <f t="shared" si="141"/>
        <v>769</v>
      </c>
      <c r="Z772" s="3">
        <f t="shared" si="142"/>
        <v>1.51529546888401E+19</v>
      </c>
      <c r="AB772" s="7">
        <f t="shared" si="143"/>
        <v>13040</v>
      </c>
    </row>
    <row r="773" spans="6:28" x14ac:dyDescent="0.15">
      <c r="F773">
        <f t="shared" ref="F773:F836" si="145">ROUNDUP(G773/$C$4,0)</f>
        <v>110</v>
      </c>
      <c r="G773">
        <v>770</v>
      </c>
      <c r="H773">
        <f t="shared" ref="H773:H836" si="146">18.5*1.57^MIN(F773,156)*1.17^MAX(F773-156,0)*$C$5</f>
        <v>9.8225614055192238E+21</v>
      </c>
      <c r="I773">
        <f t="shared" ref="I773:I836" si="147">ROUND(H773,0)</f>
        <v>9.8225614055192197E+21</v>
      </c>
      <c r="J773" s="1">
        <f t="shared" ref="J773:J836" si="148">IF(F773=F774,1,LOOKUP(MOD(F773,5),$D$6:$D$10,$C$6:$C$10))</f>
        <v>10</v>
      </c>
      <c r="K773" s="1">
        <f t="shared" ref="K773:K836" si="149">J773*I773</f>
        <v>9.8225614055192205E+22</v>
      </c>
      <c r="L773" s="1">
        <f t="shared" ref="L773:L836" si="150">K773*(0.02+0.00045*F773)/$C$5</f>
        <v>4.551120117890572E+22</v>
      </c>
      <c r="M773" s="3">
        <f t="shared" ref="M773:M836" si="151">L773/(1.3^F773)*3</f>
        <v>39945770173.166405</v>
      </c>
      <c r="N773" s="7">
        <f t="shared" si="144"/>
        <v>4.5511201178905704E+22</v>
      </c>
      <c r="O773" s="7">
        <f t="shared" ref="O773:O836" si="152">ROUNDDOWN(M773,0)</f>
        <v>39945770173</v>
      </c>
      <c r="P773" s="3">
        <f>SUM($O$4:O773)</f>
        <v>282079156308</v>
      </c>
      <c r="Y773" s="3">
        <f t="shared" ref="Y773:Y836" si="153">G773</f>
        <v>770</v>
      </c>
      <c r="Z773" s="3">
        <f t="shared" ref="Z773:Z836" si="154">ROUND(1.05^Y773*Y773,0)</f>
        <v>1.59312924134294E+19</v>
      </c>
      <c r="AB773" s="7">
        <f t="shared" ref="AB773:AB836" si="155">LOOKUP(Y773,T:T,P:P)</f>
        <v>13040</v>
      </c>
    </row>
    <row r="774" spans="6:28" x14ac:dyDescent="0.15">
      <c r="F774">
        <f t="shared" si="145"/>
        <v>111</v>
      </c>
      <c r="G774">
        <v>771</v>
      </c>
      <c r="H774">
        <f t="shared" si="146"/>
        <v>1.5421421406665184E+22</v>
      </c>
      <c r="I774">
        <f t="shared" si="147"/>
        <v>1.5421421406665199E+22</v>
      </c>
      <c r="J774" s="1">
        <f t="shared" si="148"/>
        <v>1</v>
      </c>
      <c r="K774" s="1">
        <f t="shared" si="149"/>
        <v>1.5421421406665199E+22</v>
      </c>
      <c r="L774" s="1">
        <f t="shared" si="150"/>
        <v>7.1915228493082043E+21</v>
      </c>
      <c r="M774" s="3">
        <f t="shared" si="151"/>
        <v>4855455892.7198668</v>
      </c>
      <c r="N774" s="7">
        <f t="shared" si="144"/>
        <v>7.1915228493082001E+21</v>
      </c>
      <c r="O774" s="7">
        <f t="shared" si="152"/>
        <v>4855455892</v>
      </c>
      <c r="P774" s="3">
        <f>SUM($O$4:O774)</f>
        <v>286934612200</v>
      </c>
      <c r="Y774" s="3">
        <f t="shared" si="153"/>
        <v>771</v>
      </c>
      <c r="Z774" s="3">
        <f t="shared" si="154"/>
        <v>1.67495815237555E+19</v>
      </c>
      <c r="AB774" s="7">
        <f t="shared" si="155"/>
        <v>13040</v>
      </c>
    </row>
    <row r="775" spans="6:28" x14ac:dyDescent="0.15">
      <c r="F775">
        <f t="shared" si="145"/>
        <v>111</v>
      </c>
      <c r="G775">
        <v>772</v>
      </c>
      <c r="H775">
        <f t="shared" si="146"/>
        <v>1.5421421406665184E+22</v>
      </c>
      <c r="I775">
        <f t="shared" si="147"/>
        <v>1.5421421406665199E+22</v>
      </c>
      <c r="J775" s="1">
        <f t="shared" si="148"/>
        <v>1</v>
      </c>
      <c r="K775" s="1">
        <f t="shared" si="149"/>
        <v>1.5421421406665199E+22</v>
      </c>
      <c r="L775" s="1">
        <f t="shared" si="150"/>
        <v>7.1915228493082043E+21</v>
      </c>
      <c r="M775" s="3">
        <f t="shared" si="151"/>
        <v>4855455892.7198668</v>
      </c>
      <c r="N775" s="7">
        <f t="shared" si="144"/>
        <v>7.1915228493082001E+21</v>
      </c>
      <c r="O775" s="7">
        <f t="shared" si="152"/>
        <v>4855455892</v>
      </c>
      <c r="P775" s="3">
        <f>SUM($O$4:O775)</f>
        <v>291790068092</v>
      </c>
      <c r="Y775" s="3">
        <f t="shared" si="153"/>
        <v>772</v>
      </c>
      <c r="Z775" s="3">
        <f t="shared" si="154"/>
        <v>1.76098713140807E+19</v>
      </c>
      <c r="AB775" s="7">
        <f t="shared" si="155"/>
        <v>13040</v>
      </c>
    </row>
    <row r="776" spans="6:28" x14ac:dyDescent="0.15">
      <c r="F776">
        <f t="shared" si="145"/>
        <v>111</v>
      </c>
      <c r="G776">
        <v>773</v>
      </c>
      <c r="H776">
        <f t="shared" si="146"/>
        <v>1.5421421406665184E+22</v>
      </c>
      <c r="I776">
        <f t="shared" si="147"/>
        <v>1.5421421406665199E+22</v>
      </c>
      <c r="J776" s="1">
        <f t="shared" si="148"/>
        <v>1</v>
      </c>
      <c r="K776" s="1">
        <f t="shared" si="149"/>
        <v>1.5421421406665199E+22</v>
      </c>
      <c r="L776" s="1">
        <f t="shared" si="150"/>
        <v>7.1915228493082043E+21</v>
      </c>
      <c r="M776" s="3">
        <f t="shared" si="151"/>
        <v>4855455892.7198668</v>
      </c>
      <c r="N776" s="7">
        <f t="shared" ref="N776:N839" si="156">ROUND(L776,0)</f>
        <v>7.1915228493082001E+21</v>
      </c>
      <c r="O776" s="7">
        <f t="shared" si="152"/>
        <v>4855455892</v>
      </c>
      <c r="P776" s="3">
        <f>SUM($O$4:O776)</f>
        <v>296645523984</v>
      </c>
      <c r="Y776" s="3">
        <f t="shared" si="153"/>
        <v>773</v>
      </c>
      <c r="Z776" s="3">
        <f t="shared" si="154"/>
        <v>1.8514316129629E+19</v>
      </c>
      <c r="AB776" s="7">
        <f t="shared" si="155"/>
        <v>13040</v>
      </c>
    </row>
    <row r="777" spans="6:28" x14ac:dyDescent="0.15">
      <c r="F777">
        <f t="shared" si="145"/>
        <v>111</v>
      </c>
      <c r="G777">
        <v>774</v>
      </c>
      <c r="H777">
        <f t="shared" si="146"/>
        <v>1.5421421406665184E+22</v>
      </c>
      <c r="I777">
        <f t="shared" si="147"/>
        <v>1.5421421406665199E+22</v>
      </c>
      <c r="J777" s="1">
        <f t="shared" si="148"/>
        <v>1</v>
      </c>
      <c r="K777" s="1">
        <f t="shared" si="149"/>
        <v>1.5421421406665199E+22</v>
      </c>
      <c r="L777" s="1">
        <f t="shared" si="150"/>
        <v>7.1915228493082043E+21</v>
      </c>
      <c r="M777" s="3">
        <f t="shared" si="151"/>
        <v>4855455892.7198668</v>
      </c>
      <c r="N777" s="7">
        <f t="shared" si="156"/>
        <v>7.1915228493082001E+21</v>
      </c>
      <c r="O777" s="7">
        <f t="shared" si="152"/>
        <v>4855455892</v>
      </c>
      <c r="P777" s="3">
        <f>SUM($O$4:O777)</f>
        <v>301500979876</v>
      </c>
      <c r="Y777" s="3">
        <f t="shared" si="153"/>
        <v>774</v>
      </c>
      <c r="Z777" s="3">
        <f t="shared" si="154"/>
        <v>1.9465180748446999E+19</v>
      </c>
      <c r="AB777" s="7">
        <f t="shared" si="155"/>
        <v>13040</v>
      </c>
    </row>
    <row r="778" spans="6:28" x14ac:dyDescent="0.15">
      <c r="F778">
        <f t="shared" si="145"/>
        <v>111</v>
      </c>
      <c r="G778">
        <v>775</v>
      </c>
      <c r="H778">
        <f t="shared" si="146"/>
        <v>1.5421421406665184E+22</v>
      </c>
      <c r="I778">
        <f t="shared" si="147"/>
        <v>1.5421421406665199E+22</v>
      </c>
      <c r="J778" s="1">
        <f t="shared" si="148"/>
        <v>1</v>
      </c>
      <c r="K778" s="1">
        <f t="shared" si="149"/>
        <v>1.5421421406665199E+22</v>
      </c>
      <c r="L778" s="1">
        <f t="shared" si="150"/>
        <v>7.1915228493082043E+21</v>
      </c>
      <c r="M778" s="3">
        <f t="shared" si="151"/>
        <v>4855455892.7198668</v>
      </c>
      <c r="N778" s="7">
        <f t="shared" si="156"/>
        <v>7.1915228493082001E+21</v>
      </c>
      <c r="O778" s="7">
        <f t="shared" si="152"/>
        <v>4855455892</v>
      </c>
      <c r="P778" s="3">
        <f>SUM($O$4:O778)</f>
        <v>306356435768</v>
      </c>
      <c r="Y778" s="3">
        <f t="shared" si="153"/>
        <v>775</v>
      </c>
      <c r="Z778" s="3">
        <f t="shared" si="154"/>
        <v>2.0464846038822601E+19</v>
      </c>
      <c r="AB778" s="7">
        <f t="shared" si="155"/>
        <v>13040</v>
      </c>
    </row>
    <row r="779" spans="6:28" x14ac:dyDescent="0.15">
      <c r="F779">
        <f t="shared" si="145"/>
        <v>111</v>
      </c>
      <c r="G779">
        <v>776</v>
      </c>
      <c r="H779">
        <f t="shared" si="146"/>
        <v>1.5421421406665184E+22</v>
      </c>
      <c r="I779">
        <f t="shared" si="147"/>
        <v>1.5421421406665199E+22</v>
      </c>
      <c r="J779" s="1">
        <f t="shared" si="148"/>
        <v>1</v>
      </c>
      <c r="K779" s="1">
        <f t="shared" si="149"/>
        <v>1.5421421406665199E+22</v>
      </c>
      <c r="L779" s="1">
        <f t="shared" si="150"/>
        <v>7.1915228493082043E+21</v>
      </c>
      <c r="M779" s="3">
        <f t="shared" si="151"/>
        <v>4855455892.7198668</v>
      </c>
      <c r="N779" s="7">
        <f t="shared" si="156"/>
        <v>7.1915228493082001E+21</v>
      </c>
      <c r="O779" s="7">
        <f t="shared" si="152"/>
        <v>4855455892</v>
      </c>
      <c r="P779" s="3">
        <f>SUM($O$4:O779)</f>
        <v>311211891660</v>
      </c>
      <c r="Y779" s="3">
        <f t="shared" si="153"/>
        <v>776</v>
      </c>
      <c r="Z779" s="3">
        <f t="shared" si="154"/>
        <v>2.1515814906364801E+19</v>
      </c>
      <c r="AB779" s="7">
        <f t="shared" si="155"/>
        <v>13040</v>
      </c>
    </row>
    <row r="780" spans="6:28" x14ac:dyDescent="0.15">
      <c r="F780">
        <f t="shared" si="145"/>
        <v>111</v>
      </c>
      <c r="G780">
        <v>777</v>
      </c>
      <c r="H780">
        <f t="shared" si="146"/>
        <v>1.5421421406665184E+22</v>
      </c>
      <c r="I780">
        <f t="shared" si="147"/>
        <v>1.5421421406665199E+22</v>
      </c>
      <c r="J780" s="1">
        <f t="shared" si="148"/>
        <v>2</v>
      </c>
      <c r="K780" s="1">
        <f t="shared" si="149"/>
        <v>3.0842842813330398E+22</v>
      </c>
      <c r="L780" s="1">
        <f t="shared" si="150"/>
        <v>1.4383045698616409E+22</v>
      </c>
      <c r="M780" s="3">
        <f t="shared" si="151"/>
        <v>9710911785.4397335</v>
      </c>
      <c r="N780" s="7">
        <f t="shared" si="156"/>
        <v>1.43830456986164E+22</v>
      </c>
      <c r="O780" s="7">
        <f t="shared" si="152"/>
        <v>9710911785</v>
      </c>
      <c r="P780" s="3">
        <f>SUM($O$4:O780)</f>
        <v>320922803445</v>
      </c>
      <c r="Y780" s="3">
        <f t="shared" si="153"/>
        <v>777</v>
      </c>
      <c r="Z780" s="3">
        <f t="shared" si="154"/>
        <v>2.2620718545564E+19</v>
      </c>
      <c r="AB780" s="7">
        <f t="shared" si="155"/>
        <v>13040</v>
      </c>
    </row>
    <row r="781" spans="6:28" x14ac:dyDescent="0.15">
      <c r="F781">
        <f t="shared" si="145"/>
        <v>112</v>
      </c>
      <c r="G781">
        <v>778</v>
      </c>
      <c r="H781">
        <f t="shared" si="146"/>
        <v>2.4211631608464335E+22</v>
      </c>
      <c r="I781">
        <f t="shared" si="147"/>
        <v>2.4211631608464302E+22</v>
      </c>
      <c r="J781" s="1">
        <f t="shared" si="148"/>
        <v>1</v>
      </c>
      <c r="K781" s="1">
        <f t="shared" si="149"/>
        <v>2.4211631608464302E+22</v>
      </c>
      <c r="L781" s="1">
        <f t="shared" si="150"/>
        <v>1.1363325768239245E+22</v>
      </c>
      <c r="M781" s="3">
        <f t="shared" si="151"/>
        <v>5901620156.2714052</v>
      </c>
      <c r="N781" s="7">
        <f t="shared" si="156"/>
        <v>1.1363325768239199E+22</v>
      </c>
      <c r="O781" s="7">
        <f t="shared" si="152"/>
        <v>5901620156</v>
      </c>
      <c r="P781" s="3">
        <f>SUM($O$4:O781)</f>
        <v>326824423601</v>
      </c>
      <c r="Y781" s="3">
        <f t="shared" si="153"/>
        <v>778</v>
      </c>
      <c r="Z781" s="3">
        <f t="shared" si="154"/>
        <v>2.3782323011417301E+19</v>
      </c>
      <c r="AB781" s="7">
        <f t="shared" si="155"/>
        <v>13040</v>
      </c>
    </row>
    <row r="782" spans="6:28" x14ac:dyDescent="0.15">
      <c r="F782">
        <f t="shared" si="145"/>
        <v>112</v>
      </c>
      <c r="G782">
        <v>779</v>
      </c>
      <c r="H782">
        <f t="shared" si="146"/>
        <v>2.4211631608464335E+22</v>
      </c>
      <c r="I782">
        <f t="shared" si="147"/>
        <v>2.4211631608464302E+22</v>
      </c>
      <c r="J782" s="1">
        <f t="shared" si="148"/>
        <v>1</v>
      </c>
      <c r="K782" s="1">
        <f t="shared" si="149"/>
        <v>2.4211631608464302E+22</v>
      </c>
      <c r="L782" s="1">
        <f t="shared" si="150"/>
        <v>1.1363325768239245E+22</v>
      </c>
      <c r="M782" s="3">
        <f t="shared" si="151"/>
        <v>5901620156.2714052</v>
      </c>
      <c r="N782" s="7">
        <f t="shared" si="156"/>
        <v>1.1363325768239199E+22</v>
      </c>
      <c r="O782" s="7">
        <f t="shared" si="152"/>
        <v>5901620156</v>
      </c>
      <c r="P782" s="3">
        <f>SUM($O$4:O782)</f>
        <v>332726043757</v>
      </c>
      <c r="Y782" s="3">
        <f t="shared" si="153"/>
        <v>779</v>
      </c>
      <c r="Z782" s="3">
        <f t="shared" si="154"/>
        <v>2.5003536127492002E+19</v>
      </c>
      <c r="AB782" s="7">
        <f t="shared" si="155"/>
        <v>13040</v>
      </c>
    </row>
    <row r="783" spans="6:28" x14ac:dyDescent="0.15">
      <c r="F783">
        <f t="shared" si="145"/>
        <v>112</v>
      </c>
      <c r="G783">
        <v>780</v>
      </c>
      <c r="H783">
        <f t="shared" si="146"/>
        <v>2.4211631608464335E+22</v>
      </c>
      <c r="I783">
        <f t="shared" si="147"/>
        <v>2.4211631608464302E+22</v>
      </c>
      <c r="J783" s="1">
        <f t="shared" si="148"/>
        <v>1</v>
      </c>
      <c r="K783" s="1">
        <f t="shared" si="149"/>
        <v>2.4211631608464302E+22</v>
      </c>
      <c r="L783" s="1">
        <f t="shared" si="150"/>
        <v>1.1363325768239245E+22</v>
      </c>
      <c r="M783" s="3">
        <f t="shared" si="151"/>
        <v>5901620156.2714052</v>
      </c>
      <c r="N783" s="7">
        <f t="shared" si="156"/>
        <v>1.1363325768239199E+22</v>
      </c>
      <c r="O783" s="7">
        <f t="shared" si="152"/>
        <v>5901620156</v>
      </c>
      <c r="P783" s="3">
        <f>SUM($O$4:O783)</f>
        <v>338627663913</v>
      </c>
      <c r="Y783" s="3">
        <f t="shared" si="153"/>
        <v>780</v>
      </c>
      <c r="Z783" s="3">
        <f t="shared" si="154"/>
        <v>2.6287414747645698E+19</v>
      </c>
      <c r="AB783" s="7">
        <f t="shared" si="155"/>
        <v>13040</v>
      </c>
    </row>
    <row r="784" spans="6:28" x14ac:dyDescent="0.15">
      <c r="F784">
        <f t="shared" si="145"/>
        <v>112</v>
      </c>
      <c r="G784">
        <v>781</v>
      </c>
      <c r="H784">
        <f t="shared" si="146"/>
        <v>2.4211631608464335E+22</v>
      </c>
      <c r="I784">
        <f t="shared" si="147"/>
        <v>2.4211631608464302E+22</v>
      </c>
      <c r="J784" s="1">
        <f t="shared" si="148"/>
        <v>1</v>
      </c>
      <c r="K784" s="1">
        <f t="shared" si="149"/>
        <v>2.4211631608464302E+22</v>
      </c>
      <c r="L784" s="1">
        <f t="shared" si="150"/>
        <v>1.1363325768239245E+22</v>
      </c>
      <c r="M784" s="3">
        <f t="shared" si="151"/>
        <v>5901620156.2714052</v>
      </c>
      <c r="N784" s="7">
        <f t="shared" si="156"/>
        <v>1.1363325768239199E+22</v>
      </c>
      <c r="O784" s="7">
        <f t="shared" si="152"/>
        <v>5901620156</v>
      </c>
      <c r="P784" s="3">
        <f>SUM($O$4:O784)</f>
        <v>344529284069</v>
      </c>
      <c r="Y784" s="3">
        <f t="shared" si="153"/>
        <v>781</v>
      </c>
      <c r="Z784" s="3">
        <f t="shared" si="154"/>
        <v>2.7637172389495898E+19</v>
      </c>
      <c r="AB784" s="7">
        <f t="shared" si="155"/>
        <v>13040</v>
      </c>
    </row>
    <row r="785" spans="6:28" x14ac:dyDescent="0.15">
      <c r="F785">
        <f t="shared" si="145"/>
        <v>112</v>
      </c>
      <c r="G785">
        <v>782</v>
      </c>
      <c r="H785">
        <f t="shared" si="146"/>
        <v>2.4211631608464335E+22</v>
      </c>
      <c r="I785">
        <f t="shared" si="147"/>
        <v>2.4211631608464302E+22</v>
      </c>
      <c r="J785" s="1">
        <f t="shared" si="148"/>
        <v>1</v>
      </c>
      <c r="K785" s="1">
        <f t="shared" si="149"/>
        <v>2.4211631608464302E+22</v>
      </c>
      <c r="L785" s="1">
        <f t="shared" si="150"/>
        <v>1.1363325768239245E+22</v>
      </c>
      <c r="M785" s="3">
        <f t="shared" si="151"/>
        <v>5901620156.2714052</v>
      </c>
      <c r="N785" s="7">
        <f t="shared" si="156"/>
        <v>1.1363325768239199E+22</v>
      </c>
      <c r="O785" s="7">
        <f t="shared" si="152"/>
        <v>5901620156</v>
      </c>
      <c r="P785" s="3">
        <f>SUM($O$4:O785)</f>
        <v>350430904225</v>
      </c>
      <c r="Y785" s="3">
        <f t="shared" si="153"/>
        <v>782</v>
      </c>
      <c r="Z785" s="3">
        <f t="shared" si="154"/>
        <v>2.9056187258662101E+19</v>
      </c>
      <c r="AB785" s="7">
        <f t="shared" si="155"/>
        <v>13040</v>
      </c>
    </row>
    <row r="786" spans="6:28" x14ac:dyDescent="0.15">
      <c r="F786">
        <f t="shared" si="145"/>
        <v>112</v>
      </c>
      <c r="G786">
        <v>783</v>
      </c>
      <c r="H786">
        <f t="shared" si="146"/>
        <v>2.4211631608464335E+22</v>
      </c>
      <c r="I786">
        <f t="shared" si="147"/>
        <v>2.4211631608464302E+22</v>
      </c>
      <c r="J786" s="1">
        <f t="shared" si="148"/>
        <v>1</v>
      </c>
      <c r="K786" s="1">
        <f t="shared" si="149"/>
        <v>2.4211631608464302E+22</v>
      </c>
      <c r="L786" s="1">
        <f t="shared" si="150"/>
        <v>1.1363325768239245E+22</v>
      </c>
      <c r="M786" s="3">
        <f t="shared" si="151"/>
        <v>5901620156.2714052</v>
      </c>
      <c r="N786" s="7">
        <f t="shared" si="156"/>
        <v>1.1363325768239199E+22</v>
      </c>
      <c r="O786" s="7">
        <f t="shared" si="152"/>
        <v>5901620156</v>
      </c>
      <c r="P786" s="3">
        <f>SUM($O$4:O786)</f>
        <v>356332524381</v>
      </c>
      <c r="Y786" s="3">
        <f t="shared" si="153"/>
        <v>783</v>
      </c>
      <c r="Z786" s="3">
        <f t="shared" si="154"/>
        <v>3.0548010683771199E+19</v>
      </c>
      <c r="AB786" s="7">
        <f t="shared" si="155"/>
        <v>13040</v>
      </c>
    </row>
    <row r="787" spans="6:28" x14ac:dyDescent="0.15">
      <c r="F787">
        <f t="shared" si="145"/>
        <v>112</v>
      </c>
      <c r="G787">
        <v>784</v>
      </c>
      <c r="H787">
        <f t="shared" si="146"/>
        <v>2.4211631608464335E+22</v>
      </c>
      <c r="I787">
        <f t="shared" si="147"/>
        <v>2.4211631608464302E+22</v>
      </c>
      <c r="J787" s="1">
        <f t="shared" si="148"/>
        <v>4</v>
      </c>
      <c r="K787" s="1">
        <f t="shared" si="149"/>
        <v>9.6846526433857206E+22</v>
      </c>
      <c r="L787" s="1">
        <f t="shared" si="150"/>
        <v>4.5453303072956982E+22</v>
      </c>
      <c r="M787" s="3">
        <f t="shared" si="151"/>
        <v>23606480625.085621</v>
      </c>
      <c r="N787" s="7">
        <f t="shared" si="156"/>
        <v>4.5453303072956998E+22</v>
      </c>
      <c r="O787" s="7">
        <f t="shared" si="152"/>
        <v>23606480625</v>
      </c>
      <c r="P787" s="3">
        <f>SUM($O$4:O787)</f>
        <v>379939005006</v>
      </c>
      <c r="Y787" s="3">
        <f t="shared" si="153"/>
        <v>784</v>
      </c>
      <c r="Z787" s="3">
        <f t="shared" si="154"/>
        <v>3.2116375983244501E+19</v>
      </c>
      <c r="AB787" s="7">
        <f t="shared" si="155"/>
        <v>13040</v>
      </c>
    </row>
    <row r="788" spans="6:28" x14ac:dyDescent="0.15">
      <c r="F788">
        <f t="shared" si="145"/>
        <v>113</v>
      </c>
      <c r="G788">
        <v>785</v>
      </c>
      <c r="H788">
        <f t="shared" si="146"/>
        <v>3.8012261625289008E+22</v>
      </c>
      <c r="I788">
        <f t="shared" si="147"/>
        <v>3.8012261625288999E+22</v>
      </c>
      <c r="J788" s="1">
        <f t="shared" si="148"/>
        <v>1</v>
      </c>
      <c r="K788" s="1">
        <f t="shared" si="149"/>
        <v>3.8012261625288999E+22</v>
      </c>
      <c r="L788" s="1">
        <f t="shared" si="150"/>
        <v>1.7954458241011504E+22</v>
      </c>
      <c r="M788" s="3">
        <f t="shared" si="151"/>
        <v>7172899554.9909573</v>
      </c>
      <c r="N788" s="7">
        <f t="shared" si="156"/>
        <v>1.79544582410115E+22</v>
      </c>
      <c r="O788" s="7">
        <f t="shared" si="152"/>
        <v>7172899554</v>
      </c>
      <c r="P788" s="3">
        <f>SUM($O$4:O788)</f>
        <v>387111904560</v>
      </c>
      <c r="Y788" s="3">
        <f t="shared" si="153"/>
        <v>785</v>
      </c>
      <c r="Z788" s="3">
        <f t="shared" si="154"/>
        <v>3.3765207785955701E+19</v>
      </c>
      <c r="AB788" s="7">
        <f t="shared" si="155"/>
        <v>13040</v>
      </c>
    </row>
    <row r="789" spans="6:28" x14ac:dyDescent="0.15">
      <c r="F789">
        <f t="shared" si="145"/>
        <v>113</v>
      </c>
      <c r="G789">
        <v>786</v>
      </c>
      <c r="H789">
        <f t="shared" si="146"/>
        <v>3.8012261625289008E+22</v>
      </c>
      <c r="I789">
        <f t="shared" si="147"/>
        <v>3.8012261625288999E+22</v>
      </c>
      <c r="J789" s="1">
        <f t="shared" si="148"/>
        <v>1</v>
      </c>
      <c r="K789" s="1">
        <f t="shared" si="149"/>
        <v>3.8012261625288999E+22</v>
      </c>
      <c r="L789" s="1">
        <f t="shared" si="150"/>
        <v>1.7954458241011504E+22</v>
      </c>
      <c r="M789" s="3">
        <f t="shared" si="151"/>
        <v>7172899554.9909573</v>
      </c>
      <c r="N789" s="7">
        <f t="shared" si="156"/>
        <v>1.79544582410115E+22</v>
      </c>
      <c r="O789" s="7">
        <f t="shared" si="152"/>
        <v>7172899554</v>
      </c>
      <c r="P789" s="3">
        <f>SUM($O$4:O789)</f>
        <v>394284804114</v>
      </c>
      <c r="Y789" s="3">
        <f t="shared" si="153"/>
        <v>786</v>
      </c>
      <c r="Z789" s="3">
        <f t="shared" si="154"/>
        <v>3.54986318289799E+19</v>
      </c>
      <c r="AB789" s="7">
        <f t="shared" si="155"/>
        <v>13040</v>
      </c>
    </row>
    <row r="790" spans="6:28" x14ac:dyDescent="0.15">
      <c r="F790">
        <f t="shared" si="145"/>
        <v>113</v>
      </c>
      <c r="G790">
        <v>787</v>
      </c>
      <c r="H790">
        <f t="shared" si="146"/>
        <v>3.8012261625289008E+22</v>
      </c>
      <c r="I790">
        <f t="shared" si="147"/>
        <v>3.8012261625288999E+22</v>
      </c>
      <c r="J790" s="1">
        <f t="shared" si="148"/>
        <v>1</v>
      </c>
      <c r="K790" s="1">
        <f t="shared" si="149"/>
        <v>3.8012261625288999E+22</v>
      </c>
      <c r="L790" s="1">
        <f t="shared" si="150"/>
        <v>1.7954458241011504E+22</v>
      </c>
      <c r="M790" s="3">
        <f t="shared" si="151"/>
        <v>7172899554.9909573</v>
      </c>
      <c r="N790" s="7">
        <f t="shared" si="156"/>
        <v>1.79544582410115E+22</v>
      </c>
      <c r="O790" s="7">
        <f t="shared" si="152"/>
        <v>7172899554</v>
      </c>
      <c r="P790" s="3">
        <f>SUM($O$4:O790)</f>
        <v>401457703668</v>
      </c>
      <c r="Y790" s="3">
        <f t="shared" si="153"/>
        <v>787</v>
      </c>
      <c r="Z790" s="3">
        <f t="shared" si="154"/>
        <v>3.7320985256841699E+19</v>
      </c>
      <c r="AB790" s="7">
        <f t="shared" si="155"/>
        <v>13040</v>
      </c>
    </row>
    <row r="791" spans="6:28" x14ac:dyDescent="0.15">
      <c r="F791">
        <f t="shared" si="145"/>
        <v>113</v>
      </c>
      <c r="G791">
        <v>788</v>
      </c>
      <c r="H791">
        <f t="shared" si="146"/>
        <v>3.8012261625289008E+22</v>
      </c>
      <c r="I791">
        <f t="shared" si="147"/>
        <v>3.8012261625288999E+22</v>
      </c>
      <c r="J791" s="1">
        <f t="shared" si="148"/>
        <v>1</v>
      </c>
      <c r="K791" s="1">
        <f t="shared" si="149"/>
        <v>3.8012261625288999E+22</v>
      </c>
      <c r="L791" s="1">
        <f t="shared" si="150"/>
        <v>1.7954458241011504E+22</v>
      </c>
      <c r="M791" s="3">
        <f t="shared" si="151"/>
        <v>7172899554.9909573</v>
      </c>
      <c r="N791" s="7">
        <f t="shared" si="156"/>
        <v>1.79544582410115E+22</v>
      </c>
      <c r="O791" s="7">
        <f t="shared" si="152"/>
        <v>7172899554</v>
      </c>
      <c r="P791" s="3">
        <f>SUM($O$4:O791)</f>
        <v>408630603222</v>
      </c>
      <c r="Y791" s="3">
        <f t="shared" si="153"/>
        <v>788</v>
      </c>
      <c r="Z791" s="3">
        <f t="shared" si="154"/>
        <v>3.9236827447917199E+19</v>
      </c>
      <c r="AB791" s="7">
        <f t="shared" si="155"/>
        <v>13040</v>
      </c>
    </row>
    <row r="792" spans="6:28" x14ac:dyDescent="0.15">
      <c r="F792">
        <f t="shared" si="145"/>
        <v>113</v>
      </c>
      <c r="G792">
        <v>789</v>
      </c>
      <c r="H792">
        <f t="shared" si="146"/>
        <v>3.8012261625289008E+22</v>
      </c>
      <c r="I792">
        <f t="shared" si="147"/>
        <v>3.8012261625288999E+22</v>
      </c>
      <c r="J792" s="1">
        <f t="shared" si="148"/>
        <v>1</v>
      </c>
      <c r="K792" s="1">
        <f t="shared" si="149"/>
        <v>3.8012261625288999E+22</v>
      </c>
      <c r="L792" s="1">
        <f t="shared" si="150"/>
        <v>1.7954458241011504E+22</v>
      </c>
      <c r="M792" s="3">
        <f t="shared" si="151"/>
        <v>7172899554.9909573</v>
      </c>
      <c r="N792" s="7">
        <f t="shared" si="156"/>
        <v>1.79544582410115E+22</v>
      </c>
      <c r="O792" s="7">
        <f t="shared" si="152"/>
        <v>7172899554</v>
      </c>
      <c r="P792" s="3">
        <f>SUM($O$4:O792)</f>
        <v>415803502776</v>
      </c>
      <c r="Y792" s="3">
        <f t="shared" si="153"/>
        <v>789</v>
      </c>
      <c r="Z792" s="3">
        <f t="shared" si="154"/>
        <v>4.1250951394958098E+19</v>
      </c>
      <c r="AB792" s="7">
        <f t="shared" si="155"/>
        <v>13040</v>
      </c>
    </row>
    <row r="793" spans="6:28" x14ac:dyDescent="0.15">
      <c r="F793">
        <f t="shared" si="145"/>
        <v>113</v>
      </c>
      <c r="G793">
        <v>790</v>
      </c>
      <c r="H793">
        <f t="shared" si="146"/>
        <v>3.8012261625289008E+22</v>
      </c>
      <c r="I793">
        <f t="shared" si="147"/>
        <v>3.8012261625288999E+22</v>
      </c>
      <c r="J793" s="1">
        <f t="shared" si="148"/>
        <v>1</v>
      </c>
      <c r="K793" s="1">
        <f t="shared" si="149"/>
        <v>3.8012261625288999E+22</v>
      </c>
      <c r="L793" s="1">
        <f t="shared" si="150"/>
        <v>1.7954458241011504E+22</v>
      </c>
      <c r="M793" s="3">
        <f t="shared" si="151"/>
        <v>7172899554.9909573</v>
      </c>
      <c r="N793" s="7">
        <f t="shared" si="156"/>
        <v>1.79544582410115E+22</v>
      </c>
      <c r="O793" s="7">
        <f t="shared" si="152"/>
        <v>7172899554</v>
      </c>
      <c r="P793" s="3">
        <f>SUM($O$4:O793)</f>
        <v>422976402330</v>
      </c>
      <c r="Y793" s="3">
        <f t="shared" si="153"/>
        <v>790</v>
      </c>
      <c r="Z793" s="3">
        <f t="shared" si="154"/>
        <v>4.3368395668083302E+19</v>
      </c>
      <c r="AB793" s="7">
        <f t="shared" si="155"/>
        <v>13040</v>
      </c>
    </row>
    <row r="794" spans="6:28" x14ac:dyDescent="0.15">
      <c r="F794">
        <f t="shared" si="145"/>
        <v>113</v>
      </c>
      <c r="G794">
        <v>791</v>
      </c>
      <c r="H794">
        <f t="shared" si="146"/>
        <v>3.8012261625289008E+22</v>
      </c>
      <c r="I794">
        <f t="shared" si="147"/>
        <v>3.8012261625288999E+22</v>
      </c>
      <c r="J794" s="1">
        <f t="shared" si="148"/>
        <v>6</v>
      </c>
      <c r="K794" s="1">
        <f t="shared" si="149"/>
        <v>2.2807356975173398E+23</v>
      </c>
      <c r="L794" s="1">
        <f t="shared" si="150"/>
        <v>1.0772674944606902E+23</v>
      </c>
      <c r="M794" s="3">
        <f t="shared" si="151"/>
        <v>43037397329.94574</v>
      </c>
      <c r="N794" s="7">
        <f t="shared" si="156"/>
        <v>1.0772674944606901E+23</v>
      </c>
      <c r="O794" s="7">
        <f t="shared" si="152"/>
        <v>43037397329</v>
      </c>
      <c r="P794" s="3">
        <f>SUM($O$4:O794)</f>
        <v>466013799659</v>
      </c>
      <c r="Y794" s="3">
        <f t="shared" si="153"/>
        <v>791</v>
      </c>
      <c r="Z794" s="3">
        <f t="shared" si="154"/>
        <v>4.5594456990033699E+19</v>
      </c>
      <c r="AB794" s="7">
        <f t="shared" si="155"/>
        <v>13040</v>
      </c>
    </row>
    <row r="795" spans="6:28" x14ac:dyDescent="0.15">
      <c r="F795">
        <f t="shared" si="145"/>
        <v>114</v>
      </c>
      <c r="G795">
        <v>792</v>
      </c>
      <c r="H795">
        <f t="shared" si="146"/>
        <v>5.9679250751703742E+22</v>
      </c>
      <c r="I795">
        <f t="shared" si="147"/>
        <v>5.96792507517037E+22</v>
      </c>
      <c r="J795" s="1">
        <f t="shared" si="148"/>
        <v>1</v>
      </c>
      <c r="K795" s="1">
        <f t="shared" si="149"/>
        <v>5.96792507517037E+22</v>
      </c>
      <c r="L795" s="1">
        <f t="shared" si="150"/>
        <v>2.8367537190643163E+22</v>
      </c>
      <c r="M795" s="3">
        <f t="shared" si="151"/>
        <v>8717676011.9998093</v>
      </c>
      <c r="N795" s="7">
        <f t="shared" si="156"/>
        <v>2.8367537190643201E+22</v>
      </c>
      <c r="O795" s="7">
        <f t="shared" si="152"/>
        <v>8717676011</v>
      </c>
      <c r="P795" s="3">
        <f>SUM($O$4:O795)</f>
        <v>474731475670</v>
      </c>
      <c r="Y795" s="3">
        <f t="shared" si="153"/>
        <v>792</v>
      </c>
      <c r="Z795" s="3">
        <f t="shared" si="154"/>
        <v>4.7934703455008801E+19</v>
      </c>
      <c r="AB795" s="7">
        <f t="shared" si="155"/>
        <v>13040</v>
      </c>
    </row>
    <row r="796" spans="6:28" x14ac:dyDescent="0.15">
      <c r="F796">
        <f t="shared" si="145"/>
        <v>114</v>
      </c>
      <c r="G796">
        <v>793</v>
      </c>
      <c r="H796">
        <f t="shared" si="146"/>
        <v>5.9679250751703742E+22</v>
      </c>
      <c r="I796">
        <f t="shared" si="147"/>
        <v>5.96792507517037E+22</v>
      </c>
      <c r="J796" s="1">
        <f t="shared" si="148"/>
        <v>1</v>
      </c>
      <c r="K796" s="1">
        <f t="shared" si="149"/>
        <v>5.96792507517037E+22</v>
      </c>
      <c r="L796" s="1">
        <f t="shared" si="150"/>
        <v>2.8367537190643163E+22</v>
      </c>
      <c r="M796" s="3">
        <f t="shared" si="151"/>
        <v>8717676011.9998093</v>
      </c>
      <c r="N796" s="7">
        <f t="shared" si="156"/>
        <v>2.8367537190643201E+22</v>
      </c>
      <c r="O796" s="7">
        <f t="shared" si="152"/>
        <v>8717676011</v>
      </c>
      <c r="P796" s="3">
        <f>SUM($O$4:O796)</f>
        <v>483449151681</v>
      </c>
      <c r="Y796" s="3">
        <f t="shared" si="153"/>
        <v>793</v>
      </c>
      <c r="Z796" s="3">
        <f t="shared" si="154"/>
        <v>5.03949884240065E+19</v>
      </c>
      <c r="AB796" s="7">
        <f t="shared" si="155"/>
        <v>13040</v>
      </c>
    </row>
    <row r="797" spans="6:28" x14ac:dyDescent="0.15">
      <c r="F797">
        <f t="shared" si="145"/>
        <v>114</v>
      </c>
      <c r="G797">
        <v>794</v>
      </c>
      <c r="H797">
        <f t="shared" si="146"/>
        <v>5.9679250751703742E+22</v>
      </c>
      <c r="I797">
        <f t="shared" si="147"/>
        <v>5.96792507517037E+22</v>
      </c>
      <c r="J797" s="1">
        <f t="shared" si="148"/>
        <v>1</v>
      </c>
      <c r="K797" s="1">
        <f t="shared" si="149"/>
        <v>5.96792507517037E+22</v>
      </c>
      <c r="L797" s="1">
        <f t="shared" si="150"/>
        <v>2.8367537190643163E+22</v>
      </c>
      <c r="M797" s="3">
        <f t="shared" si="151"/>
        <v>8717676011.9998093</v>
      </c>
      <c r="N797" s="7">
        <f t="shared" si="156"/>
        <v>2.8367537190643201E+22</v>
      </c>
      <c r="O797" s="7">
        <f t="shared" si="152"/>
        <v>8717676011</v>
      </c>
      <c r="P797" s="3">
        <f>SUM($O$4:O797)</f>
        <v>492166827692</v>
      </c>
      <c r="Y797" s="3">
        <f t="shared" si="153"/>
        <v>794</v>
      </c>
      <c r="Z797" s="3">
        <f t="shared" si="154"/>
        <v>5.2981465131266302E+19</v>
      </c>
      <c r="AB797" s="7">
        <f t="shared" si="155"/>
        <v>13040</v>
      </c>
    </row>
    <row r="798" spans="6:28" x14ac:dyDescent="0.15">
      <c r="F798">
        <f t="shared" si="145"/>
        <v>114</v>
      </c>
      <c r="G798">
        <v>795</v>
      </c>
      <c r="H798">
        <f t="shared" si="146"/>
        <v>5.9679250751703742E+22</v>
      </c>
      <c r="I798">
        <f t="shared" si="147"/>
        <v>5.96792507517037E+22</v>
      </c>
      <c r="J798" s="1">
        <f t="shared" si="148"/>
        <v>1</v>
      </c>
      <c r="K798" s="1">
        <f t="shared" si="149"/>
        <v>5.96792507517037E+22</v>
      </c>
      <c r="L798" s="1">
        <f t="shared" si="150"/>
        <v>2.8367537190643163E+22</v>
      </c>
      <c r="M798" s="3">
        <f t="shared" si="151"/>
        <v>8717676011.9998093</v>
      </c>
      <c r="N798" s="7">
        <f t="shared" si="156"/>
        <v>2.8367537190643201E+22</v>
      </c>
      <c r="O798" s="7">
        <f t="shared" si="152"/>
        <v>8717676011</v>
      </c>
      <c r="P798" s="3">
        <f>SUM($O$4:O798)</f>
        <v>500884503703</v>
      </c>
      <c r="Y798" s="3">
        <f t="shared" si="153"/>
        <v>795</v>
      </c>
      <c r="Z798" s="3">
        <f t="shared" si="154"/>
        <v>5.5700602038192103E+19</v>
      </c>
      <c r="AB798" s="7">
        <f t="shared" si="155"/>
        <v>13040</v>
      </c>
    </row>
    <row r="799" spans="6:28" x14ac:dyDescent="0.15">
      <c r="F799">
        <f t="shared" si="145"/>
        <v>114</v>
      </c>
      <c r="G799">
        <v>796</v>
      </c>
      <c r="H799">
        <f t="shared" si="146"/>
        <v>5.9679250751703742E+22</v>
      </c>
      <c r="I799">
        <f t="shared" si="147"/>
        <v>5.96792507517037E+22</v>
      </c>
      <c r="J799" s="1">
        <f t="shared" si="148"/>
        <v>1</v>
      </c>
      <c r="K799" s="1">
        <f t="shared" si="149"/>
        <v>5.96792507517037E+22</v>
      </c>
      <c r="L799" s="1">
        <f t="shared" si="150"/>
        <v>2.8367537190643163E+22</v>
      </c>
      <c r="M799" s="3">
        <f t="shared" si="151"/>
        <v>8717676011.9998093</v>
      </c>
      <c r="N799" s="7">
        <f t="shared" si="156"/>
        <v>2.8367537190643201E+22</v>
      </c>
      <c r="O799" s="7">
        <f t="shared" si="152"/>
        <v>8717676011</v>
      </c>
      <c r="P799" s="3">
        <f>SUM($O$4:O799)</f>
        <v>509602179714</v>
      </c>
      <c r="Y799" s="3">
        <f t="shared" si="153"/>
        <v>796</v>
      </c>
      <c r="Z799" s="3">
        <f t="shared" si="154"/>
        <v>5.8559198972982403E+19</v>
      </c>
      <c r="AB799" s="7">
        <f t="shared" si="155"/>
        <v>13040</v>
      </c>
    </row>
    <row r="800" spans="6:28" x14ac:dyDescent="0.15">
      <c r="F800">
        <f t="shared" si="145"/>
        <v>114</v>
      </c>
      <c r="G800">
        <v>797</v>
      </c>
      <c r="H800">
        <f t="shared" si="146"/>
        <v>5.9679250751703742E+22</v>
      </c>
      <c r="I800">
        <f t="shared" si="147"/>
        <v>5.96792507517037E+22</v>
      </c>
      <c r="J800" s="1">
        <f t="shared" si="148"/>
        <v>1</v>
      </c>
      <c r="K800" s="1">
        <f t="shared" si="149"/>
        <v>5.96792507517037E+22</v>
      </c>
      <c r="L800" s="1">
        <f t="shared" si="150"/>
        <v>2.8367537190643163E+22</v>
      </c>
      <c r="M800" s="3">
        <f t="shared" si="151"/>
        <v>8717676011.9998093</v>
      </c>
      <c r="N800" s="7">
        <f t="shared" si="156"/>
        <v>2.8367537190643201E+22</v>
      </c>
      <c r="O800" s="7">
        <f t="shared" si="152"/>
        <v>8717676011</v>
      </c>
      <c r="P800" s="3">
        <f>SUM($O$4:O800)</f>
        <v>518319855725</v>
      </c>
      <c r="Y800" s="3">
        <f t="shared" si="153"/>
        <v>797</v>
      </c>
      <c r="Z800" s="3">
        <f t="shared" si="154"/>
        <v>6.1564404096156197E+19</v>
      </c>
      <c r="AB800" s="7">
        <f t="shared" si="155"/>
        <v>13040</v>
      </c>
    </row>
    <row r="801" spans="6:28" x14ac:dyDescent="0.15">
      <c r="F801">
        <f t="shared" si="145"/>
        <v>114</v>
      </c>
      <c r="G801">
        <v>798</v>
      </c>
      <c r="H801">
        <f t="shared" si="146"/>
        <v>5.9679250751703742E+22</v>
      </c>
      <c r="I801">
        <f t="shared" si="147"/>
        <v>5.96792507517037E+22</v>
      </c>
      <c r="J801" s="1">
        <f t="shared" si="148"/>
        <v>7</v>
      </c>
      <c r="K801" s="1">
        <f t="shared" si="149"/>
        <v>4.1775475526192589E+23</v>
      </c>
      <c r="L801" s="1">
        <f t="shared" si="150"/>
        <v>1.9857276033450214E+23</v>
      </c>
      <c r="M801" s="3">
        <f t="shared" si="151"/>
        <v>61023732083.998657</v>
      </c>
      <c r="N801" s="7">
        <f t="shared" si="156"/>
        <v>1.9857276033450201E+23</v>
      </c>
      <c r="O801" s="7">
        <f t="shared" si="152"/>
        <v>61023732083</v>
      </c>
      <c r="P801" s="3">
        <f>SUM($O$4:O801)</f>
        <v>579343587808</v>
      </c>
      <c r="Y801" s="3">
        <f t="shared" si="153"/>
        <v>798</v>
      </c>
      <c r="Z801" s="3">
        <f t="shared" si="154"/>
        <v>6.4723731734214803E+19</v>
      </c>
      <c r="AB801" s="7">
        <f t="shared" si="155"/>
        <v>13040</v>
      </c>
    </row>
    <row r="802" spans="6:28" x14ac:dyDescent="0.15">
      <c r="F802">
        <f t="shared" si="145"/>
        <v>115</v>
      </c>
      <c r="G802">
        <v>799</v>
      </c>
      <c r="H802">
        <f t="shared" si="146"/>
        <v>9.3696423680174878E+22</v>
      </c>
      <c r="I802">
        <f t="shared" si="147"/>
        <v>9.3696423680174895E+22</v>
      </c>
      <c r="J802" s="1">
        <f t="shared" si="148"/>
        <v>1</v>
      </c>
      <c r="K802" s="1">
        <f t="shared" si="149"/>
        <v>9.3696423680174895E+22</v>
      </c>
      <c r="L802" s="1">
        <f t="shared" si="150"/>
        <v>4.4818122660350322E+22</v>
      </c>
      <c r="M802" s="3">
        <f t="shared" si="151"/>
        <v>10594717969.16333</v>
      </c>
      <c r="N802" s="7">
        <f t="shared" si="156"/>
        <v>4.4818122660350297E+22</v>
      </c>
      <c r="O802" s="7">
        <f t="shared" si="152"/>
        <v>10594717969</v>
      </c>
      <c r="P802" s="3">
        <f>SUM($O$4:O802)</f>
        <v>589938305777</v>
      </c>
      <c r="Y802" s="3">
        <f t="shared" si="153"/>
        <v>799</v>
      </c>
      <c r="Z802" s="3">
        <f t="shared" si="154"/>
        <v>6.8045081125839102E+19</v>
      </c>
      <c r="AB802" s="7">
        <f t="shared" si="155"/>
        <v>13040</v>
      </c>
    </row>
    <row r="803" spans="6:28" x14ac:dyDescent="0.15">
      <c r="F803">
        <f t="shared" si="145"/>
        <v>115</v>
      </c>
      <c r="G803">
        <v>800</v>
      </c>
      <c r="H803">
        <f t="shared" si="146"/>
        <v>9.3696423680174878E+22</v>
      </c>
      <c r="I803">
        <f t="shared" si="147"/>
        <v>9.3696423680174895E+22</v>
      </c>
      <c r="J803" s="1">
        <f t="shared" si="148"/>
        <v>1</v>
      </c>
      <c r="K803" s="1">
        <f t="shared" si="149"/>
        <v>9.3696423680174895E+22</v>
      </c>
      <c r="L803" s="1">
        <f t="shared" si="150"/>
        <v>4.4818122660350322E+22</v>
      </c>
      <c r="M803" s="3">
        <f t="shared" si="151"/>
        <v>10594717969.16333</v>
      </c>
      <c r="N803" s="7">
        <f t="shared" si="156"/>
        <v>4.4818122660350297E+22</v>
      </c>
      <c r="O803" s="7">
        <f t="shared" si="152"/>
        <v>10594717969</v>
      </c>
      <c r="P803" s="3">
        <f>SUM($O$4:O803)</f>
        <v>600533023746</v>
      </c>
      <c r="Y803" s="3">
        <f t="shared" si="153"/>
        <v>800</v>
      </c>
      <c r="Z803" s="3">
        <f t="shared" si="154"/>
        <v>7.1536756127290098E+19</v>
      </c>
      <c r="AB803" s="7">
        <f t="shared" si="155"/>
        <v>13040</v>
      </c>
    </row>
    <row r="804" spans="6:28" x14ac:dyDescent="0.15">
      <c r="F804">
        <f t="shared" si="145"/>
        <v>115</v>
      </c>
      <c r="G804">
        <v>801</v>
      </c>
      <c r="H804">
        <f t="shared" si="146"/>
        <v>9.3696423680174878E+22</v>
      </c>
      <c r="I804">
        <f t="shared" si="147"/>
        <v>9.3696423680174895E+22</v>
      </c>
      <c r="J804" s="1">
        <f t="shared" si="148"/>
        <v>1</v>
      </c>
      <c r="K804" s="1">
        <f t="shared" si="149"/>
        <v>9.3696423680174895E+22</v>
      </c>
      <c r="L804" s="1">
        <f t="shared" si="150"/>
        <v>4.4818122660350322E+22</v>
      </c>
      <c r="M804" s="3">
        <f t="shared" si="151"/>
        <v>10594717969.16333</v>
      </c>
      <c r="N804" s="7">
        <f t="shared" si="156"/>
        <v>4.4818122660350297E+22</v>
      </c>
      <c r="O804" s="7">
        <f t="shared" si="152"/>
        <v>10594717969</v>
      </c>
      <c r="P804" s="3">
        <f>SUM($O$4:O804)</f>
        <v>611127741715</v>
      </c>
      <c r="Y804" s="3">
        <f t="shared" si="153"/>
        <v>801</v>
      </c>
      <c r="Z804" s="3">
        <f t="shared" si="154"/>
        <v>7.5207485926071697E+19</v>
      </c>
      <c r="AB804" s="7">
        <f t="shared" si="155"/>
        <v>13040</v>
      </c>
    </row>
    <row r="805" spans="6:28" x14ac:dyDescent="0.15">
      <c r="F805">
        <f t="shared" si="145"/>
        <v>115</v>
      </c>
      <c r="G805">
        <v>802</v>
      </c>
      <c r="H805">
        <f t="shared" si="146"/>
        <v>9.3696423680174878E+22</v>
      </c>
      <c r="I805">
        <f t="shared" si="147"/>
        <v>9.3696423680174895E+22</v>
      </c>
      <c r="J805" s="1">
        <f t="shared" si="148"/>
        <v>1</v>
      </c>
      <c r="K805" s="1">
        <f t="shared" si="149"/>
        <v>9.3696423680174895E+22</v>
      </c>
      <c r="L805" s="1">
        <f t="shared" si="150"/>
        <v>4.4818122660350322E+22</v>
      </c>
      <c r="M805" s="3">
        <f t="shared" si="151"/>
        <v>10594717969.16333</v>
      </c>
      <c r="N805" s="7">
        <f t="shared" si="156"/>
        <v>4.4818122660350297E+22</v>
      </c>
      <c r="O805" s="7">
        <f t="shared" si="152"/>
        <v>10594717969</v>
      </c>
      <c r="P805" s="3">
        <f>SUM($O$4:O805)</f>
        <v>621722459684</v>
      </c>
      <c r="Y805" s="3">
        <f t="shared" si="153"/>
        <v>802</v>
      </c>
      <c r="Z805" s="3">
        <f t="shared" si="154"/>
        <v>7.9066446814413193E+19</v>
      </c>
      <c r="AB805" s="7">
        <f t="shared" si="155"/>
        <v>13040</v>
      </c>
    </row>
    <row r="806" spans="6:28" x14ac:dyDescent="0.15">
      <c r="F806">
        <f t="shared" si="145"/>
        <v>115</v>
      </c>
      <c r="G806">
        <v>803</v>
      </c>
      <c r="H806">
        <f t="shared" si="146"/>
        <v>9.3696423680174878E+22</v>
      </c>
      <c r="I806">
        <f t="shared" si="147"/>
        <v>9.3696423680174895E+22</v>
      </c>
      <c r="J806" s="1">
        <f t="shared" si="148"/>
        <v>1</v>
      </c>
      <c r="K806" s="1">
        <f t="shared" si="149"/>
        <v>9.3696423680174895E+22</v>
      </c>
      <c r="L806" s="1">
        <f t="shared" si="150"/>
        <v>4.4818122660350322E+22</v>
      </c>
      <c r="M806" s="3">
        <f t="shared" si="151"/>
        <v>10594717969.16333</v>
      </c>
      <c r="N806" s="7">
        <f t="shared" si="156"/>
        <v>4.4818122660350297E+22</v>
      </c>
      <c r="O806" s="7">
        <f t="shared" si="152"/>
        <v>10594717969</v>
      </c>
      <c r="P806" s="3">
        <f>SUM($O$4:O806)</f>
        <v>632317177653</v>
      </c>
      <c r="Y806" s="3">
        <f t="shared" si="153"/>
        <v>803</v>
      </c>
      <c r="Z806" s="3">
        <f t="shared" si="154"/>
        <v>8.31232850767737E+19</v>
      </c>
      <c r="AB806" s="7">
        <f t="shared" si="155"/>
        <v>13040</v>
      </c>
    </row>
    <row r="807" spans="6:28" x14ac:dyDescent="0.15">
      <c r="F807">
        <f t="shared" si="145"/>
        <v>115</v>
      </c>
      <c r="G807">
        <v>804</v>
      </c>
      <c r="H807">
        <f t="shared" si="146"/>
        <v>9.3696423680174878E+22</v>
      </c>
      <c r="I807">
        <f t="shared" si="147"/>
        <v>9.3696423680174895E+22</v>
      </c>
      <c r="J807" s="1">
        <f t="shared" si="148"/>
        <v>1</v>
      </c>
      <c r="K807" s="1">
        <f t="shared" si="149"/>
        <v>9.3696423680174895E+22</v>
      </c>
      <c r="L807" s="1">
        <f t="shared" si="150"/>
        <v>4.4818122660350322E+22</v>
      </c>
      <c r="M807" s="3">
        <f t="shared" si="151"/>
        <v>10594717969.16333</v>
      </c>
      <c r="N807" s="7">
        <f t="shared" si="156"/>
        <v>4.4818122660350297E+22</v>
      </c>
      <c r="O807" s="7">
        <f t="shared" si="152"/>
        <v>10594717969</v>
      </c>
      <c r="P807" s="3">
        <f>SUM($O$4:O807)</f>
        <v>642911895622</v>
      </c>
      <c r="Y807" s="3">
        <f t="shared" si="153"/>
        <v>804</v>
      </c>
      <c r="Z807" s="3">
        <f t="shared" si="154"/>
        <v>8.7388141048334205E+19</v>
      </c>
      <c r="AB807" s="7">
        <f t="shared" si="155"/>
        <v>13040</v>
      </c>
    </row>
    <row r="808" spans="6:28" x14ac:dyDescent="0.15">
      <c r="F808">
        <f t="shared" si="145"/>
        <v>115</v>
      </c>
      <c r="G808">
        <v>805</v>
      </c>
      <c r="H808">
        <f t="shared" si="146"/>
        <v>9.3696423680174878E+22</v>
      </c>
      <c r="I808">
        <f t="shared" si="147"/>
        <v>9.3696423680174895E+22</v>
      </c>
      <c r="J808" s="1">
        <f t="shared" si="148"/>
        <v>10</v>
      </c>
      <c r="K808" s="1">
        <f t="shared" si="149"/>
        <v>9.3696423680174898E+23</v>
      </c>
      <c r="L808" s="1">
        <f t="shared" si="150"/>
        <v>4.4818122660350322E+23</v>
      </c>
      <c r="M808" s="3">
        <f t="shared" si="151"/>
        <v>105947179691.63329</v>
      </c>
      <c r="N808" s="7">
        <f t="shared" si="156"/>
        <v>4.4818122660350302E+23</v>
      </c>
      <c r="O808" s="7">
        <f t="shared" si="152"/>
        <v>105947179691</v>
      </c>
      <c r="P808" s="3">
        <f>SUM($O$4:O808)</f>
        <v>748859075313</v>
      </c>
      <c r="Y808" s="3">
        <f t="shared" si="153"/>
        <v>805</v>
      </c>
      <c r="Z808" s="3">
        <f t="shared" si="154"/>
        <v>9.1871674404358799E+19</v>
      </c>
      <c r="AB808" s="7">
        <f t="shared" si="155"/>
        <v>13040</v>
      </c>
    </row>
    <row r="809" spans="6:28" x14ac:dyDescent="0.15">
      <c r="F809">
        <f t="shared" si="145"/>
        <v>116</v>
      </c>
      <c r="G809">
        <v>806</v>
      </c>
      <c r="H809">
        <f t="shared" si="146"/>
        <v>1.4710338517787453E+23</v>
      </c>
      <c r="I809">
        <f t="shared" si="147"/>
        <v>1.47103385177875E+23</v>
      </c>
      <c r="J809" s="1">
        <f t="shared" si="148"/>
        <v>1</v>
      </c>
      <c r="K809" s="1">
        <f t="shared" si="149"/>
        <v>1.47103385177875E+23</v>
      </c>
      <c r="L809" s="1">
        <f t="shared" si="150"/>
        <v>7.0805762732283836E+22</v>
      </c>
      <c r="M809" s="3">
        <f t="shared" si="151"/>
        <v>12875407779.968304</v>
      </c>
      <c r="N809" s="7">
        <f t="shared" si="156"/>
        <v>7.0805762732283803E+22</v>
      </c>
      <c r="O809" s="7">
        <f t="shared" si="152"/>
        <v>12875407779</v>
      </c>
      <c r="P809" s="3">
        <f>SUM($O$4:O809)</f>
        <v>761734483092</v>
      </c>
      <c r="Y809" s="3">
        <f t="shared" si="153"/>
        <v>806</v>
      </c>
      <c r="Z809" s="3">
        <f t="shared" si="154"/>
        <v>9.6585090743364993E+19</v>
      </c>
      <c r="AB809" s="7">
        <f t="shared" si="155"/>
        <v>13040</v>
      </c>
    </row>
    <row r="810" spans="6:28" x14ac:dyDescent="0.15">
      <c r="F810">
        <f t="shared" si="145"/>
        <v>116</v>
      </c>
      <c r="G810">
        <v>807</v>
      </c>
      <c r="H810">
        <f t="shared" si="146"/>
        <v>1.4710338517787453E+23</v>
      </c>
      <c r="I810">
        <f t="shared" si="147"/>
        <v>1.47103385177875E+23</v>
      </c>
      <c r="J810" s="1">
        <f t="shared" si="148"/>
        <v>1</v>
      </c>
      <c r="K810" s="1">
        <f t="shared" si="149"/>
        <v>1.47103385177875E+23</v>
      </c>
      <c r="L810" s="1">
        <f t="shared" si="150"/>
        <v>7.0805762732283836E+22</v>
      </c>
      <c r="M810" s="3">
        <f t="shared" si="151"/>
        <v>12875407779.968304</v>
      </c>
      <c r="N810" s="7">
        <f t="shared" si="156"/>
        <v>7.0805762732283803E+22</v>
      </c>
      <c r="O810" s="7">
        <f t="shared" si="152"/>
        <v>12875407779</v>
      </c>
      <c r="P810" s="3">
        <f>SUM($O$4:O810)</f>
        <v>774609890871</v>
      </c>
      <c r="Y810" s="3">
        <f t="shared" si="153"/>
        <v>807</v>
      </c>
      <c r="Z810" s="3">
        <f t="shared" si="154"/>
        <v>1.01540169530261E+20</v>
      </c>
      <c r="AB810" s="7">
        <f t="shared" si="155"/>
        <v>13040</v>
      </c>
    </row>
    <row r="811" spans="6:28" x14ac:dyDescent="0.15">
      <c r="F811">
        <f t="shared" si="145"/>
        <v>116</v>
      </c>
      <c r="G811">
        <v>808</v>
      </c>
      <c r="H811">
        <f t="shared" si="146"/>
        <v>1.4710338517787453E+23</v>
      </c>
      <c r="I811">
        <f t="shared" si="147"/>
        <v>1.47103385177875E+23</v>
      </c>
      <c r="J811" s="1">
        <f t="shared" si="148"/>
        <v>1</v>
      </c>
      <c r="K811" s="1">
        <f t="shared" si="149"/>
        <v>1.47103385177875E+23</v>
      </c>
      <c r="L811" s="1">
        <f t="shared" si="150"/>
        <v>7.0805762732283836E+22</v>
      </c>
      <c r="M811" s="3">
        <f t="shared" si="151"/>
        <v>12875407779.968304</v>
      </c>
      <c r="N811" s="7">
        <f t="shared" si="156"/>
        <v>7.0805762732283803E+22</v>
      </c>
      <c r="O811" s="7">
        <f t="shared" si="152"/>
        <v>12875407779</v>
      </c>
      <c r="P811" s="3">
        <f>SUM($O$4:O811)</f>
        <v>787485298650</v>
      </c>
      <c r="Y811" s="3">
        <f t="shared" si="153"/>
        <v>808</v>
      </c>
      <c r="Z811" s="3">
        <f t="shared" si="154"/>
        <v>1.06749293468988E+20</v>
      </c>
      <c r="AB811" s="7">
        <f t="shared" si="155"/>
        <v>13040</v>
      </c>
    </row>
    <row r="812" spans="6:28" x14ac:dyDescent="0.15">
      <c r="F812">
        <f t="shared" si="145"/>
        <v>116</v>
      </c>
      <c r="G812">
        <v>809</v>
      </c>
      <c r="H812">
        <f t="shared" si="146"/>
        <v>1.4710338517787453E+23</v>
      </c>
      <c r="I812">
        <f t="shared" si="147"/>
        <v>1.47103385177875E+23</v>
      </c>
      <c r="J812" s="1">
        <f t="shared" si="148"/>
        <v>1</v>
      </c>
      <c r="K812" s="1">
        <f t="shared" si="149"/>
        <v>1.47103385177875E+23</v>
      </c>
      <c r="L812" s="1">
        <f t="shared" si="150"/>
        <v>7.0805762732283836E+22</v>
      </c>
      <c r="M812" s="3">
        <f t="shared" si="151"/>
        <v>12875407779.968304</v>
      </c>
      <c r="N812" s="7">
        <f t="shared" si="156"/>
        <v>7.0805762732283803E+22</v>
      </c>
      <c r="O812" s="7">
        <f t="shared" si="152"/>
        <v>12875407779</v>
      </c>
      <c r="P812" s="3">
        <f>SUM($O$4:O812)</f>
        <v>800360706429</v>
      </c>
      <c r="Y812" s="3">
        <f t="shared" si="153"/>
        <v>809</v>
      </c>
      <c r="Z812" s="3">
        <f t="shared" si="154"/>
        <v>1.1222547937776199E+20</v>
      </c>
      <c r="AB812" s="7">
        <f t="shared" si="155"/>
        <v>13040</v>
      </c>
    </row>
    <row r="813" spans="6:28" x14ac:dyDescent="0.15">
      <c r="F813">
        <f t="shared" si="145"/>
        <v>116</v>
      </c>
      <c r="G813">
        <v>810</v>
      </c>
      <c r="H813">
        <f t="shared" si="146"/>
        <v>1.4710338517787453E+23</v>
      </c>
      <c r="I813">
        <f t="shared" si="147"/>
        <v>1.47103385177875E+23</v>
      </c>
      <c r="J813" s="1">
        <f t="shared" si="148"/>
        <v>1</v>
      </c>
      <c r="K813" s="1">
        <f t="shared" si="149"/>
        <v>1.47103385177875E+23</v>
      </c>
      <c r="L813" s="1">
        <f t="shared" si="150"/>
        <v>7.0805762732283836E+22</v>
      </c>
      <c r="M813" s="3">
        <f t="shared" si="151"/>
        <v>12875407779.968304</v>
      </c>
      <c r="N813" s="7">
        <f t="shared" si="156"/>
        <v>7.0805762732283803E+22</v>
      </c>
      <c r="O813" s="7">
        <f t="shared" si="152"/>
        <v>12875407779</v>
      </c>
      <c r="P813" s="3">
        <f>SUM($O$4:O813)</f>
        <v>813236114208</v>
      </c>
      <c r="Y813" s="3">
        <f t="shared" si="153"/>
        <v>810</v>
      </c>
      <c r="Z813" s="3">
        <f t="shared" si="154"/>
        <v>1.17982410643741E+20</v>
      </c>
      <c r="AB813" s="7">
        <f t="shared" si="155"/>
        <v>13040</v>
      </c>
    </row>
    <row r="814" spans="6:28" x14ac:dyDescent="0.15">
      <c r="F814">
        <f t="shared" si="145"/>
        <v>116</v>
      </c>
      <c r="G814">
        <v>811</v>
      </c>
      <c r="H814">
        <f t="shared" si="146"/>
        <v>1.4710338517787453E+23</v>
      </c>
      <c r="I814">
        <f t="shared" si="147"/>
        <v>1.47103385177875E+23</v>
      </c>
      <c r="J814" s="1">
        <f t="shared" si="148"/>
        <v>1</v>
      </c>
      <c r="K814" s="1">
        <f t="shared" si="149"/>
        <v>1.47103385177875E+23</v>
      </c>
      <c r="L814" s="1">
        <f t="shared" si="150"/>
        <v>7.0805762732283836E+22</v>
      </c>
      <c r="M814" s="3">
        <f t="shared" si="151"/>
        <v>12875407779.968304</v>
      </c>
      <c r="N814" s="7">
        <f t="shared" si="156"/>
        <v>7.0805762732283803E+22</v>
      </c>
      <c r="O814" s="7">
        <f t="shared" si="152"/>
        <v>12875407779</v>
      </c>
      <c r="P814" s="3">
        <f>SUM($O$4:O814)</f>
        <v>826111521987</v>
      </c>
      <c r="Y814" s="3">
        <f t="shared" si="153"/>
        <v>811</v>
      </c>
      <c r="Z814" s="3">
        <f t="shared" si="154"/>
        <v>1.24034471337874E+20</v>
      </c>
      <c r="AB814" s="7">
        <f t="shared" si="155"/>
        <v>13040</v>
      </c>
    </row>
    <row r="815" spans="6:28" x14ac:dyDescent="0.15">
      <c r="F815">
        <f t="shared" si="145"/>
        <v>116</v>
      </c>
      <c r="G815">
        <v>812</v>
      </c>
      <c r="H815">
        <f t="shared" si="146"/>
        <v>1.4710338517787453E+23</v>
      </c>
      <c r="I815">
        <f t="shared" si="147"/>
        <v>1.47103385177875E+23</v>
      </c>
      <c r="J815" s="1">
        <f t="shared" si="148"/>
        <v>2</v>
      </c>
      <c r="K815" s="1">
        <f t="shared" si="149"/>
        <v>2.9420677035575001E+23</v>
      </c>
      <c r="L815" s="1">
        <f t="shared" si="150"/>
        <v>1.4161152546456767E+23</v>
      </c>
      <c r="M815" s="3">
        <f t="shared" si="151"/>
        <v>25750815559.936607</v>
      </c>
      <c r="N815" s="7">
        <f t="shared" si="156"/>
        <v>1.4161152546456799E+23</v>
      </c>
      <c r="O815" s="7">
        <f t="shared" si="152"/>
        <v>25750815559</v>
      </c>
      <c r="P815" s="3">
        <f>SUM($O$4:O815)</f>
        <v>851862337546</v>
      </c>
      <c r="Y815" s="3">
        <f t="shared" si="153"/>
        <v>812</v>
      </c>
      <c r="Z815" s="3">
        <f t="shared" si="154"/>
        <v>1.3039678207481101E+20</v>
      </c>
      <c r="AB815" s="7">
        <f t="shared" si="155"/>
        <v>13040</v>
      </c>
    </row>
    <row r="816" spans="6:28" x14ac:dyDescent="0.15">
      <c r="F816">
        <f t="shared" si="145"/>
        <v>117</v>
      </c>
      <c r="G816">
        <v>813</v>
      </c>
      <c r="H816">
        <f t="shared" si="146"/>
        <v>2.3095231472926305E+23</v>
      </c>
      <c r="I816">
        <f t="shared" si="147"/>
        <v>2.3095231472926301E+23</v>
      </c>
      <c r="J816" s="1">
        <f t="shared" si="148"/>
        <v>1</v>
      </c>
      <c r="K816" s="1">
        <f t="shared" si="149"/>
        <v>2.3095231472926301E+23</v>
      </c>
      <c r="L816" s="1">
        <f t="shared" si="150"/>
        <v>1.1185790443387305E+23</v>
      </c>
      <c r="M816" s="3">
        <f t="shared" si="151"/>
        <v>15646446293.277969</v>
      </c>
      <c r="N816" s="7">
        <f t="shared" si="156"/>
        <v>1.11857904433873E+23</v>
      </c>
      <c r="O816" s="7">
        <f t="shared" si="152"/>
        <v>15646446293</v>
      </c>
      <c r="P816" s="3">
        <f>SUM($O$4:O816)</f>
        <v>867508783839</v>
      </c>
      <c r="Y816" s="3">
        <f t="shared" si="153"/>
        <v>813</v>
      </c>
      <c r="Z816" s="3">
        <f t="shared" si="154"/>
        <v>1.37085237707096E+20</v>
      </c>
      <c r="AB816" s="7">
        <f t="shared" si="155"/>
        <v>13040</v>
      </c>
    </row>
    <row r="817" spans="6:28" x14ac:dyDescent="0.15">
      <c r="F817">
        <f t="shared" si="145"/>
        <v>117</v>
      </c>
      <c r="G817">
        <v>814</v>
      </c>
      <c r="H817">
        <f t="shared" si="146"/>
        <v>2.3095231472926305E+23</v>
      </c>
      <c r="I817">
        <f t="shared" si="147"/>
        <v>2.3095231472926301E+23</v>
      </c>
      <c r="J817" s="1">
        <f t="shared" si="148"/>
        <v>1</v>
      </c>
      <c r="K817" s="1">
        <f t="shared" si="149"/>
        <v>2.3095231472926301E+23</v>
      </c>
      <c r="L817" s="1">
        <f t="shared" si="150"/>
        <v>1.1185790443387305E+23</v>
      </c>
      <c r="M817" s="3">
        <f t="shared" si="151"/>
        <v>15646446293.277969</v>
      </c>
      <c r="N817" s="7">
        <f t="shared" si="156"/>
        <v>1.11857904433873E+23</v>
      </c>
      <c r="O817" s="7">
        <f t="shared" si="152"/>
        <v>15646446293</v>
      </c>
      <c r="P817" s="3">
        <f>SUM($O$4:O817)</f>
        <v>883155230132</v>
      </c>
      <c r="Y817" s="3">
        <f t="shared" si="153"/>
        <v>814</v>
      </c>
      <c r="Z817" s="3">
        <f t="shared" si="154"/>
        <v>1.4411654694742299E+20</v>
      </c>
      <c r="AB817" s="7">
        <f t="shared" si="155"/>
        <v>13040</v>
      </c>
    </row>
    <row r="818" spans="6:28" x14ac:dyDescent="0.15">
      <c r="F818">
        <f t="shared" si="145"/>
        <v>117</v>
      </c>
      <c r="G818">
        <v>815</v>
      </c>
      <c r="H818">
        <f t="shared" si="146"/>
        <v>2.3095231472926305E+23</v>
      </c>
      <c r="I818">
        <f t="shared" si="147"/>
        <v>2.3095231472926301E+23</v>
      </c>
      <c r="J818" s="1">
        <f t="shared" si="148"/>
        <v>1</v>
      </c>
      <c r="K818" s="1">
        <f t="shared" si="149"/>
        <v>2.3095231472926301E+23</v>
      </c>
      <c r="L818" s="1">
        <f t="shared" si="150"/>
        <v>1.1185790443387305E+23</v>
      </c>
      <c r="M818" s="3">
        <f t="shared" si="151"/>
        <v>15646446293.277969</v>
      </c>
      <c r="N818" s="7">
        <f t="shared" si="156"/>
        <v>1.11857904433873E+23</v>
      </c>
      <c r="O818" s="7">
        <f t="shared" si="152"/>
        <v>15646446293</v>
      </c>
      <c r="P818" s="3">
        <f>SUM($O$4:O818)</f>
        <v>898801676425</v>
      </c>
      <c r="Y818" s="3">
        <f t="shared" si="153"/>
        <v>815</v>
      </c>
      <c r="Z818" s="3">
        <f t="shared" si="154"/>
        <v>1.5150827401751501E+20</v>
      </c>
      <c r="AB818" s="7">
        <f t="shared" si="155"/>
        <v>13040</v>
      </c>
    </row>
    <row r="819" spans="6:28" x14ac:dyDescent="0.15">
      <c r="F819">
        <f t="shared" si="145"/>
        <v>117</v>
      </c>
      <c r="G819">
        <v>816</v>
      </c>
      <c r="H819">
        <f t="shared" si="146"/>
        <v>2.3095231472926305E+23</v>
      </c>
      <c r="I819">
        <f t="shared" si="147"/>
        <v>2.3095231472926301E+23</v>
      </c>
      <c r="J819" s="1">
        <f t="shared" si="148"/>
        <v>1</v>
      </c>
      <c r="K819" s="1">
        <f t="shared" si="149"/>
        <v>2.3095231472926301E+23</v>
      </c>
      <c r="L819" s="1">
        <f t="shared" si="150"/>
        <v>1.1185790443387305E+23</v>
      </c>
      <c r="M819" s="3">
        <f t="shared" si="151"/>
        <v>15646446293.277969</v>
      </c>
      <c r="N819" s="7">
        <f t="shared" si="156"/>
        <v>1.11857904433873E+23</v>
      </c>
      <c r="O819" s="7">
        <f t="shared" si="152"/>
        <v>15646446293</v>
      </c>
      <c r="P819" s="3">
        <f>SUM($O$4:O819)</f>
        <v>914448122718</v>
      </c>
      <c r="Y819" s="3">
        <f t="shared" si="153"/>
        <v>816</v>
      </c>
      <c r="Z819" s="3">
        <f t="shared" si="154"/>
        <v>1.5927888242724798E+20</v>
      </c>
      <c r="AB819" s="7">
        <f t="shared" si="155"/>
        <v>13040</v>
      </c>
    </row>
    <row r="820" spans="6:28" x14ac:dyDescent="0.15">
      <c r="F820">
        <f t="shared" si="145"/>
        <v>117</v>
      </c>
      <c r="G820">
        <v>817</v>
      </c>
      <c r="H820">
        <f t="shared" si="146"/>
        <v>2.3095231472926305E+23</v>
      </c>
      <c r="I820">
        <f t="shared" si="147"/>
        <v>2.3095231472926301E+23</v>
      </c>
      <c r="J820" s="1">
        <f t="shared" si="148"/>
        <v>1</v>
      </c>
      <c r="K820" s="1">
        <f t="shared" si="149"/>
        <v>2.3095231472926301E+23</v>
      </c>
      <c r="L820" s="1">
        <f t="shared" si="150"/>
        <v>1.1185790443387305E+23</v>
      </c>
      <c r="M820" s="3">
        <f t="shared" si="151"/>
        <v>15646446293.277969</v>
      </c>
      <c r="N820" s="7">
        <f t="shared" si="156"/>
        <v>1.11857904433873E+23</v>
      </c>
      <c r="O820" s="7">
        <f t="shared" si="152"/>
        <v>15646446293</v>
      </c>
      <c r="P820" s="3">
        <f>SUM($O$4:O820)</f>
        <v>930094569011</v>
      </c>
      <c r="Y820" s="3">
        <f t="shared" si="153"/>
        <v>817</v>
      </c>
      <c r="Z820" s="3">
        <f t="shared" si="154"/>
        <v>1.6744778099291E+20</v>
      </c>
      <c r="AB820" s="7">
        <f t="shared" si="155"/>
        <v>13040</v>
      </c>
    </row>
    <row r="821" spans="6:28" x14ac:dyDescent="0.15">
      <c r="F821">
        <f t="shared" si="145"/>
        <v>117</v>
      </c>
      <c r="G821">
        <v>818</v>
      </c>
      <c r="H821">
        <f t="shared" si="146"/>
        <v>2.3095231472926305E+23</v>
      </c>
      <c r="I821">
        <f t="shared" si="147"/>
        <v>2.3095231472926301E+23</v>
      </c>
      <c r="J821" s="1">
        <f t="shared" si="148"/>
        <v>1</v>
      </c>
      <c r="K821" s="1">
        <f t="shared" si="149"/>
        <v>2.3095231472926301E+23</v>
      </c>
      <c r="L821" s="1">
        <f t="shared" si="150"/>
        <v>1.1185790443387305E+23</v>
      </c>
      <c r="M821" s="3">
        <f t="shared" si="151"/>
        <v>15646446293.277969</v>
      </c>
      <c r="N821" s="7">
        <f t="shared" si="156"/>
        <v>1.11857904433873E+23</v>
      </c>
      <c r="O821" s="7">
        <f t="shared" si="152"/>
        <v>15646446293</v>
      </c>
      <c r="P821" s="3">
        <f>SUM($O$4:O821)</f>
        <v>945741015304</v>
      </c>
      <c r="Y821" s="3">
        <f t="shared" si="153"/>
        <v>818</v>
      </c>
      <c r="Z821" s="3">
        <f t="shared" si="154"/>
        <v>1.76035372209071E+20</v>
      </c>
      <c r="AB821" s="7">
        <f t="shared" si="155"/>
        <v>13040</v>
      </c>
    </row>
    <row r="822" spans="6:28" x14ac:dyDescent="0.15">
      <c r="F822">
        <f t="shared" si="145"/>
        <v>117</v>
      </c>
      <c r="G822">
        <v>819</v>
      </c>
      <c r="H822">
        <f t="shared" si="146"/>
        <v>2.3095231472926305E+23</v>
      </c>
      <c r="I822">
        <f t="shared" si="147"/>
        <v>2.3095231472926301E+23</v>
      </c>
      <c r="J822" s="1">
        <f t="shared" si="148"/>
        <v>4</v>
      </c>
      <c r="K822" s="1">
        <f t="shared" si="149"/>
        <v>9.2380925891705206E+23</v>
      </c>
      <c r="L822" s="1">
        <f t="shared" si="150"/>
        <v>4.4743161773549219E+23</v>
      </c>
      <c r="M822" s="3">
        <f t="shared" si="151"/>
        <v>62585785173.111877</v>
      </c>
      <c r="N822" s="7">
        <f t="shared" si="156"/>
        <v>4.4743161773549199E+23</v>
      </c>
      <c r="O822" s="7">
        <f t="shared" si="152"/>
        <v>62585785173</v>
      </c>
      <c r="P822" s="3">
        <f>SUM($O$4:O822)</f>
        <v>1008326800477</v>
      </c>
      <c r="Y822" s="3">
        <f t="shared" si="153"/>
        <v>819</v>
      </c>
      <c r="Z822" s="3">
        <f t="shared" si="154"/>
        <v>1.85063103094365E+20</v>
      </c>
      <c r="AB822" s="7">
        <f t="shared" si="155"/>
        <v>13040</v>
      </c>
    </row>
    <row r="823" spans="6:28" x14ac:dyDescent="0.15">
      <c r="F823">
        <f t="shared" si="145"/>
        <v>118</v>
      </c>
      <c r="G823">
        <v>820</v>
      </c>
      <c r="H823">
        <f t="shared" si="146"/>
        <v>3.6259513412494302E+23</v>
      </c>
      <c r="I823">
        <f t="shared" si="147"/>
        <v>3.6259513412494302E+23</v>
      </c>
      <c r="J823" s="1">
        <f t="shared" si="148"/>
        <v>1</v>
      </c>
      <c r="K823" s="1">
        <f t="shared" si="149"/>
        <v>3.6259513412494302E+23</v>
      </c>
      <c r="L823" s="1">
        <f t="shared" si="150"/>
        <v>1.7670469536355556E+23</v>
      </c>
      <c r="M823" s="3">
        <f t="shared" si="151"/>
        <v>19013136764.684551</v>
      </c>
      <c r="N823" s="7">
        <f t="shared" si="156"/>
        <v>1.76704695363556E+23</v>
      </c>
      <c r="O823" s="7">
        <f t="shared" si="152"/>
        <v>19013136764</v>
      </c>
      <c r="P823" s="3">
        <f>SUM($O$4:O823)</f>
        <v>1027339937241</v>
      </c>
      <c r="Y823" s="3">
        <f t="shared" si="153"/>
        <v>820</v>
      </c>
      <c r="Z823" s="3">
        <f t="shared" si="154"/>
        <v>1.9455351863766499E+20</v>
      </c>
      <c r="AB823" s="7">
        <f t="shared" si="155"/>
        <v>13040</v>
      </c>
    </row>
    <row r="824" spans="6:28" x14ac:dyDescent="0.15">
      <c r="F824">
        <f t="shared" si="145"/>
        <v>118</v>
      </c>
      <c r="G824">
        <v>821</v>
      </c>
      <c r="H824">
        <f t="shared" si="146"/>
        <v>3.6259513412494302E+23</v>
      </c>
      <c r="I824">
        <f t="shared" si="147"/>
        <v>3.6259513412494302E+23</v>
      </c>
      <c r="J824" s="1">
        <f t="shared" si="148"/>
        <v>1</v>
      </c>
      <c r="K824" s="1">
        <f t="shared" si="149"/>
        <v>3.6259513412494302E+23</v>
      </c>
      <c r="L824" s="1">
        <f t="shared" si="150"/>
        <v>1.7670469536355556E+23</v>
      </c>
      <c r="M824" s="3">
        <f t="shared" si="151"/>
        <v>19013136764.684551</v>
      </c>
      <c r="N824" s="7">
        <f t="shared" si="156"/>
        <v>1.76704695363556E+23</v>
      </c>
      <c r="O824" s="7">
        <f t="shared" si="152"/>
        <v>19013136764</v>
      </c>
      <c r="P824" s="3">
        <f>SUM($O$4:O824)</f>
        <v>1046353074005</v>
      </c>
      <c r="Y824" s="3">
        <f t="shared" si="153"/>
        <v>821</v>
      </c>
      <c r="Z824" s="3">
        <f t="shared" si="154"/>
        <v>2.0453031797755999E+20</v>
      </c>
      <c r="AB824" s="7">
        <f t="shared" si="155"/>
        <v>13040</v>
      </c>
    </row>
    <row r="825" spans="6:28" x14ac:dyDescent="0.15">
      <c r="F825">
        <f t="shared" si="145"/>
        <v>118</v>
      </c>
      <c r="G825">
        <v>822</v>
      </c>
      <c r="H825">
        <f t="shared" si="146"/>
        <v>3.6259513412494302E+23</v>
      </c>
      <c r="I825">
        <f t="shared" si="147"/>
        <v>3.6259513412494302E+23</v>
      </c>
      <c r="J825" s="1">
        <f t="shared" si="148"/>
        <v>1</v>
      </c>
      <c r="K825" s="1">
        <f t="shared" si="149"/>
        <v>3.6259513412494302E+23</v>
      </c>
      <c r="L825" s="1">
        <f t="shared" si="150"/>
        <v>1.7670469536355556E+23</v>
      </c>
      <c r="M825" s="3">
        <f t="shared" si="151"/>
        <v>19013136764.684551</v>
      </c>
      <c r="N825" s="7">
        <f t="shared" si="156"/>
        <v>1.76704695363556E+23</v>
      </c>
      <c r="O825" s="7">
        <f t="shared" si="152"/>
        <v>19013136764</v>
      </c>
      <c r="P825" s="3">
        <f>SUM($O$4:O825)</f>
        <v>1065366210769</v>
      </c>
      <c r="Y825" s="3">
        <f t="shared" si="153"/>
        <v>822</v>
      </c>
      <c r="Z825" s="3">
        <f t="shared" si="154"/>
        <v>2.1501841345485E+20</v>
      </c>
      <c r="AB825" s="7">
        <f t="shared" si="155"/>
        <v>13040</v>
      </c>
    </row>
    <row r="826" spans="6:28" x14ac:dyDescent="0.15">
      <c r="F826">
        <f t="shared" si="145"/>
        <v>118</v>
      </c>
      <c r="G826">
        <v>823</v>
      </c>
      <c r="H826">
        <f t="shared" si="146"/>
        <v>3.6259513412494302E+23</v>
      </c>
      <c r="I826">
        <f t="shared" si="147"/>
        <v>3.6259513412494302E+23</v>
      </c>
      <c r="J826" s="1">
        <f t="shared" si="148"/>
        <v>1</v>
      </c>
      <c r="K826" s="1">
        <f t="shared" si="149"/>
        <v>3.6259513412494302E+23</v>
      </c>
      <c r="L826" s="1">
        <f t="shared" si="150"/>
        <v>1.7670469536355556E+23</v>
      </c>
      <c r="M826" s="3">
        <f t="shared" si="151"/>
        <v>19013136764.684551</v>
      </c>
      <c r="N826" s="7">
        <f t="shared" si="156"/>
        <v>1.76704695363556E+23</v>
      </c>
      <c r="O826" s="7">
        <f t="shared" si="152"/>
        <v>19013136764</v>
      </c>
      <c r="P826" s="3">
        <f>SUM($O$4:O826)</f>
        <v>1084379347533</v>
      </c>
      <c r="Y826" s="3">
        <f t="shared" si="153"/>
        <v>823</v>
      </c>
      <c r="Z826" s="3">
        <f t="shared" si="154"/>
        <v>2.2604399268492601E+20</v>
      </c>
      <c r="AB826" s="7">
        <f t="shared" si="155"/>
        <v>13040</v>
      </c>
    </row>
    <row r="827" spans="6:28" x14ac:dyDescent="0.15">
      <c r="F827">
        <f t="shared" si="145"/>
        <v>118</v>
      </c>
      <c r="G827">
        <v>824</v>
      </c>
      <c r="H827">
        <f t="shared" si="146"/>
        <v>3.6259513412494302E+23</v>
      </c>
      <c r="I827">
        <f t="shared" si="147"/>
        <v>3.6259513412494302E+23</v>
      </c>
      <c r="J827" s="1">
        <f t="shared" si="148"/>
        <v>1</v>
      </c>
      <c r="K827" s="1">
        <f t="shared" si="149"/>
        <v>3.6259513412494302E+23</v>
      </c>
      <c r="L827" s="1">
        <f t="shared" si="150"/>
        <v>1.7670469536355556E+23</v>
      </c>
      <c r="M827" s="3">
        <f t="shared" si="151"/>
        <v>19013136764.684551</v>
      </c>
      <c r="N827" s="7">
        <f t="shared" si="156"/>
        <v>1.76704695363556E+23</v>
      </c>
      <c r="O827" s="7">
        <f t="shared" si="152"/>
        <v>19013136764</v>
      </c>
      <c r="P827" s="3">
        <f>SUM($O$4:O827)</f>
        <v>1103392484297</v>
      </c>
      <c r="Y827" s="3">
        <f t="shared" si="153"/>
        <v>824</v>
      </c>
      <c r="Z827" s="3">
        <f t="shared" si="154"/>
        <v>2.3763458380437199E+20</v>
      </c>
      <c r="AB827" s="7">
        <f t="shared" si="155"/>
        <v>13040</v>
      </c>
    </row>
    <row r="828" spans="6:28" x14ac:dyDescent="0.15">
      <c r="F828">
        <f t="shared" si="145"/>
        <v>118</v>
      </c>
      <c r="G828">
        <v>825</v>
      </c>
      <c r="H828">
        <f t="shared" si="146"/>
        <v>3.6259513412494302E+23</v>
      </c>
      <c r="I828">
        <f t="shared" si="147"/>
        <v>3.6259513412494302E+23</v>
      </c>
      <c r="J828" s="1">
        <f t="shared" si="148"/>
        <v>1</v>
      </c>
      <c r="K828" s="1">
        <f t="shared" si="149"/>
        <v>3.6259513412494302E+23</v>
      </c>
      <c r="L828" s="1">
        <f t="shared" si="150"/>
        <v>1.7670469536355556E+23</v>
      </c>
      <c r="M828" s="3">
        <f t="shared" si="151"/>
        <v>19013136764.684551</v>
      </c>
      <c r="N828" s="7">
        <f t="shared" si="156"/>
        <v>1.76704695363556E+23</v>
      </c>
      <c r="O828" s="7">
        <f t="shared" si="152"/>
        <v>19013136764</v>
      </c>
      <c r="P828" s="3">
        <f>SUM($O$4:O828)</f>
        <v>1122405621061</v>
      </c>
      <c r="Y828" s="3">
        <f t="shared" si="153"/>
        <v>825</v>
      </c>
      <c r="Z828" s="3">
        <f t="shared" si="154"/>
        <v>2.4981912405405001E+20</v>
      </c>
      <c r="AB828" s="7">
        <f t="shared" si="155"/>
        <v>13040</v>
      </c>
    </row>
    <row r="829" spans="6:28" x14ac:dyDescent="0.15">
      <c r="F829">
        <f t="shared" si="145"/>
        <v>118</v>
      </c>
      <c r="G829">
        <v>826</v>
      </c>
      <c r="H829">
        <f t="shared" si="146"/>
        <v>3.6259513412494302E+23</v>
      </c>
      <c r="I829">
        <f t="shared" si="147"/>
        <v>3.6259513412494302E+23</v>
      </c>
      <c r="J829" s="1">
        <f t="shared" si="148"/>
        <v>6</v>
      </c>
      <c r="K829" s="1">
        <f t="shared" si="149"/>
        <v>2.175570804749658E+24</v>
      </c>
      <c r="L829" s="1">
        <f t="shared" si="150"/>
        <v>1.0602281721813335E+24</v>
      </c>
      <c r="M829" s="3">
        <f t="shared" si="151"/>
        <v>114078820588.10733</v>
      </c>
      <c r="N829" s="7">
        <f t="shared" si="156"/>
        <v>1.06022817218133E+24</v>
      </c>
      <c r="O829" s="7">
        <f t="shared" si="152"/>
        <v>114078820588</v>
      </c>
      <c r="P829" s="3">
        <f>SUM($O$4:O829)</f>
        <v>1236484441649</v>
      </c>
      <c r="Y829" s="3">
        <f t="shared" si="153"/>
        <v>826</v>
      </c>
      <c r="Z829" s="3">
        <f t="shared" si="154"/>
        <v>2.62628031869185E+20</v>
      </c>
      <c r="AB829" s="7">
        <f t="shared" si="155"/>
        <v>13040</v>
      </c>
    </row>
    <row r="830" spans="6:28" x14ac:dyDescent="0.15">
      <c r="F830">
        <f t="shared" si="145"/>
        <v>119</v>
      </c>
      <c r="G830">
        <v>827</v>
      </c>
      <c r="H830">
        <f t="shared" si="146"/>
        <v>5.6927436057616044E+23</v>
      </c>
      <c r="I830">
        <f t="shared" si="147"/>
        <v>5.6927436057615997E+23</v>
      </c>
      <c r="J830" s="1">
        <f t="shared" si="148"/>
        <v>1</v>
      </c>
      <c r="K830" s="1">
        <f t="shared" si="149"/>
        <v>5.6927436057615997E+23</v>
      </c>
      <c r="L830" s="1">
        <f t="shared" si="150"/>
        <v>2.7913419480251046E+23</v>
      </c>
      <c r="M830" s="3">
        <f t="shared" si="151"/>
        <v>23103372074.048191</v>
      </c>
      <c r="N830" s="7">
        <f t="shared" si="156"/>
        <v>2.7913419480250999E+23</v>
      </c>
      <c r="O830" s="7">
        <f t="shared" si="152"/>
        <v>23103372074</v>
      </c>
      <c r="P830" s="3">
        <f>SUM($O$4:O830)</f>
        <v>1259587813723</v>
      </c>
      <c r="Y830" s="3">
        <f t="shared" si="153"/>
        <v>827</v>
      </c>
      <c r="Z830" s="3">
        <f t="shared" si="154"/>
        <v>2.7609328265569799E+20</v>
      </c>
      <c r="AB830" s="7">
        <f t="shared" si="155"/>
        <v>13040</v>
      </c>
    </row>
    <row r="831" spans="6:28" x14ac:dyDescent="0.15">
      <c r="F831">
        <f t="shared" si="145"/>
        <v>119</v>
      </c>
      <c r="G831">
        <v>828</v>
      </c>
      <c r="H831">
        <f t="shared" si="146"/>
        <v>5.6927436057616044E+23</v>
      </c>
      <c r="I831">
        <f t="shared" si="147"/>
        <v>5.6927436057615997E+23</v>
      </c>
      <c r="J831" s="1">
        <f t="shared" si="148"/>
        <v>1</v>
      </c>
      <c r="K831" s="1">
        <f t="shared" si="149"/>
        <v>5.6927436057615997E+23</v>
      </c>
      <c r="L831" s="1">
        <f t="shared" si="150"/>
        <v>2.7913419480251046E+23</v>
      </c>
      <c r="M831" s="3">
        <f t="shared" si="151"/>
        <v>23103372074.048191</v>
      </c>
      <c r="N831" s="7">
        <f t="shared" si="156"/>
        <v>2.7913419480250999E+23</v>
      </c>
      <c r="O831" s="7">
        <f t="shared" si="152"/>
        <v>23103372074</v>
      </c>
      <c r="P831" s="3">
        <f>SUM($O$4:O831)</f>
        <v>1282691185797</v>
      </c>
      <c r="Y831" s="3">
        <f t="shared" si="153"/>
        <v>828</v>
      </c>
      <c r="Z831" s="3">
        <f t="shared" si="154"/>
        <v>2.9024848844118901E+20</v>
      </c>
      <c r="AB831" s="7">
        <f t="shared" si="155"/>
        <v>13040</v>
      </c>
    </row>
    <row r="832" spans="6:28" x14ac:dyDescent="0.15">
      <c r="F832">
        <f t="shared" si="145"/>
        <v>119</v>
      </c>
      <c r="G832">
        <v>829</v>
      </c>
      <c r="H832">
        <f t="shared" si="146"/>
        <v>5.6927436057616044E+23</v>
      </c>
      <c r="I832">
        <f t="shared" si="147"/>
        <v>5.6927436057615997E+23</v>
      </c>
      <c r="J832" s="1">
        <f t="shared" si="148"/>
        <v>1</v>
      </c>
      <c r="K832" s="1">
        <f t="shared" si="149"/>
        <v>5.6927436057615997E+23</v>
      </c>
      <c r="L832" s="1">
        <f t="shared" si="150"/>
        <v>2.7913419480251046E+23</v>
      </c>
      <c r="M832" s="3">
        <f t="shared" si="151"/>
        <v>23103372074.048191</v>
      </c>
      <c r="N832" s="7">
        <f t="shared" si="156"/>
        <v>2.7913419480250999E+23</v>
      </c>
      <c r="O832" s="7">
        <f t="shared" si="152"/>
        <v>23103372074</v>
      </c>
      <c r="P832" s="3">
        <f>SUM($O$4:O832)</f>
        <v>1305794557871</v>
      </c>
      <c r="Y832" s="3">
        <f t="shared" si="153"/>
        <v>829</v>
      </c>
      <c r="Z832" s="3">
        <f t="shared" si="154"/>
        <v>3.0512898159859099E+20</v>
      </c>
      <c r="AB832" s="7">
        <f t="shared" si="155"/>
        <v>13040</v>
      </c>
    </row>
    <row r="833" spans="6:28" x14ac:dyDescent="0.15">
      <c r="F833">
        <f t="shared" si="145"/>
        <v>119</v>
      </c>
      <c r="G833">
        <v>830</v>
      </c>
      <c r="H833">
        <f t="shared" si="146"/>
        <v>5.6927436057616044E+23</v>
      </c>
      <c r="I833">
        <f t="shared" si="147"/>
        <v>5.6927436057615997E+23</v>
      </c>
      <c r="J833" s="1">
        <f t="shared" si="148"/>
        <v>1</v>
      </c>
      <c r="K833" s="1">
        <f t="shared" si="149"/>
        <v>5.6927436057615997E+23</v>
      </c>
      <c r="L833" s="1">
        <f t="shared" si="150"/>
        <v>2.7913419480251046E+23</v>
      </c>
      <c r="M833" s="3">
        <f t="shared" si="151"/>
        <v>23103372074.048191</v>
      </c>
      <c r="N833" s="7">
        <f t="shared" si="156"/>
        <v>2.7913419480250999E+23</v>
      </c>
      <c r="O833" s="7">
        <f t="shared" si="152"/>
        <v>23103372074</v>
      </c>
      <c r="P833" s="3">
        <f>SUM($O$4:O833)</f>
        <v>1328897929945</v>
      </c>
      <c r="Y833" s="3">
        <f t="shared" si="153"/>
        <v>830</v>
      </c>
      <c r="Z833" s="3">
        <f t="shared" si="154"/>
        <v>3.2077190285063003E+20</v>
      </c>
      <c r="AB833" s="7">
        <f t="shared" si="155"/>
        <v>13040</v>
      </c>
    </row>
    <row r="834" spans="6:28" x14ac:dyDescent="0.15">
      <c r="F834">
        <f t="shared" si="145"/>
        <v>119</v>
      </c>
      <c r="G834">
        <v>831</v>
      </c>
      <c r="H834">
        <f t="shared" si="146"/>
        <v>5.6927436057616044E+23</v>
      </c>
      <c r="I834">
        <f t="shared" si="147"/>
        <v>5.6927436057615997E+23</v>
      </c>
      <c r="J834" s="1">
        <f t="shared" si="148"/>
        <v>1</v>
      </c>
      <c r="K834" s="1">
        <f t="shared" si="149"/>
        <v>5.6927436057615997E+23</v>
      </c>
      <c r="L834" s="1">
        <f t="shared" si="150"/>
        <v>2.7913419480251046E+23</v>
      </c>
      <c r="M834" s="3">
        <f t="shared" si="151"/>
        <v>23103372074.048191</v>
      </c>
      <c r="N834" s="7">
        <f t="shared" si="156"/>
        <v>2.7913419480250999E+23</v>
      </c>
      <c r="O834" s="7">
        <f t="shared" si="152"/>
        <v>23103372074</v>
      </c>
      <c r="P834" s="3">
        <f>SUM($O$4:O834)</f>
        <v>1352001302019</v>
      </c>
      <c r="Y834" s="3">
        <f t="shared" si="153"/>
        <v>831</v>
      </c>
      <c r="Z834" s="3">
        <f t="shared" si="154"/>
        <v>3.37216293773876E+20</v>
      </c>
      <c r="AB834" s="7">
        <f t="shared" si="155"/>
        <v>13040</v>
      </c>
    </row>
    <row r="835" spans="6:28" x14ac:dyDescent="0.15">
      <c r="F835">
        <f t="shared" si="145"/>
        <v>119</v>
      </c>
      <c r="G835">
        <v>832</v>
      </c>
      <c r="H835">
        <f t="shared" si="146"/>
        <v>5.6927436057616044E+23</v>
      </c>
      <c r="I835">
        <f t="shared" si="147"/>
        <v>5.6927436057615997E+23</v>
      </c>
      <c r="J835" s="1">
        <f t="shared" si="148"/>
        <v>1</v>
      </c>
      <c r="K835" s="1">
        <f t="shared" si="149"/>
        <v>5.6927436057615997E+23</v>
      </c>
      <c r="L835" s="1">
        <f t="shared" si="150"/>
        <v>2.7913419480251046E+23</v>
      </c>
      <c r="M835" s="3">
        <f t="shared" si="151"/>
        <v>23103372074.048191</v>
      </c>
      <c r="N835" s="7">
        <f t="shared" si="156"/>
        <v>2.7913419480250999E+23</v>
      </c>
      <c r="O835" s="7">
        <f t="shared" si="152"/>
        <v>23103372074</v>
      </c>
      <c r="P835" s="3">
        <f>SUM($O$4:O835)</f>
        <v>1375104674093</v>
      </c>
      <c r="Y835" s="3">
        <f t="shared" si="153"/>
        <v>832</v>
      </c>
      <c r="Z835" s="3">
        <f t="shared" si="154"/>
        <v>3.5450319403232002E+20</v>
      </c>
      <c r="AB835" s="7">
        <f t="shared" si="155"/>
        <v>13040</v>
      </c>
    </row>
    <row r="836" spans="6:28" x14ac:dyDescent="0.15">
      <c r="F836">
        <f t="shared" si="145"/>
        <v>119</v>
      </c>
      <c r="G836">
        <v>833</v>
      </c>
      <c r="H836">
        <f t="shared" si="146"/>
        <v>5.6927436057616044E+23</v>
      </c>
      <c r="I836">
        <f t="shared" si="147"/>
        <v>5.6927436057615997E+23</v>
      </c>
      <c r="J836" s="1">
        <f t="shared" si="148"/>
        <v>7</v>
      </c>
      <c r="K836" s="1">
        <f t="shared" si="149"/>
        <v>3.9849205240331198E+24</v>
      </c>
      <c r="L836" s="1">
        <f t="shared" si="150"/>
        <v>1.9539393636175733E+24</v>
      </c>
      <c r="M836" s="3">
        <f t="shared" si="151"/>
        <v>161723604518.33737</v>
      </c>
      <c r="N836" s="7">
        <f t="shared" si="156"/>
        <v>1.9539393636175701E+24</v>
      </c>
      <c r="O836" s="7">
        <f t="shared" si="152"/>
        <v>161723604518</v>
      </c>
      <c r="P836" s="3">
        <f>SUM($O$4:O836)</f>
        <v>1536828278611</v>
      </c>
      <c r="Y836" s="3">
        <f t="shared" si="153"/>
        <v>833</v>
      </c>
      <c r="Z836" s="3">
        <f t="shared" si="154"/>
        <v>3.7267574358217399E+20</v>
      </c>
      <c r="AB836" s="7">
        <f t="shared" si="155"/>
        <v>13040</v>
      </c>
    </row>
    <row r="837" spans="6:28" x14ac:dyDescent="0.15">
      <c r="F837">
        <f t="shared" ref="F837:F900" si="157">ROUNDUP(G837/$C$4,0)</f>
        <v>120</v>
      </c>
      <c r="G837">
        <v>834</v>
      </c>
      <c r="H837">
        <f t="shared" ref="H837:H900" si="158">18.5*1.57^MIN(F837,156)*1.17^MAX(F837-156,0)*$C$5</f>
        <v>8.9376074610457199E+23</v>
      </c>
      <c r="I837">
        <f t="shared" ref="I837:I900" si="159">ROUND(H837,0)</f>
        <v>8.9376074610457199E+23</v>
      </c>
      <c r="J837" s="1">
        <f t="shared" ref="J837:J900" si="160">IF(F837=F838,1,LOOKUP(MOD(F837,5),$D$6:$D$10,$C$6:$C$10))</f>
        <v>1</v>
      </c>
      <c r="K837" s="1">
        <f t="shared" ref="K837:K900" si="161">J837*I837</f>
        <v>8.9376074610457199E+23</v>
      </c>
      <c r="L837" s="1">
        <f t="shared" ref="L837:L900" si="162">K837*(0.02+0.00045*F837)/$C$5</f>
        <v>4.4092196807825551E+23</v>
      </c>
      <c r="M837" s="3">
        <f t="shared" ref="M837:M900" si="163">L837/(1.3^F837)*3</f>
        <v>28072475736.682755</v>
      </c>
      <c r="N837" s="7">
        <f t="shared" si="156"/>
        <v>4.4092196807825598E+23</v>
      </c>
      <c r="O837" s="7">
        <f t="shared" ref="O837:O900" si="164">ROUNDDOWN(M837,0)</f>
        <v>28072475736</v>
      </c>
      <c r="P837" s="3">
        <f>SUM($O$4:O837)</f>
        <v>1564900754347</v>
      </c>
      <c r="Y837" s="3">
        <f t="shared" ref="Y837:Y900" si="165">G837</f>
        <v>834</v>
      </c>
      <c r="Z837" s="3">
        <f t="shared" ref="Z837:Z900" si="166">ROUND(1.05^Y837*Y837,0)</f>
        <v>3.9177929010193302E+20</v>
      </c>
      <c r="AB837" s="7">
        <f t="shared" ref="AB837:AB900" si="167">LOOKUP(Y837,T:T,P:P)</f>
        <v>13040</v>
      </c>
    </row>
    <row r="838" spans="6:28" x14ac:dyDescent="0.15">
      <c r="F838">
        <f t="shared" si="157"/>
        <v>120</v>
      </c>
      <c r="G838">
        <v>835</v>
      </c>
      <c r="H838">
        <f t="shared" si="158"/>
        <v>8.9376074610457199E+23</v>
      </c>
      <c r="I838">
        <f t="shared" si="159"/>
        <v>8.9376074610457199E+23</v>
      </c>
      <c r="J838" s="1">
        <f t="shared" si="160"/>
        <v>1</v>
      </c>
      <c r="K838" s="1">
        <f t="shared" si="161"/>
        <v>8.9376074610457199E+23</v>
      </c>
      <c r="L838" s="1">
        <f t="shared" si="162"/>
        <v>4.4092196807825551E+23</v>
      </c>
      <c r="M838" s="3">
        <f t="shared" si="163"/>
        <v>28072475736.682755</v>
      </c>
      <c r="N838" s="7">
        <f t="shared" si="156"/>
        <v>4.4092196807825598E+23</v>
      </c>
      <c r="O838" s="7">
        <f t="shared" si="164"/>
        <v>28072475736</v>
      </c>
      <c r="P838" s="3">
        <f>SUM($O$4:O838)</f>
        <v>1592973230083</v>
      </c>
      <c r="Y838" s="3">
        <f t="shared" si="165"/>
        <v>835</v>
      </c>
      <c r="Z838" s="3">
        <f t="shared" si="166"/>
        <v>4.1186150191471198E+20</v>
      </c>
      <c r="AB838" s="7">
        <f t="shared" si="167"/>
        <v>13040</v>
      </c>
    </row>
    <row r="839" spans="6:28" x14ac:dyDescent="0.15">
      <c r="F839">
        <f t="shared" si="157"/>
        <v>120</v>
      </c>
      <c r="G839">
        <v>836</v>
      </c>
      <c r="H839">
        <f t="shared" si="158"/>
        <v>8.9376074610457199E+23</v>
      </c>
      <c r="I839">
        <f t="shared" si="159"/>
        <v>8.9376074610457199E+23</v>
      </c>
      <c r="J839" s="1">
        <f t="shared" si="160"/>
        <v>1</v>
      </c>
      <c r="K839" s="1">
        <f t="shared" si="161"/>
        <v>8.9376074610457199E+23</v>
      </c>
      <c r="L839" s="1">
        <f t="shared" si="162"/>
        <v>4.4092196807825551E+23</v>
      </c>
      <c r="M839" s="3">
        <f t="shared" si="163"/>
        <v>28072475736.682755</v>
      </c>
      <c r="N839" s="7">
        <f t="shared" si="156"/>
        <v>4.4092196807825598E+23</v>
      </c>
      <c r="O839" s="7">
        <f t="shared" si="164"/>
        <v>28072475736</v>
      </c>
      <c r="P839" s="3">
        <f>SUM($O$4:O839)</f>
        <v>1621045705819</v>
      </c>
      <c r="Y839" s="3">
        <f t="shared" si="165"/>
        <v>836</v>
      </c>
      <c r="Z839" s="3">
        <f t="shared" si="166"/>
        <v>4.3297248668351398E+20</v>
      </c>
      <c r="AB839" s="7">
        <f t="shared" si="167"/>
        <v>13040</v>
      </c>
    </row>
    <row r="840" spans="6:28" x14ac:dyDescent="0.15">
      <c r="F840">
        <f t="shared" si="157"/>
        <v>120</v>
      </c>
      <c r="G840">
        <v>837</v>
      </c>
      <c r="H840">
        <f t="shared" si="158"/>
        <v>8.9376074610457199E+23</v>
      </c>
      <c r="I840">
        <f t="shared" si="159"/>
        <v>8.9376074610457199E+23</v>
      </c>
      <c r="J840" s="1">
        <f t="shared" si="160"/>
        <v>1</v>
      </c>
      <c r="K840" s="1">
        <f t="shared" si="161"/>
        <v>8.9376074610457199E+23</v>
      </c>
      <c r="L840" s="1">
        <f t="shared" si="162"/>
        <v>4.4092196807825551E+23</v>
      </c>
      <c r="M840" s="3">
        <f t="shared" si="163"/>
        <v>28072475736.682755</v>
      </c>
      <c r="N840" s="7">
        <f t="shared" ref="N840:N903" si="168">ROUND(L840,0)</f>
        <v>4.4092196807825598E+23</v>
      </c>
      <c r="O840" s="7">
        <f t="shared" si="164"/>
        <v>28072475736</v>
      </c>
      <c r="P840" s="3">
        <f>SUM($O$4:O840)</f>
        <v>1649118181555</v>
      </c>
      <c r="Y840" s="3">
        <f t="shared" si="165"/>
        <v>837</v>
      </c>
      <c r="Z840" s="3">
        <f t="shared" si="166"/>
        <v>4.5516491617440897E+20</v>
      </c>
      <c r="AB840" s="7">
        <f t="shared" si="167"/>
        <v>13040</v>
      </c>
    </row>
    <row r="841" spans="6:28" x14ac:dyDescent="0.15">
      <c r="F841">
        <f t="shared" si="157"/>
        <v>120</v>
      </c>
      <c r="G841">
        <v>838</v>
      </c>
      <c r="H841">
        <f t="shared" si="158"/>
        <v>8.9376074610457199E+23</v>
      </c>
      <c r="I841">
        <f t="shared" si="159"/>
        <v>8.9376074610457199E+23</v>
      </c>
      <c r="J841" s="1">
        <f t="shared" si="160"/>
        <v>1</v>
      </c>
      <c r="K841" s="1">
        <f t="shared" si="161"/>
        <v>8.9376074610457199E+23</v>
      </c>
      <c r="L841" s="1">
        <f t="shared" si="162"/>
        <v>4.4092196807825551E+23</v>
      </c>
      <c r="M841" s="3">
        <f t="shared" si="163"/>
        <v>28072475736.682755</v>
      </c>
      <c r="N841" s="7">
        <f t="shared" si="168"/>
        <v>4.4092196807825598E+23</v>
      </c>
      <c r="O841" s="7">
        <f t="shared" si="164"/>
        <v>28072475736</v>
      </c>
      <c r="P841" s="3">
        <f>SUM($O$4:O841)</f>
        <v>1677190657291</v>
      </c>
      <c r="Y841" s="3">
        <f t="shared" si="165"/>
        <v>838</v>
      </c>
      <c r="Z841" s="3">
        <f t="shared" si="166"/>
        <v>4.7849415739768498E+20</v>
      </c>
      <c r="AB841" s="7">
        <f t="shared" si="167"/>
        <v>13040</v>
      </c>
    </row>
    <row r="842" spans="6:28" x14ac:dyDescent="0.15">
      <c r="F842">
        <f t="shared" si="157"/>
        <v>120</v>
      </c>
      <c r="G842">
        <v>839</v>
      </c>
      <c r="H842">
        <f t="shared" si="158"/>
        <v>8.9376074610457199E+23</v>
      </c>
      <c r="I842">
        <f t="shared" si="159"/>
        <v>8.9376074610457199E+23</v>
      </c>
      <c r="J842" s="1">
        <f t="shared" si="160"/>
        <v>1</v>
      </c>
      <c r="K842" s="1">
        <f t="shared" si="161"/>
        <v>8.9376074610457199E+23</v>
      </c>
      <c r="L842" s="1">
        <f t="shared" si="162"/>
        <v>4.4092196807825551E+23</v>
      </c>
      <c r="M842" s="3">
        <f t="shared" si="163"/>
        <v>28072475736.682755</v>
      </c>
      <c r="N842" s="7">
        <f t="shared" si="168"/>
        <v>4.4092196807825598E+23</v>
      </c>
      <c r="O842" s="7">
        <f t="shared" si="164"/>
        <v>28072475736</v>
      </c>
      <c r="P842" s="3">
        <f>SUM($O$4:O842)</f>
        <v>1705263133027</v>
      </c>
      <c r="Y842" s="3">
        <f t="shared" si="165"/>
        <v>839</v>
      </c>
      <c r="Z842" s="3">
        <f t="shared" si="166"/>
        <v>5.03018410452853E+20</v>
      </c>
      <c r="AB842" s="7">
        <f t="shared" si="167"/>
        <v>13040</v>
      </c>
    </row>
    <row r="843" spans="6:28" x14ac:dyDescent="0.15">
      <c r="F843">
        <f t="shared" si="157"/>
        <v>120</v>
      </c>
      <c r="G843">
        <v>840</v>
      </c>
      <c r="H843">
        <f t="shared" si="158"/>
        <v>8.9376074610457199E+23</v>
      </c>
      <c r="I843">
        <f t="shared" si="159"/>
        <v>8.9376074610457199E+23</v>
      </c>
      <c r="J843" s="1">
        <f t="shared" si="160"/>
        <v>10</v>
      </c>
      <c r="K843" s="1">
        <f t="shared" si="161"/>
        <v>8.9376074610457199E+24</v>
      </c>
      <c r="L843" s="1">
        <f t="shared" si="162"/>
        <v>4.4092196807825551E+24</v>
      </c>
      <c r="M843" s="3">
        <f t="shared" si="163"/>
        <v>280724757366.82751</v>
      </c>
      <c r="N843" s="7">
        <f t="shared" si="168"/>
        <v>4.4092196807825599E+24</v>
      </c>
      <c r="O843" s="7">
        <f t="shared" si="164"/>
        <v>280724757366</v>
      </c>
      <c r="P843" s="3">
        <f>SUM($O$4:O843)</f>
        <v>1985987890393</v>
      </c>
      <c r="Y843" s="3">
        <f t="shared" si="165"/>
        <v>840</v>
      </c>
      <c r="Z843" s="3">
        <f t="shared" si="166"/>
        <v>5.2879885342004301E+20</v>
      </c>
      <c r="AB843" s="7">
        <f t="shared" si="167"/>
        <v>13040</v>
      </c>
    </row>
    <row r="844" spans="6:28" x14ac:dyDescent="0.15">
      <c r="F844">
        <f t="shared" si="157"/>
        <v>121</v>
      </c>
      <c r="G844">
        <v>841</v>
      </c>
      <c r="H844">
        <f t="shared" si="158"/>
        <v>1.4032043713841783E+24</v>
      </c>
      <c r="I844">
        <f t="shared" si="159"/>
        <v>1.4032043713841799E+24</v>
      </c>
      <c r="J844" s="1">
        <f t="shared" si="160"/>
        <v>1</v>
      </c>
      <c r="K844" s="1">
        <f t="shared" si="161"/>
        <v>1.4032043713841799E+24</v>
      </c>
      <c r="L844" s="1">
        <f t="shared" si="162"/>
        <v>6.9645710299701472E+23</v>
      </c>
      <c r="M844" s="3">
        <f t="shared" si="163"/>
        <v>34109079367.93943</v>
      </c>
      <c r="N844" s="7">
        <f t="shared" si="168"/>
        <v>6.9645710299701499E+23</v>
      </c>
      <c r="O844" s="7">
        <f t="shared" si="164"/>
        <v>34109079367</v>
      </c>
      <c r="P844" s="3">
        <f>SUM($O$4:O844)</f>
        <v>2020096969760</v>
      </c>
      <c r="Y844" s="3">
        <f t="shared" si="165"/>
        <v>841</v>
      </c>
      <c r="Z844" s="3">
        <f t="shared" si="166"/>
        <v>5.5589979465782002E+20</v>
      </c>
      <c r="AB844" s="7">
        <f t="shared" si="167"/>
        <v>13040</v>
      </c>
    </row>
    <row r="845" spans="6:28" x14ac:dyDescent="0.15">
      <c r="F845">
        <f t="shared" si="157"/>
        <v>121</v>
      </c>
      <c r="G845">
        <v>842</v>
      </c>
      <c r="H845">
        <f t="shared" si="158"/>
        <v>1.4032043713841783E+24</v>
      </c>
      <c r="I845">
        <f t="shared" si="159"/>
        <v>1.4032043713841799E+24</v>
      </c>
      <c r="J845" s="1">
        <f t="shared" si="160"/>
        <v>1</v>
      </c>
      <c r="K845" s="1">
        <f t="shared" si="161"/>
        <v>1.4032043713841799E+24</v>
      </c>
      <c r="L845" s="1">
        <f t="shared" si="162"/>
        <v>6.9645710299701472E+23</v>
      </c>
      <c r="M845" s="3">
        <f t="shared" si="163"/>
        <v>34109079367.93943</v>
      </c>
      <c r="N845" s="7">
        <f t="shared" si="168"/>
        <v>6.9645710299701499E+23</v>
      </c>
      <c r="O845" s="7">
        <f t="shared" si="164"/>
        <v>34109079367</v>
      </c>
      <c r="P845" s="3">
        <f>SUM($O$4:O845)</f>
        <v>2054206049127</v>
      </c>
      <c r="Y845" s="3">
        <f t="shared" si="165"/>
        <v>842</v>
      </c>
      <c r="Z845" s="3">
        <f t="shared" si="166"/>
        <v>5.8438883288582501E+20</v>
      </c>
      <c r="AB845" s="7">
        <f t="shared" si="167"/>
        <v>13040</v>
      </c>
    </row>
    <row r="846" spans="6:28" x14ac:dyDescent="0.15">
      <c r="F846">
        <f t="shared" si="157"/>
        <v>121</v>
      </c>
      <c r="G846">
        <v>843</v>
      </c>
      <c r="H846">
        <f t="shared" si="158"/>
        <v>1.4032043713841783E+24</v>
      </c>
      <c r="I846">
        <f t="shared" si="159"/>
        <v>1.4032043713841799E+24</v>
      </c>
      <c r="J846" s="1">
        <f t="shared" si="160"/>
        <v>1</v>
      </c>
      <c r="K846" s="1">
        <f t="shared" si="161"/>
        <v>1.4032043713841799E+24</v>
      </c>
      <c r="L846" s="1">
        <f t="shared" si="162"/>
        <v>6.9645710299701472E+23</v>
      </c>
      <c r="M846" s="3">
        <f t="shared" si="163"/>
        <v>34109079367.93943</v>
      </c>
      <c r="N846" s="7">
        <f t="shared" si="168"/>
        <v>6.9645710299701499E+23</v>
      </c>
      <c r="O846" s="7">
        <f t="shared" si="164"/>
        <v>34109079367</v>
      </c>
      <c r="P846" s="3">
        <f>SUM($O$4:O846)</f>
        <v>2088315128494</v>
      </c>
      <c r="Y846" s="3">
        <f t="shared" si="165"/>
        <v>843</v>
      </c>
      <c r="Z846" s="3">
        <f t="shared" si="166"/>
        <v>6.1433702544998597E+20</v>
      </c>
      <c r="AB846" s="7">
        <f t="shared" si="167"/>
        <v>13040</v>
      </c>
    </row>
    <row r="847" spans="6:28" x14ac:dyDescent="0.15">
      <c r="F847">
        <f t="shared" si="157"/>
        <v>121</v>
      </c>
      <c r="G847">
        <v>844</v>
      </c>
      <c r="H847">
        <f t="shared" si="158"/>
        <v>1.4032043713841783E+24</v>
      </c>
      <c r="I847">
        <f t="shared" si="159"/>
        <v>1.4032043713841799E+24</v>
      </c>
      <c r="J847" s="1">
        <f t="shared" si="160"/>
        <v>1</v>
      </c>
      <c r="K847" s="1">
        <f t="shared" si="161"/>
        <v>1.4032043713841799E+24</v>
      </c>
      <c r="L847" s="1">
        <f t="shared" si="162"/>
        <v>6.9645710299701472E+23</v>
      </c>
      <c r="M847" s="3">
        <f t="shared" si="163"/>
        <v>34109079367.93943</v>
      </c>
      <c r="N847" s="7">
        <f t="shared" si="168"/>
        <v>6.9645710299701499E+23</v>
      </c>
      <c r="O847" s="7">
        <f t="shared" si="164"/>
        <v>34109079367</v>
      </c>
      <c r="P847" s="3">
        <f>SUM($O$4:O847)</f>
        <v>2122424207861</v>
      </c>
      <c r="Y847" s="3">
        <f t="shared" si="165"/>
        <v>844</v>
      </c>
      <c r="Z847" s="3">
        <f t="shared" si="166"/>
        <v>6.4581906518834794E+20</v>
      </c>
      <c r="AB847" s="7">
        <f t="shared" si="167"/>
        <v>13040</v>
      </c>
    </row>
    <row r="848" spans="6:28" x14ac:dyDescent="0.15">
      <c r="F848">
        <f t="shared" si="157"/>
        <v>121</v>
      </c>
      <c r="G848">
        <v>845</v>
      </c>
      <c r="H848">
        <f t="shared" si="158"/>
        <v>1.4032043713841783E+24</v>
      </c>
      <c r="I848">
        <f t="shared" si="159"/>
        <v>1.4032043713841799E+24</v>
      </c>
      <c r="J848" s="1">
        <f t="shared" si="160"/>
        <v>1</v>
      </c>
      <c r="K848" s="1">
        <f t="shared" si="161"/>
        <v>1.4032043713841799E+24</v>
      </c>
      <c r="L848" s="1">
        <f t="shared" si="162"/>
        <v>6.9645710299701472E+23</v>
      </c>
      <c r="M848" s="3">
        <f t="shared" si="163"/>
        <v>34109079367.93943</v>
      </c>
      <c r="N848" s="7">
        <f t="shared" si="168"/>
        <v>6.9645710299701499E+23</v>
      </c>
      <c r="O848" s="7">
        <f t="shared" si="164"/>
        <v>34109079367</v>
      </c>
      <c r="P848" s="3">
        <f>SUM($O$4:O848)</f>
        <v>2156533287228</v>
      </c>
      <c r="Y848" s="3">
        <f t="shared" si="165"/>
        <v>845</v>
      </c>
      <c r="Z848" s="3">
        <f t="shared" si="166"/>
        <v>6.7891346633692204E+20</v>
      </c>
      <c r="AB848" s="7">
        <f t="shared" si="167"/>
        <v>13040</v>
      </c>
    </row>
    <row r="849" spans="6:28" x14ac:dyDescent="0.15">
      <c r="F849">
        <f t="shared" si="157"/>
        <v>121</v>
      </c>
      <c r="G849">
        <v>846</v>
      </c>
      <c r="H849">
        <f t="shared" si="158"/>
        <v>1.4032043713841783E+24</v>
      </c>
      <c r="I849">
        <f t="shared" si="159"/>
        <v>1.4032043713841799E+24</v>
      </c>
      <c r="J849" s="1">
        <f t="shared" si="160"/>
        <v>1</v>
      </c>
      <c r="K849" s="1">
        <f t="shared" si="161"/>
        <v>1.4032043713841799E+24</v>
      </c>
      <c r="L849" s="1">
        <f t="shared" si="162"/>
        <v>6.9645710299701472E+23</v>
      </c>
      <c r="M849" s="3">
        <f t="shared" si="163"/>
        <v>34109079367.93943</v>
      </c>
      <c r="N849" s="7">
        <f t="shared" si="168"/>
        <v>6.9645710299701499E+23</v>
      </c>
      <c r="O849" s="7">
        <f t="shared" si="164"/>
        <v>34109079367</v>
      </c>
      <c r="P849" s="3">
        <f>SUM($O$4:O849)</f>
        <v>2190642366595</v>
      </c>
      <c r="Y849" s="3">
        <f t="shared" si="165"/>
        <v>846</v>
      </c>
      <c r="Z849" s="3">
        <f t="shared" si="166"/>
        <v>7.1370275993738202E+20</v>
      </c>
      <c r="AB849" s="7">
        <f t="shared" si="167"/>
        <v>13040</v>
      </c>
    </row>
    <row r="850" spans="6:28" x14ac:dyDescent="0.15">
      <c r="F850">
        <f t="shared" si="157"/>
        <v>121</v>
      </c>
      <c r="G850">
        <v>847</v>
      </c>
      <c r="H850">
        <f t="shared" si="158"/>
        <v>1.4032043713841783E+24</v>
      </c>
      <c r="I850">
        <f t="shared" si="159"/>
        <v>1.4032043713841799E+24</v>
      </c>
      <c r="J850" s="1">
        <f t="shared" si="160"/>
        <v>2</v>
      </c>
      <c r="K850" s="1">
        <f t="shared" si="161"/>
        <v>2.8064087427683598E+24</v>
      </c>
      <c r="L850" s="1">
        <f t="shared" si="162"/>
        <v>1.3929142059940294E+24</v>
      </c>
      <c r="M850" s="3">
        <f t="shared" si="163"/>
        <v>68218158735.87886</v>
      </c>
      <c r="N850" s="7">
        <f t="shared" si="168"/>
        <v>1.39291420599403E+24</v>
      </c>
      <c r="O850" s="7">
        <f t="shared" si="164"/>
        <v>68218158735</v>
      </c>
      <c r="P850" s="3">
        <f>SUM($O$4:O850)</f>
        <v>2258860525330</v>
      </c>
      <c r="Y850" s="3">
        <f t="shared" si="165"/>
        <v>847</v>
      </c>
      <c r="Z850" s="3">
        <f t="shared" si="166"/>
        <v>7.5027369923204599E+20</v>
      </c>
      <c r="AB850" s="7">
        <f t="shared" si="167"/>
        <v>13040</v>
      </c>
    </row>
    <row r="851" spans="6:28" x14ac:dyDescent="0.15">
      <c r="F851">
        <f t="shared" si="157"/>
        <v>122</v>
      </c>
      <c r="G851">
        <v>848</v>
      </c>
      <c r="H851">
        <f t="shared" si="158"/>
        <v>2.2030308630731594E+24</v>
      </c>
      <c r="I851">
        <f t="shared" si="159"/>
        <v>2.2030308630731599E+24</v>
      </c>
      <c r="J851" s="1">
        <f t="shared" si="160"/>
        <v>1</v>
      </c>
      <c r="K851" s="1">
        <f t="shared" si="161"/>
        <v>2.2030308630731599E+24</v>
      </c>
      <c r="L851" s="1">
        <f t="shared" si="162"/>
        <v>1.1000467442945312E+24</v>
      </c>
      <c r="M851" s="3">
        <f t="shared" si="163"/>
        <v>41442258305.668198</v>
      </c>
      <c r="N851" s="7">
        <f t="shared" si="168"/>
        <v>1.10004674429453E+24</v>
      </c>
      <c r="O851" s="7">
        <f t="shared" si="164"/>
        <v>41442258305</v>
      </c>
      <c r="P851" s="3">
        <f>SUM($O$4:O851)</f>
        <v>2300302783635</v>
      </c>
      <c r="Y851" s="3">
        <f t="shared" si="165"/>
        <v>848</v>
      </c>
      <c r="Z851" s="3">
        <f t="shared" si="166"/>
        <v>7.8871747555633201E+20</v>
      </c>
      <c r="AB851" s="7">
        <f t="shared" si="167"/>
        <v>13040</v>
      </c>
    </row>
    <row r="852" spans="6:28" x14ac:dyDescent="0.15">
      <c r="F852">
        <f t="shared" si="157"/>
        <v>122</v>
      </c>
      <c r="G852">
        <v>849</v>
      </c>
      <c r="H852">
        <f t="shared" si="158"/>
        <v>2.2030308630731594E+24</v>
      </c>
      <c r="I852">
        <f t="shared" si="159"/>
        <v>2.2030308630731599E+24</v>
      </c>
      <c r="J852" s="1">
        <f t="shared" si="160"/>
        <v>1</v>
      </c>
      <c r="K852" s="1">
        <f t="shared" si="161"/>
        <v>2.2030308630731599E+24</v>
      </c>
      <c r="L852" s="1">
        <f t="shared" si="162"/>
        <v>1.1000467442945312E+24</v>
      </c>
      <c r="M852" s="3">
        <f t="shared" si="163"/>
        <v>41442258305.668198</v>
      </c>
      <c r="N852" s="7">
        <f t="shared" si="168"/>
        <v>1.10004674429453E+24</v>
      </c>
      <c r="O852" s="7">
        <f t="shared" si="164"/>
        <v>41442258305</v>
      </c>
      <c r="P852" s="3">
        <f>SUM($O$4:O852)</f>
        <v>2341745041940</v>
      </c>
      <c r="Y852" s="3">
        <f t="shared" si="165"/>
        <v>849</v>
      </c>
      <c r="Z852" s="3">
        <f t="shared" si="166"/>
        <v>8.2912994526496699E+20</v>
      </c>
      <c r="AB852" s="7">
        <f t="shared" si="167"/>
        <v>13040</v>
      </c>
    </row>
    <row r="853" spans="6:28" x14ac:dyDescent="0.15">
      <c r="F853">
        <f t="shared" si="157"/>
        <v>122</v>
      </c>
      <c r="G853">
        <v>850</v>
      </c>
      <c r="H853">
        <f t="shared" si="158"/>
        <v>2.2030308630731594E+24</v>
      </c>
      <c r="I853">
        <f t="shared" si="159"/>
        <v>2.2030308630731599E+24</v>
      </c>
      <c r="J853" s="1">
        <f t="shared" si="160"/>
        <v>1</v>
      </c>
      <c r="K853" s="1">
        <f t="shared" si="161"/>
        <v>2.2030308630731599E+24</v>
      </c>
      <c r="L853" s="1">
        <f t="shared" si="162"/>
        <v>1.1000467442945312E+24</v>
      </c>
      <c r="M853" s="3">
        <f t="shared" si="163"/>
        <v>41442258305.668198</v>
      </c>
      <c r="N853" s="7">
        <f t="shared" si="168"/>
        <v>1.10004674429453E+24</v>
      </c>
      <c r="O853" s="7">
        <f t="shared" si="164"/>
        <v>41442258305</v>
      </c>
      <c r="P853" s="3">
        <f>SUM($O$4:O853)</f>
        <v>2383187300245</v>
      </c>
      <c r="Y853" s="3">
        <f t="shared" si="165"/>
        <v>850</v>
      </c>
      <c r="Z853" s="3">
        <f t="shared" si="166"/>
        <v>8.7161186825557495E+20</v>
      </c>
      <c r="AB853" s="7">
        <f t="shared" si="167"/>
        <v>13040</v>
      </c>
    </row>
    <row r="854" spans="6:28" x14ac:dyDescent="0.15">
      <c r="F854">
        <f t="shared" si="157"/>
        <v>122</v>
      </c>
      <c r="G854">
        <v>851</v>
      </c>
      <c r="H854">
        <f t="shared" si="158"/>
        <v>2.2030308630731594E+24</v>
      </c>
      <c r="I854">
        <f t="shared" si="159"/>
        <v>2.2030308630731599E+24</v>
      </c>
      <c r="J854" s="1">
        <f t="shared" si="160"/>
        <v>1</v>
      </c>
      <c r="K854" s="1">
        <f t="shared" si="161"/>
        <v>2.2030308630731599E+24</v>
      </c>
      <c r="L854" s="1">
        <f t="shared" si="162"/>
        <v>1.1000467442945312E+24</v>
      </c>
      <c r="M854" s="3">
        <f t="shared" si="163"/>
        <v>41442258305.668198</v>
      </c>
      <c r="N854" s="7">
        <f t="shared" si="168"/>
        <v>1.10004674429453E+24</v>
      </c>
      <c r="O854" s="7">
        <f t="shared" si="164"/>
        <v>41442258305</v>
      </c>
      <c r="P854" s="3">
        <f>SUM($O$4:O854)</f>
        <v>2424629558550</v>
      </c>
      <c r="Y854" s="3">
        <f t="shared" si="165"/>
        <v>851</v>
      </c>
      <c r="Z854" s="3">
        <f t="shared" si="166"/>
        <v>9.1626915868208097E+20</v>
      </c>
      <c r="AB854" s="7">
        <f t="shared" si="167"/>
        <v>13040</v>
      </c>
    </row>
    <row r="855" spans="6:28" x14ac:dyDescent="0.15">
      <c r="F855">
        <f t="shared" si="157"/>
        <v>122</v>
      </c>
      <c r="G855">
        <v>852</v>
      </c>
      <c r="H855">
        <f t="shared" si="158"/>
        <v>2.2030308630731594E+24</v>
      </c>
      <c r="I855">
        <f t="shared" si="159"/>
        <v>2.2030308630731599E+24</v>
      </c>
      <c r="J855" s="1">
        <f t="shared" si="160"/>
        <v>1</v>
      </c>
      <c r="K855" s="1">
        <f t="shared" si="161"/>
        <v>2.2030308630731599E+24</v>
      </c>
      <c r="L855" s="1">
        <f t="shared" si="162"/>
        <v>1.1000467442945312E+24</v>
      </c>
      <c r="M855" s="3">
        <f t="shared" si="163"/>
        <v>41442258305.668198</v>
      </c>
      <c r="N855" s="7">
        <f t="shared" si="168"/>
        <v>1.10004674429453E+24</v>
      </c>
      <c r="O855" s="7">
        <f t="shared" si="164"/>
        <v>41442258305</v>
      </c>
      <c r="P855" s="3">
        <f>SUM($O$4:O855)</f>
        <v>2466071816855</v>
      </c>
      <c r="Y855" s="3">
        <f t="shared" si="165"/>
        <v>852</v>
      </c>
      <c r="Z855" s="3">
        <f t="shared" si="166"/>
        <v>9.6321314848059897E+20</v>
      </c>
      <c r="AB855" s="7">
        <f t="shared" si="167"/>
        <v>13040</v>
      </c>
    </row>
    <row r="856" spans="6:28" x14ac:dyDescent="0.15">
      <c r="F856">
        <f t="shared" si="157"/>
        <v>122</v>
      </c>
      <c r="G856">
        <v>853</v>
      </c>
      <c r="H856">
        <f t="shared" si="158"/>
        <v>2.2030308630731594E+24</v>
      </c>
      <c r="I856">
        <f t="shared" si="159"/>
        <v>2.2030308630731599E+24</v>
      </c>
      <c r="J856" s="1">
        <f t="shared" si="160"/>
        <v>1</v>
      </c>
      <c r="K856" s="1">
        <f t="shared" si="161"/>
        <v>2.2030308630731599E+24</v>
      </c>
      <c r="L856" s="1">
        <f t="shared" si="162"/>
        <v>1.1000467442945312E+24</v>
      </c>
      <c r="M856" s="3">
        <f t="shared" si="163"/>
        <v>41442258305.668198</v>
      </c>
      <c r="N856" s="7">
        <f t="shared" si="168"/>
        <v>1.10004674429453E+24</v>
      </c>
      <c r="O856" s="7">
        <f t="shared" si="164"/>
        <v>41442258305</v>
      </c>
      <c r="P856" s="3">
        <f>SUM($O$4:O856)</f>
        <v>2507514075160</v>
      </c>
      <c r="Y856" s="3">
        <f t="shared" si="165"/>
        <v>853</v>
      </c>
      <c r="Z856" s="3">
        <f t="shared" si="166"/>
        <v>1.0125608643622599E+21</v>
      </c>
      <c r="AB856" s="7">
        <f t="shared" si="167"/>
        <v>13040</v>
      </c>
    </row>
    <row r="857" spans="6:28" x14ac:dyDescent="0.15">
      <c r="F857">
        <f t="shared" si="157"/>
        <v>122</v>
      </c>
      <c r="G857">
        <v>854</v>
      </c>
      <c r="H857">
        <f t="shared" si="158"/>
        <v>2.2030308630731594E+24</v>
      </c>
      <c r="I857">
        <f t="shared" si="159"/>
        <v>2.2030308630731599E+24</v>
      </c>
      <c r="J857" s="1">
        <f t="shared" si="160"/>
        <v>4</v>
      </c>
      <c r="K857" s="1">
        <f t="shared" si="161"/>
        <v>8.8121234522926396E+24</v>
      </c>
      <c r="L857" s="1">
        <f t="shared" si="162"/>
        <v>4.4001869771781248E+24</v>
      </c>
      <c r="M857" s="3">
        <f t="shared" si="163"/>
        <v>165769033222.67279</v>
      </c>
      <c r="N857" s="7">
        <f t="shared" si="168"/>
        <v>4.40018697717812E+24</v>
      </c>
      <c r="O857" s="7">
        <f t="shared" si="164"/>
        <v>165769033222</v>
      </c>
      <c r="P857" s="3">
        <f>SUM($O$4:O857)</f>
        <v>2673283108382</v>
      </c>
      <c r="Y857" s="3">
        <f t="shared" si="165"/>
        <v>854</v>
      </c>
      <c r="Z857" s="3">
        <f t="shared" si="166"/>
        <v>1.0644353189608901E+21</v>
      </c>
      <c r="AB857" s="7">
        <f t="shared" si="167"/>
        <v>13040</v>
      </c>
    </row>
    <row r="858" spans="6:28" x14ac:dyDescent="0.15">
      <c r="F858">
        <f t="shared" si="157"/>
        <v>123</v>
      </c>
      <c r="G858">
        <v>855</v>
      </c>
      <c r="H858">
        <f t="shared" si="158"/>
        <v>3.4587584550248601E+24</v>
      </c>
      <c r="I858">
        <f t="shared" si="159"/>
        <v>3.4587584550248601E+24</v>
      </c>
      <c r="J858" s="1">
        <f t="shared" si="160"/>
        <v>1</v>
      </c>
      <c r="K858" s="1">
        <f t="shared" si="161"/>
        <v>3.4587584550248601E+24</v>
      </c>
      <c r="L858" s="1">
        <f t="shared" si="162"/>
        <v>1.7374496639074882E+24</v>
      </c>
      <c r="M858" s="3">
        <f t="shared" si="163"/>
        <v>50350194479.114655</v>
      </c>
      <c r="N858" s="7">
        <f t="shared" si="168"/>
        <v>1.7374496639074901E+24</v>
      </c>
      <c r="O858" s="7">
        <f t="shared" si="164"/>
        <v>50350194479</v>
      </c>
      <c r="P858" s="3">
        <f>SUM($O$4:O858)</f>
        <v>2723633302861</v>
      </c>
      <c r="Y858" s="3">
        <f t="shared" si="165"/>
        <v>855</v>
      </c>
      <c r="Z858" s="3">
        <f t="shared" si="166"/>
        <v>1.11896581685848E+21</v>
      </c>
      <c r="AB858" s="7">
        <f t="shared" si="167"/>
        <v>13040</v>
      </c>
    </row>
    <row r="859" spans="6:28" x14ac:dyDescent="0.15">
      <c r="F859">
        <f t="shared" si="157"/>
        <v>123</v>
      </c>
      <c r="G859">
        <v>856</v>
      </c>
      <c r="H859">
        <f t="shared" si="158"/>
        <v>3.4587584550248601E+24</v>
      </c>
      <c r="I859">
        <f t="shared" si="159"/>
        <v>3.4587584550248601E+24</v>
      </c>
      <c r="J859" s="1">
        <f t="shared" si="160"/>
        <v>1</v>
      </c>
      <c r="K859" s="1">
        <f t="shared" si="161"/>
        <v>3.4587584550248601E+24</v>
      </c>
      <c r="L859" s="1">
        <f t="shared" si="162"/>
        <v>1.7374496639074882E+24</v>
      </c>
      <c r="M859" s="3">
        <f t="shared" si="163"/>
        <v>50350194479.114655</v>
      </c>
      <c r="N859" s="7">
        <f t="shared" si="168"/>
        <v>1.7374496639074901E+24</v>
      </c>
      <c r="O859" s="7">
        <f t="shared" si="164"/>
        <v>50350194479</v>
      </c>
      <c r="P859" s="3">
        <f>SUM($O$4:O859)</f>
        <v>2773983497340</v>
      </c>
      <c r="Y859" s="3">
        <f t="shared" si="165"/>
        <v>856</v>
      </c>
      <c r="Z859" s="3">
        <f t="shared" si="166"/>
        <v>1.17628827624842E+21</v>
      </c>
      <c r="AB859" s="7">
        <f t="shared" si="167"/>
        <v>13040</v>
      </c>
    </row>
    <row r="860" spans="6:28" x14ac:dyDescent="0.15">
      <c r="F860">
        <f t="shared" si="157"/>
        <v>123</v>
      </c>
      <c r="G860">
        <v>857</v>
      </c>
      <c r="H860">
        <f t="shared" si="158"/>
        <v>3.4587584550248601E+24</v>
      </c>
      <c r="I860">
        <f t="shared" si="159"/>
        <v>3.4587584550248601E+24</v>
      </c>
      <c r="J860" s="1">
        <f t="shared" si="160"/>
        <v>1</v>
      </c>
      <c r="K860" s="1">
        <f t="shared" si="161"/>
        <v>3.4587584550248601E+24</v>
      </c>
      <c r="L860" s="1">
        <f t="shared" si="162"/>
        <v>1.7374496639074882E+24</v>
      </c>
      <c r="M860" s="3">
        <f t="shared" si="163"/>
        <v>50350194479.114655</v>
      </c>
      <c r="N860" s="7">
        <f t="shared" si="168"/>
        <v>1.7374496639074901E+24</v>
      </c>
      <c r="O860" s="7">
        <f t="shared" si="164"/>
        <v>50350194479</v>
      </c>
      <c r="P860" s="3">
        <f>SUM($O$4:O860)</f>
        <v>2824333691819</v>
      </c>
      <c r="Y860" s="3">
        <f t="shared" si="165"/>
        <v>857</v>
      </c>
      <c r="Z860" s="3">
        <f t="shared" si="166"/>
        <v>1.2365455670352101E+21</v>
      </c>
      <c r="AB860" s="7">
        <f t="shared" si="167"/>
        <v>13040</v>
      </c>
    </row>
    <row r="861" spans="6:28" x14ac:dyDescent="0.15">
      <c r="F861">
        <f t="shared" si="157"/>
        <v>123</v>
      </c>
      <c r="G861">
        <v>858</v>
      </c>
      <c r="H861">
        <f t="shared" si="158"/>
        <v>3.4587584550248601E+24</v>
      </c>
      <c r="I861">
        <f t="shared" si="159"/>
        <v>3.4587584550248601E+24</v>
      </c>
      <c r="J861" s="1">
        <f t="shared" si="160"/>
        <v>1</v>
      </c>
      <c r="K861" s="1">
        <f t="shared" si="161"/>
        <v>3.4587584550248601E+24</v>
      </c>
      <c r="L861" s="1">
        <f t="shared" si="162"/>
        <v>1.7374496639074882E+24</v>
      </c>
      <c r="M861" s="3">
        <f t="shared" si="163"/>
        <v>50350194479.114655</v>
      </c>
      <c r="N861" s="7">
        <f t="shared" si="168"/>
        <v>1.7374496639074901E+24</v>
      </c>
      <c r="O861" s="7">
        <f t="shared" si="164"/>
        <v>50350194479</v>
      </c>
      <c r="P861" s="3">
        <f>SUM($O$4:O861)</f>
        <v>2874683886298</v>
      </c>
      <c r="Y861" s="3">
        <f t="shared" si="165"/>
        <v>858</v>
      </c>
      <c r="Z861" s="3">
        <f t="shared" si="166"/>
        <v>1.2998878662100601E+21</v>
      </c>
      <c r="AB861" s="7">
        <f t="shared" si="167"/>
        <v>13040</v>
      </c>
    </row>
    <row r="862" spans="6:28" x14ac:dyDescent="0.15">
      <c r="F862">
        <f t="shared" si="157"/>
        <v>123</v>
      </c>
      <c r="G862">
        <v>859</v>
      </c>
      <c r="H862">
        <f t="shared" si="158"/>
        <v>3.4587584550248601E+24</v>
      </c>
      <c r="I862">
        <f t="shared" si="159"/>
        <v>3.4587584550248601E+24</v>
      </c>
      <c r="J862" s="1">
        <f t="shared" si="160"/>
        <v>1</v>
      </c>
      <c r="K862" s="1">
        <f t="shared" si="161"/>
        <v>3.4587584550248601E+24</v>
      </c>
      <c r="L862" s="1">
        <f t="shared" si="162"/>
        <v>1.7374496639074882E+24</v>
      </c>
      <c r="M862" s="3">
        <f t="shared" si="163"/>
        <v>50350194479.114655</v>
      </c>
      <c r="N862" s="7">
        <f t="shared" si="168"/>
        <v>1.7374496639074901E+24</v>
      </c>
      <c r="O862" s="7">
        <f t="shared" si="164"/>
        <v>50350194479</v>
      </c>
      <c r="P862" s="3">
        <f>SUM($O$4:O862)</f>
        <v>2925034080777</v>
      </c>
      <c r="Y862" s="3">
        <f t="shared" si="165"/>
        <v>859</v>
      </c>
      <c r="Z862" s="3">
        <f t="shared" si="166"/>
        <v>1.3664730313848101E+21</v>
      </c>
      <c r="AB862" s="7">
        <f t="shared" si="167"/>
        <v>13040</v>
      </c>
    </row>
    <row r="863" spans="6:28" x14ac:dyDescent="0.15">
      <c r="F863">
        <f t="shared" si="157"/>
        <v>123</v>
      </c>
      <c r="G863">
        <v>860</v>
      </c>
      <c r="H863">
        <f t="shared" si="158"/>
        <v>3.4587584550248601E+24</v>
      </c>
      <c r="I863">
        <f t="shared" si="159"/>
        <v>3.4587584550248601E+24</v>
      </c>
      <c r="J863" s="1">
        <f t="shared" si="160"/>
        <v>1</v>
      </c>
      <c r="K863" s="1">
        <f t="shared" si="161"/>
        <v>3.4587584550248601E+24</v>
      </c>
      <c r="L863" s="1">
        <f t="shared" si="162"/>
        <v>1.7374496639074882E+24</v>
      </c>
      <c r="M863" s="3">
        <f t="shared" si="163"/>
        <v>50350194479.114655</v>
      </c>
      <c r="N863" s="7">
        <f t="shared" si="168"/>
        <v>1.7374496639074901E+24</v>
      </c>
      <c r="O863" s="7">
        <f t="shared" si="164"/>
        <v>50350194479</v>
      </c>
      <c r="P863" s="3">
        <f>SUM($O$4:O863)</f>
        <v>2975384275256</v>
      </c>
      <c r="Y863" s="3">
        <f t="shared" si="165"/>
        <v>860</v>
      </c>
      <c r="Z863" s="3">
        <f t="shared" si="166"/>
        <v>1.43646699341151E+21</v>
      </c>
      <c r="AB863" s="7">
        <f t="shared" si="167"/>
        <v>13040</v>
      </c>
    </row>
    <row r="864" spans="6:28" x14ac:dyDescent="0.15">
      <c r="F864">
        <f t="shared" si="157"/>
        <v>123</v>
      </c>
      <c r="G864">
        <v>861</v>
      </c>
      <c r="H864">
        <f t="shared" si="158"/>
        <v>3.4587584550248601E+24</v>
      </c>
      <c r="I864">
        <f t="shared" si="159"/>
        <v>3.4587584550248601E+24</v>
      </c>
      <c r="J864" s="1">
        <f t="shared" si="160"/>
        <v>6</v>
      </c>
      <c r="K864" s="1">
        <f t="shared" si="161"/>
        <v>2.075255073014916E+25</v>
      </c>
      <c r="L864" s="1">
        <f t="shared" si="162"/>
        <v>1.0424697983444929E+25</v>
      </c>
      <c r="M864" s="3">
        <f t="shared" si="163"/>
        <v>302101166874.68787</v>
      </c>
      <c r="N864" s="7">
        <f t="shared" si="168"/>
        <v>1.0424697983444901E+25</v>
      </c>
      <c r="O864" s="7">
        <f t="shared" si="164"/>
        <v>302101166874</v>
      </c>
      <c r="P864" s="3">
        <f>SUM($O$4:O864)</f>
        <v>3277485442130</v>
      </c>
      <c r="Y864" s="3">
        <f t="shared" si="165"/>
        <v>861</v>
      </c>
      <c r="Z864" s="3">
        <f t="shared" si="166"/>
        <v>1.5100441690624101E+21</v>
      </c>
      <c r="AB864" s="7">
        <f t="shared" si="167"/>
        <v>13040</v>
      </c>
    </row>
    <row r="865" spans="6:28" x14ac:dyDescent="0.15">
      <c r="F865">
        <f t="shared" si="157"/>
        <v>124</v>
      </c>
      <c r="G865">
        <v>862</v>
      </c>
      <c r="H865">
        <f t="shared" si="158"/>
        <v>5.4302507743890307E+24</v>
      </c>
      <c r="I865">
        <f t="shared" si="159"/>
        <v>5.4302507743890296E+24</v>
      </c>
      <c r="J865" s="1">
        <f t="shared" si="160"/>
        <v>1</v>
      </c>
      <c r="K865" s="1">
        <f t="shared" si="161"/>
        <v>5.4302507743890296E+24</v>
      </c>
      <c r="L865" s="1">
        <f t="shared" si="162"/>
        <v>2.7440867246579224E+24</v>
      </c>
      <c r="M865" s="3">
        <f t="shared" si="163"/>
        <v>61170693116.038132</v>
      </c>
      <c r="N865" s="7">
        <f t="shared" si="168"/>
        <v>2.7440867246579197E+24</v>
      </c>
      <c r="O865" s="7">
        <f t="shared" si="164"/>
        <v>61170693116</v>
      </c>
      <c r="P865" s="3">
        <f>SUM($O$4:O865)</f>
        <v>3338656135246</v>
      </c>
      <c r="Y865" s="3">
        <f t="shared" si="165"/>
        <v>862</v>
      </c>
      <c r="Z865" s="3">
        <f t="shared" si="166"/>
        <v>1.5873878947948701E+21</v>
      </c>
      <c r="AB865" s="7">
        <f t="shared" si="167"/>
        <v>13040</v>
      </c>
    </row>
    <row r="866" spans="6:28" x14ac:dyDescent="0.15">
      <c r="F866">
        <f t="shared" si="157"/>
        <v>124</v>
      </c>
      <c r="G866">
        <v>863</v>
      </c>
      <c r="H866">
        <f t="shared" si="158"/>
        <v>5.4302507743890307E+24</v>
      </c>
      <c r="I866">
        <f t="shared" si="159"/>
        <v>5.4302507743890296E+24</v>
      </c>
      <c r="J866" s="1">
        <f t="shared" si="160"/>
        <v>1</v>
      </c>
      <c r="K866" s="1">
        <f t="shared" si="161"/>
        <v>5.4302507743890296E+24</v>
      </c>
      <c r="L866" s="1">
        <f t="shared" si="162"/>
        <v>2.7440867246579224E+24</v>
      </c>
      <c r="M866" s="3">
        <f t="shared" si="163"/>
        <v>61170693116.038132</v>
      </c>
      <c r="N866" s="7">
        <f t="shared" si="168"/>
        <v>2.7440867246579197E+24</v>
      </c>
      <c r="O866" s="7">
        <f t="shared" si="164"/>
        <v>61170693116</v>
      </c>
      <c r="P866" s="3">
        <f>SUM($O$4:O866)</f>
        <v>3399826828362</v>
      </c>
      <c r="Y866" s="3">
        <f t="shared" si="165"/>
        <v>863</v>
      </c>
      <c r="Z866" s="3">
        <f t="shared" si="166"/>
        <v>1.6686908826779299E+21</v>
      </c>
      <c r="AB866" s="7">
        <f t="shared" si="167"/>
        <v>13040</v>
      </c>
    </row>
    <row r="867" spans="6:28" x14ac:dyDescent="0.15">
      <c r="F867">
        <f t="shared" si="157"/>
        <v>124</v>
      </c>
      <c r="G867">
        <v>864</v>
      </c>
      <c r="H867">
        <f t="shared" si="158"/>
        <v>5.4302507743890307E+24</v>
      </c>
      <c r="I867">
        <f t="shared" si="159"/>
        <v>5.4302507743890296E+24</v>
      </c>
      <c r="J867" s="1">
        <f t="shared" si="160"/>
        <v>1</v>
      </c>
      <c r="K867" s="1">
        <f t="shared" si="161"/>
        <v>5.4302507743890296E+24</v>
      </c>
      <c r="L867" s="1">
        <f t="shared" si="162"/>
        <v>2.7440867246579224E+24</v>
      </c>
      <c r="M867" s="3">
        <f t="shared" si="163"/>
        <v>61170693116.038132</v>
      </c>
      <c r="N867" s="7">
        <f t="shared" si="168"/>
        <v>2.7440867246579197E+24</v>
      </c>
      <c r="O867" s="7">
        <f t="shared" si="164"/>
        <v>61170693116</v>
      </c>
      <c r="P867" s="3">
        <f>SUM($O$4:O867)</f>
        <v>3460997521478</v>
      </c>
      <c r="Y867" s="3">
        <f t="shared" si="165"/>
        <v>864</v>
      </c>
      <c r="Z867" s="3">
        <f t="shared" si="166"/>
        <v>1.7541556996123001E+21</v>
      </c>
      <c r="AB867" s="7">
        <f t="shared" si="167"/>
        <v>13040</v>
      </c>
    </row>
    <row r="868" spans="6:28" x14ac:dyDescent="0.15">
      <c r="F868">
        <f t="shared" si="157"/>
        <v>124</v>
      </c>
      <c r="G868">
        <v>865</v>
      </c>
      <c r="H868">
        <f t="shared" si="158"/>
        <v>5.4302507743890307E+24</v>
      </c>
      <c r="I868">
        <f t="shared" si="159"/>
        <v>5.4302507743890296E+24</v>
      </c>
      <c r="J868" s="1">
        <f t="shared" si="160"/>
        <v>1</v>
      </c>
      <c r="K868" s="1">
        <f t="shared" si="161"/>
        <v>5.4302507743890296E+24</v>
      </c>
      <c r="L868" s="1">
        <f t="shared" si="162"/>
        <v>2.7440867246579224E+24</v>
      </c>
      <c r="M868" s="3">
        <f t="shared" si="163"/>
        <v>61170693116.038132</v>
      </c>
      <c r="N868" s="7">
        <f t="shared" si="168"/>
        <v>2.7440867246579197E+24</v>
      </c>
      <c r="O868" s="7">
        <f t="shared" si="164"/>
        <v>61170693116</v>
      </c>
      <c r="P868" s="3">
        <f>SUM($O$4:O868)</f>
        <v>3522168214594</v>
      </c>
      <c r="Y868" s="3">
        <f t="shared" si="165"/>
        <v>865</v>
      </c>
      <c r="Z868" s="3">
        <f t="shared" si="166"/>
        <v>1.84399527103342E+21</v>
      </c>
      <c r="AB868" s="7">
        <f t="shared" si="167"/>
        <v>13040</v>
      </c>
    </row>
    <row r="869" spans="6:28" x14ac:dyDescent="0.15">
      <c r="F869">
        <f t="shared" si="157"/>
        <v>124</v>
      </c>
      <c r="G869">
        <v>866</v>
      </c>
      <c r="H869">
        <f t="shared" si="158"/>
        <v>5.4302507743890307E+24</v>
      </c>
      <c r="I869">
        <f t="shared" si="159"/>
        <v>5.4302507743890296E+24</v>
      </c>
      <c r="J869" s="1">
        <f t="shared" si="160"/>
        <v>1</v>
      </c>
      <c r="K869" s="1">
        <f t="shared" si="161"/>
        <v>5.4302507743890296E+24</v>
      </c>
      <c r="L869" s="1">
        <f t="shared" si="162"/>
        <v>2.7440867246579224E+24</v>
      </c>
      <c r="M869" s="3">
        <f t="shared" si="163"/>
        <v>61170693116.038132</v>
      </c>
      <c r="N869" s="7">
        <f t="shared" si="168"/>
        <v>2.7440867246579197E+24</v>
      </c>
      <c r="O869" s="7">
        <f t="shared" si="164"/>
        <v>61170693116</v>
      </c>
      <c r="P869" s="3">
        <f>SUM($O$4:O869)</f>
        <v>3583338907710</v>
      </c>
      <c r="Y869" s="3">
        <f t="shared" si="165"/>
        <v>866</v>
      </c>
      <c r="Z869" s="3">
        <f t="shared" si="166"/>
        <v>1.9384334103476201E+21</v>
      </c>
      <c r="AB869" s="7">
        <f t="shared" si="167"/>
        <v>13040</v>
      </c>
    </row>
    <row r="870" spans="6:28" x14ac:dyDescent="0.15">
      <c r="F870">
        <f t="shared" si="157"/>
        <v>124</v>
      </c>
      <c r="G870">
        <v>867</v>
      </c>
      <c r="H870">
        <f t="shared" si="158"/>
        <v>5.4302507743890307E+24</v>
      </c>
      <c r="I870">
        <f t="shared" si="159"/>
        <v>5.4302507743890296E+24</v>
      </c>
      <c r="J870" s="1">
        <f t="shared" si="160"/>
        <v>1</v>
      </c>
      <c r="K870" s="1">
        <f t="shared" si="161"/>
        <v>5.4302507743890296E+24</v>
      </c>
      <c r="L870" s="1">
        <f t="shared" si="162"/>
        <v>2.7440867246579224E+24</v>
      </c>
      <c r="M870" s="3">
        <f t="shared" si="163"/>
        <v>61170693116.038132</v>
      </c>
      <c r="N870" s="7">
        <f t="shared" si="168"/>
        <v>2.7440867246579197E+24</v>
      </c>
      <c r="O870" s="7">
        <f t="shared" si="164"/>
        <v>61170693116</v>
      </c>
      <c r="P870" s="3">
        <f>SUM($O$4:O870)</f>
        <v>3644509600826</v>
      </c>
      <c r="Y870" s="3">
        <f t="shared" si="165"/>
        <v>867</v>
      </c>
      <c r="Z870" s="3">
        <f t="shared" si="166"/>
        <v>2.03770537541565E+21</v>
      </c>
      <c r="AB870" s="7">
        <f t="shared" si="167"/>
        <v>13040</v>
      </c>
    </row>
    <row r="871" spans="6:28" x14ac:dyDescent="0.15">
      <c r="F871">
        <f t="shared" si="157"/>
        <v>124</v>
      </c>
      <c r="G871">
        <v>868</v>
      </c>
      <c r="H871">
        <f t="shared" si="158"/>
        <v>5.4302507743890307E+24</v>
      </c>
      <c r="I871">
        <f t="shared" si="159"/>
        <v>5.4302507743890296E+24</v>
      </c>
      <c r="J871" s="1">
        <f t="shared" si="160"/>
        <v>7</v>
      </c>
      <c r="K871" s="1">
        <f t="shared" si="161"/>
        <v>3.8011755420723206E+25</v>
      </c>
      <c r="L871" s="1">
        <f t="shared" si="162"/>
        <v>1.9208607072605461E+25</v>
      </c>
      <c r="M871" s="3">
        <f t="shared" si="163"/>
        <v>428194851812.26703</v>
      </c>
      <c r="N871" s="7">
        <f t="shared" si="168"/>
        <v>1.92086070726055E+25</v>
      </c>
      <c r="O871" s="7">
        <f t="shared" si="164"/>
        <v>428194851812</v>
      </c>
      <c r="P871" s="3">
        <f>SUM($O$4:O871)</f>
        <v>4072704452638</v>
      </c>
      <c r="Y871" s="3">
        <f t="shared" si="165"/>
        <v>868</v>
      </c>
      <c r="Z871" s="3">
        <f t="shared" si="166"/>
        <v>2.1420584534646199E+21</v>
      </c>
      <c r="AB871" s="7">
        <f t="shared" si="167"/>
        <v>13040</v>
      </c>
    </row>
    <row r="872" spans="6:28" x14ac:dyDescent="0.15">
      <c r="F872">
        <f t="shared" si="157"/>
        <v>125</v>
      </c>
      <c r="G872">
        <v>869</v>
      </c>
      <c r="H872">
        <f t="shared" si="158"/>
        <v>8.525493715790779E+24</v>
      </c>
      <c r="I872">
        <f t="shared" si="159"/>
        <v>8.5254937157907801E+24</v>
      </c>
      <c r="J872" s="1">
        <f t="shared" si="160"/>
        <v>1</v>
      </c>
      <c r="K872" s="1">
        <f t="shared" si="161"/>
        <v>8.5254937157907801E+24</v>
      </c>
      <c r="L872" s="1">
        <f t="shared" si="162"/>
        <v>4.3337926388603137E+24</v>
      </c>
      <c r="M872" s="3">
        <f t="shared" si="163"/>
        <v>74313949661.596497</v>
      </c>
      <c r="N872" s="7">
        <f t="shared" si="168"/>
        <v>4.3337926388603099E+24</v>
      </c>
      <c r="O872" s="7">
        <f t="shared" si="164"/>
        <v>74313949661</v>
      </c>
      <c r="P872" s="3">
        <f>SUM($O$4:O872)</f>
        <v>4147018402299</v>
      </c>
      <c r="Y872" s="3">
        <f t="shared" si="165"/>
        <v>869</v>
      </c>
      <c r="Z872" s="3">
        <f t="shared" si="166"/>
        <v>2.2517525758799399E+21</v>
      </c>
      <c r="AB872" s="7">
        <f t="shared" si="167"/>
        <v>13040</v>
      </c>
    </row>
    <row r="873" spans="6:28" x14ac:dyDescent="0.15">
      <c r="F873">
        <f t="shared" si="157"/>
        <v>125</v>
      </c>
      <c r="G873">
        <v>870</v>
      </c>
      <c r="H873">
        <f t="shared" si="158"/>
        <v>8.525493715790779E+24</v>
      </c>
      <c r="I873">
        <f t="shared" si="159"/>
        <v>8.5254937157907801E+24</v>
      </c>
      <c r="J873" s="1">
        <f t="shared" si="160"/>
        <v>1</v>
      </c>
      <c r="K873" s="1">
        <f t="shared" si="161"/>
        <v>8.5254937157907801E+24</v>
      </c>
      <c r="L873" s="1">
        <f t="shared" si="162"/>
        <v>4.3337926388603137E+24</v>
      </c>
      <c r="M873" s="3">
        <f t="shared" si="163"/>
        <v>74313949661.596497</v>
      </c>
      <c r="N873" s="7">
        <f t="shared" si="168"/>
        <v>4.3337926388603099E+24</v>
      </c>
      <c r="O873" s="7">
        <f t="shared" si="164"/>
        <v>74313949661</v>
      </c>
      <c r="P873" s="3">
        <f>SUM($O$4:O873)</f>
        <v>4221332351960</v>
      </c>
      <c r="Y873" s="3">
        <f t="shared" si="165"/>
        <v>870</v>
      </c>
      <c r="Z873" s="3">
        <f t="shared" si="166"/>
        <v>2.3670609644031401E+21</v>
      </c>
      <c r="AB873" s="7">
        <f t="shared" si="167"/>
        <v>13040</v>
      </c>
    </row>
    <row r="874" spans="6:28" x14ac:dyDescent="0.15">
      <c r="F874">
        <f t="shared" si="157"/>
        <v>125</v>
      </c>
      <c r="G874">
        <v>871</v>
      </c>
      <c r="H874">
        <f t="shared" si="158"/>
        <v>8.525493715790779E+24</v>
      </c>
      <c r="I874">
        <f t="shared" si="159"/>
        <v>8.5254937157907801E+24</v>
      </c>
      <c r="J874" s="1">
        <f t="shared" si="160"/>
        <v>1</v>
      </c>
      <c r="K874" s="1">
        <f t="shared" si="161"/>
        <v>8.5254937157907801E+24</v>
      </c>
      <c r="L874" s="1">
        <f t="shared" si="162"/>
        <v>4.3337926388603137E+24</v>
      </c>
      <c r="M874" s="3">
        <f t="shared" si="163"/>
        <v>74313949661.596497</v>
      </c>
      <c r="N874" s="7">
        <f t="shared" si="168"/>
        <v>4.3337926388603099E+24</v>
      </c>
      <c r="O874" s="7">
        <f t="shared" si="164"/>
        <v>74313949661</v>
      </c>
      <c r="P874" s="3">
        <f>SUM($O$4:O874)</f>
        <v>4295646301621</v>
      </c>
      <c r="Y874" s="3">
        <f t="shared" si="165"/>
        <v>871</v>
      </c>
      <c r="Z874" s="3">
        <f t="shared" si="166"/>
        <v>2.4882708103389601E+21</v>
      </c>
      <c r="AB874" s="7">
        <f t="shared" si="167"/>
        <v>13040</v>
      </c>
    </row>
    <row r="875" spans="6:28" x14ac:dyDescent="0.15">
      <c r="F875">
        <f t="shared" si="157"/>
        <v>125</v>
      </c>
      <c r="G875">
        <v>872</v>
      </c>
      <c r="H875">
        <f t="shared" si="158"/>
        <v>8.525493715790779E+24</v>
      </c>
      <c r="I875">
        <f t="shared" si="159"/>
        <v>8.5254937157907801E+24</v>
      </c>
      <c r="J875" s="1">
        <f t="shared" si="160"/>
        <v>1</v>
      </c>
      <c r="K875" s="1">
        <f t="shared" si="161"/>
        <v>8.5254937157907801E+24</v>
      </c>
      <c r="L875" s="1">
        <f t="shared" si="162"/>
        <v>4.3337926388603137E+24</v>
      </c>
      <c r="M875" s="3">
        <f t="shared" si="163"/>
        <v>74313949661.596497</v>
      </c>
      <c r="N875" s="7">
        <f t="shared" si="168"/>
        <v>4.3337926388603099E+24</v>
      </c>
      <c r="O875" s="7">
        <f t="shared" si="164"/>
        <v>74313949661</v>
      </c>
      <c r="P875" s="3">
        <f>SUM($O$4:O875)</f>
        <v>4369960251282</v>
      </c>
      <c r="Y875" s="3">
        <f t="shared" si="165"/>
        <v>872</v>
      </c>
      <c r="Z875" s="3">
        <f t="shared" si="166"/>
        <v>2.6156839884573397E+21</v>
      </c>
      <c r="AB875" s="7">
        <f t="shared" si="167"/>
        <v>13040</v>
      </c>
    </row>
    <row r="876" spans="6:28" x14ac:dyDescent="0.15">
      <c r="F876">
        <f t="shared" si="157"/>
        <v>125</v>
      </c>
      <c r="G876">
        <v>873</v>
      </c>
      <c r="H876">
        <f t="shared" si="158"/>
        <v>8.525493715790779E+24</v>
      </c>
      <c r="I876">
        <f t="shared" si="159"/>
        <v>8.5254937157907801E+24</v>
      </c>
      <c r="J876" s="1">
        <f t="shared" si="160"/>
        <v>1</v>
      </c>
      <c r="K876" s="1">
        <f t="shared" si="161"/>
        <v>8.5254937157907801E+24</v>
      </c>
      <c r="L876" s="1">
        <f t="shared" si="162"/>
        <v>4.3337926388603137E+24</v>
      </c>
      <c r="M876" s="3">
        <f t="shared" si="163"/>
        <v>74313949661.596497</v>
      </c>
      <c r="N876" s="7">
        <f t="shared" si="168"/>
        <v>4.3337926388603099E+24</v>
      </c>
      <c r="O876" s="7">
        <f t="shared" si="164"/>
        <v>74313949661</v>
      </c>
      <c r="P876" s="3">
        <f>SUM($O$4:O876)</f>
        <v>4444274200943</v>
      </c>
      <c r="Y876" s="3">
        <f t="shared" si="165"/>
        <v>873</v>
      </c>
      <c r="Z876" s="3">
        <f t="shared" si="166"/>
        <v>2.7496178073617302E+21</v>
      </c>
      <c r="AB876" s="7">
        <f t="shared" si="167"/>
        <v>13040</v>
      </c>
    </row>
    <row r="877" spans="6:28" x14ac:dyDescent="0.15">
      <c r="F877">
        <f t="shared" si="157"/>
        <v>125</v>
      </c>
      <c r="G877">
        <v>874</v>
      </c>
      <c r="H877">
        <f t="shared" si="158"/>
        <v>8.525493715790779E+24</v>
      </c>
      <c r="I877">
        <f t="shared" si="159"/>
        <v>8.5254937157907801E+24</v>
      </c>
      <c r="J877" s="1">
        <f t="shared" si="160"/>
        <v>1</v>
      </c>
      <c r="K877" s="1">
        <f t="shared" si="161"/>
        <v>8.5254937157907801E+24</v>
      </c>
      <c r="L877" s="1">
        <f t="shared" si="162"/>
        <v>4.3337926388603137E+24</v>
      </c>
      <c r="M877" s="3">
        <f t="shared" si="163"/>
        <v>74313949661.596497</v>
      </c>
      <c r="N877" s="7">
        <f t="shared" si="168"/>
        <v>4.3337926388603099E+24</v>
      </c>
      <c r="O877" s="7">
        <f t="shared" si="164"/>
        <v>74313949661</v>
      </c>
      <c r="P877" s="3">
        <f>SUM($O$4:O877)</f>
        <v>4518588150604</v>
      </c>
      <c r="Y877" s="3">
        <f t="shared" si="165"/>
        <v>874</v>
      </c>
      <c r="Z877" s="3">
        <f t="shared" si="166"/>
        <v>2.8904057981853997E+21</v>
      </c>
      <c r="AB877" s="7">
        <f t="shared" si="167"/>
        <v>13040</v>
      </c>
    </row>
    <row r="878" spans="6:28" x14ac:dyDescent="0.15">
      <c r="F878">
        <f t="shared" si="157"/>
        <v>125</v>
      </c>
      <c r="G878">
        <v>875</v>
      </c>
      <c r="H878">
        <f t="shared" si="158"/>
        <v>8.525493715790779E+24</v>
      </c>
      <c r="I878">
        <f t="shared" si="159"/>
        <v>8.5254937157907801E+24</v>
      </c>
      <c r="J878" s="1">
        <f t="shared" si="160"/>
        <v>10</v>
      </c>
      <c r="K878" s="1">
        <f t="shared" si="161"/>
        <v>8.5254937157907801E+25</v>
      </c>
      <c r="L878" s="1">
        <f t="shared" si="162"/>
        <v>4.3337926388603128E+25</v>
      </c>
      <c r="M878" s="3">
        <f t="shared" si="163"/>
        <v>743139496615.96484</v>
      </c>
      <c r="N878" s="7">
        <f t="shared" si="168"/>
        <v>4.3337926388603102E+25</v>
      </c>
      <c r="O878" s="7">
        <f t="shared" si="164"/>
        <v>743139496615</v>
      </c>
      <c r="P878" s="3">
        <f>SUM($O$4:O878)</f>
        <v>5261727647219</v>
      </c>
      <c r="Y878" s="3">
        <f t="shared" si="165"/>
        <v>875</v>
      </c>
      <c r="Z878" s="3">
        <f t="shared" si="166"/>
        <v>3.03839854357304E+21</v>
      </c>
      <c r="AB878" s="7">
        <f t="shared" si="167"/>
        <v>13040</v>
      </c>
    </row>
    <row r="879" spans="6:28" x14ac:dyDescent="0.15">
      <c r="F879">
        <f t="shared" si="157"/>
        <v>126</v>
      </c>
      <c r="G879">
        <v>876</v>
      </c>
      <c r="H879">
        <f t="shared" si="158"/>
        <v>1.3385025133791526E+25</v>
      </c>
      <c r="I879">
        <f t="shared" si="159"/>
        <v>1.33850251337915E+25</v>
      </c>
      <c r="J879" s="1">
        <f t="shared" si="160"/>
        <v>1</v>
      </c>
      <c r="K879" s="1">
        <f t="shared" si="161"/>
        <v>1.33850251337915E+25</v>
      </c>
      <c r="L879" s="1">
        <f t="shared" si="162"/>
        <v>6.8442095184120546E+24</v>
      </c>
      <c r="M879" s="3">
        <f t="shared" si="163"/>
        <v>90278047962.671097</v>
      </c>
      <c r="N879" s="7">
        <f t="shared" si="168"/>
        <v>6.8442095184120503E+24</v>
      </c>
      <c r="O879" s="7">
        <f t="shared" si="164"/>
        <v>90278047962</v>
      </c>
      <c r="P879" s="3">
        <f>SUM($O$4:O879)</f>
        <v>5352005695181</v>
      </c>
      <c r="Y879" s="3">
        <f t="shared" si="165"/>
        <v>876</v>
      </c>
      <c r="Z879" s="3">
        <f t="shared" si="166"/>
        <v>3.1939645490039798E+21</v>
      </c>
      <c r="AB879" s="7">
        <f t="shared" si="167"/>
        <v>13040</v>
      </c>
    </row>
    <row r="880" spans="6:28" x14ac:dyDescent="0.15">
      <c r="F880">
        <f t="shared" si="157"/>
        <v>126</v>
      </c>
      <c r="G880">
        <v>877</v>
      </c>
      <c r="H880">
        <f t="shared" si="158"/>
        <v>1.3385025133791526E+25</v>
      </c>
      <c r="I880">
        <f t="shared" si="159"/>
        <v>1.33850251337915E+25</v>
      </c>
      <c r="J880" s="1">
        <f t="shared" si="160"/>
        <v>1</v>
      </c>
      <c r="K880" s="1">
        <f t="shared" si="161"/>
        <v>1.33850251337915E+25</v>
      </c>
      <c r="L880" s="1">
        <f t="shared" si="162"/>
        <v>6.8442095184120546E+24</v>
      </c>
      <c r="M880" s="3">
        <f t="shared" si="163"/>
        <v>90278047962.671097</v>
      </c>
      <c r="N880" s="7">
        <f t="shared" si="168"/>
        <v>6.8442095184120503E+24</v>
      </c>
      <c r="O880" s="7">
        <f t="shared" si="164"/>
        <v>90278047962</v>
      </c>
      <c r="P880" s="3">
        <f>SUM($O$4:O880)</f>
        <v>5442283743143</v>
      </c>
      <c r="Y880" s="3">
        <f t="shared" si="165"/>
        <v>877</v>
      </c>
      <c r="Z880" s="3">
        <f t="shared" si="166"/>
        <v>3.3574911586190801E+21</v>
      </c>
      <c r="AB880" s="7">
        <f t="shared" si="167"/>
        <v>13040</v>
      </c>
    </row>
    <row r="881" spans="6:28" x14ac:dyDescent="0.15">
      <c r="F881">
        <f t="shared" si="157"/>
        <v>126</v>
      </c>
      <c r="G881">
        <v>878</v>
      </c>
      <c r="H881">
        <f t="shared" si="158"/>
        <v>1.3385025133791526E+25</v>
      </c>
      <c r="I881">
        <f t="shared" si="159"/>
        <v>1.33850251337915E+25</v>
      </c>
      <c r="J881" s="1">
        <f t="shared" si="160"/>
        <v>1</v>
      </c>
      <c r="K881" s="1">
        <f t="shared" si="161"/>
        <v>1.33850251337915E+25</v>
      </c>
      <c r="L881" s="1">
        <f t="shared" si="162"/>
        <v>6.8442095184120546E+24</v>
      </c>
      <c r="M881" s="3">
        <f t="shared" si="163"/>
        <v>90278047962.671097</v>
      </c>
      <c r="N881" s="7">
        <f t="shared" si="168"/>
        <v>6.8442095184120503E+24</v>
      </c>
      <c r="O881" s="7">
        <f t="shared" si="164"/>
        <v>90278047962</v>
      </c>
      <c r="P881" s="3">
        <f>SUM($O$4:O881)</f>
        <v>5532561791105</v>
      </c>
      <c r="Y881" s="3">
        <f t="shared" si="165"/>
        <v>878</v>
      </c>
      <c r="Z881" s="3">
        <f t="shared" si="166"/>
        <v>3.5293855178231801E+21</v>
      </c>
      <c r="AB881" s="7">
        <f t="shared" si="167"/>
        <v>13040</v>
      </c>
    </row>
    <row r="882" spans="6:28" x14ac:dyDescent="0.15">
      <c r="F882">
        <f t="shared" si="157"/>
        <v>126</v>
      </c>
      <c r="G882">
        <v>879</v>
      </c>
      <c r="H882">
        <f t="shared" si="158"/>
        <v>1.3385025133791526E+25</v>
      </c>
      <c r="I882">
        <f t="shared" si="159"/>
        <v>1.33850251337915E+25</v>
      </c>
      <c r="J882" s="1">
        <f t="shared" si="160"/>
        <v>1</v>
      </c>
      <c r="K882" s="1">
        <f t="shared" si="161"/>
        <v>1.33850251337915E+25</v>
      </c>
      <c r="L882" s="1">
        <f t="shared" si="162"/>
        <v>6.8442095184120546E+24</v>
      </c>
      <c r="M882" s="3">
        <f t="shared" si="163"/>
        <v>90278047962.671097</v>
      </c>
      <c r="N882" s="7">
        <f t="shared" si="168"/>
        <v>6.8442095184120503E+24</v>
      </c>
      <c r="O882" s="7">
        <f t="shared" si="164"/>
        <v>90278047962</v>
      </c>
      <c r="P882" s="3">
        <f>SUM($O$4:O882)</f>
        <v>5622839839067</v>
      </c>
      <c r="Y882" s="3">
        <f t="shared" si="165"/>
        <v>879</v>
      </c>
      <c r="Z882" s="3">
        <f t="shared" si="166"/>
        <v>3.71007558505115E+21</v>
      </c>
      <c r="AB882" s="7">
        <f t="shared" si="167"/>
        <v>13040</v>
      </c>
    </row>
    <row r="883" spans="6:28" x14ac:dyDescent="0.15">
      <c r="F883">
        <f t="shared" si="157"/>
        <v>126</v>
      </c>
      <c r="G883">
        <v>880</v>
      </c>
      <c r="H883">
        <f t="shared" si="158"/>
        <v>1.3385025133791526E+25</v>
      </c>
      <c r="I883">
        <f t="shared" si="159"/>
        <v>1.33850251337915E+25</v>
      </c>
      <c r="J883" s="1">
        <f t="shared" si="160"/>
        <v>1</v>
      </c>
      <c r="K883" s="1">
        <f t="shared" si="161"/>
        <v>1.33850251337915E+25</v>
      </c>
      <c r="L883" s="1">
        <f t="shared" si="162"/>
        <v>6.8442095184120546E+24</v>
      </c>
      <c r="M883" s="3">
        <f t="shared" si="163"/>
        <v>90278047962.671097</v>
      </c>
      <c r="N883" s="7">
        <f t="shared" si="168"/>
        <v>6.8442095184120503E+24</v>
      </c>
      <c r="O883" s="7">
        <f t="shared" si="164"/>
        <v>90278047962</v>
      </c>
      <c r="P883" s="3">
        <f>SUM($O$4:O883)</f>
        <v>5713117887029</v>
      </c>
      <c r="Y883" s="3">
        <f t="shared" si="165"/>
        <v>880</v>
      </c>
      <c r="Z883" s="3">
        <f t="shared" si="166"/>
        <v>3.90001119520735E+21</v>
      </c>
      <c r="AB883" s="7">
        <f t="shared" si="167"/>
        <v>13040</v>
      </c>
    </row>
    <row r="884" spans="6:28" x14ac:dyDescent="0.15">
      <c r="F884">
        <f t="shared" si="157"/>
        <v>126</v>
      </c>
      <c r="G884">
        <v>881</v>
      </c>
      <c r="H884">
        <f t="shared" si="158"/>
        <v>1.3385025133791526E+25</v>
      </c>
      <c r="I884">
        <f t="shared" si="159"/>
        <v>1.33850251337915E+25</v>
      </c>
      <c r="J884" s="1">
        <f t="shared" si="160"/>
        <v>1</v>
      </c>
      <c r="K884" s="1">
        <f t="shared" si="161"/>
        <v>1.33850251337915E+25</v>
      </c>
      <c r="L884" s="1">
        <f t="shared" si="162"/>
        <v>6.8442095184120546E+24</v>
      </c>
      <c r="M884" s="3">
        <f t="shared" si="163"/>
        <v>90278047962.671097</v>
      </c>
      <c r="N884" s="7">
        <f t="shared" si="168"/>
        <v>6.8442095184120503E+24</v>
      </c>
      <c r="O884" s="7">
        <f t="shared" si="164"/>
        <v>90278047962</v>
      </c>
      <c r="P884" s="3">
        <f>SUM($O$4:O884)</f>
        <v>5803395934991</v>
      </c>
      <c r="Y884" s="3">
        <f t="shared" si="165"/>
        <v>881</v>
      </c>
      <c r="Z884" s="3">
        <f t="shared" si="166"/>
        <v>4.0996651774165401E+21</v>
      </c>
      <c r="AB884" s="7">
        <f t="shared" si="167"/>
        <v>13040</v>
      </c>
    </row>
    <row r="885" spans="6:28" x14ac:dyDescent="0.15">
      <c r="F885">
        <f t="shared" si="157"/>
        <v>126</v>
      </c>
      <c r="G885">
        <v>882</v>
      </c>
      <c r="H885">
        <f t="shared" si="158"/>
        <v>1.3385025133791526E+25</v>
      </c>
      <c r="I885">
        <f t="shared" si="159"/>
        <v>1.33850251337915E+25</v>
      </c>
      <c r="J885" s="1">
        <f t="shared" si="160"/>
        <v>2</v>
      </c>
      <c r="K885" s="1">
        <f t="shared" si="161"/>
        <v>2.6770050267583001E+25</v>
      </c>
      <c r="L885" s="1">
        <f t="shared" si="162"/>
        <v>1.3688419036824109E+25</v>
      </c>
      <c r="M885" s="3">
        <f t="shared" si="163"/>
        <v>180556095925.34219</v>
      </c>
      <c r="N885" s="7">
        <f t="shared" si="168"/>
        <v>1.3688419036824101E+25</v>
      </c>
      <c r="O885" s="7">
        <f t="shared" si="164"/>
        <v>180556095925</v>
      </c>
      <c r="P885" s="3">
        <f>SUM($O$4:O885)</f>
        <v>5983952030916</v>
      </c>
      <c r="Y885" s="3">
        <f t="shared" si="165"/>
        <v>882</v>
      </c>
      <c r="Z885" s="3">
        <f t="shared" si="166"/>
        <v>4.30953452985864E+21</v>
      </c>
      <c r="AB885" s="7">
        <f t="shared" si="167"/>
        <v>13040</v>
      </c>
    </row>
    <row r="886" spans="6:28" x14ac:dyDescent="0.15">
      <c r="F886">
        <f t="shared" si="157"/>
        <v>127</v>
      </c>
      <c r="G886">
        <v>883</v>
      </c>
      <c r="H886">
        <f t="shared" si="158"/>
        <v>2.1014489460052694E+25</v>
      </c>
      <c r="I886">
        <f t="shared" si="159"/>
        <v>2.1014489460052698E+25</v>
      </c>
      <c r="J886" s="1">
        <f t="shared" si="160"/>
        <v>1</v>
      </c>
      <c r="K886" s="1">
        <f t="shared" si="161"/>
        <v>2.1014489460052698E+25</v>
      </c>
      <c r="L886" s="1">
        <f t="shared" si="162"/>
        <v>1.0808452412287105E+25</v>
      </c>
      <c r="M886" s="3">
        <f t="shared" si="163"/>
        <v>109667773528.25734</v>
      </c>
      <c r="N886" s="7">
        <f t="shared" si="168"/>
        <v>1.0808452412287101E+25</v>
      </c>
      <c r="O886" s="7">
        <f t="shared" si="164"/>
        <v>109667773528</v>
      </c>
      <c r="P886" s="3">
        <f>SUM($O$4:O886)</f>
        <v>6093619804444</v>
      </c>
      <c r="Y886" s="3">
        <f t="shared" si="165"/>
        <v>883</v>
      </c>
      <c r="Z886" s="3">
        <f t="shared" si="166"/>
        <v>4.5301416546014001E+21</v>
      </c>
      <c r="AB886" s="7">
        <f t="shared" si="167"/>
        <v>13040</v>
      </c>
    </row>
    <row r="887" spans="6:28" x14ac:dyDescent="0.15">
      <c r="F887">
        <f t="shared" si="157"/>
        <v>127</v>
      </c>
      <c r="G887">
        <v>884</v>
      </c>
      <c r="H887">
        <f t="shared" si="158"/>
        <v>2.1014489460052694E+25</v>
      </c>
      <c r="I887">
        <f t="shared" si="159"/>
        <v>2.1014489460052698E+25</v>
      </c>
      <c r="J887" s="1">
        <f t="shared" si="160"/>
        <v>1</v>
      </c>
      <c r="K887" s="1">
        <f t="shared" si="161"/>
        <v>2.1014489460052698E+25</v>
      </c>
      <c r="L887" s="1">
        <f t="shared" si="162"/>
        <v>1.0808452412287105E+25</v>
      </c>
      <c r="M887" s="3">
        <f t="shared" si="163"/>
        <v>109667773528.25734</v>
      </c>
      <c r="N887" s="7">
        <f t="shared" si="168"/>
        <v>1.0808452412287101E+25</v>
      </c>
      <c r="O887" s="7">
        <f t="shared" si="164"/>
        <v>109667773528</v>
      </c>
      <c r="P887" s="3">
        <f>SUM($O$4:O887)</f>
        <v>6203287577972</v>
      </c>
      <c r="Y887" s="3">
        <f t="shared" si="165"/>
        <v>884</v>
      </c>
      <c r="Z887" s="3">
        <f t="shared" si="166"/>
        <v>4.7620356554937996E+21</v>
      </c>
      <c r="AB887" s="7">
        <f t="shared" si="167"/>
        <v>13040</v>
      </c>
    </row>
    <row r="888" spans="6:28" x14ac:dyDescent="0.15">
      <c r="F888">
        <f t="shared" si="157"/>
        <v>127</v>
      </c>
      <c r="G888">
        <v>885</v>
      </c>
      <c r="H888">
        <f t="shared" si="158"/>
        <v>2.1014489460052694E+25</v>
      </c>
      <c r="I888">
        <f t="shared" si="159"/>
        <v>2.1014489460052698E+25</v>
      </c>
      <c r="J888" s="1">
        <f t="shared" si="160"/>
        <v>1</v>
      </c>
      <c r="K888" s="1">
        <f t="shared" si="161"/>
        <v>2.1014489460052698E+25</v>
      </c>
      <c r="L888" s="1">
        <f t="shared" si="162"/>
        <v>1.0808452412287105E+25</v>
      </c>
      <c r="M888" s="3">
        <f t="shared" si="163"/>
        <v>109667773528.25734</v>
      </c>
      <c r="N888" s="7">
        <f t="shared" si="168"/>
        <v>1.0808452412287101E+25</v>
      </c>
      <c r="O888" s="7">
        <f t="shared" si="164"/>
        <v>109667773528</v>
      </c>
      <c r="P888" s="3">
        <f>SUM($O$4:O888)</f>
        <v>6312955351500</v>
      </c>
      <c r="Y888" s="3">
        <f t="shared" si="165"/>
        <v>885</v>
      </c>
      <c r="Z888" s="3">
        <f t="shared" si="166"/>
        <v>5.0057937023389296E+21</v>
      </c>
      <c r="AB888" s="7">
        <f t="shared" si="167"/>
        <v>13040</v>
      </c>
    </row>
    <row r="889" spans="6:28" x14ac:dyDescent="0.15">
      <c r="F889">
        <f t="shared" si="157"/>
        <v>127</v>
      </c>
      <c r="G889">
        <v>886</v>
      </c>
      <c r="H889">
        <f t="shared" si="158"/>
        <v>2.1014489460052694E+25</v>
      </c>
      <c r="I889">
        <f t="shared" si="159"/>
        <v>2.1014489460052698E+25</v>
      </c>
      <c r="J889" s="1">
        <f t="shared" si="160"/>
        <v>1</v>
      </c>
      <c r="K889" s="1">
        <f t="shared" si="161"/>
        <v>2.1014489460052698E+25</v>
      </c>
      <c r="L889" s="1">
        <f t="shared" si="162"/>
        <v>1.0808452412287105E+25</v>
      </c>
      <c r="M889" s="3">
        <f t="shared" si="163"/>
        <v>109667773528.25734</v>
      </c>
      <c r="N889" s="7">
        <f t="shared" si="168"/>
        <v>1.0808452412287101E+25</v>
      </c>
      <c r="O889" s="7">
        <f t="shared" si="164"/>
        <v>109667773528</v>
      </c>
      <c r="P889" s="3">
        <f>SUM($O$4:O889)</f>
        <v>6422623125028</v>
      </c>
      <c r="Y889" s="3">
        <f t="shared" si="165"/>
        <v>886</v>
      </c>
      <c r="Z889" s="3">
        <f t="shared" si="166"/>
        <v>5.2620224647298296E+21</v>
      </c>
      <c r="AB889" s="7">
        <f t="shared" si="167"/>
        <v>13040</v>
      </c>
    </row>
    <row r="890" spans="6:28" x14ac:dyDescent="0.15">
      <c r="F890">
        <f t="shared" si="157"/>
        <v>127</v>
      </c>
      <c r="G890">
        <v>887</v>
      </c>
      <c r="H890">
        <f t="shared" si="158"/>
        <v>2.1014489460052694E+25</v>
      </c>
      <c r="I890">
        <f t="shared" si="159"/>
        <v>2.1014489460052698E+25</v>
      </c>
      <c r="J890" s="1">
        <f t="shared" si="160"/>
        <v>1</v>
      </c>
      <c r="K890" s="1">
        <f t="shared" si="161"/>
        <v>2.1014489460052698E+25</v>
      </c>
      <c r="L890" s="1">
        <f t="shared" si="162"/>
        <v>1.0808452412287105E+25</v>
      </c>
      <c r="M890" s="3">
        <f t="shared" si="163"/>
        <v>109667773528.25734</v>
      </c>
      <c r="N890" s="7">
        <f t="shared" si="168"/>
        <v>1.0808452412287101E+25</v>
      </c>
      <c r="O890" s="7">
        <f t="shared" si="164"/>
        <v>109667773528</v>
      </c>
      <c r="P890" s="3">
        <f>SUM($O$4:O890)</f>
        <v>6532290898556</v>
      </c>
      <c r="Y890" s="3">
        <f t="shared" si="165"/>
        <v>887</v>
      </c>
      <c r="Z890" s="3">
        <f t="shared" si="166"/>
        <v>5.53135961910399E+21</v>
      </c>
      <c r="AB890" s="7">
        <f t="shared" si="167"/>
        <v>13040</v>
      </c>
    </row>
    <row r="891" spans="6:28" x14ac:dyDescent="0.15">
      <c r="F891">
        <f t="shared" si="157"/>
        <v>127</v>
      </c>
      <c r="G891">
        <v>888</v>
      </c>
      <c r="H891">
        <f t="shared" si="158"/>
        <v>2.1014489460052694E+25</v>
      </c>
      <c r="I891">
        <f t="shared" si="159"/>
        <v>2.1014489460052698E+25</v>
      </c>
      <c r="J891" s="1">
        <f t="shared" si="160"/>
        <v>1</v>
      </c>
      <c r="K891" s="1">
        <f t="shared" si="161"/>
        <v>2.1014489460052698E+25</v>
      </c>
      <c r="L891" s="1">
        <f t="shared" si="162"/>
        <v>1.0808452412287105E+25</v>
      </c>
      <c r="M891" s="3">
        <f t="shared" si="163"/>
        <v>109667773528.25734</v>
      </c>
      <c r="N891" s="7">
        <f t="shared" si="168"/>
        <v>1.0808452412287101E+25</v>
      </c>
      <c r="O891" s="7">
        <f t="shared" si="164"/>
        <v>109667773528</v>
      </c>
      <c r="P891" s="3">
        <f>SUM($O$4:O891)</f>
        <v>6641958672084</v>
      </c>
      <c r="Y891" s="3">
        <f t="shared" si="165"/>
        <v>888</v>
      </c>
      <c r="Z891" s="3">
        <f t="shared" si="166"/>
        <v>5.8144754327537299E+21</v>
      </c>
      <c r="AB891" s="7">
        <f t="shared" si="167"/>
        <v>13040</v>
      </c>
    </row>
    <row r="892" spans="6:28" x14ac:dyDescent="0.15">
      <c r="F892">
        <f t="shared" si="157"/>
        <v>127</v>
      </c>
      <c r="G892">
        <v>889</v>
      </c>
      <c r="H892">
        <f t="shared" si="158"/>
        <v>2.1014489460052694E+25</v>
      </c>
      <c r="I892">
        <f t="shared" si="159"/>
        <v>2.1014489460052698E+25</v>
      </c>
      <c r="J892" s="1">
        <f t="shared" si="160"/>
        <v>4</v>
      </c>
      <c r="K892" s="1">
        <f t="shared" si="161"/>
        <v>8.4057957840210793E+25</v>
      </c>
      <c r="L892" s="1">
        <f t="shared" si="162"/>
        <v>4.323380964914842E+25</v>
      </c>
      <c r="M892" s="3">
        <f t="shared" si="163"/>
        <v>438671094113.02936</v>
      </c>
      <c r="N892" s="7">
        <f t="shared" si="168"/>
        <v>4.3233809649148402E+25</v>
      </c>
      <c r="O892" s="7">
        <f t="shared" si="164"/>
        <v>438671094113</v>
      </c>
      <c r="P892" s="3">
        <f>SUM($O$4:O892)</f>
        <v>7080629766197</v>
      </c>
      <c r="Y892" s="3">
        <f t="shared" si="165"/>
        <v>889</v>
      </c>
      <c r="Z892" s="3">
        <f t="shared" si="166"/>
        <v>6.1120744287206795E+21</v>
      </c>
      <c r="AB892" s="7">
        <f t="shared" si="167"/>
        <v>13040</v>
      </c>
    </row>
    <row r="893" spans="6:28" x14ac:dyDescent="0.15">
      <c r="F893">
        <f t="shared" si="157"/>
        <v>128</v>
      </c>
      <c r="G893">
        <v>890</v>
      </c>
      <c r="H893">
        <f t="shared" si="158"/>
        <v>3.2992748452282717E+25</v>
      </c>
      <c r="I893">
        <f t="shared" si="159"/>
        <v>3.29927484522827E+25</v>
      </c>
      <c r="J893" s="1">
        <f t="shared" si="160"/>
        <v>1</v>
      </c>
      <c r="K893" s="1">
        <f t="shared" si="161"/>
        <v>3.29927484522827E+25</v>
      </c>
      <c r="L893" s="1">
        <f t="shared" si="162"/>
        <v>1.7068248532647583E+25</v>
      </c>
      <c r="M893" s="3">
        <f t="shared" si="163"/>
        <v>133217450366.36554</v>
      </c>
      <c r="N893" s="7">
        <f t="shared" si="168"/>
        <v>1.70682485326476E+25</v>
      </c>
      <c r="O893" s="7">
        <f t="shared" si="164"/>
        <v>133217450366</v>
      </c>
      <c r="P893" s="3">
        <f>SUM($O$4:O893)</f>
        <v>7213847216563</v>
      </c>
      <c r="Y893" s="3">
        <f t="shared" si="165"/>
        <v>890</v>
      </c>
      <c r="Z893" s="3">
        <f t="shared" si="166"/>
        <v>6.4248971357024504E+21</v>
      </c>
      <c r="AB893" s="7">
        <f t="shared" si="167"/>
        <v>13040</v>
      </c>
    </row>
    <row r="894" spans="6:28" x14ac:dyDescent="0.15">
      <c r="F894">
        <f t="shared" si="157"/>
        <v>128</v>
      </c>
      <c r="G894">
        <v>891</v>
      </c>
      <c r="H894">
        <f t="shared" si="158"/>
        <v>3.2992748452282717E+25</v>
      </c>
      <c r="I894">
        <f t="shared" si="159"/>
        <v>3.29927484522827E+25</v>
      </c>
      <c r="J894" s="1">
        <f t="shared" si="160"/>
        <v>1</v>
      </c>
      <c r="K894" s="1">
        <f t="shared" si="161"/>
        <v>3.29927484522827E+25</v>
      </c>
      <c r="L894" s="1">
        <f t="shared" si="162"/>
        <v>1.7068248532647583E+25</v>
      </c>
      <c r="M894" s="3">
        <f t="shared" si="163"/>
        <v>133217450366.36554</v>
      </c>
      <c r="N894" s="7">
        <f t="shared" si="168"/>
        <v>1.70682485326476E+25</v>
      </c>
      <c r="O894" s="7">
        <f t="shared" si="164"/>
        <v>133217450366</v>
      </c>
      <c r="P894" s="3">
        <f>SUM($O$4:O894)</f>
        <v>7347064666929</v>
      </c>
      <c r="Y894" s="3">
        <f t="shared" si="165"/>
        <v>891</v>
      </c>
      <c r="Z894" s="3">
        <f t="shared" si="166"/>
        <v>6.7537219273106003E+21</v>
      </c>
      <c r="AB894" s="7">
        <f t="shared" si="167"/>
        <v>13040</v>
      </c>
    </row>
    <row r="895" spans="6:28" x14ac:dyDescent="0.15">
      <c r="F895">
        <f t="shared" si="157"/>
        <v>128</v>
      </c>
      <c r="G895">
        <v>892</v>
      </c>
      <c r="H895">
        <f t="shared" si="158"/>
        <v>3.2992748452282717E+25</v>
      </c>
      <c r="I895">
        <f t="shared" si="159"/>
        <v>3.29927484522827E+25</v>
      </c>
      <c r="J895" s="1">
        <f t="shared" si="160"/>
        <v>1</v>
      </c>
      <c r="K895" s="1">
        <f t="shared" si="161"/>
        <v>3.29927484522827E+25</v>
      </c>
      <c r="L895" s="1">
        <f t="shared" si="162"/>
        <v>1.7068248532647583E+25</v>
      </c>
      <c r="M895" s="3">
        <f t="shared" si="163"/>
        <v>133217450366.36554</v>
      </c>
      <c r="N895" s="7">
        <f t="shared" si="168"/>
        <v>1.70682485326476E+25</v>
      </c>
      <c r="O895" s="7">
        <f t="shared" si="164"/>
        <v>133217450366</v>
      </c>
      <c r="P895" s="3">
        <f>SUM($O$4:O895)</f>
        <v>7480282117295</v>
      </c>
      <c r="Y895" s="3">
        <f t="shared" si="165"/>
        <v>892</v>
      </c>
      <c r="Z895" s="3">
        <f t="shared" si="166"/>
        <v>7.09936695524029E+21</v>
      </c>
      <c r="AB895" s="7">
        <f t="shared" si="167"/>
        <v>13040</v>
      </c>
    </row>
    <row r="896" spans="6:28" x14ac:dyDescent="0.15">
      <c r="F896">
        <f t="shared" si="157"/>
        <v>128</v>
      </c>
      <c r="G896">
        <v>893</v>
      </c>
      <c r="H896">
        <f t="shared" si="158"/>
        <v>3.2992748452282717E+25</v>
      </c>
      <c r="I896">
        <f t="shared" si="159"/>
        <v>3.29927484522827E+25</v>
      </c>
      <c r="J896" s="1">
        <f t="shared" si="160"/>
        <v>1</v>
      </c>
      <c r="K896" s="1">
        <f t="shared" si="161"/>
        <v>3.29927484522827E+25</v>
      </c>
      <c r="L896" s="1">
        <f t="shared" si="162"/>
        <v>1.7068248532647583E+25</v>
      </c>
      <c r="M896" s="3">
        <f t="shared" si="163"/>
        <v>133217450366.36554</v>
      </c>
      <c r="N896" s="7">
        <f t="shared" si="168"/>
        <v>1.70682485326476E+25</v>
      </c>
      <c r="O896" s="7">
        <f t="shared" si="164"/>
        <v>133217450366</v>
      </c>
      <c r="P896" s="3">
        <f>SUM($O$4:O896)</f>
        <v>7613499567661</v>
      </c>
      <c r="Y896" s="3">
        <f t="shared" si="165"/>
        <v>893</v>
      </c>
      <c r="Z896" s="3">
        <f t="shared" si="166"/>
        <v>7.46269218114469E+21</v>
      </c>
      <c r="AB896" s="7">
        <f t="shared" si="167"/>
        <v>13040</v>
      </c>
    </row>
    <row r="897" spans="6:28" x14ac:dyDescent="0.15">
      <c r="F897">
        <f t="shared" si="157"/>
        <v>128</v>
      </c>
      <c r="G897">
        <v>894</v>
      </c>
      <c r="H897">
        <f t="shared" si="158"/>
        <v>3.2992748452282717E+25</v>
      </c>
      <c r="I897">
        <f t="shared" si="159"/>
        <v>3.29927484522827E+25</v>
      </c>
      <c r="J897" s="1">
        <f t="shared" si="160"/>
        <v>1</v>
      </c>
      <c r="K897" s="1">
        <f t="shared" si="161"/>
        <v>3.29927484522827E+25</v>
      </c>
      <c r="L897" s="1">
        <f t="shared" si="162"/>
        <v>1.7068248532647583E+25</v>
      </c>
      <c r="M897" s="3">
        <f t="shared" si="163"/>
        <v>133217450366.36554</v>
      </c>
      <c r="N897" s="7">
        <f t="shared" si="168"/>
        <v>1.70682485326476E+25</v>
      </c>
      <c r="O897" s="7">
        <f t="shared" si="164"/>
        <v>133217450366</v>
      </c>
      <c r="P897" s="3">
        <f>SUM($O$4:O897)</f>
        <v>7746717018027</v>
      </c>
      <c r="Y897" s="3">
        <f t="shared" si="165"/>
        <v>894</v>
      </c>
      <c r="Z897" s="3">
        <f t="shared" si="166"/>
        <v>7.84460151225142E+21</v>
      </c>
      <c r="AB897" s="7">
        <f t="shared" si="167"/>
        <v>13040</v>
      </c>
    </row>
    <row r="898" spans="6:28" x14ac:dyDescent="0.15">
      <c r="F898">
        <f t="shared" si="157"/>
        <v>128</v>
      </c>
      <c r="G898">
        <v>895</v>
      </c>
      <c r="H898">
        <f t="shared" si="158"/>
        <v>3.2992748452282717E+25</v>
      </c>
      <c r="I898">
        <f t="shared" si="159"/>
        <v>3.29927484522827E+25</v>
      </c>
      <c r="J898" s="1">
        <f t="shared" si="160"/>
        <v>1</v>
      </c>
      <c r="K898" s="1">
        <f t="shared" si="161"/>
        <v>3.29927484522827E+25</v>
      </c>
      <c r="L898" s="1">
        <f t="shared" si="162"/>
        <v>1.7068248532647583E+25</v>
      </c>
      <c r="M898" s="3">
        <f t="shared" si="163"/>
        <v>133217450366.36554</v>
      </c>
      <c r="N898" s="7">
        <f t="shared" si="168"/>
        <v>1.70682485326476E+25</v>
      </c>
      <c r="O898" s="7">
        <f t="shared" si="164"/>
        <v>133217450366</v>
      </c>
      <c r="P898" s="3">
        <f>SUM($O$4:O898)</f>
        <v>7879934468393</v>
      </c>
      <c r="Y898" s="3">
        <f t="shared" si="165"/>
        <v>895</v>
      </c>
      <c r="Z898" s="3">
        <f t="shared" si="166"/>
        <v>8.2460450460159705E+21</v>
      </c>
      <c r="AB898" s="7">
        <f t="shared" si="167"/>
        <v>13040</v>
      </c>
    </row>
    <row r="899" spans="6:28" x14ac:dyDescent="0.15">
      <c r="F899">
        <f t="shared" si="157"/>
        <v>128</v>
      </c>
      <c r="G899">
        <v>896</v>
      </c>
      <c r="H899">
        <f t="shared" si="158"/>
        <v>3.2992748452282717E+25</v>
      </c>
      <c r="I899">
        <f t="shared" si="159"/>
        <v>3.29927484522827E+25</v>
      </c>
      <c r="J899" s="1">
        <f t="shared" si="160"/>
        <v>6</v>
      </c>
      <c r="K899" s="1">
        <f t="shared" si="161"/>
        <v>1.979564907136962E+26</v>
      </c>
      <c r="L899" s="1">
        <f t="shared" si="162"/>
        <v>1.024094911958855E+26</v>
      </c>
      <c r="M899" s="3">
        <f t="shared" si="163"/>
        <v>799304702198.19324</v>
      </c>
      <c r="N899" s="7">
        <f t="shared" si="168"/>
        <v>1.02409491195886E+26</v>
      </c>
      <c r="O899" s="7">
        <f t="shared" si="164"/>
        <v>799304702198</v>
      </c>
      <c r="P899" s="3">
        <f>SUM($O$4:O899)</f>
        <v>8679239170591</v>
      </c>
      <c r="Y899" s="3">
        <f t="shared" si="165"/>
        <v>896</v>
      </c>
      <c r="Z899" s="3">
        <f t="shared" si="166"/>
        <v>8.6680214293763399E+21</v>
      </c>
      <c r="AB899" s="7">
        <f t="shared" si="167"/>
        <v>13040</v>
      </c>
    </row>
    <row r="900" spans="6:28" x14ac:dyDescent="0.15">
      <c r="F900">
        <f t="shared" si="157"/>
        <v>129</v>
      </c>
      <c r="G900">
        <v>897</v>
      </c>
      <c r="H900">
        <f t="shared" si="158"/>
        <v>5.1798615070083867E+25</v>
      </c>
      <c r="I900">
        <f t="shared" si="159"/>
        <v>5.1798615070083901E+25</v>
      </c>
      <c r="J900" s="1">
        <f t="shared" si="160"/>
        <v>1</v>
      </c>
      <c r="K900" s="1">
        <f t="shared" si="161"/>
        <v>5.1798615070083901E+25</v>
      </c>
      <c r="L900" s="1">
        <f t="shared" si="162"/>
        <v>2.6952546041466989E+25</v>
      </c>
      <c r="M900" s="3">
        <f t="shared" si="163"/>
        <v>161818661198.64099</v>
      </c>
      <c r="N900" s="7">
        <f t="shared" si="168"/>
        <v>2.6952546041467002E+25</v>
      </c>
      <c r="O900" s="7">
        <f t="shared" si="164"/>
        <v>161818661198</v>
      </c>
      <c r="P900" s="3">
        <f>SUM($O$4:O900)</f>
        <v>8841057831789</v>
      </c>
      <c r="Y900" s="3">
        <f t="shared" si="165"/>
        <v>897</v>
      </c>
      <c r="Z900" s="3">
        <f t="shared" si="166"/>
        <v>9.1115803384576999E+21</v>
      </c>
      <c r="AB900" s="7">
        <f t="shared" si="167"/>
        <v>13040</v>
      </c>
    </row>
    <row r="901" spans="6:28" x14ac:dyDescent="0.15">
      <c r="F901">
        <f t="shared" ref="F901:F964" si="169">ROUNDUP(G901/$C$4,0)</f>
        <v>129</v>
      </c>
      <c r="G901">
        <v>898</v>
      </c>
      <c r="H901">
        <f t="shared" ref="H901:H964" si="170">18.5*1.57^MIN(F901,156)*1.17^MAX(F901-156,0)*$C$5</f>
        <v>5.1798615070083867E+25</v>
      </c>
      <c r="I901">
        <f t="shared" ref="I901:I964" si="171">ROUND(H901,0)</f>
        <v>5.1798615070083901E+25</v>
      </c>
      <c r="J901" s="1">
        <f t="shared" ref="J901:J964" si="172">IF(F901=F902,1,LOOKUP(MOD(F901,5),$D$6:$D$10,$C$6:$C$10))</f>
        <v>1</v>
      </c>
      <c r="K901" s="1">
        <f t="shared" ref="K901:K964" si="173">J901*I901</f>
        <v>5.1798615070083901E+25</v>
      </c>
      <c r="L901" s="1">
        <f t="shared" ref="L901:L964" si="174">K901*(0.02+0.00045*F901)/$C$5</f>
        <v>2.6952546041466989E+25</v>
      </c>
      <c r="M901" s="3">
        <f t="shared" ref="M901:M964" si="175">L901/(1.3^F901)*3</f>
        <v>161818661198.64099</v>
      </c>
      <c r="N901" s="7">
        <f t="shared" si="168"/>
        <v>2.6952546041467002E+25</v>
      </c>
      <c r="O901" s="7">
        <f t="shared" ref="O901:O964" si="176">ROUNDDOWN(M901,0)</f>
        <v>161818661198</v>
      </c>
      <c r="P901" s="3">
        <f>SUM($O$4:O901)</f>
        <v>9002876492987</v>
      </c>
      <c r="Y901" s="3">
        <f t="shared" ref="Y901:Y964" si="177">G901</f>
        <v>898</v>
      </c>
      <c r="Z901" s="3">
        <f t="shared" ref="Z901:Z964" si="178">ROUND(1.05^Y901*Y901,0)</f>
        <v>9.57782508487377E+21</v>
      </c>
      <c r="AB901" s="7">
        <f t="shared" ref="AB901:AB964" si="179">LOOKUP(Y901,T:T,P:P)</f>
        <v>13040</v>
      </c>
    </row>
    <row r="902" spans="6:28" x14ac:dyDescent="0.15">
      <c r="F902">
        <f t="shared" si="169"/>
        <v>129</v>
      </c>
      <c r="G902">
        <v>899</v>
      </c>
      <c r="H902">
        <f t="shared" si="170"/>
        <v>5.1798615070083867E+25</v>
      </c>
      <c r="I902">
        <f t="shared" si="171"/>
        <v>5.1798615070083901E+25</v>
      </c>
      <c r="J902" s="1">
        <f t="shared" si="172"/>
        <v>1</v>
      </c>
      <c r="K902" s="1">
        <f t="shared" si="173"/>
        <v>5.1798615070083901E+25</v>
      </c>
      <c r="L902" s="1">
        <f t="shared" si="174"/>
        <v>2.6952546041466989E+25</v>
      </c>
      <c r="M902" s="3">
        <f t="shared" si="175"/>
        <v>161818661198.64099</v>
      </c>
      <c r="N902" s="7">
        <f t="shared" si="168"/>
        <v>2.6952546041467002E+25</v>
      </c>
      <c r="O902" s="7">
        <f t="shared" si="176"/>
        <v>161818661198</v>
      </c>
      <c r="P902" s="3">
        <f>SUM($O$4:O902)</f>
        <v>9164695154185</v>
      </c>
      <c r="Y902" s="3">
        <f t="shared" si="177"/>
        <v>899</v>
      </c>
      <c r="Z902" s="3">
        <f t="shared" si="178"/>
        <v>1.0067915355085301E+22</v>
      </c>
      <c r="AB902" s="7">
        <f t="shared" si="179"/>
        <v>13040</v>
      </c>
    </row>
    <row r="903" spans="6:28" x14ac:dyDescent="0.15">
      <c r="F903">
        <f t="shared" si="169"/>
        <v>129</v>
      </c>
      <c r="G903">
        <v>900</v>
      </c>
      <c r="H903">
        <f t="shared" si="170"/>
        <v>5.1798615070083867E+25</v>
      </c>
      <c r="I903">
        <f t="shared" si="171"/>
        <v>5.1798615070083901E+25</v>
      </c>
      <c r="J903" s="1">
        <f t="shared" si="172"/>
        <v>1</v>
      </c>
      <c r="K903" s="1">
        <f t="shared" si="173"/>
        <v>5.1798615070083901E+25</v>
      </c>
      <c r="L903" s="1">
        <f t="shared" si="174"/>
        <v>2.6952546041466989E+25</v>
      </c>
      <c r="M903" s="3">
        <f t="shared" si="175"/>
        <v>161818661198.64099</v>
      </c>
      <c r="N903" s="7">
        <f t="shared" si="168"/>
        <v>2.6952546041467002E+25</v>
      </c>
      <c r="O903" s="7">
        <f t="shared" si="176"/>
        <v>161818661198</v>
      </c>
      <c r="P903" s="3">
        <f>SUM($O$4:O903)</f>
        <v>9326513815383</v>
      </c>
      <c r="Y903" s="3">
        <f t="shared" si="177"/>
        <v>900</v>
      </c>
      <c r="Z903" s="3">
        <f t="shared" si="178"/>
        <v>1.05830700896058E+22</v>
      </c>
      <c r="AB903" s="7">
        <f t="shared" si="179"/>
        <v>13040</v>
      </c>
    </row>
    <row r="904" spans="6:28" x14ac:dyDescent="0.15">
      <c r="F904">
        <f t="shared" si="169"/>
        <v>129</v>
      </c>
      <c r="G904">
        <v>901</v>
      </c>
      <c r="H904">
        <f t="shared" si="170"/>
        <v>5.1798615070083867E+25</v>
      </c>
      <c r="I904">
        <f t="shared" si="171"/>
        <v>5.1798615070083901E+25</v>
      </c>
      <c r="J904" s="1">
        <f t="shared" si="172"/>
        <v>1</v>
      </c>
      <c r="K904" s="1">
        <f t="shared" si="173"/>
        <v>5.1798615070083901E+25</v>
      </c>
      <c r="L904" s="1">
        <f t="shared" si="174"/>
        <v>2.6952546041466989E+25</v>
      </c>
      <c r="M904" s="3">
        <f t="shared" si="175"/>
        <v>161818661198.64099</v>
      </c>
      <c r="N904" s="7">
        <f t="shared" ref="N904:N967" si="180">ROUND(L904,0)</f>
        <v>2.6952546041467002E+25</v>
      </c>
      <c r="O904" s="7">
        <f t="shared" si="176"/>
        <v>161818661198</v>
      </c>
      <c r="P904" s="3">
        <f>SUM($O$4:O904)</f>
        <v>9488332476581</v>
      </c>
      <c r="Y904" s="3">
        <f t="shared" si="177"/>
        <v>901</v>
      </c>
      <c r="Z904" s="3">
        <f t="shared" si="178"/>
        <v>1.11245705091906E+22</v>
      </c>
      <c r="AB904" s="7">
        <f t="shared" si="179"/>
        <v>13040</v>
      </c>
    </row>
    <row r="905" spans="6:28" x14ac:dyDescent="0.15">
      <c r="F905">
        <f t="shared" si="169"/>
        <v>129</v>
      </c>
      <c r="G905">
        <v>902</v>
      </c>
      <c r="H905">
        <f t="shared" si="170"/>
        <v>5.1798615070083867E+25</v>
      </c>
      <c r="I905">
        <f t="shared" si="171"/>
        <v>5.1798615070083901E+25</v>
      </c>
      <c r="J905" s="1">
        <f t="shared" si="172"/>
        <v>1</v>
      </c>
      <c r="K905" s="1">
        <f t="shared" si="173"/>
        <v>5.1798615070083901E+25</v>
      </c>
      <c r="L905" s="1">
        <f t="shared" si="174"/>
        <v>2.6952546041466989E+25</v>
      </c>
      <c r="M905" s="3">
        <f t="shared" si="175"/>
        <v>161818661198.64099</v>
      </c>
      <c r="N905" s="7">
        <f t="shared" si="180"/>
        <v>2.6952546041467002E+25</v>
      </c>
      <c r="O905" s="7">
        <f t="shared" si="176"/>
        <v>161818661198</v>
      </c>
      <c r="P905" s="3">
        <f>SUM($O$4:O905)</f>
        <v>9650151137779</v>
      </c>
      <c r="Y905" s="3">
        <f t="shared" si="177"/>
        <v>902</v>
      </c>
      <c r="Z905" s="3">
        <f t="shared" si="178"/>
        <v>1.1693763295509901E+22</v>
      </c>
      <c r="AB905" s="7">
        <f t="shared" si="179"/>
        <v>13040</v>
      </c>
    </row>
    <row r="906" spans="6:28" x14ac:dyDescent="0.15">
      <c r="F906">
        <f t="shared" si="169"/>
        <v>129</v>
      </c>
      <c r="G906">
        <v>903</v>
      </c>
      <c r="H906">
        <f t="shared" si="170"/>
        <v>5.1798615070083867E+25</v>
      </c>
      <c r="I906">
        <f t="shared" si="171"/>
        <v>5.1798615070083901E+25</v>
      </c>
      <c r="J906" s="1">
        <f t="shared" si="172"/>
        <v>7</v>
      </c>
      <c r="K906" s="1">
        <f t="shared" si="173"/>
        <v>3.6259030549058728E+26</v>
      </c>
      <c r="L906" s="1">
        <f t="shared" si="174"/>
        <v>1.886678222902689E+26</v>
      </c>
      <c r="M906" s="3">
        <f t="shared" si="175"/>
        <v>1132730628390.4868</v>
      </c>
      <c r="N906" s="7">
        <f t="shared" si="180"/>
        <v>1.88667822290269E+26</v>
      </c>
      <c r="O906" s="7">
        <f t="shared" si="176"/>
        <v>1132730628390</v>
      </c>
      <c r="P906" s="3">
        <f>SUM($O$4:O906)</f>
        <v>10782881766169</v>
      </c>
      <c r="Y906" s="3">
        <f t="shared" si="177"/>
        <v>903</v>
      </c>
      <c r="Z906" s="3">
        <f t="shared" si="178"/>
        <v>1.22920639341882E+22</v>
      </c>
      <c r="AB906" s="7">
        <f t="shared" si="179"/>
        <v>13040</v>
      </c>
    </row>
    <row r="907" spans="6:28" x14ac:dyDescent="0.15">
      <c r="F907">
        <f t="shared" si="169"/>
        <v>130</v>
      </c>
      <c r="G907">
        <v>904</v>
      </c>
      <c r="H907">
        <f t="shared" si="170"/>
        <v>8.1323825660031684E+25</v>
      </c>
      <c r="I907">
        <f t="shared" si="171"/>
        <v>8.1323825660031701E+25</v>
      </c>
      <c r="J907" s="1">
        <f t="shared" si="172"/>
        <v>1</v>
      </c>
      <c r="K907" s="1">
        <f t="shared" si="173"/>
        <v>8.1323825660031701E+25</v>
      </c>
      <c r="L907" s="1">
        <f t="shared" si="174"/>
        <v>4.2559468762083262E+25</v>
      </c>
      <c r="M907" s="3">
        <f t="shared" si="175"/>
        <v>196553894440.70865</v>
      </c>
      <c r="N907" s="7">
        <f t="shared" si="180"/>
        <v>4.2559468762083297E+25</v>
      </c>
      <c r="O907" s="7">
        <f t="shared" si="176"/>
        <v>196553894440</v>
      </c>
      <c r="P907" s="3">
        <f>SUM($O$4:O907)</f>
        <v>10979435660609</v>
      </c>
      <c r="Y907" s="3">
        <f t="shared" si="177"/>
        <v>904</v>
      </c>
      <c r="Z907" s="3">
        <f t="shared" si="178"/>
        <v>1.29209602284955E+22</v>
      </c>
      <c r="AB907" s="7">
        <f t="shared" si="179"/>
        <v>13040</v>
      </c>
    </row>
    <row r="908" spans="6:28" x14ac:dyDescent="0.15">
      <c r="F908">
        <f t="shared" si="169"/>
        <v>130</v>
      </c>
      <c r="G908">
        <v>905</v>
      </c>
      <c r="H908">
        <f t="shared" si="170"/>
        <v>8.1323825660031684E+25</v>
      </c>
      <c r="I908">
        <f t="shared" si="171"/>
        <v>8.1323825660031701E+25</v>
      </c>
      <c r="J908" s="1">
        <f t="shared" si="172"/>
        <v>1</v>
      </c>
      <c r="K908" s="1">
        <f t="shared" si="173"/>
        <v>8.1323825660031701E+25</v>
      </c>
      <c r="L908" s="1">
        <f t="shared" si="174"/>
        <v>4.2559468762083262E+25</v>
      </c>
      <c r="M908" s="3">
        <f t="shared" si="175"/>
        <v>196553894440.70865</v>
      </c>
      <c r="N908" s="7">
        <f t="shared" si="180"/>
        <v>4.2559468762083297E+25</v>
      </c>
      <c r="O908" s="7">
        <f t="shared" si="176"/>
        <v>196553894440</v>
      </c>
      <c r="P908" s="3">
        <f>SUM($O$4:O908)</f>
        <v>11175989555049</v>
      </c>
      <c r="Y908" s="3">
        <f t="shared" si="177"/>
        <v>905</v>
      </c>
      <c r="Z908" s="3">
        <f t="shared" si="178"/>
        <v>1.3582015992398E+22</v>
      </c>
      <c r="AB908" s="7">
        <f t="shared" si="179"/>
        <v>13040</v>
      </c>
    </row>
    <row r="909" spans="6:28" x14ac:dyDescent="0.15">
      <c r="F909">
        <f t="shared" si="169"/>
        <v>130</v>
      </c>
      <c r="G909">
        <v>906</v>
      </c>
      <c r="H909">
        <f t="shared" si="170"/>
        <v>8.1323825660031684E+25</v>
      </c>
      <c r="I909">
        <f t="shared" si="171"/>
        <v>8.1323825660031701E+25</v>
      </c>
      <c r="J909" s="1">
        <f t="shared" si="172"/>
        <v>1</v>
      </c>
      <c r="K909" s="1">
        <f t="shared" si="173"/>
        <v>8.1323825660031701E+25</v>
      </c>
      <c r="L909" s="1">
        <f t="shared" si="174"/>
        <v>4.2559468762083262E+25</v>
      </c>
      <c r="M909" s="3">
        <f t="shared" si="175"/>
        <v>196553894440.70865</v>
      </c>
      <c r="N909" s="7">
        <f t="shared" si="180"/>
        <v>4.2559468762083297E+25</v>
      </c>
      <c r="O909" s="7">
        <f t="shared" si="176"/>
        <v>196553894440</v>
      </c>
      <c r="P909" s="3">
        <f>SUM($O$4:O909)</f>
        <v>11372543449489</v>
      </c>
      <c r="Y909" s="3">
        <f t="shared" si="177"/>
        <v>906</v>
      </c>
      <c r="Z909" s="3">
        <f t="shared" si="178"/>
        <v>1.42768749321196E+22</v>
      </c>
      <c r="AB909" s="7">
        <f t="shared" si="179"/>
        <v>13040</v>
      </c>
    </row>
    <row r="910" spans="6:28" x14ac:dyDescent="0.15">
      <c r="F910">
        <f t="shared" si="169"/>
        <v>130</v>
      </c>
      <c r="G910">
        <v>907</v>
      </c>
      <c r="H910">
        <f t="shared" si="170"/>
        <v>8.1323825660031684E+25</v>
      </c>
      <c r="I910">
        <f t="shared" si="171"/>
        <v>8.1323825660031701E+25</v>
      </c>
      <c r="J910" s="1">
        <f t="shared" si="172"/>
        <v>1</v>
      </c>
      <c r="K910" s="1">
        <f t="shared" si="173"/>
        <v>8.1323825660031701E+25</v>
      </c>
      <c r="L910" s="1">
        <f t="shared" si="174"/>
        <v>4.2559468762083262E+25</v>
      </c>
      <c r="M910" s="3">
        <f t="shared" si="175"/>
        <v>196553894440.70865</v>
      </c>
      <c r="N910" s="7">
        <f t="shared" si="180"/>
        <v>4.2559468762083297E+25</v>
      </c>
      <c r="O910" s="7">
        <f t="shared" si="176"/>
        <v>196553894440</v>
      </c>
      <c r="P910" s="3">
        <f>SUM($O$4:O910)</f>
        <v>11569097343929</v>
      </c>
      <c r="Y910" s="3">
        <f t="shared" si="177"/>
        <v>907</v>
      </c>
      <c r="Z910" s="3">
        <f t="shared" si="178"/>
        <v>1.50072647258323E+22</v>
      </c>
      <c r="AB910" s="7">
        <f t="shared" si="179"/>
        <v>13040</v>
      </c>
    </row>
    <row r="911" spans="6:28" x14ac:dyDescent="0.15">
      <c r="F911">
        <f t="shared" si="169"/>
        <v>130</v>
      </c>
      <c r="G911">
        <v>908</v>
      </c>
      <c r="H911">
        <f t="shared" si="170"/>
        <v>8.1323825660031684E+25</v>
      </c>
      <c r="I911">
        <f t="shared" si="171"/>
        <v>8.1323825660031701E+25</v>
      </c>
      <c r="J911" s="1">
        <f t="shared" si="172"/>
        <v>1</v>
      </c>
      <c r="K911" s="1">
        <f t="shared" si="173"/>
        <v>8.1323825660031701E+25</v>
      </c>
      <c r="L911" s="1">
        <f t="shared" si="174"/>
        <v>4.2559468762083262E+25</v>
      </c>
      <c r="M911" s="3">
        <f t="shared" si="175"/>
        <v>196553894440.70865</v>
      </c>
      <c r="N911" s="7">
        <f t="shared" si="180"/>
        <v>4.2559468762083297E+25</v>
      </c>
      <c r="O911" s="7">
        <f t="shared" si="176"/>
        <v>196553894440</v>
      </c>
      <c r="P911" s="3">
        <f>SUM($O$4:O911)</f>
        <v>11765651238369</v>
      </c>
      <c r="Y911" s="3">
        <f t="shared" si="177"/>
        <v>908</v>
      </c>
      <c r="Z911" s="3">
        <f t="shared" si="178"/>
        <v>1.5775001311586101E+22</v>
      </c>
      <c r="AB911" s="7">
        <f t="shared" si="179"/>
        <v>13040</v>
      </c>
    </row>
    <row r="912" spans="6:28" x14ac:dyDescent="0.15">
      <c r="F912">
        <f t="shared" si="169"/>
        <v>130</v>
      </c>
      <c r="G912">
        <v>909</v>
      </c>
      <c r="H912">
        <f t="shared" si="170"/>
        <v>8.1323825660031684E+25</v>
      </c>
      <c r="I912">
        <f t="shared" si="171"/>
        <v>8.1323825660031701E+25</v>
      </c>
      <c r="J912" s="1">
        <f t="shared" si="172"/>
        <v>1</v>
      </c>
      <c r="K912" s="1">
        <f t="shared" si="173"/>
        <v>8.1323825660031701E+25</v>
      </c>
      <c r="L912" s="1">
        <f t="shared" si="174"/>
        <v>4.2559468762083262E+25</v>
      </c>
      <c r="M912" s="3">
        <f t="shared" si="175"/>
        <v>196553894440.70865</v>
      </c>
      <c r="N912" s="7">
        <f t="shared" si="180"/>
        <v>4.2559468762083297E+25</v>
      </c>
      <c r="O912" s="7">
        <f t="shared" si="176"/>
        <v>196553894440</v>
      </c>
      <c r="P912" s="3">
        <f>SUM($O$4:O912)</f>
        <v>11962205132809</v>
      </c>
      <c r="Y912" s="3">
        <f t="shared" si="177"/>
        <v>909</v>
      </c>
      <c r="Z912" s="3">
        <f t="shared" si="178"/>
        <v>1.6581993394100599E+22</v>
      </c>
      <c r="AB912" s="7">
        <f t="shared" si="179"/>
        <v>13040</v>
      </c>
    </row>
    <row r="913" spans="6:28" x14ac:dyDescent="0.15">
      <c r="F913">
        <f t="shared" si="169"/>
        <v>130</v>
      </c>
      <c r="G913">
        <v>910</v>
      </c>
      <c r="H913">
        <f t="shared" si="170"/>
        <v>8.1323825660031684E+25</v>
      </c>
      <c r="I913">
        <f t="shared" si="171"/>
        <v>8.1323825660031701E+25</v>
      </c>
      <c r="J913" s="1">
        <f t="shared" si="172"/>
        <v>10</v>
      </c>
      <c r="K913" s="1">
        <f t="shared" si="173"/>
        <v>8.1323825660031697E+26</v>
      </c>
      <c r="L913" s="1">
        <f t="shared" si="174"/>
        <v>4.2559468762083259E+26</v>
      </c>
      <c r="M913" s="3">
        <f t="shared" si="175"/>
        <v>1965538944407.0864</v>
      </c>
      <c r="N913" s="7">
        <f t="shared" si="180"/>
        <v>4.25594687620833E+26</v>
      </c>
      <c r="O913" s="7">
        <f t="shared" si="176"/>
        <v>1965538944407</v>
      </c>
      <c r="P913" s="3">
        <f>SUM($O$4:O913)</f>
        <v>13927744077216</v>
      </c>
      <c r="Y913" s="3">
        <f t="shared" si="177"/>
        <v>910</v>
      </c>
      <c r="Z913" s="3">
        <f t="shared" si="178"/>
        <v>1.74302471815876E+22</v>
      </c>
      <c r="AB913" s="7">
        <f t="shared" si="179"/>
        <v>13040</v>
      </c>
    </row>
    <row r="914" spans="6:28" x14ac:dyDescent="0.15">
      <c r="F914">
        <f t="shared" si="169"/>
        <v>131</v>
      </c>
      <c r="G914">
        <v>911</v>
      </c>
      <c r="H914">
        <f t="shared" si="170"/>
        <v>1.2767840628624975E+26</v>
      </c>
      <c r="I914">
        <f t="shared" si="171"/>
        <v>1.2767840628624999E+26</v>
      </c>
      <c r="J914" s="1">
        <f t="shared" si="172"/>
        <v>1</v>
      </c>
      <c r="K914" s="1">
        <f t="shared" si="173"/>
        <v>1.2767840628624999E+26</v>
      </c>
      <c r="L914" s="1">
        <f t="shared" si="174"/>
        <v>6.7201401175329584E+25</v>
      </c>
      <c r="M914" s="3">
        <f t="shared" si="175"/>
        <v>238737384093.75342</v>
      </c>
      <c r="N914" s="7">
        <f t="shared" si="180"/>
        <v>6.7201401175329601E+25</v>
      </c>
      <c r="O914" s="7">
        <f t="shared" si="176"/>
        <v>238737384093</v>
      </c>
      <c r="P914" s="3">
        <f>SUM($O$4:O914)</f>
        <v>14166481461309</v>
      </c>
      <c r="Y914" s="3">
        <f t="shared" si="177"/>
        <v>911</v>
      </c>
      <c r="Z914" s="3">
        <f t="shared" si="178"/>
        <v>1.8321871364338001E+22</v>
      </c>
      <c r="AB914" s="7">
        <f t="shared" si="179"/>
        <v>13040</v>
      </c>
    </row>
    <row r="915" spans="6:28" x14ac:dyDescent="0.15">
      <c r="F915">
        <f t="shared" si="169"/>
        <v>131</v>
      </c>
      <c r="G915">
        <v>912</v>
      </c>
      <c r="H915">
        <f t="shared" si="170"/>
        <v>1.2767840628624975E+26</v>
      </c>
      <c r="I915">
        <f t="shared" si="171"/>
        <v>1.2767840628624999E+26</v>
      </c>
      <c r="J915" s="1">
        <f t="shared" si="172"/>
        <v>1</v>
      </c>
      <c r="K915" s="1">
        <f t="shared" si="173"/>
        <v>1.2767840628624999E+26</v>
      </c>
      <c r="L915" s="1">
        <f t="shared" si="174"/>
        <v>6.7201401175329584E+25</v>
      </c>
      <c r="M915" s="3">
        <f t="shared" si="175"/>
        <v>238737384093.75342</v>
      </c>
      <c r="N915" s="7">
        <f t="shared" si="180"/>
        <v>6.7201401175329601E+25</v>
      </c>
      <c r="O915" s="7">
        <f t="shared" si="176"/>
        <v>238737384093</v>
      </c>
      <c r="P915" s="3">
        <f>SUM($O$4:O915)</f>
        <v>14405218845402</v>
      </c>
      <c r="Y915" s="3">
        <f t="shared" si="177"/>
        <v>912</v>
      </c>
      <c r="Z915" s="3">
        <f t="shared" si="178"/>
        <v>1.9259082347409501E+22</v>
      </c>
      <c r="AB915" s="7">
        <f t="shared" si="179"/>
        <v>13040</v>
      </c>
    </row>
    <row r="916" spans="6:28" x14ac:dyDescent="0.15">
      <c r="F916">
        <f t="shared" si="169"/>
        <v>131</v>
      </c>
      <c r="G916">
        <v>913</v>
      </c>
      <c r="H916">
        <f t="shared" si="170"/>
        <v>1.2767840628624975E+26</v>
      </c>
      <c r="I916">
        <f t="shared" si="171"/>
        <v>1.2767840628624999E+26</v>
      </c>
      <c r="J916" s="1">
        <f t="shared" si="172"/>
        <v>1</v>
      </c>
      <c r="K916" s="1">
        <f t="shared" si="173"/>
        <v>1.2767840628624999E+26</v>
      </c>
      <c r="L916" s="1">
        <f t="shared" si="174"/>
        <v>6.7201401175329584E+25</v>
      </c>
      <c r="M916" s="3">
        <f t="shared" si="175"/>
        <v>238737384093.75342</v>
      </c>
      <c r="N916" s="7">
        <f t="shared" si="180"/>
        <v>6.7201401175329601E+25</v>
      </c>
      <c r="O916" s="7">
        <f t="shared" si="176"/>
        <v>238737384093</v>
      </c>
      <c r="P916" s="3">
        <f>SUM($O$4:O916)</f>
        <v>14643956229495</v>
      </c>
      <c r="Y916" s="3">
        <f t="shared" si="177"/>
        <v>913</v>
      </c>
      <c r="Z916" s="3">
        <f t="shared" si="178"/>
        <v>2.0244209750377299E+22</v>
      </c>
      <c r="AB916" s="7">
        <f t="shared" si="179"/>
        <v>13040</v>
      </c>
    </row>
    <row r="917" spans="6:28" x14ac:dyDescent="0.15">
      <c r="F917">
        <f t="shared" si="169"/>
        <v>131</v>
      </c>
      <c r="G917">
        <v>914</v>
      </c>
      <c r="H917">
        <f t="shared" si="170"/>
        <v>1.2767840628624975E+26</v>
      </c>
      <c r="I917">
        <f t="shared" si="171"/>
        <v>1.2767840628624999E+26</v>
      </c>
      <c r="J917" s="1">
        <f t="shared" si="172"/>
        <v>1</v>
      </c>
      <c r="K917" s="1">
        <f t="shared" si="173"/>
        <v>1.2767840628624999E+26</v>
      </c>
      <c r="L917" s="1">
        <f t="shared" si="174"/>
        <v>6.7201401175329584E+25</v>
      </c>
      <c r="M917" s="3">
        <f t="shared" si="175"/>
        <v>238737384093.75342</v>
      </c>
      <c r="N917" s="7">
        <f t="shared" si="180"/>
        <v>6.7201401175329601E+25</v>
      </c>
      <c r="O917" s="7">
        <f t="shared" si="176"/>
        <v>238737384093</v>
      </c>
      <c r="P917" s="3">
        <f>SUM($O$4:O917)</f>
        <v>14882693613588</v>
      </c>
      <c r="Y917" s="3">
        <f t="shared" si="177"/>
        <v>914</v>
      </c>
      <c r="Z917" s="3">
        <f t="shared" si="178"/>
        <v>2.12797021877734E+22</v>
      </c>
      <c r="AB917" s="7">
        <f t="shared" si="179"/>
        <v>13040</v>
      </c>
    </row>
    <row r="918" spans="6:28" x14ac:dyDescent="0.15">
      <c r="F918">
        <f t="shared" si="169"/>
        <v>131</v>
      </c>
      <c r="G918">
        <v>915</v>
      </c>
      <c r="H918">
        <f t="shared" si="170"/>
        <v>1.2767840628624975E+26</v>
      </c>
      <c r="I918">
        <f t="shared" si="171"/>
        <v>1.2767840628624999E+26</v>
      </c>
      <c r="J918" s="1">
        <f t="shared" si="172"/>
        <v>1</v>
      </c>
      <c r="K918" s="1">
        <f t="shared" si="173"/>
        <v>1.2767840628624999E+26</v>
      </c>
      <c r="L918" s="1">
        <f t="shared" si="174"/>
        <v>6.7201401175329584E+25</v>
      </c>
      <c r="M918" s="3">
        <f t="shared" si="175"/>
        <v>238737384093.75342</v>
      </c>
      <c r="N918" s="7">
        <f t="shared" si="180"/>
        <v>6.7201401175329601E+25</v>
      </c>
      <c r="O918" s="7">
        <f t="shared" si="176"/>
        <v>238737384093</v>
      </c>
      <c r="P918" s="3">
        <f>SUM($O$4:O918)</f>
        <v>15121430997681</v>
      </c>
      <c r="Y918" s="3">
        <f t="shared" si="177"/>
        <v>915</v>
      </c>
      <c r="Z918" s="3">
        <f t="shared" si="178"/>
        <v>2.2368133344533202E+22</v>
      </c>
      <c r="AB918" s="7">
        <f t="shared" si="179"/>
        <v>13040</v>
      </c>
    </row>
    <row r="919" spans="6:28" x14ac:dyDescent="0.15">
      <c r="F919">
        <f t="shared" si="169"/>
        <v>131</v>
      </c>
      <c r="G919">
        <v>916</v>
      </c>
      <c r="H919">
        <f t="shared" si="170"/>
        <v>1.2767840628624975E+26</v>
      </c>
      <c r="I919">
        <f t="shared" si="171"/>
        <v>1.2767840628624999E+26</v>
      </c>
      <c r="J919" s="1">
        <f t="shared" si="172"/>
        <v>1</v>
      </c>
      <c r="K919" s="1">
        <f t="shared" si="173"/>
        <v>1.2767840628624999E+26</v>
      </c>
      <c r="L919" s="1">
        <f t="shared" si="174"/>
        <v>6.7201401175329584E+25</v>
      </c>
      <c r="M919" s="3">
        <f t="shared" si="175"/>
        <v>238737384093.75342</v>
      </c>
      <c r="N919" s="7">
        <f t="shared" si="180"/>
        <v>6.7201401175329601E+25</v>
      </c>
      <c r="O919" s="7">
        <f t="shared" si="176"/>
        <v>238737384093</v>
      </c>
      <c r="P919" s="3">
        <f>SUM($O$4:O919)</f>
        <v>15360168381774</v>
      </c>
      <c r="Y919" s="3">
        <f t="shared" si="177"/>
        <v>916</v>
      </c>
      <c r="Z919" s="3">
        <f t="shared" si="178"/>
        <v>2.3512208361499501E+22</v>
      </c>
      <c r="AB919" s="7">
        <f t="shared" si="179"/>
        <v>13040</v>
      </c>
    </row>
    <row r="920" spans="6:28" x14ac:dyDescent="0.15">
      <c r="F920">
        <f t="shared" si="169"/>
        <v>131</v>
      </c>
      <c r="G920">
        <v>917</v>
      </c>
      <c r="H920">
        <f t="shared" si="170"/>
        <v>1.2767840628624975E+26</v>
      </c>
      <c r="I920">
        <f t="shared" si="171"/>
        <v>1.2767840628624999E+26</v>
      </c>
      <c r="J920" s="1">
        <f t="shared" si="172"/>
        <v>2</v>
      </c>
      <c r="K920" s="1">
        <f t="shared" si="173"/>
        <v>2.5535681257249999E+26</v>
      </c>
      <c r="L920" s="1">
        <f t="shared" si="174"/>
        <v>1.3440280235065917E+26</v>
      </c>
      <c r="M920" s="3">
        <f t="shared" si="175"/>
        <v>477474768187.50684</v>
      </c>
      <c r="N920" s="7">
        <f t="shared" si="180"/>
        <v>1.34402802350659E+26</v>
      </c>
      <c r="O920" s="7">
        <f t="shared" si="176"/>
        <v>477474768187</v>
      </c>
      <c r="P920" s="3">
        <f>SUM($O$4:O920)</f>
        <v>15837643149961</v>
      </c>
      <c r="Y920" s="3">
        <f t="shared" si="177"/>
        <v>917</v>
      </c>
      <c r="Z920" s="3">
        <f t="shared" si="178"/>
        <v>2.4714770546800999E+22</v>
      </c>
      <c r="AB920" s="7">
        <f t="shared" si="179"/>
        <v>13040</v>
      </c>
    </row>
    <row r="921" spans="6:28" x14ac:dyDescent="0.15">
      <c r="F921">
        <f t="shared" si="169"/>
        <v>132</v>
      </c>
      <c r="G921">
        <v>918</v>
      </c>
      <c r="H921">
        <f t="shared" si="170"/>
        <v>2.0045509786941209E+26</v>
      </c>
      <c r="I921">
        <f t="shared" si="171"/>
        <v>2.0045509786941199E+26</v>
      </c>
      <c r="J921" s="1">
        <f t="shared" si="172"/>
        <v>1</v>
      </c>
      <c r="K921" s="1">
        <f t="shared" si="173"/>
        <v>2.0045509786941199E+26</v>
      </c>
      <c r="L921" s="1">
        <f t="shared" si="174"/>
        <v>1.0610756513887541E+26</v>
      </c>
      <c r="M921" s="3">
        <f t="shared" si="175"/>
        <v>289964678972.66077</v>
      </c>
      <c r="N921" s="7">
        <f t="shared" si="180"/>
        <v>1.06107565138875E+26</v>
      </c>
      <c r="O921" s="7">
        <f t="shared" si="176"/>
        <v>289964678972</v>
      </c>
      <c r="P921" s="3">
        <f>SUM($O$4:O921)</f>
        <v>16127607828933</v>
      </c>
      <c r="Y921" s="3">
        <f t="shared" si="177"/>
        <v>918</v>
      </c>
      <c r="Z921" s="3">
        <f t="shared" si="178"/>
        <v>2.5978808429728999E+22</v>
      </c>
      <c r="AB921" s="7">
        <f t="shared" si="179"/>
        <v>13040</v>
      </c>
    </row>
    <row r="922" spans="6:28" x14ac:dyDescent="0.15">
      <c r="F922">
        <f t="shared" si="169"/>
        <v>132</v>
      </c>
      <c r="G922">
        <v>919</v>
      </c>
      <c r="H922">
        <f t="shared" si="170"/>
        <v>2.0045509786941209E+26</v>
      </c>
      <c r="I922">
        <f t="shared" si="171"/>
        <v>2.0045509786941199E+26</v>
      </c>
      <c r="J922" s="1">
        <f t="shared" si="172"/>
        <v>1</v>
      </c>
      <c r="K922" s="1">
        <f t="shared" si="173"/>
        <v>2.0045509786941199E+26</v>
      </c>
      <c r="L922" s="1">
        <f t="shared" si="174"/>
        <v>1.0610756513887541E+26</v>
      </c>
      <c r="M922" s="3">
        <f t="shared" si="175"/>
        <v>289964678972.66077</v>
      </c>
      <c r="N922" s="7">
        <f t="shared" si="180"/>
        <v>1.06107565138875E+26</v>
      </c>
      <c r="O922" s="7">
        <f t="shared" si="176"/>
        <v>289964678972</v>
      </c>
      <c r="P922" s="3">
        <f>SUM($O$4:O922)</f>
        <v>16417572507905</v>
      </c>
      <c r="Y922" s="3">
        <f t="shared" si="177"/>
        <v>919</v>
      </c>
      <c r="Z922" s="3">
        <f t="shared" si="178"/>
        <v>2.7307463174582799E+22</v>
      </c>
      <c r="AB922" s="7">
        <f t="shared" si="179"/>
        <v>13040</v>
      </c>
    </row>
    <row r="923" spans="6:28" x14ac:dyDescent="0.15">
      <c r="F923">
        <f t="shared" si="169"/>
        <v>132</v>
      </c>
      <c r="G923">
        <v>920</v>
      </c>
      <c r="H923">
        <f t="shared" si="170"/>
        <v>2.0045509786941209E+26</v>
      </c>
      <c r="I923">
        <f t="shared" si="171"/>
        <v>2.0045509786941199E+26</v>
      </c>
      <c r="J923" s="1">
        <f t="shared" si="172"/>
        <v>1</v>
      </c>
      <c r="K923" s="1">
        <f t="shared" si="173"/>
        <v>2.0045509786941199E+26</v>
      </c>
      <c r="L923" s="1">
        <f t="shared" si="174"/>
        <v>1.0610756513887541E+26</v>
      </c>
      <c r="M923" s="3">
        <f t="shared" si="175"/>
        <v>289964678972.66077</v>
      </c>
      <c r="N923" s="7">
        <f t="shared" si="180"/>
        <v>1.06107565138875E+26</v>
      </c>
      <c r="O923" s="7">
        <f t="shared" si="176"/>
        <v>289964678972</v>
      </c>
      <c r="P923" s="3">
        <f>SUM($O$4:O923)</f>
        <v>16707537186877</v>
      </c>
      <c r="Y923" s="3">
        <f t="shared" si="177"/>
        <v>920</v>
      </c>
      <c r="Z923" s="3">
        <f t="shared" si="178"/>
        <v>2.8704036372847702E+22</v>
      </c>
      <c r="AB923" s="7">
        <f t="shared" si="179"/>
        <v>13040</v>
      </c>
    </row>
    <row r="924" spans="6:28" x14ac:dyDescent="0.15">
      <c r="F924">
        <f t="shared" si="169"/>
        <v>132</v>
      </c>
      <c r="G924">
        <v>921</v>
      </c>
      <c r="H924">
        <f t="shared" si="170"/>
        <v>2.0045509786941209E+26</v>
      </c>
      <c r="I924">
        <f t="shared" si="171"/>
        <v>2.0045509786941199E+26</v>
      </c>
      <c r="J924" s="1">
        <f t="shared" si="172"/>
        <v>1</v>
      </c>
      <c r="K924" s="1">
        <f t="shared" si="173"/>
        <v>2.0045509786941199E+26</v>
      </c>
      <c r="L924" s="1">
        <f t="shared" si="174"/>
        <v>1.0610756513887541E+26</v>
      </c>
      <c r="M924" s="3">
        <f t="shared" si="175"/>
        <v>289964678972.66077</v>
      </c>
      <c r="N924" s="7">
        <f t="shared" si="180"/>
        <v>1.06107565138875E+26</v>
      </c>
      <c r="O924" s="7">
        <f t="shared" si="176"/>
        <v>289964678972</v>
      </c>
      <c r="P924" s="3">
        <f>SUM($O$4:O924)</f>
        <v>16997501865849</v>
      </c>
      <c r="Y924" s="3">
        <f t="shared" si="177"/>
        <v>921</v>
      </c>
      <c r="Z924" s="3">
        <f t="shared" si="178"/>
        <v>3.0171998233002502E+22</v>
      </c>
      <c r="AB924" s="7">
        <f t="shared" si="179"/>
        <v>13040</v>
      </c>
    </row>
    <row r="925" spans="6:28" x14ac:dyDescent="0.15">
      <c r="F925">
        <f t="shared" si="169"/>
        <v>132</v>
      </c>
      <c r="G925">
        <v>922</v>
      </c>
      <c r="H925">
        <f t="shared" si="170"/>
        <v>2.0045509786941209E+26</v>
      </c>
      <c r="I925">
        <f t="shared" si="171"/>
        <v>2.0045509786941199E+26</v>
      </c>
      <c r="J925" s="1">
        <f t="shared" si="172"/>
        <v>1</v>
      </c>
      <c r="K925" s="1">
        <f t="shared" si="173"/>
        <v>2.0045509786941199E+26</v>
      </c>
      <c r="L925" s="1">
        <f t="shared" si="174"/>
        <v>1.0610756513887541E+26</v>
      </c>
      <c r="M925" s="3">
        <f t="shared" si="175"/>
        <v>289964678972.66077</v>
      </c>
      <c r="N925" s="7">
        <f t="shared" si="180"/>
        <v>1.06107565138875E+26</v>
      </c>
      <c r="O925" s="7">
        <f t="shared" si="176"/>
        <v>289964678972</v>
      </c>
      <c r="P925" s="3">
        <f>SUM($O$4:O925)</f>
        <v>17287466544821</v>
      </c>
      <c r="Y925" s="3">
        <f t="shared" si="177"/>
        <v>922</v>
      </c>
      <c r="Z925" s="3">
        <f t="shared" si="178"/>
        <v>3.1714996188240799E+22</v>
      </c>
      <c r="AB925" s="7">
        <f t="shared" si="179"/>
        <v>13040</v>
      </c>
    </row>
    <row r="926" spans="6:28" x14ac:dyDescent="0.15">
      <c r="F926">
        <f t="shared" si="169"/>
        <v>132</v>
      </c>
      <c r="G926">
        <v>923</v>
      </c>
      <c r="H926">
        <f t="shared" si="170"/>
        <v>2.0045509786941209E+26</v>
      </c>
      <c r="I926">
        <f t="shared" si="171"/>
        <v>2.0045509786941199E+26</v>
      </c>
      <c r="J926" s="1">
        <f t="shared" si="172"/>
        <v>1</v>
      </c>
      <c r="K926" s="1">
        <f t="shared" si="173"/>
        <v>2.0045509786941199E+26</v>
      </c>
      <c r="L926" s="1">
        <f t="shared" si="174"/>
        <v>1.0610756513887541E+26</v>
      </c>
      <c r="M926" s="3">
        <f t="shared" si="175"/>
        <v>289964678972.66077</v>
      </c>
      <c r="N926" s="7">
        <f t="shared" si="180"/>
        <v>1.06107565138875E+26</v>
      </c>
      <c r="O926" s="7">
        <f t="shared" si="176"/>
        <v>289964678972</v>
      </c>
      <c r="P926" s="3">
        <f>SUM($O$4:O926)</f>
        <v>17577431223793</v>
      </c>
      <c r="Y926" s="3">
        <f t="shared" si="177"/>
        <v>923</v>
      </c>
      <c r="Z926" s="3">
        <f t="shared" si="178"/>
        <v>3.3336863943420302E+22</v>
      </c>
      <c r="AB926" s="7">
        <f t="shared" si="179"/>
        <v>13040</v>
      </c>
    </row>
    <row r="927" spans="6:28" x14ac:dyDescent="0.15">
      <c r="F927">
        <f t="shared" si="169"/>
        <v>132</v>
      </c>
      <c r="G927">
        <v>924</v>
      </c>
      <c r="H927">
        <f t="shared" si="170"/>
        <v>2.0045509786941209E+26</v>
      </c>
      <c r="I927">
        <f t="shared" si="171"/>
        <v>2.0045509786941199E+26</v>
      </c>
      <c r="J927" s="1">
        <f t="shared" si="172"/>
        <v>4</v>
      </c>
      <c r="K927" s="1">
        <f t="shared" si="173"/>
        <v>8.0182039147764796E+26</v>
      </c>
      <c r="L927" s="1">
        <f t="shared" si="174"/>
        <v>4.2443026055550164E+26</v>
      </c>
      <c r="M927" s="3">
        <f t="shared" si="175"/>
        <v>1159858715890.6431</v>
      </c>
      <c r="N927" s="7">
        <f t="shared" si="180"/>
        <v>4.2443026055550198E+26</v>
      </c>
      <c r="O927" s="7">
        <f t="shared" si="176"/>
        <v>1159858715890</v>
      </c>
      <c r="P927" s="3">
        <f>SUM($O$4:O927)</f>
        <v>18737289939683</v>
      </c>
      <c r="Y927" s="3">
        <f t="shared" si="177"/>
        <v>924</v>
      </c>
      <c r="Z927" s="3">
        <f t="shared" si="178"/>
        <v>3.5041630983647299E+22</v>
      </c>
      <c r="AB927" s="7">
        <f t="shared" si="179"/>
        <v>13040</v>
      </c>
    </row>
    <row r="928" spans="6:28" x14ac:dyDescent="0.15">
      <c r="F928">
        <f t="shared" si="169"/>
        <v>133</v>
      </c>
      <c r="G928">
        <v>925</v>
      </c>
      <c r="H928">
        <f t="shared" si="170"/>
        <v>3.14714503654977E+26</v>
      </c>
      <c r="I928">
        <f t="shared" si="171"/>
        <v>3.14714503654977E+26</v>
      </c>
      <c r="J928" s="1">
        <f t="shared" si="172"/>
        <v>1</v>
      </c>
      <c r="K928" s="1">
        <f t="shared" si="173"/>
        <v>3.14714503654977E+26</v>
      </c>
      <c r="L928" s="1">
        <f t="shared" si="174"/>
        <v>1.6753302077899943E+26</v>
      </c>
      <c r="M928" s="3">
        <f t="shared" si="175"/>
        <v>352172805629.41437</v>
      </c>
      <c r="N928" s="7">
        <f t="shared" si="180"/>
        <v>1.6753302077899902E+26</v>
      </c>
      <c r="O928" s="7">
        <f t="shared" si="176"/>
        <v>352172805629</v>
      </c>
      <c r="P928" s="3">
        <f>SUM($O$4:O928)</f>
        <v>19089462745312</v>
      </c>
      <c r="Y928" s="3">
        <f t="shared" si="177"/>
        <v>925</v>
      </c>
      <c r="Z928" s="3">
        <f t="shared" si="178"/>
        <v>3.68335325680383E+22</v>
      </c>
      <c r="AB928" s="7">
        <f t="shared" si="179"/>
        <v>13040</v>
      </c>
    </row>
    <row r="929" spans="6:28" x14ac:dyDescent="0.15">
      <c r="F929">
        <f t="shared" si="169"/>
        <v>133</v>
      </c>
      <c r="G929">
        <v>926</v>
      </c>
      <c r="H929">
        <f t="shared" si="170"/>
        <v>3.14714503654977E+26</v>
      </c>
      <c r="I929">
        <f t="shared" si="171"/>
        <v>3.14714503654977E+26</v>
      </c>
      <c r="J929" s="1">
        <f t="shared" si="172"/>
        <v>1</v>
      </c>
      <c r="K929" s="1">
        <f t="shared" si="173"/>
        <v>3.14714503654977E+26</v>
      </c>
      <c r="L929" s="1">
        <f t="shared" si="174"/>
        <v>1.6753302077899943E+26</v>
      </c>
      <c r="M929" s="3">
        <f t="shared" si="175"/>
        <v>352172805629.41437</v>
      </c>
      <c r="N929" s="7">
        <f t="shared" si="180"/>
        <v>1.6753302077899902E+26</v>
      </c>
      <c r="O929" s="7">
        <f t="shared" si="176"/>
        <v>352172805629</v>
      </c>
      <c r="P929" s="3">
        <f>SUM($O$4:O929)</f>
        <v>19441635550941</v>
      </c>
      <c r="Y929" s="3">
        <f t="shared" si="177"/>
        <v>926</v>
      </c>
      <c r="Z929" s="3">
        <f t="shared" si="178"/>
        <v>3.8717020233409296E+22</v>
      </c>
      <c r="AB929" s="7">
        <f t="shared" si="179"/>
        <v>13040</v>
      </c>
    </row>
    <row r="930" spans="6:28" x14ac:dyDescent="0.15">
      <c r="F930">
        <f t="shared" si="169"/>
        <v>133</v>
      </c>
      <c r="G930">
        <v>927</v>
      </c>
      <c r="H930">
        <f t="shared" si="170"/>
        <v>3.14714503654977E+26</v>
      </c>
      <c r="I930">
        <f t="shared" si="171"/>
        <v>3.14714503654977E+26</v>
      </c>
      <c r="J930" s="1">
        <f t="shared" si="172"/>
        <v>1</v>
      </c>
      <c r="K930" s="1">
        <f t="shared" si="173"/>
        <v>3.14714503654977E+26</v>
      </c>
      <c r="L930" s="1">
        <f t="shared" si="174"/>
        <v>1.6753302077899943E+26</v>
      </c>
      <c r="M930" s="3">
        <f t="shared" si="175"/>
        <v>352172805629.41437</v>
      </c>
      <c r="N930" s="7">
        <f t="shared" si="180"/>
        <v>1.6753302077899902E+26</v>
      </c>
      <c r="O930" s="7">
        <f t="shared" si="176"/>
        <v>352172805629</v>
      </c>
      <c r="P930" s="3">
        <f>SUM($O$4:O930)</f>
        <v>19793808356570</v>
      </c>
      <c r="Y930" s="3">
        <f t="shared" si="177"/>
        <v>927</v>
      </c>
      <c r="Z930" s="3">
        <f t="shared" si="178"/>
        <v>4.0696772833897404E+22</v>
      </c>
      <c r="AB930" s="7">
        <f t="shared" si="179"/>
        <v>13040</v>
      </c>
    </row>
    <row r="931" spans="6:28" x14ac:dyDescent="0.15">
      <c r="F931">
        <f t="shared" si="169"/>
        <v>133</v>
      </c>
      <c r="G931">
        <v>928</v>
      </c>
      <c r="H931">
        <f t="shared" si="170"/>
        <v>3.14714503654977E+26</v>
      </c>
      <c r="I931">
        <f t="shared" si="171"/>
        <v>3.14714503654977E+26</v>
      </c>
      <c r="J931" s="1">
        <f t="shared" si="172"/>
        <v>1</v>
      </c>
      <c r="K931" s="1">
        <f t="shared" si="173"/>
        <v>3.14714503654977E+26</v>
      </c>
      <c r="L931" s="1">
        <f t="shared" si="174"/>
        <v>1.6753302077899943E+26</v>
      </c>
      <c r="M931" s="3">
        <f t="shared" si="175"/>
        <v>352172805629.41437</v>
      </c>
      <c r="N931" s="7">
        <f t="shared" si="180"/>
        <v>1.6753302077899902E+26</v>
      </c>
      <c r="O931" s="7">
        <f t="shared" si="176"/>
        <v>352172805629</v>
      </c>
      <c r="P931" s="3">
        <f>SUM($O$4:O931)</f>
        <v>20145981162199</v>
      </c>
      <c r="Y931" s="3">
        <f t="shared" si="177"/>
        <v>928</v>
      </c>
      <c r="Z931" s="3">
        <f t="shared" si="178"/>
        <v>4.2777708143850698E+22</v>
      </c>
      <c r="AB931" s="7">
        <f t="shared" si="179"/>
        <v>13040</v>
      </c>
    </row>
    <row r="932" spans="6:28" x14ac:dyDescent="0.15">
      <c r="F932">
        <f t="shared" si="169"/>
        <v>133</v>
      </c>
      <c r="G932">
        <v>929</v>
      </c>
      <c r="H932">
        <f t="shared" si="170"/>
        <v>3.14714503654977E+26</v>
      </c>
      <c r="I932">
        <f t="shared" si="171"/>
        <v>3.14714503654977E+26</v>
      </c>
      <c r="J932" s="1">
        <f t="shared" si="172"/>
        <v>1</v>
      </c>
      <c r="K932" s="1">
        <f t="shared" si="173"/>
        <v>3.14714503654977E+26</v>
      </c>
      <c r="L932" s="1">
        <f t="shared" si="174"/>
        <v>1.6753302077899943E+26</v>
      </c>
      <c r="M932" s="3">
        <f t="shared" si="175"/>
        <v>352172805629.41437</v>
      </c>
      <c r="N932" s="7">
        <f t="shared" si="180"/>
        <v>1.6753302077899902E+26</v>
      </c>
      <c r="O932" s="7">
        <f t="shared" si="176"/>
        <v>352172805629</v>
      </c>
      <c r="P932" s="3">
        <f>SUM($O$4:O932)</f>
        <v>20498153967828</v>
      </c>
      <c r="Y932" s="3">
        <f t="shared" si="177"/>
        <v>929</v>
      </c>
      <c r="Z932" s="3">
        <f t="shared" si="178"/>
        <v>4.4964995052714599E+22</v>
      </c>
      <c r="AB932" s="7">
        <f t="shared" si="179"/>
        <v>13040</v>
      </c>
    </row>
    <row r="933" spans="6:28" x14ac:dyDescent="0.15">
      <c r="F933">
        <f t="shared" si="169"/>
        <v>133</v>
      </c>
      <c r="G933">
        <v>930</v>
      </c>
      <c r="H933">
        <f t="shared" si="170"/>
        <v>3.14714503654977E+26</v>
      </c>
      <c r="I933">
        <f t="shared" si="171"/>
        <v>3.14714503654977E+26</v>
      </c>
      <c r="J933" s="1">
        <f t="shared" si="172"/>
        <v>1</v>
      </c>
      <c r="K933" s="1">
        <f t="shared" si="173"/>
        <v>3.14714503654977E+26</v>
      </c>
      <c r="L933" s="1">
        <f t="shared" si="174"/>
        <v>1.6753302077899943E+26</v>
      </c>
      <c r="M933" s="3">
        <f t="shared" si="175"/>
        <v>352172805629.41437</v>
      </c>
      <c r="N933" s="7">
        <f t="shared" si="180"/>
        <v>1.6753302077899902E+26</v>
      </c>
      <c r="O933" s="7">
        <f t="shared" si="176"/>
        <v>352172805629</v>
      </c>
      <c r="P933" s="3">
        <f>SUM($O$4:O933)</f>
        <v>20850326773457</v>
      </c>
      <c r="Y933" s="3">
        <f t="shared" si="177"/>
        <v>930</v>
      </c>
      <c r="Z933" s="3">
        <f t="shared" si="178"/>
        <v>4.7264066382105303E+22</v>
      </c>
      <c r="AB933" s="7">
        <f t="shared" si="179"/>
        <v>13040</v>
      </c>
    </row>
    <row r="934" spans="6:28" x14ac:dyDescent="0.15">
      <c r="F934">
        <f t="shared" si="169"/>
        <v>133</v>
      </c>
      <c r="G934">
        <v>931</v>
      </c>
      <c r="H934">
        <f t="shared" si="170"/>
        <v>3.14714503654977E+26</v>
      </c>
      <c r="I934">
        <f t="shared" si="171"/>
        <v>3.14714503654977E+26</v>
      </c>
      <c r="J934" s="1">
        <f t="shared" si="172"/>
        <v>6</v>
      </c>
      <c r="K934" s="1">
        <f t="shared" si="173"/>
        <v>1.8882870219298618E+27</v>
      </c>
      <c r="L934" s="1">
        <f t="shared" si="174"/>
        <v>1.0051981246739966E+27</v>
      </c>
      <c r="M934" s="3">
        <f t="shared" si="175"/>
        <v>2113036833776.4863</v>
      </c>
      <c r="N934" s="7">
        <f t="shared" si="180"/>
        <v>1.005198124674E+27</v>
      </c>
      <c r="O934" s="7">
        <f t="shared" si="176"/>
        <v>2113036833776</v>
      </c>
      <c r="P934" s="3">
        <f>SUM($O$4:O934)</f>
        <v>22963363607233</v>
      </c>
      <c r="Y934" s="3">
        <f t="shared" si="177"/>
        <v>931</v>
      </c>
      <c r="Z934" s="3">
        <f t="shared" si="178"/>
        <v>4.9680632356803296E+22</v>
      </c>
      <c r="AB934" s="7">
        <f t="shared" si="179"/>
        <v>13040</v>
      </c>
    </row>
    <row r="935" spans="6:28" x14ac:dyDescent="0.15">
      <c r="F935">
        <f t="shared" si="169"/>
        <v>134</v>
      </c>
      <c r="G935">
        <v>932</v>
      </c>
      <c r="H935">
        <f t="shared" si="170"/>
        <v>4.941017707383139E+26</v>
      </c>
      <c r="I935">
        <f t="shared" si="171"/>
        <v>4.9410177073831397E+26</v>
      </c>
      <c r="J935" s="1">
        <f t="shared" si="172"/>
        <v>1</v>
      </c>
      <c r="K935" s="1">
        <f t="shared" si="173"/>
        <v>4.9410177073831397E+26</v>
      </c>
      <c r="L935" s="1">
        <f t="shared" si="174"/>
        <v>2.6450914793524406E+26</v>
      </c>
      <c r="M935" s="3">
        <f t="shared" si="175"/>
        <v>427713287206.83887</v>
      </c>
      <c r="N935" s="7">
        <f t="shared" si="180"/>
        <v>2.6450914793524399E+26</v>
      </c>
      <c r="O935" s="7">
        <f t="shared" si="176"/>
        <v>427713287206</v>
      </c>
      <c r="P935" s="3">
        <f>SUM($O$4:O935)</f>
        <v>23391076894439</v>
      </c>
      <c r="Y935" s="3">
        <f t="shared" si="177"/>
        <v>932</v>
      </c>
      <c r="Z935" s="3">
        <f t="shared" si="178"/>
        <v>5.2220694763015804E+22</v>
      </c>
      <c r="AB935" s="7">
        <f t="shared" si="179"/>
        <v>13040</v>
      </c>
    </row>
    <row r="936" spans="6:28" x14ac:dyDescent="0.15">
      <c r="F936">
        <f t="shared" si="169"/>
        <v>134</v>
      </c>
      <c r="G936">
        <v>933</v>
      </c>
      <c r="H936">
        <f t="shared" si="170"/>
        <v>4.941017707383139E+26</v>
      </c>
      <c r="I936">
        <f t="shared" si="171"/>
        <v>4.9410177073831397E+26</v>
      </c>
      <c r="J936" s="1">
        <f t="shared" si="172"/>
        <v>1</v>
      </c>
      <c r="K936" s="1">
        <f t="shared" si="173"/>
        <v>4.9410177073831397E+26</v>
      </c>
      <c r="L936" s="1">
        <f t="shared" si="174"/>
        <v>2.6450914793524406E+26</v>
      </c>
      <c r="M936" s="3">
        <f t="shared" si="175"/>
        <v>427713287206.83887</v>
      </c>
      <c r="N936" s="7">
        <f t="shared" si="180"/>
        <v>2.6450914793524399E+26</v>
      </c>
      <c r="O936" s="7">
        <f t="shared" si="176"/>
        <v>427713287206</v>
      </c>
      <c r="P936" s="3">
        <f>SUM($O$4:O936)</f>
        <v>23818790181645</v>
      </c>
      <c r="Y936" s="3">
        <f t="shared" si="177"/>
        <v>933</v>
      </c>
      <c r="Z936" s="3">
        <f t="shared" si="178"/>
        <v>5.4890561828957496E+22</v>
      </c>
      <c r="AB936" s="7">
        <f t="shared" si="179"/>
        <v>13040</v>
      </c>
    </row>
    <row r="937" spans="6:28" x14ac:dyDescent="0.15">
      <c r="F937">
        <f t="shared" si="169"/>
        <v>134</v>
      </c>
      <c r="G937">
        <v>934</v>
      </c>
      <c r="H937">
        <f t="shared" si="170"/>
        <v>4.941017707383139E+26</v>
      </c>
      <c r="I937">
        <f t="shared" si="171"/>
        <v>4.9410177073831397E+26</v>
      </c>
      <c r="J937" s="1">
        <f t="shared" si="172"/>
        <v>1</v>
      </c>
      <c r="K937" s="1">
        <f t="shared" si="173"/>
        <v>4.9410177073831397E+26</v>
      </c>
      <c r="L937" s="1">
        <f t="shared" si="174"/>
        <v>2.6450914793524406E+26</v>
      </c>
      <c r="M937" s="3">
        <f t="shared" si="175"/>
        <v>427713287206.83887</v>
      </c>
      <c r="N937" s="7">
        <f t="shared" si="180"/>
        <v>2.6450914793524399E+26</v>
      </c>
      <c r="O937" s="7">
        <f t="shared" si="176"/>
        <v>427713287206</v>
      </c>
      <c r="P937" s="3">
        <f>SUM($O$4:O937)</f>
        <v>24246503468851</v>
      </c>
      <c r="Y937" s="3">
        <f t="shared" si="177"/>
        <v>934</v>
      </c>
      <c r="Z937" s="3">
        <f t="shared" si="178"/>
        <v>5.7696863864585898E+22</v>
      </c>
      <c r="AB937" s="7">
        <f t="shared" si="179"/>
        <v>13040</v>
      </c>
    </row>
    <row r="938" spans="6:28" x14ac:dyDescent="0.15">
      <c r="F938">
        <f t="shared" si="169"/>
        <v>134</v>
      </c>
      <c r="G938">
        <v>935</v>
      </c>
      <c r="H938">
        <f t="shared" si="170"/>
        <v>4.941017707383139E+26</v>
      </c>
      <c r="I938">
        <f t="shared" si="171"/>
        <v>4.9410177073831397E+26</v>
      </c>
      <c r="J938" s="1">
        <f t="shared" si="172"/>
        <v>1</v>
      </c>
      <c r="K938" s="1">
        <f t="shared" si="173"/>
        <v>4.9410177073831397E+26</v>
      </c>
      <c r="L938" s="1">
        <f t="shared" si="174"/>
        <v>2.6450914793524406E+26</v>
      </c>
      <c r="M938" s="3">
        <f t="shared" si="175"/>
        <v>427713287206.83887</v>
      </c>
      <c r="N938" s="7">
        <f t="shared" si="180"/>
        <v>2.6450914793524399E+26</v>
      </c>
      <c r="O938" s="7">
        <f t="shared" si="176"/>
        <v>427713287206</v>
      </c>
      <c r="P938" s="3">
        <f>SUM($O$4:O938)</f>
        <v>24674216756057</v>
      </c>
      <c r="Y938" s="3">
        <f t="shared" si="177"/>
        <v>935</v>
      </c>
      <c r="Z938" s="3">
        <f t="shared" si="178"/>
        <v>6.0646569699204703E+22</v>
      </c>
      <c r="AB938" s="7">
        <f t="shared" si="179"/>
        <v>13040</v>
      </c>
    </row>
    <row r="939" spans="6:28" x14ac:dyDescent="0.15">
      <c r="F939">
        <f t="shared" si="169"/>
        <v>134</v>
      </c>
      <c r="G939">
        <v>936</v>
      </c>
      <c r="H939">
        <f t="shared" si="170"/>
        <v>4.941017707383139E+26</v>
      </c>
      <c r="I939">
        <f t="shared" si="171"/>
        <v>4.9410177073831397E+26</v>
      </c>
      <c r="J939" s="1">
        <f t="shared" si="172"/>
        <v>1</v>
      </c>
      <c r="K939" s="1">
        <f t="shared" si="173"/>
        <v>4.9410177073831397E+26</v>
      </c>
      <c r="L939" s="1">
        <f t="shared" si="174"/>
        <v>2.6450914793524406E+26</v>
      </c>
      <c r="M939" s="3">
        <f t="shared" si="175"/>
        <v>427713287206.83887</v>
      </c>
      <c r="N939" s="7">
        <f t="shared" si="180"/>
        <v>2.6450914793524399E+26</v>
      </c>
      <c r="O939" s="7">
        <f t="shared" si="176"/>
        <v>427713287206</v>
      </c>
      <c r="P939" s="3">
        <f>SUM($O$4:O939)</f>
        <v>25101930043263</v>
      </c>
      <c r="Y939" s="3">
        <f t="shared" si="177"/>
        <v>936</v>
      </c>
      <c r="Z939" s="3">
        <f t="shared" si="178"/>
        <v>6.3747003957624003E+22</v>
      </c>
      <c r="AB939" s="7">
        <f t="shared" si="179"/>
        <v>13040</v>
      </c>
    </row>
    <row r="940" spans="6:28" x14ac:dyDescent="0.15">
      <c r="F940">
        <f t="shared" si="169"/>
        <v>134</v>
      </c>
      <c r="G940">
        <v>937</v>
      </c>
      <c r="H940">
        <f t="shared" si="170"/>
        <v>4.941017707383139E+26</v>
      </c>
      <c r="I940">
        <f t="shared" si="171"/>
        <v>4.9410177073831397E+26</v>
      </c>
      <c r="J940" s="1">
        <f t="shared" si="172"/>
        <v>1</v>
      </c>
      <c r="K940" s="1">
        <f t="shared" si="173"/>
        <v>4.9410177073831397E+26</v>
      </c>
      <c r="L940" s="1">
        <f t="shared" si="174"/>
        <v>2.6450914793524406E+26</v>
      </c>
      <c r="M940" s="3">
        <f t="shared" si="175"/>
        <v>427713287206.83887</v>
      </c>
      <c r="N940" s="7">
        <f t="shared" si="180"/>
        <v>2.6450914793524399E+26</v>
      </c>
      <c r="O940" s="7">
        <f t="shared" si="176"/>
        <v>427713287206</v>
      </c>
      <c r="P940" s="3">
        <f>SUM($O$4:O940)</f>
        <v>25529643330469</v>
      </c>
      <c r="Y940" s="3">
        <f t="shared" si="177"/>
        <v>937</v>
      </c>
      <c r="Z940" s="3">
        <f t="shared" si="178"/>
        <v>6.7005865217637099E+22</v>
      </c>
      <c r="AB940" s="7">
        <f t="shared" si="179"/>
        <v>13040</v>
      </c>
    </row>
    <row r="941" spans="6:28" x14ac:dyDescent="0.15">
      <c r="F941">
        <f t="shared" si="169"/>
        <v>134</v>
      </c>
      <c r="G941">
        <v>938</v>
      </c>
      <c r="H941">
        <f t="shared" si="170"/>
        <v>4.941017707383139E+26</v>
      </c>
      <c r="I941">
        <f t="shared" si="171"/>
        <v>4.9410177073831397E+26</v>
      </c>
      <c r="J941" s="1">
        <f t="shared" si="172"/>
        <v>7</v>
      </c>
      <c r="K941" s="1">
        <f t="shared" si="173"/>
        <v>3.4587123951681979E+27</v>
      </c>
      <c r="L941" s="1">
        <f t="shared" si="174"/>
        <v>1.8515640355467086E+27</v>
      </c>
      <c r="M941" s="3">
        <f t="shared" si="175"/>
        <v>2993993010447.8721</v>
      </c>
      <c r="N941" s="7">
        <f t="shared" si="180"/>
        <v>1.85156403554671E+27</v>
      </c>
      <c r="O941" s="7">
        <f t="shared" si="176"/>
        <v>2993993010447</v>
      </c>
      <c r="P941" s="3">
        <f>SUM($O$4:O941)</f>
        <v>28523636340916</v>
      </c>
      <c r="Y941" s="3">
        <f t="shared" si="177"/>
        <v>938</v>
      </c>
      <c r="Z941" s="3">
        <f t="shared" si="178"/>
        <v>7.0431245093757499E+22</v>
      </c>
      <c r="AB941" s="7">
        <f t="shared" si="179"/>
        <v>13040</v>
      </c>
    </row>
    <row r="942" spans="6:28" x14ac:dyDescent="0.15">
      <c r="F942">
        <f t="shared" si="169"/>
        <v>135</v>
      </c>
      <c r="G942">
        <v>939</v>
      </c>
      <c r="H942">
        <f t="shared" si="170"/>
        <v>7.7573978005915281E+26</v>
      </c>
      <c r="I942">
        <f t="shared" si="171"/>
        <v>7.7573978005915294E+26</v>
      </c>
      <c r="J942" s="1">
        <f t="shared" si="172"/>
        <v>1</v>
      </c>
      <c r="K942" s="1">
        <f t="shared" si="173"/>
        <v>7.7573978005915294E+26</v>
      </c>
      <c r="L942" s="1">
        <f t="shared" si="174"/>
        <v>4.1760658159851069E+26</v>
      </c>
      <c r="M942" s="3">
        <f t="shared" si="175"/>
        <v>519440763184.83569</v>
      </c>
      <c r="N942" s="7">
        <f t="shared" si="180"/>
        <v>4.1760658159851103E+26</v>
      </c>
      <c r="O942" s="7">
        <f t="shared" si="176"/>
        <v>519440763184</v>
      </c>
      <c r="P942" s="3">
        <f>SUM($O$4:O942)</f>
        <v>29043077104100</v>
      </c>
      <c r="Y942" s="3">
        <f t="shared" si="177"/>
        <v>939</v>
      </c>
      <c r="Z942" s="3">
        <f t="shared" si="178"/>
        <v>7.4031648294445899E+22</v>
      </c>
      <c r="AB942" s="7">
        <f t="shared" si="179"/>
        <v>13040</v>
      </c>
    </row>
    <row r="943" spans="6:28" x14ac:dyDescent="0.15">
      <c r="F943">
        <f t="shared" si="169"/>
        <v>135</v>
      </c>
      <c r="G943">
        <v>940</v>
      </c>
      <c r="H943">
        <f t="shared" si="170"/>
        <v>7.7573978005915281E+26</v>
      </c>
      <c r="I943">
        <f t="shared" si="171"/>
        <v>7.7573978005915294E+26</v>
      </c>
      <c r="J943" s="1">
        <f t="shared" si="172"/>
        <v>1</v>
      </c>
      <c r="K943" s="1">
        <f t="shared" si="173"/>
        <v>7.7573978005915294E+26</v>
      </c>
      <c r="L943" s="1">
        <f t="shared" si="174"/>
        <v>4.1760658159851069E+26</v>
      </c>
      <c r="M943" s="3">
        <f t="shared" si="175"/>
        <v>519440763184.83569</v>
      </c>
      <c r="N943" s="7">
        <f t="shared" si="180"/>
        <v>4.1760658159851103E+26</v>
      </c>
      <c r="O943" s="7">
        <f t="shared" si="176"/>
        <v>519440763184</v>
      </c>
      <c r="P943" s="3">
        <f>SUM($O$4:O943)</f>
        <v>29562517867284</v>
      </c>
      <c r="Y943" s="3">
        <f t="shared" si="177"/>
        <v>940</v>
      </c>
      <c r="Z943" s="3">
        <f t="shared" si="178"/>
        <v>7.7816013702468695E+22</v>
      </c>
      <c r="AB943" s="7">
        <f t="shared" si="179"/>
        <v>13040</v>
      </c>
    </row>
    <row r="944" spans="6:28" x14ac:dyDescent="0.15">
      <c r="F944">
        <f t="shared" si="169"/>
        <v>135</v>
      </c>
      <c r="G944">
        <v>941</v>
      </c>
      <c r="H944">
        <f t="shared" si="170"/>
        <v>7.7573978005915281E+26</v>
      </c>
      <c r="I944">
        <f t="shared" si="171"/>
        <v>7.7573978005915294E+26</v>
      </c>
      <c r="J944" s="1">
        <f t="shared" si="172"/>
        <v>1</v>
      </c>
      <c r="K944" s="1">
        <f t="shared" si="173"/>
        <v>7.7573978005915294E+26</v>
      </c>
      <c r="L944" s="1">
        <f t="shared" si="174"/>
        <v>4.1760658159851069E+26</v>
      </c>
      <c r="M944" s="3">
        <f t="shared" si="175"/>
        <v>519440763184.83569</v>
      </c>
      <c r="N944" s="7">
        <f t="shared" si="180"/>
        <v>4.1760658159851103E+26</v>
      </c>
      <c r="O944" s="7">
        <f t="shared" si="176"/>
        <v>519440763184</v>
      </c>
      <c r="P944" s="3">
        <f>SUM($O$4:O944)</f>
        <v>30081958630468</v>
      </c>
      <c r="Y944" s="3">
        <f t="shared" si="177"/>
        <v>941</v>
      </c>
      <c r="Z944" s="3">
        <f t="shared" si="178"/>
        <v>8.1793736530557594E+22</v>
      </c>
      <c r="AB944" s="7">
        <f t="shared" si="179"/>
        <v>13040</v>
      </c>
    </row>
    <row r="945" spans="6:28" x14ac:dyDescent="0.15">
      <c r="F945">
        <f t="shared" si="169"/>
        <v>135</v>
      </c>
      <c r="G945">
        <v>942</v>
      </c>
      <c r="H945">
        <f t="shared" si="170"/>
        <v>7.7573978005915281E+26</v>
      </c>
      <c r="I945">
        <f t="shared" si="171"/>
        <v>7.7573978005915294E+26</v>
      </c>
      <c r="J945" s="1">
        <f t="shared" si="172"/>
        <v>1</v>
      </c>
      <c r="K945" s="1">
        <f t="shared" si="173"/>
        <v>7.7573978005915294E+26</v>
      </c>
      <c r="L945" s="1">
        <f t="shared" si="174"/>
        <v>4.1760658159851069E+26</v>
      </c>
      <c r="M945" s="3">
        <f t="shared" si="175"/>
        <v>519440763184.83569</v>
      </c>
      <c r="N945" s="7">
        <f t="shared" si="180"/>
        <v>4.1760658159851103E+26</v>
      </c>
      <c r="O945" s="7">
        <f t="shared" si="176"/>
        <v>519440763184</v>
      </c>
      <c r="P945" s="3">
        <f>SUM($O$4:O945)</f>
        <v>30601399393652</v>
      </c>
      <c r="Y945" s="3">
        <f t="shared" si="177"/>
        <v>942</v>
      </c>
      <c r="Z945" s="3">
        <f t="shared" si="178"/>
        <v>8.59746916071993E+22</v>
      </c>
      <c r="AB945" s="7">
        <f t="shared" si="179"/>
        <v>13040</v>
      </c>
    </row>
    <row r="946" spans="6:28" x14ac:dyDescent="0.15">
      <c r="F946">
        <f t="shared" si="169"/>
        <v>135</v>
      </c>
      <c r="G946">
        <v>943</v>
      </c>
      <c r="H946">
        <f t="shared" si="170"/>
        <v>7.7573978005915281E+26</v>
      </c>
      <c r="I946">
        <f t="shared" si="171"/>
        <v>7.7573978005915294E+26</v>
      </c>
      <c r="J946" s="1">
        <f t="shared" si="172"/>
        <v>1</v>
      </c>
      <c r="K946" s="1">
        <f t="shared" si="173"/>
        <v>7.7573978005915294E+26</v>
      </c>
      <c r="L946" s="1">
        <f t="shared" si="174"/>
        <v>4.1760658159851069E+26</v>
      </c>
      <c r="M946" s="3">
        <f t="shared" si="175"/>
        <v>519440763184.83569</v>
      </c>
      <c r="N946" s="7">
        <f t="shared" si="180"/>
        <v>4.1760658159851103E+26</v>
      </c>
      <c r="O946" s="7">
        <f t="shared" si="176"/>
        <v>519440763184</v>
      </c>
      <c r="P946" s="3">
        <f>SUM($O$4:O946)</f>
        <v>31120840156836</v>
      </c>
      <c r="Y946" s="3">
        <f t="shared" si="177"/>
        <v>943</v>
      </c>
      <c r="Z946" s="3">
        <f t="shared" si="178"/>
        <v>9.0369257850178799E+22</v>
      </c>
      <c r="AB946" s="7">
        <f t="shared" si="179"/>
        <v>13040</v>
      </c>
    </row>
    <row r="947" spans="6:28" x14ac:dyDescent="0.15">
      <c r="F947">
        <f t="shared" si="169"/>
        <v>135</v>
      </c>
      <c r="G947">
        <v>944</v>
      </c>
      <c r="H947">
        <f t="shared" si="170"/>
        <v>7.7573978005915281E+26</v>
      </c>
      <c r="I947">
        <f t="shared" si="171"/>
        <v>7.7573978005915294E+26</v>
      </c>
      <c r="J947" s="1">
        <f t="shared" si="172"/>
        <v>1</v>
      </c>
      <c r="K947" s="1">
        <f t="shared" si="173"/>
        <v>7.7573978005915294E+26</v>
      </c>
      <c r="L947" s="1">
        <f t="shared" si="174"/>
        <v>4.1760658159851069E+26</v>
      </c>
      <c r="M947" s="3">
        <f t="shared" si="175"/>
        <v>519440763184.83569</v>
      </c>
      <c r="N947" s="7">
        <f t="shared" si="180"/>
        <v>4.1760658159851103E+26</v>
      </c>
      <c r="O947" s="7">
        <f t="shared" si="176"/>
        <v>519440763184</v>
      </c>
      <c r="P947" s="3">
        <f>SUM($O$4:O947)</f>
        <v>31640280920020</v>
      </c>
      <c r="Y947" s="3">
        <f t="shared" si="177"/>
        <v>944</v>
      </c>
      <c r="Z947" s="3">
        <f t="shared" si="178"/>
        <v>9.4988343988438193E+22</v>
      </c>
      <c r="AB947" s="7">
        <f t="shared" si="179"/>
        <v>13040</v>
      </c>
    </row>
    <row r="948" spans="6:28" x14ac:dyDescent="0.15">
      <c r="F948">
        <f t="shared" si="169"/>
        <v>135</v>
      </c>
      <c r="G948">
        <v>945</v>
      </c>
      <c r="H948">
        <f t="shared" si="170"/>
        <v>7.7573978005915281E+26</v>
      </c>
      <c r="I948">
        <f t="shared" si="171"/>
        <v>7.7573978005915294E+26</v>
      </c>
      <c r="J948" s="1">
        <f t="shared" si="172"/>
        <v>10</v>
      </c>
      <c r="K948" s="1">
        <f t="shared" si="173"/>
        <v>7.7573978005915289E+27</v>
      </c>
      <c r="L948" s="1">
        <f t="shared" si="174"/>
        <v>4.1760658159851069E+27</v>
      </c>
      <c r="M948" s="3">
        <f t="shared" si="175"/>
        <v>5194407631848.3574</v>
      </c>
      <c r="N948" s="7">
        <f t="shared" si="180"/>
        <v>4.1760658159851102E+27</v>
      </c>
      <c r="O948" s="7">
        <f t="shared" si="176"/>
        <v>5194407631848</v>
      </c>
      <c r="P948" s="3">
        <f>SUM($O$4:O948)</f>
        <v>36834688551868</v>
      </c>
      <c r="Y948" s="3">
        <f t="shared" si="177"/>
        <v>945</v>
      </c>
      <c r="Z948" s="3">
        <f t="shared" si="178"/>
        <v>9.9843415595898108E+22</v>
      </c>
      <c r="AB948" s="7">
        <f t="shared" si="179"/>
        <v>13040</v>
      </c>
    </row>
    <row r="949" spans="6:28" x14ac:dyDescent="0.15">
      <c r="F949">
        <f t="shared" si="169"/>
        <v>136</v>
      </c>
      <c r="G949">
        <v>946</v>
      </c>
      <c r="H949">
        <f t="shared" si="170"/>
        <v>1.2179114546928697E+27</v>
      </c>
      <c r="I949">
        <f t="shared" si="171"/>
        <v>1.21791145469287E+27</v>
      </c>
      <c r="J949" s="1">
        <f t="shared" si="172"/>
        <v>1</v>
      </c>
      <c r="K949" s="1">
        <f t="shared" si="173"/>
        <v>1.21791145469287E+27</v>
      </c>
      <c r="L949" s="1">
        <f t="shared" si="174"/>
        <v>6.5929606747374024E+26</v>
      </c>
      <c r="M949" s="3">
        <f t="shared" si="175"/>
        <v>630820540641.63464</v>
      </c>
      <c r="N949" s="7">
        <f t="shared" si="180"/>
        <v>6.5929606747373996E+26</v>
      </c>
      <c r="O949" s="7">
        <f t="shared" si="176"/>
        <v>630820540641</v>
      </c>
      <c r="P949" s="3">
        <f>SUM($O$4:O949)</f>
        <v>37465509092509</v>
      </c>
      <c r="Y949" s="3">
        <f t="shared" si="177"/>
        <v>946</v>
      </c>
      <c r="Z949" s="3">
        <f t="shared" si="178"/>
        <v>1.0494652350413299E+23</v>
      </c>
      <c r="AB949" s="7">
        <f t="shared" si="179"/>
        <v>13040</v>
      </c>
    </row>
    <row r="950" spans="6:28" x14ac:dyDescent="0.15">
      <c r="F950">
        <f t="shared" si="169"/>
        <v>136</v>
      </c>
      <c r="G950">
        <v>947</v>
      </c>
      <c r="H950">
        <f t="shared" si="170"/>
        <v>1.2179114546928697E+27</v>
      </c>
      <c r="I950">
        <f t="shared" si="171"/>
        <v>1.21791145469287E+27</v>
      </c>
      <c r="J950" s="1">
        <f t="shared" si="172"/>
        <v>1</v>
      </c>
      <c r="K950" s="1">
        <f t="shared" si="173"/>
        <v>1.21791145469287E+27</v>
      </c>
      <c r="L950" s="1">
        <f t="shared" si="174"/>
        <v>6.5929606747374024E+26</v>
      </c>
      <c r="M950" s="3">
        <f t="shared" si="175"/>
        <v>630820540641.63464</v>
      </c>
      <c r="N950" s="7">
        <f t="shared" si="180"/>
        <v>6.5929606747373996E+26</v>
      </c>
      <c r="O950" s="7">
        <f t="shared" si="176"/>
        <v>630820540641</v>
      </c>
      <c r="P950" s="3">
        <f>SUM($O$4:O950)</f>
        <v>38096329633150</v>
      </c>
      <c r="Y950" s="3">
        <f t="shared" si="177"/>
        <v>947</v>
      </c>
      <c r="Z950" s="3">
        <f t="shared" si="178"/>
        <v>1.10310333664201E+23</v>
      </c>
      <c r="AB950" s="7">
        <f t="shared" si="179"/>
        <v>13040</v>
      </c>
    </row>
    <row r="951" spans="6:28" x14ac:dyDescent="0.15">
      <c r="F951">
        <f t="shared" si="169"/>
        <v>136</v>
      </c>
      <c r="G951">
        <v>948</v>
      </c>
      <c r="H951">
        <f t="shared" si="170"/>
        <v>1.2179114546928697E+27</v>
      </c>
      <c r="I951">
        <f t="shared" si="171"/>
        <v>1.21791145469287E+27</v>
      </c>
      <c r="J951" s="1">
        <f t="shared" si="172"/>
        <v>1</v>
      </c>
      <c r="K951" s="1">
        <f t="shared" si="173"/>
        <v>1.21791145469287E+27</v>
      </c>
      <c r="L951" s="1">
        <f t="shared" si="174"/>
        <v>6.5929606747374024E+26</v>
      </c>
      <c r="M951" s="3">
        <f t="shared" si="175"/>
        <v>630820540641.63464</v>
      </c>
      <c r="N951" s="7">
        <f t="shared" si="180"/>
        <v>6.5929606747373996E+26</v>
      </c>
      <c r="O951" s="7">
        <f t="shared" si="176"/>
        <v>630820540641</v>
      </c>
      <c r="P951" s="3">
        <f>SUM($O$4:O951)</f>
        <v>38727150173791</v>
      </c>
      <c r="Y951" s="3">
        <f t="shared" si="177"/>
        <v>948</v>
      </c>
      <c r="Z951" s="3">
        <f t="shared" si="178"/>
        <v>1.15948158531516E+23</v>
      </c>
      <c r="AB951" s="7">
        <f t="shared" si="179"/>
        <v>13040</v>
      </c>
    </row>
    <row r="952" spans="6:28" x14ac:dyDescent="0.15">
      <c r="F952">
        <f t="shared" si="169"/>
        <v>136</v>
      </c>
      <c r="G952">
        <v>949</v>
      </c>
      <c r="H952">
        <f t="shared" si="170"/>
        <v>1.2179114546928697E+27</v>
      </c>
      <c r="I952">
        <f t="shared" si="171"/>
        <v>1.21791145469287E+27</v>
      </c>
      <c r="J952" s="1">
        <f t="shared" si="172"/>
        <v>1</v>
      </c>
      <c r="K952" s="1">
        <f t="shared" si="173"/>
        <v>1.21791145469287E+27</v>
      </c>
      <c r="L952" s="1">
        <f t="shared" si="174"/>
        <v>6.5929606747374024E+26</v>
      </c>
      <c r="M952" s="3">
        <f t="shared" si="175"/>
        <v>630820540641.63464</v>
      </c>
      <c r="N952" s="7">
        <f t="shared" si="180"/>
        <v>6.5929606747373996E+26</v>
      </c>
      <c r="O952" s="7">
        <f t="shared" si="176"/>
        <v>630820540641</v>
      </c>
      <c r="P952" s="3">
        <f>SUM($O$4:O952)</f>
        <v>39357970714432</v>
      </c>
      <c r="Y952" s="3">
        <f t="shared" si="177"/>
        <v>949</v>
      </c>
      <c r="Z952" s="3">
        <f t="shared" si="178"/>
        <v>1.21873990051402E+23</v>
      </c>
      <c r="AB952" s="7">
        <f t="shared" si="179"/>
        <v>13040</v>
      </c>
    </row>
    <row r="953" spans="6:28" x14ac:dyDescent="0.15">
      <c r="F953">
        <f t="shared" si="169"/>
        <v>136</v>
      </c>
      <c r="G953">
        <v>950</v>
      </c>
      <c r="H953">
        <f t="shared" si="170"/>
        <v>1.2179114546928697E+27</v>
      </c>
      <c r="I953">
        <f t="shared" si="171"/>
        <v>1.21791145469287E+27</v>
      </c>
      <c r="J953" s="1">
        <f t="shared" si="172"/>
        <v>1</v>
      </c>
      <c r="K953" s="1">
        <f t="shared" si="173"/>
        <v>1.21791145469287E+27</v>
      </c>
      <c r="L953" s="1">
        <f t="shared" si="174"/>
        <v>6.5929606747374024E+26</v>
      </c>
      <c r="M953" s="3">
        <f t="shared" si="175"/>
        <v>630820540641.63464</v>
      </c>
      <c r="N953" s="7">
        <f t="shared" si="180"/>
        <v>6.5929606747373996E+26</v>
      </c>
      <c r="O953" s="7">
        <f t="shared" si="176"/>
        <v>630820540641</v>
      </c>
      <c r="P953" s="3">
        <f>SUM($O$4:O953)</f>
        <v>39988791255073</v>
      </c>
      <c r="Y953" s="3">
        <f t="shared" si="177"/>
        <v>950</v>
      </c>
      <c r="Z953" s="3">
        <f t="shared" si="178"/>
        <v>1.2810253432694799E+23</v>
      </c>
      <c r="AB953" s="7">
        <f t="shared" si="179"/>
        <v>13040</v>
      </c>
    </row>
    <row r="954" spans="6:28" x14ac:dyDescent="0.15">
      <c r="F954">
        <f t="shared" si="169"/>
        <v>136</v>
      </c>
      <c r="G954">
        <v>951</v>
      </c>
      <c r="H954">
        <f t="shared" si="170"/>
        <v>1.2179114546928697E+27</v>
      </c>
      <c r="I954">
        <f t="shared" si="171"/>
        <v>1.21791145469287E+27</v>
      </c>
      <c r="J954" s="1">
        <f t="shared" si="172"/>
        <v>1</v>
      </c>
      <c r="K954" s="1">
        <f t="shared" si="173"/>
        <v>1.21791145469287E+27</v>
      </c>
      <c r="L954" s="1">
        <f t="shared" si="174"/>
        <v>6.5929606747374024E+26</v>
      </c>
      <c r="M954" s="3">
        <f t="shared" si="175"/>
        <v>630820540641.63464</v>
      </c>
      <c r="N954" s="7">
        <f t="shared" si="180"/>
        <v>6.5929606747373996E+26</v>
      </c>
      <c r="O954" s="7">
        <f t="shared" si="176"/>
        <v>630820540641</v>
      </c>
      <c r="P954" s="3">
        <f>SUM($O$4:O954)</f>
        <v>40619611795714</v>
      </c>
      <c r="Y954" s="3">
        <f t="shared" si="177"/>
        <v>951</v>
      </c>
      <c r="Z954" s="3">
        <f t="shared" si="178"/>
        <v>1.3464924805492001E+23</v>
      </c>
      <c r="AB954" s="7">
        <f t="shared" si="179"/>
        <v>13040</v>
      </c>
    </row>
    <row r="955" spans="6:28" x14ac:dyDescent="0.15">
      <c r="F955">
        <f t="shared" si="169"/>
        <v>136</v>
      </c>
      <c r="G955">
        <v>952</v>
      </c>
      <c r="H955">
        <f t="shared" si="170"/>
        <v>1.2179114546928697E+27</v>
      </c>
      <c r="I955">
        <f t="shared" si="171"/>
        <v>1.21791145469287E+27</v>
      </c>
      <c r="J955" s="1">
        <f t="shared" si="172"/>
        <v>2</v>
      </c>
      <c r="K955" s="1">
        <f t="shared" si="173"/>
        <v>2.43582290938574E+27</v>
      </c>
      <c r="L955" s="1">
        <f t="shared" si="174"/>
        <v>1.3185921349474805E+27</v>
      </c>
      <c r="M955" s="3">
        <f t="shared" si="175"/>
        <v>1261641081283.2693</v>
      </c>
      <c r="N955" s="7">
        <f t="shared" si="180"/>
        <v>1.3185921349474799E+27</v>
      </c>
      <c r="O955" s="7">
        <f t="shared" si="176"/>
        <v>1261641081283</v>
      </c>
      <c r="P955" s="3">
        <f>SUM($O$4:O955)</f>
        <v>41881252876997</v>
      </c>
      <c r="Y955" s="3">
        <f t="shared" si="177"/>
        <v>952</v>
      </c>
      <c r="Z955" s="3">
        <f t="shared" si="178"/>
        <v>1.41530376819872E+23</v>
      </c>
      <c r="AB955" s="7">
        <f t="shared" si="179"/>
        <v>13040</v>
      </c>
    </row>
    <row r="956" spans="6:28" x14ac:dyDescent="0.15">
      <c r="F956">
        <f t="shared" si="169"/>
        <v>137</v>
      </c>
      <c r="G956">
        <v>953</v>
      </c>
      <c r="H956">
        <f t="shared" si="170"/>
        <v>1.9121209838678056E+27</v>
      </c>
      <c r="I956">
        <f t="shared" si="171"/>
        <v>1.91212098386781E+27</v>
      </c>
      <c r="J956" s="1">
        <f t="shared" si="172"/>
        <v>1</v>
      </c>
      <c r="K956" s="1">
        <f t="shared" si="173"/>
        <v>1.91212098386781E+27</v>
      </c>
      <c r="L956" s="1">
        <f t="shared" si="174"/>
        <v>1.0408311888853781E+27</v>
      </c>
      <c r="M956" s="3">
        <f t="shared" si="175"/>
        <v>766059118180.38708</v>
      </c>
      <c r="N956" s="7">
        <f t="shared" si="180"/>
        <v>1.04083118888538E+27</v>
      </c>
      <c r="O956" s="7">
        <f t="shared" si="176"/>
        <v>766059118180</v>
      </c>
      <c r="P956" s="3">
        <f>SUM($O$4:O956)</f>
        <v>42647311995177</v>
      </c>
      <c r="Y956" s="3">
        <f t="shared" si="177"/>
        <v>953</v>
      </c>
      <c r="Z956" s="3">
        <f t="shared" si="178"/>
        <v>1.4876299534118201E+23</v>
      </c>
      <c r="AB956" s="7">
        <f t="shared" si="179"/>
        <v>13040</v>
      </c>
    </row>
    <row r="957" spans="6:28" x14ac:dyDescent="0.15">
      <c r="F957">
        <f t="shared" si="169"/>
        <v>137</v>
      </c>
      <c r="G957">
        <v>954</v>
      </c>
      <c r="H957">
        <f t="shared" si="170"/>
        <v>1.9121209838678056E+27</v>
      </c>
      <c r="I957">
        <f t="shared" si="171"/>
        <v>1.91212098386781E+27</v>
      </c>
      <c r="J957" s="1">
        <f t="shared" si="172"/>
        <v>1</v>
      </c>
      <c r="K957" s="1">
        <f t="shared" si="173"/>
        <v>1.91212098386781E+27</v>
      </c>
      <c r="L957" s="1">
        <f t="shared" si="174"/>
        <v>1.0408311888853781E+27</v>
      </c>
      <c r="M957" s="3">
        <f t="shared" si="175"/>
        <v>766059118180.38708</v>
      </c>
      <c r="N957" s="7">
        <f t="shared" si="180"/>
        <v>1.04083118888538E+27</v>
      </c>
      <c r="O957" s="7">
        <f t="shared" si="176"/>
        <v>766059118180</v>
      </c>
      <c r="P957" s="3">
        <f>SUM($O$4:O957)</f>
        <v>43413371113357</v>
      </c>
      <c r="Y957" s="3">
        <f t="shared" si="177"/>
        <v>954</v>
      </c>
      <c r="Z957" s="3">
        <f t="shared" si="178"/>
        <v>1.5636504977257299E+23</v>
      </c>
      <c r="AB957" s="7">
        <f t="shared" si="179"/>
        <v>13040</v>
      </c>
    </row>
    <row r="958" spans="6:28" x14ac:dyDescent="0.15">
      <c r="F958">
        <f t="shared" si="169"/>
        <v>137</v>
      </c>
      <c r="G958">
        <v>955</v>
      </c>
      <c r="H958">
        <f t="shared" si="170"/>
        <v>1.9121209838678056E+27</v>
      </c>
      <c r="I958">
        <f t="shared" si="171"/>
        <v>1.91212098386781E+27</v>
      </c>
      <c r="J958" s="1">
        <f t="shared" si="172"/>
        <v>1</v>
      </c>
      <c r="K958" s="1">
        <f t="shared" si="173"/>
        <v>1.91212098386781E+27</v>
      </c>
      <c r="L958" s="1">
        <f t="shared" si="174"/>
        <v>1.0408311888853781E+27</v>
      </c>
      <c r="M958" s="3">
        <f t="shared" si="175"/>
        <v>766059118180.38708</v>
      </c>
      <c r="N958" s="7">
        <f t="shared" si="180"/>
        <v>1.04083118888538E+27</v>
      </c>
      <c r="O958" s="7">
        <f t="shared" si="176"/>
        <v>766059118180</v>
      </c>
      <c r="P958" s="3">
        <f>SUM($O$4:O958)</f>
        <v>44179430231537</v>
      </c>
      <c r="Y958" s="3">
        <f t="shared" si="177"/>
        <v>955</v>
      </c>
      <c r="Z958" s="3">
        <f t="shared" si="178"/>
        <v>1.6435540215875001E+23</v>
      </c>
      <c r="AB958" s="7">
        <f t="shared" si="179"/>
        <v>13040</v>
      </c>
    </row>
    <row r="959" spans="6:28" x14ac:dyDescent="0.15">
      <c r="F959">
        <f t="shared" si="169"/>
        <v>137</v>
      </c>
      <c r="G959">
        <v>956</v>
      </c>
      <c r="H959">
        <f t="shared" si="170"/>
        <v>1.9121209838678056E+27</v>
      </c>
      <c r="I959">
        <f t="shared" si="171"/>
        <v>1.91212098386781E+27</v>
      </c>
      <c r="J959" s="1">
        <f t="shared" si="172"/>
        <v>1</v>
      </c>
      <c r="K959" s="1">
        <f t="shared" si="173"/>
        <v>1.91212098386781E+27</v>
      </c>
      <c r="L959" s="1">
        <f t="shared" si="174"/>
        <v>1.0408311888853781E+27</v>
      </c>
      <c r="M959" s="3">
        <f t="shared" si="175"/>
        <v>766059118180.38708</v>
      </c>
      <c r="N959" s="7">
        <f t="shared" si="180"/>
        <v>1.04083118888538E+27</v>
      </c>
      <c r="O959" s="7">
        <f t="shared" si="176"/>
        <v>766059118180</v>
      </c>
      <c r="P959" s="3">
        <f>SUM($O$4:O959)</f>
        <v>44945489349717</v>
      </c>
      <c r="Y959" s="3">
        <f t="shared" si="177"/>
        <v>956</v>
      </c>
      <c r="Z959" s="3">
        <f t="shared" si="178"/>
        <v>1.7275387715911299E+23</v>
      </c>
      <c r="AB959" s="7">
        <f t="shared" si="179"/>
        <v>13040</v>
      </c>
    </row>
    <row r="960" spans="6:28" x14ac:dyDescent="0.15">
      <c r="F960">
        <f t="shared" si="169"/>
        <v>137</v>
      </c>
      <c r="G960">
        <v>957</v>
      </c>
      <c r="H960">
        <f t="shared" si="170"/>
        <v>1.9121209838678056E+27</v>
      </c>
      <c r="I960">
        <f t="shared" si="171"/>
        <v>1.91212098386781E+27</v>
      </c>
      <c r="J960" s="1">
        <f t="shared" si="172"/>
        <v>1</v>
      </c>
      <c r="K960" s="1">
        <f t="shared" si="173"/>
        <v>1.91212098386781E+27</v>
      </c>
      <c r="L960" s="1">
        <f t="shared" si="174"/>
        <v>1.0408311888853781E+27</v>
      </c>
      <c r="M960" s="3">
        <f t="shared" si="175"/>
        <v>766059118180.38708</v>
      </c>
      <c r="N960" s="7">
        <f t="shared" si="180"/>
        <v>1.04083118888538E+27</v>
      </c>
      <c r="O960" s="7">
        <f t="shared" si="176"/>
        <v>766059118180</v>
      </c>
      <c r="P960" s="3">
        <f>SUM($O$4:O960)</f>
        <v>45711548467897</v>
      </c>
      <c r="Y960" s="3">
        <f t="shared" si="177"/>
        <v>957</v>
      </c>
      <c r="Z960" s="3">
        <f t="shared" si="178"/>
        <v>1.8158131115411601E+23</v>
      </c>
      <c r="AB960" s="7">
        <f t="shared" si="179"/>
        <v>13040</v>
      </c>
    </row>
    <row r="961" spans="6:28" x14ac:dyDescent="0.15">
      <c r="F961">
        <f t="shared" si="169"/>
        <v>137</v>
      </c>
      <c r="G961">
        <v>958</v>
      </c>
      <c r="H961">
        <f t="shared" si="170"/>
        <v>1.9121209838678056E+27</v>
      </c>
      <c r="I961">
        <f t="shared" si="171"/>
        <v>1.91212098386781E+27</v>
      </c>
      <c r="J961" s="1">
        <f t="shared" si="172"/>
        <v>1</v>
      </c>
      <c r="K961" s="1">
        <f t="shared" si="173"/>
        <v>1.91212098386781E+27</v>
      </c>
      <c r="L961" s="1">
        <f t="shared" si="174"/>
        <v>1.0408311888853781E+27</v>
      </c>
      <c r="M961" s="3">
        <f t="shared" si="175"/>
        <v>766059118180.38708</v>
      </c>
      <c r="N961" s="7">
        <f t="shared" si="180"/>
        <v>1.04083118888538E+27</v>
      </c>
      <c r="O961" s="7">
        <f t="shared" si="176"/>
        <v>766059118180</v>
      </c>
      <c r="P961" s="3">
        <f>SUM($O$4:O961)</f>
        <v>46477607586077</v>
      </c>
      <c r="Y961" s="3">
        <f t="shared" si="177"/>
        <v>958</v>
      </c>
      <c r="Z961" s="3">
        <f t="shared" si="178"/>
        <v>1.9085960385572102E+23</v>
      </c>
      <c r="AB961" s="7">
        <f t="shared" si="179"/>
        <v>13040</v>
      </c>
    </row>
    <row r="962" spans="6:28" x14ac:dyDescent="0.15">
      <c r="F962">
        <f t="shared" si="169"/>
        <v>137</v>
      </c>
      <c r="G962">
        <v>959</v>
      </c>
      <c r="H962">
        <f t="shared" si="170"/>
        <v>1.9121209838678056E+27</v>
      </c>
      <c r="I962">
        <f t="shared" si="171"/>
        <v>1.91212098386781E+27</v>
      </c>
      <c r="J962" s="1">
        <f t="shared" si="172"/>
        <v>4</v>
      </c>
      <c r="K962" s="1">
        <f t="shared" si="173"/>
        <v>7.6484839354712401E+27</v>
      </c>
      <c r="L962" s="1">
        <f t="shared" si="174"/>
        <v>4.1633247555415122E+27</v>
      </c>
      <c r="M962" s="3">
        <f t="shared" si="175"/>
        <v>3064236472721.5483</v>
      </c>
      <c r="N962" s="7">
        <f t="shared" si="180"/>
        <v>4.16332475554151E+27</v>
      </c>
      <c r="O962" s="7">
        <f t="shared" si="176"/>
        <v>3064236472721</v>
      </c>
      <c r="P962" s="3">
        <f>SUM($O$4:O962)</f>
        <v>49541844058798</v>
      </c>
      <c r="Y962" s="3">
        <f t="shared" si="177"/>
        <v>959</v>
      </c>
      <c r="Z962" s="3">
        <f t="shared" si="178"/>
        <v>2.0061177254960201E+23</v>
      </c>
      <c r="AB962" s="7">
        <f t="shared" si="179"/>
        <v>13040</v>
      </c>
    </row>
    <row r="963" spans="6:28" x14ac:dyDescent="0.15">
      <c r="F963">
        <f t="shared" si="169"/>
        <v>138</v>
      </c>
      <c r="G963">
        <v>960</v>
      </c>
      <c r="H963">
        <f t="shared" si="170"/>
        <v>3.0020299446724548E+27</v>
      </c>
      <c r="I963">
        <f t="shared" si="171"/>
        <v>3.0020299446724498E+27</v>
      </c>
      <c r="J963" s="1">
        <f t="shared" si="172"/>
        <v>1</v>
      </c>
      <c r="K963" s="1">
        <f t="shared" si="173"/>
        <v>3.0020299446724498E+27</v>
      </c>
      <c r="L963" s="1">
        <f t="shared" si="174"/>
        <v>1.643111056384054E+27</v>
      </c>
      <c r="M963" s="3">
        <f t="shared" si="175"/>
        <v>930262585671.45813</v>
      </c>
      <c r="N963" s="7">
        <f t="shared" si="180"/>
        <v>1.6431110563840501E+27</v>
      </c>
      <c r="O963" s="7">
        <f t="shared" si="176"/>
        <v>930262585671</v>
      </c>
      <c r="P963" s="3">
        <f>SUM($O$4:O963)</f>
        <v>50472106644469</v>
      </c>
      <c r="Y963" s="3">
        <f t="shared" si="177"/>
        <v>960</v>
      </c>
      <c r="Z963" s="3">
        <f t="shared" si="178"/>
        <v>2.10862009103231E+23</v>
      </c>
      <c r="AB963" s="7">
        <f t="shared" si="179"/>
        <v>13040</v>
      </c>
    </row>
    <row r="964" spans="6:28" x14ac:dyDescent="0.15">
      <c r="F964">
        <f t="shared" si="169"/>
        <v>138</v>
      </c>
      <c r="G964">
        <v>961</v>
      </c>
      <c r="H964">
        <f t="shared" si="170"/>
        <v>3.0020299446724548E+27</v>
      </c>
      <c r="I964">
        <f t="shared" si="171"/>
        <v>3.0020299446724498E+27</v>
      </c>
      <c r="J964" s="1">
        <f t="shared" si="172"/>
        <v>1</v>
      </c>
      <c r="K964" s="1">
        <f t="shared" si="173"/>
        <v>3.0020299446724498E+27</v>
      </c>
      <c r="L964" s="1">
        <f t="shared" si="174"/>
        <v>1.643111056384054E+27</v>
      </c>
      <c r="M964" s="3">
        <f t="shared" si="175"/>
        <v>930262585671.45813</v>
      </c>
      <c r="N964" s="7">
        <f t="shared" si="180"/>
        <v>1.6431110563840501E+27</v>
      </c>
      <c r="O964" s="7">
        <f t="shared" si="176"/>
        <v>930262585671</v>
      </c>
      <c r="P964" s="3">
        <f>SUM($O$4:O964)</f>
        <v>51402369230140</v>
      </c>
      <c r="Y964" s="3">
        <f t="shared" si="177"/>
        <v>961</v>
      </c>
      <c r="Z964" s="3">
        <f t="shared" si="178"/>
        <v>2.21635739880849E+23</v>
      </c>
      <c r="AB964" s="7">
        <f t="shared" si="179"/>
        <v>13040</v>
      </c>
    </row>
    <row r="965" spans="6:28" x14ac:dyDescent="0.15">
      <c r="F965">
        <f t="shared" ref="F965:F1003" si="181">ROUNDUP(G965/$C$4,0)</f>
        <v>138</v>
      </c>
      <c r="G965">
        <v>962</v>
      </c>
      <c r="H965">
        <f t="shared" ref="H965:H1003" si="182">18.5*1.57^MIN(F965,156)*1.17^MAX(F965-156,0)*$C$5</f>
        <v>3.0020299446724548E+27</v>
      </c>
      <c r="I965">
        <f t="shared" ref="I965:I1003" si="183">ROUND(H965,0)</f>
        <v>3.0020299446724498E+27</v>
      </c>
      <c r="J965" s="1">
        <f t="shared" ref="J965:J1003" si="184">IF(F965=F966,1,LOOKUP(MOD(F965,5),$D$6:$D$10,$C$6:$C$10))</f>
        <v>1</v>
      </c>
      <c r="K965" s="1">
        <f t="shared" ref="K965:K1003" si="185">J965*I965</f>
        <v>3.0020299446724498E+27</v>
      </c>
      <c r="L965" s="1">
        <f t="shared" ref="L965:L1003" si="186">K965*(0.02+0.00045*F965)/$C$5</f>
        <v>1.643111056384054E+27</v>
      </c>
      <c r="M965" s="3">
        <f t="shared" ref="M965:M1004" si="187">L965/(1.3^F965)*3</f>
        <v>930262585671.45813</v>
      </c>
      <c r="N965" s="7">
        <f t="shared" si="180"/>
        <v>1.6431110563840501E+27</v>
      </c>
      <c r="O965" s="7">
        <f t="shared" ref="O965:O1004" si="188">ROUNDDOWN(M965,0)</f>
        <v>930262585671</v>
      </c>
      <c r="P965" s="3">
        <f>SUM($O$4:O965)</f>
        <v>52332631815811</v>
      </c>
      <c r="Y965" s="3">
        <f t="shared" ref="Y965:Y1004" si="189">G965</f>
        <v>962</v>
      </c>
      <c r="Z965" s="3">
        <f t="shared" ref="Z965:Z1004" si="190">ROUND(1.05^Y965*Y965,0)</f>
        <v>2.3295968871347101E+23</v>
      </c>
      <c r="AB965" s="7">
        <f t="shared" ref="AB965:AB1004" si="191">LOOKUP(Y965,T:T,P:P)</f>
        <v>13040</v>
      </c>
    </row>
    <row r="966" spans="6:28" x14ac:dyDescent="0.15">
      <c r="F966">
        <f t="shared" si="181"/>
        <v>138</v>
      </c>
      <c r="G966">
        <v>963</v>
      </c>
      <c r="H966">
        <f t="shared" si="182"/>
        <v>3.0020299446724548E+27</v>
      </c>
      <c r="I966">
        <f t="shared" si="183"/>
        <v>3.0020299446724498E+27</v>
      </c>
      <c r="J966" s="1">
        <f t="shared" si="184"/>
        <v>1</v>
      </c>
      <c r="K966" s="1">
        <f t="shared" si="185"/>
        <v>3.0020299446724498E+27</v>
      </c>
      <c r="L966" s="1">
        <f t="shared" si="186"/>
        <v>1.643111056384054E+27</v>
      </c>
      <c r="M966" s="3">
        <f t="shared" si="187"/>
        <v>930262585671.45813</v>
      </c>
      <c r="N966" s="7">
        <f t="shared" si="180"/>
        <v>1.6431110563840501E+27</v>
      </c>
      <c r="O966" s="7">
        <f t="shared" si="188"/>
        <v>930262585671</v>
      </c>
      <c r="P966" s="3">
        <f>SUM($O$4:O966)</f>
        <v>53262894401482</v>
      </c>
      <c r="Y966" s="3">
        <f t="shared" si="189"/>
        <v>963</v>
      </c>
      <c r="Z966" s="3">
        <f t="shared" si="190"/>
        <v>2.44861943079653E+23</v>
      </c>
      <c r="AB966" s="7">
        <f t="shared" si="191"/>
        <v>13040</v>
      </c>
    </row>
    <row r="967" spans="6:28" x14ac:dyDescent="0.15">
      <c r="F967">
        <f t="shared" si="181"/>
        <v>138</v>
      </c>
      <c r="G967">
        <v>964</v>
      </c>
      <c r="H967">
        <f t="shared" si="182"/>
        <v>3.0020299446724548E+27</v>
      </c>
      <c r="I967">
        <f t="shared" si="183"/>
        <v>3.0020299446724498E+27</v>
      </c>
      <c r="J967" s="1">
        <f t="shared" si="184"/>
        <v>1</v>
      </c>
      <c r="K967" s="1">
        <f t="shared" si="185"/>
        <v>3.0020299446724498E+27</v>
      </c>
      <c r="L967" s="1">
        <f t="shared" si="186"/>
        <v>1.643111056384054E+27</v>
      </c>
      <c r="M967" s="3">
        <f t="shared" si="187"/>
        <v>930262585671.45813</v>
      </c>
      <c r="N967" s="7">
        <f t="shared" si="180"/>
        <v>1.6431110563840501E+27</v>
      </c>
      <c r="O967" s="7">
        <f t="shared" si="188"/>
        <v>930262585671</v>
      </c>
      <c r="P967" s="3">
        <f>SUM($O$4:O967)</f>
        <v>54193156987153</v>
      </c>
      <c r="Y967" s="3">
        <f t="shared" si="189"/>
        <v>964</v>
      </c>
      <c r="Z967" s="3">
        <f t="shared" si="190"/>
        <v>2.5737202366066999E+23</v>
      </c>
      <c r="AB967" s="7">
        <f t="shared" si="191"/>
        <v>13040</v>
      </c>
    </row>
    <row r="968" spans="6:28" x14ac:dyDescent="0.15">
      <c r="F968">
        <f t="shared" si="181"/>
        <v>138</v>
      </c>
      <c r="G968">
        <v>965</v>
      </c>
      <c r="H968">
        <f t="shared" si="182"/>
        <v>3.0020299446724548E+27</v>
      </c>
      <c r="I968">
        <f t="shared" si="183"/>
        <v>3.0020299446724498E+27</v>
      </c>
      <c r="J968" s="1">
        <f t="shared" si="184"/>
        <v>1</v>
      </c>
      <c r="K968" s="1">
        <f t="shared" si="185"/>
        <v>3.0020299446724498E+27</v>
      </c>
      <c r="L968" s="1">
        <f t="shared" si="186"/>
        <v>1.643111056384054E+27</v>
      </c>
      <c r="M968" s="3">
        <f t="shared" si="187"/>
        <v>930262585671.45813</v>
      </c>
      <c r="N968" s="7">
        <f t="shared" ref="N968:N1004" si="192">ROUND(L968,0)</f>
        <v>1.6431110563840501E+27</v>
      </c>
      <c r="O968" s="7">
        <f t="shared" si="188"/>
        <v>930262585671</v>
      </c>
      <c r="P968" s="3">
        <f>SUM($O$4:O968)</f>
        <v>55123419572824</v>
      </c>
      <c r="Y968" s="3">
        <f t="shared" si="189"/>
        <v>965</v>
      </c>
      <c r="Z968" s="3">
        <f t="shared" si="190"/>
        <v>2.70520957442089E+23</v>
      </c>
      <c r="AB968" s="7">
        <f t="shared" si="191"/>
        <v>13040</v>
      </c>
    </row>
    <row r="969" spans="6:28" x14ac:dyDescent="0.15">
      <c r="F969">
        <f t="shared" si="181"/>
        <v>138</v>
      </c>
      <c r="G969">
        <v>966</v>
      </c>
      <c r="H969">
        <f t="shared" si="182"/>
        <v>3.0020299446724548E+27</v>
      </c>
      <c r="I969">
        <f t="shared" si="183"/>
        <v>3.0020299446724498E+27</v>
      </c>
      <c r="J969" s="1">
        <f t="shared" si="184"/>
        <v>6</v>
      </c>
      <c r="K969" s="1">
        <f t="shared" si="185"/>
        <v>1.8012179668034699E+28</v>
      </c>
      <c r="L969" s="1">
        <f t="shared" si="186"/>
        <v>9.8586663383043255E+27</v>
      </c>
      <c r="M969" s="3">
        <f t="shared" si="187"/>
        <v>5581575514028.75</v>
      </c>
      <c r="N969" s="7">
        <f t="shared" si="192"/>
        <v>9.8586663383043299E+27</v>
      </c>
      <c r="O969" s="7">
        <f t="shared" si="188"/>
        <v>5581575514028</v>
      </c>
      <c r="P969" s="3">
        <f>SUM($O$4:O969)</f>
        <v>60704995086852</v>
      </c>
      <c r="Y969" s="3">
        <f t="shared" si="189"/>
        <v>966</v>
      </c>
      <c r="Z969" s="3">
        <f t="shared" si="190"/>
        <v>2.8434135454249799E+23</v>
      </c>
      <c r="AB969" s="7">
        <f t="shared" si="191"/>
        <v>13040</v>
      </c>
    </row>
    <row r="970" spans="6:28" x14ac:dyDescent="0.15">
      <c r="F970">
        <f t="shared" si="181"/>
        <v>139</v>
      </c>
      <c r="G970">
        <v>967</v>
      </c>
      <c r="H970">
        <f t="shared" si="182"/>
        <v>4.713187013135754E+27</v>
      </c>
      <c r="I970">
        <f t="shared" si="183"/>
        <v>4.7131870131357502E+27</v>
      </c>
      <c r="J970" s="1">
        <f t="shared" si="184"/>
        <v>1</v>
      </c>
      <c r="K970" s="1">
        <f t="shared" si="185"/>
        <v>4.7131870131357502E+27</v>
      </c>
      <c r="L970" s="1">
        <f t="shared" si="186"/>
        <v>2.5938239195623744E+27</v>
      </c>
      <c r="M970" s="3">
        <f t="shared" si="187"/>
        <v>1129628848702.9976</v>
      </c>
      <c r="N970" s="7">
        <f t="shared" si="192"/>
        <v>2.59382391956237E+27</v>
      </c>
      <c r="O970" s="7">
        <f t="shared" si="188"/>
        <v>1129628848703</v>
      </c>
      <c r="P970" s="3">
        <f>SUM($O$4:O970)</f>
        <v>61834623935555</v>
      </c>
      <c r="Y970" s="3">
        <f t="shared" si="189"/>
        <v>967</v>
      </c>
      <c r="Z970" s="3">
        <f t="shared" si="190"/>
        <v>2.9886748895934302E+23</v>
      </c>
      <c r="AB970" s="7">
        <f t="shared" si="191"/>
        <v>13040</v>
      </c>
    </row>
    <row r="971" spans="6:28" x14ac:dyDescent="0.15">
      <c r="F971">
        <f t="shared" si="181"/>
        <v>139</v>
      </c>
      <c r="G971">
        <v>968</v>
      </c>
      <c r="H971">
        <f t="shared" si="182"/>
        <v>4.713187013135754E+27</v>
      </c>
      <c r="I971">
        <f t="shared" si="183"/>
        <v>4.7131870131357502E+27</v>
      </c>
      <c r="J971" s="1">
        <f t="shared" si="184"/>
        <v>1</v>
      </c>
      <c r="K971" s="1">
        <f t="shared" si="185"/>
        <v>4.7131870131357502E+27</v>
      </c>
      <c r="L971" s="1">
        <f t="shared" si="186"/>
        <v>2.5938239195623744E+27</v>
      </c>
      <c r="M971" s="3">
        <f t="shared" si="187"/>
        <v>1129628848702.9976</v>
      </c>
      <c r="N971" s="7">
        <f t="shared" si="192"/>
        <v>2.59382391956237E+27</v>
      </c>
      <c r="O971" s="7">
        <f t="shared" si="188"/>
        <v>1129628848703</v>
      </c>
      <c r="P971" s="3">
        <f>SUM($O$4:O971)</f>
        <v>62964252784258</v>
      </c>
      <c r="Y971" s="3">
        <f t="shared" si="189"/>
        <v>968</v>
      </c>
      <c r="Z971" s="3">
        <f t="shared" si="190"/>
        <v>3.1413538343151599E+23</v>
      </c>
      <c r="AB971" s="7">
        <f t="shared" si="191"/>
        <v>13040</v>
      </c>
    </row>
    <row r="972" spans="6:28" x14ac:dyDescent="0.15">
      <c r="F972">
        <f t="shared" si="181"/>
        <v>139</v>
      </c>
      <c r="G972">
        <v>969</v>
      </c>
      <c r="H972">
        <f t="shared" si="182"/>
        <v>4.713187013135754E+27</v>
      </c>
      <c r="I972">
        <f t="shared" si="183"/>
        <v>4.7131870131357502E+27</v>
      </c>
      <c r="J972" s="1">
        <f t="shared" si="184"/>
        <v>1</v>
      </c>
      <c r="K972" s="1">
        <f t="shared" si="185"/>
        <v>4.7131870131357502E+27</v>
      </c>
      <c r="L972" s="1">
        <f t="shared" si="186"/>
        <v>2.5938239195623744E+27</v>
      </c>
      <c r="M972" s="3">
        <f t="shared" si="187"/>
        <v>1129628848702.9976</v>
      </c>
      <c r="N972" s="7">
        <f t="shared" si="192"/>
        <v>2.59382391956237E+27</v>
      </c>
      <c r="O972" s="7">
        <f t="shared" si="188"/>
        <v>1129628848703</v>
      </c>
      <c r="P972" s="3">
        <f>SUM($O$4:O972)</f>
        <v>64093881632961</v>
      </c>
      <c r="Y972" s="3">
        <f t="shared" si="189"/>
        <v>969</v>
      </c>
      <c r="Z972" s="3">
        <f t="shared" si="190"/>
        <v>3.3018289862850901E+23</v>
      </c>
      <c r="AB972" s="7">
        <f t="shared" si="191"/>
        <v>13040</v>
      </c>
    </row>
    <row r="973" spans="6:28" x14ac:dyDescent="0.15">
      <c r="F973">
        <f t="shared" si="181"/>
        <v>139</v>
      </c>
      <c r="G973">
        <v>970</v>
      </c>
      <c r="H973">
        <f t="shared" si="182"/>
        <v>4.713187013135754E+27</v>
      </c>
      <c r="I973">
        <f t="shared" si="183"/>
        <v>4.7131870131357502E+27</v>
      </c>
      <c r="J973" s="1">
        <f t="shared" si="184"/>
        <v>1</v>
      </c>
      <c r="K973" s="1">
        <f t="shared" si="185"/>
        <v>4.7131870131357502E+27</v>
      </c>
      <c r="L973" s="1">
        <f t="shared" si="186"/>
        <v>2.5938239195623744E+27</v>
      </c>
      <c r="M973" s="3">
        <f t="shared" si="187"/>
        <v>1129628848702.9976</v>
      </c>
      <c r="N973" s="7">
        <f t="shared" si="192"/>
        <v>2.59382391956237E+27</v>
      </c>
      <c r="O973" s="7">
        <f t="shared" si="188"/>
        <v>1129628848703</v>
      </c>
      <c r="P973" s="3">
        <f>SUM($O$4:O973)</f>
        <v>65223510481664</v>
      </c>
      <c r="Y973" s="3">
        <f t="shared" si="189"/>
        <v>970</v>
      </c>
      <c r="Z973" s="3">
        <f t="shared" si="190"/>
        <v>3.4704982688662101E+23</v>
      </c>
      <c r="AB973" s="7">
        <f t="shared" si="191"/>
        <v>13040</v>
      </c>
    </row>
    <row r="974" spans="6:28" x14ac:dyDescent="0.15">
      <c r="F974">
        <f t="shared" si="181"/>
        <v>139</v>
      </c>
      <c r="G974">
        <v>971</v>
      </c>
      <c r="H974">
        <f t="shared" si="182"/>
        <v>4.713187013135754E+27</v>
      </c>
      <c r="I974">
        <f t="shared" si="183"/>
        <v>4.7131870131357502E+27</v>
      </c>
      <c r="J974" s="1">
        <f t="shared" si="184"/>
        <v>1</v>
      </c>
      <c r="K974" s="1">
        <f t="shared" si="185"/>
        <v>4.7131870131357502E+27</v>
      </c>
      <c r="L974" s="1">
        <f t="shared" si="186"/>
        <v>2.5938239195623744E+27</v>
      </c>
      <c r="M974" s="3">
        <f t="shared" si="187"/>
        <v>1129628848702.9976</v>
      </c>
      <c r="N974" s="7">
        <f t="shared" si="192"/>
        <v>2.59382391956237E+27</v>
      </c>
      <c r="O974" s="7">
        <f t="shared" si="188"/>
        <v>1129628848703</v>
      </c>
      <c r="P974" s="3">
        <f>SUM($O$4:O974)</f>
        <v>66353139330367</v>
      </c>
      <c r="Y974" s="3">
        <f t="shared" si="189"/>
        <v>971</v>
      </c>
      <c r="Z974" s="3">
        <f t="shared" si="190"/>
        <v>3.6477799072397402E+23</v>
      </c>
      <c r="AB974" s="7">
        <f t="shared" si="191"/>
        <v>13040</v>
      </c>
    </row>
    <row r="975" spans="6:28" x14ac:dyDescent="0.15">
      <c r="F975">
        <f t="shared" si="181"/>
        <v>139</v>
      </c>
      <c r="G975">
        <v>972</v>
      </c>
      <c r="H975">
        <f t="shared" si="182"/>
        <v>4.713187013135754E+27</v>
      </c>
      <c r="I975">
        <f t="shared" si="183"/>
        <v>4.7131870131357502E+27</v>
      </c>
      <c r="J975" s="1">
        <f t="shared" si="184"/>
        <v>1</v>
      </c>
      <c r="K975" s="1">
        <f t="shared" si="185"/>
        <v>4.7131870131357502E+27</v>
      </c>
      <c r="L975" s="1">
        <f t="shared" si="186"/>
        <v>2.5938239195623744E+27</v>
      </c>
      <c r="M975" s="3">
        <f t="shared" si="187"/>
        <v>1129628848702.9976</v>
      </c>
      <c r="N975" s="7">
        <f t="shared" si="192"/>
        <v>2.59382391956237E+27</v>
      </c>
      <c r="O975" s="7">
        <f t="shared" si="188"/>
        <v>1129628848703</v>
      </c>
      <c r="P975" s="3">
        <f>SUM($O$4:O975)</f>
        <v>67482768179070</v>
      </c>
      <c r="Y975" s="3">
        <f t="shared" si="189"/>
        <v>972</v>
      </c>
      <c r="Z975" s="3">
        <f t="shared" si="190"/>
        <v>3.83411346377845E+23</v>
      </c>
      <c r="AB975" s="7">
        <f t="shared" si="191"/>
        <v>13040</v>
      </c>
    </row>
    <row r="976" spans="6:28" x14ac:dyDescent="0.15">
      <c r="F976">
        <f t="shared" si="181"/>
        <v>139</v>
      </c>
      <c r="G976">
        <v>973</v>
      </c>
      <c r="H976">
        <f t="shared" si="182"/>
        <v>4.713187013135754E+27</v>
      </c>
      <c r="I976">
        <f t="shared" si="183"/>
        <v>4.7131870131357502E+27</v>
      </c>
      <c r="J976" s="1">
        <f t="shared" si="184"/>
        <v>7</v>
      </c>
      <c r="K976" s="1">
        <f t="shared" si="185"/>
        <v>3.2992309091950253E+28</v>
      </c>
      <c r="L976" s="1">
        <f t="shared" si="186"/>
        <v>1.8156767436936622E+28</v>
      </c>
      <c r="M976" s="3">
        <f t="shared" si="187"/>
        <v>7907401940920.9834</v>
      </c>
      <c r="N976" s="7">
        <f t="shared" si="192"/>
        <v>1.81567674369366E+28</v>
      </c>
      <c r="O976" s="7">
        <f t="shared" si="188"/>
        <v>7907401940920</v>
      </c>
      <c r="P976" s="3">
        <f>SUM($O$4:O976)</f>
        <v>75390170119990</v>
      </c>
      <c r="Y976" s="3">
        <f t="shared" si="189"/>
        <v>973</v>
      </c>
      <c r="Z976" s="3">
        <f t="shared" si="190"/>
        <v>4.0299609262029401E+23</v>
      </c>
      <c r="AB976" s="7">
        <f t="shared" si="191"/>
        <v>13040</v>
      </c>
    </row>
    <row r="977" spans="6:28" x14ac:dyDescent="0.15">
      <c r="F977">
        <f t="shared" si="181"/>
        <v>140</v>
      </c>
      <c r="G977">
        <v>974</v>
      </c>
      <c r="H977">
        <f t="shared" si="182"/>
        <v>7.3997036106231334E+27</v>
      </c>
      <c r="I977">
        <f t="shared" si="183"/>
        <v>7.3997036106231301E+27</v>
      </c>
      <c r="J977" s="1">
        <f t="shared" si="184"/>
        <v>1</v>
      </c>
      <c r="K977" s="1">
        <f t="shared" si="185"/>
        <v>7.3997036106231301E+27</v>
      </c>
      <c r="L977" s="1">
        <f t="shared" si="186"/>
        <v>4.094502664544799E+27</v>
      </c>
      <c r="M977" s="3">
        <f t="shared" si="187"/>
        <v>1371680895256.8389</v>
      </c>
      <c r="N977" s="7">
        <f t="shared" si="192"/>
        <v>4.0945026645448001E+27</v>
      </c>
      <c r="O977" s="7">
        <f t="shared" si="188"/>
        <v>1371680895256</v>
      </c>
      <c r="P977" s="3">
        <f>SUM($O$4:O977)</f>
        <v>76761851015246</v>
      </c>
      <c r="Y977" s="3">
        <f t="shared" si="189"/>
        <v>974</v>
      </c>
      <c r="Z977" s="3">
        <f t="shared" si="190"/>
        <v>4.2358078512104302E+23</v>
      </c>
      <c r="AB977" s="7">
        <f t="shared" si="191"/>
        <v>13040</v>
      </c>
    </row>
    <row r="978" spans="6:28" x14ac:dyDescent="0.15">
      <c r="F978">
        <f t="shared" si="181"/>
        <v>140</v>
      </c>
      <c r="G978">
        <v>975</v>
      </c>
      <c r="H978">
        <f t="shared" si="182"/>
        <v>7.3997036106231334E+27</v>
      </c>
      <c r="I978">
        <f t="shared" si="183"/>
        <v>7.3997036106231301E+27</v>
      </c>
      <c r="J978" s="1">
        <f t="shared" si="184"/>
        <v>1</v>
      </c>
      <c r="K978" s="1">
        <f t="shared" si="185"/>
        <v>7.3997036106231301E+27</v>
      </c>
      <c r="L978" s="1">
        <f t="shared" si="186"/>
        <v>4.094502664544799E+27</v>
      </c>
      <c r="M978" s="3">
        <f t="shared" si="187"/>
        <v>1371680895256.8389</v>
      </c>
      <c r="N978" s="7">
        <f t="shared" si="192"/>
        <v>4.0945026645448001E+27</v>
      </c>
      <c r="O978" s="7">
        <f t="shared" si="188"/>
        <v>1371680895256</v>
      </c>
      <c r="P978" s="3">
        <f>SUM($O$4:O978)</f>
        <v>78133531910502</v>
      </c>
      <c r="Y978" s="3">
        <f t="shared" si="189"/>
        <v>975</v>
      </c>
      <c r="Z978" s="3">
        <f t="shared" si="190"/>
        <v>4.4521645664031597E+23</v>
      </c>
      <c r="AB978" s="7">
        <f t="shared" si="191"/>
        <v>13040</v>
      </c>
    </row>
    <row r="979" spans="6:28" x14ac:dyDescent="0.15">
      <c r="F979">
        <f t="shared" si="181"/>
        <v>140</v>
      </c>
      <c r="G979">
        <v>976</v>
      </c>
      <c r="H979">
        <f t="shared" si="182"/>
        <v>7.3997036106231334E+27</v>
      </c>
      <c r="I979">
        <f t="shared" si="183"/>
        <v>7.3997036106231301E+27</v>
      </c>
      <c r="J979" s="1">
        <f t="shared" si="184"/>
        <v>1</v>
      </c>
      <c r="K979" s="1">
        <f t="shared" si="185"/>
        <v>7.3997036106231301E+27</v>
      </c>
      <c r="L979" s="1">
        <f t="shared" si="186"/>
        <v>4.094502664544799E+27</v>
      </c>
      <c r="M979" s="3">
        <f t="shared" si="187"/>
        <v>1371680895256.8389</v>
      </c>
      <c r="N979" s="7">
        <f t="shared" si="192"/>
        <v>4.0945026645448001E+27</v>
      </c>
      <c r="O979" s="7">
        <f t="shared" si="188"/>
        <v>1371680895256</v>
      </c>
      <c r="P979" s="3">
        <f>SUM($O$4:O979)</f>
        <v>79505212805758</v>
      </c>
      <c r="Y979" s="3">
        <f t="shared" si="189"/>
        <v>976</v>
      </c>
      <c r="Z979" s="3">
        <f t="shared" si="190"/>
        <v>4.6795674334871297E+23</v>
      </c>
      <c r="AB979" s="7">
        <f t="shared" si="191"/>
        <v>13040</v>
      </c>
    </row>
    <row r="980" spans="6:28" x14ac:dyDescent="0.15">
      <c r="F980">
        <f t="shared" si="181"/>
        <v>140</v>
      </c>
      <c r="G980">
        <v>977</v>
      </c>
      <c r="H980">
        <f t="shared" si="182"/>
        <v>7.3997036106231334E+27</v>
      </c>
      <c r="I980">
        <f t="shared" si="183"/>
        <v>7.3997036106231301E+27</v>
      </c>
      <c r="J980" s="1">
        <f t="shared" si="184"/>
        <v>1</v>
      </c>
      <c r="K980" s="1">
        <f t="shared" si="185"/>
        <v>7.3997036106231301E+27</v>
      </c>
      <c r="L980" s="1">
        <f t="shared" si="186"/>
        <v>4.094502664544799E+27</v>
      </c>
      <c r="M980" s="3">
        <f t="shared" si="187"/>
        <v>1371680895256.8389</v>
      </c>
      <c r="N980" s="7">
        <f t="shared" si="192"/>
        <v>4.0945026645448001E+27</v>
      </c>
      <c r="O980" s="7">
        <f t="shared" si="188"/>
        <v>1371680895256</v>
      </c>
      <c r="P980" s="3">
        <f>SUM($O$4:O980)</f>
        <v>80876893701014</v>
      </c>
      <c r="Y980" s="3">
        <f t="shared" si="189"/>
        <v>977</v>
      </c>
      <c r="Z980" s="3">
        <f t="shared" si="190"/>
        <v>4.9185801758635002E+23</v>
      </c>
      <c r="AB980" s="7">
        <f t="shared" si="191"/>
        <v>13040</v>
      </c>
    </row>
    <row r="981" spans="6:28" x14ac:dyDescent="0.15">
      <c r="F981">
        <f t="shared" si="181"/>
        <v>140</v>
      </c>
      <c r="G981">
        <v>978</v>
      </c>
      <c r="H981">
        <f t="shared" si="182"/>
        <v>7.3997036106231334E+27</v>
      </c>
      <c r="I981">
        <f t="shared" si="183"/>
        <v>7.3997036106231301E+27</v>
      </c>
      <c r="J981" s="1">
        <f t="shared" si="184"/>
        <v>1</v>
      </c>
      <c r="K981" s="1">
        <f t="shared" si="185"/>
        <v>7.3997036106231301E+27</v>
      </c>
      <c r="L981" s="1">
        <f t="shared" si="186"/>
        <v>4.094502664544799E+27</v>
      </c>
      <c r="M981" s="3">
        <f t="shared" si="187"/>
        <v>1371680895256.8389</v>
      </c>
      <c r="N981" s="7">
        <f t="shared" si="192"/>
        <v>4.0945026645448001E+27</v>
      </c>
      <c r="O981" s="7">
        <f t="shared" si="188"/>
        <v>1371680895256</v>
      </c>
      <c r="P981" s="3">
        <f>SUM($O$4:O981)</f>
        <v>82248574596270</v>
      </c>
      <c r="Y981" s="3">
        <f t="shared" si="189"/>
        <v>978</v>
      </c>
      <c r="Z981" s="3">
        <f t="shared" si="190"/>
        <v>5.1697952738937901E+23</v>
      </c>
      <c r="AB981" s="7">
        <f t="shared" si="191"/>
        <v>13040</v>
      </c>
    </row>
    <row r="982" spans="6:28" x14ac:dyDescent="0.15">
      <c r="F982">
        <f t="shared" si="181"/>
        <v>140</v>
      </c>
      <c r="G982">
        <v>979</v>
      </c>
      <c r="H982">
        <f t="shared" si="182"/>
        <v>7.3997036106231334E+27</v>
      </c>
      <c r="I982">
        <f t="shared" si="183"/>
        <v>7.3997036106231301E+27</v>
      </c>
      <c r="J982" s="1">
        <f t="shared" si="184"/>
        <v>1</v>
      </c>
      <c r="K982" s="1">
        <f t="shared" si="185"/>
        <v>7.3997036106231301E+27</v>
      </c>
      <c r="L982" s="1">
        <f t="shared" si="186"/>
        <v>4.094502664544799E+27</v>
      </c>
      <c r="M982" s="3">
        <f t="shared" si="187"/>
        <v>1371680895256.8389</v>
      </c>
      <c r="N982" s="7">
        <f t="shared" si="192"/>
        <v>4.0945026645448001E+27</v>
      </c>
      <c r="O982" s="7">
        <f t="shared" si="188"/>
        <v>1371680895256</v>
      </c>
      <c r="P982" s="3">
        <f>SUM($O$4:O982)</f>
        <v>83620255491526</v>
      </c>
      <c r="Y982" s="3">
        <f t="shared" si="189"/>
        <v>979</v>
      </c>
      <c r="Z982" s="3">
        <f t="shared" si="190"/>
        <v>5.4338354312874398E+23</v>
      </c>
      <c r="AB982" s="7">
        <f t="shared" si="191"/>
        <v>13040</v>
      </c>
    </row>
    <row r="983" spans="6:28" x14ac:dyDescent="0.15">
      <c r="F983">
        <f t="shared" si="181"/>
        <v>140</v>
      </c>
      <c r="G983">
        <v>980</v>
      </c>
      <c r="H983">
        <f t="shared" si="182"/>
        <v>7.3997036106231334E+27</v>
      </c>
      <c r="I983">
        <f t="shared" si="183"/>
        <v>7.3997036106231301E+27</v>
      </c>
      <c r="J983" s="1">
        <f t="shared" si="184"/>
        <v>10</v>
      </c>
      <c r="K983" s="1">
        <f t="shared" si="185"/>
        <v>7.3997036106231301E+28</v>
      </c>
      <c r="L983" s="1">
        <f t="shared" si="186"/>
        <v>4.094502664544799E+28</v>
      </c>
      <c r="M983" s="3">
        <f t="shared" si="187"/>
        <v>13716808952568.391</v>
      </c>
      <c r="N983" s="7">
        <f t="shared" si="192"/>
        <v>4.0945026645447999E+28</v>
      </c>
      <c r="O983" s="7">
        <f t="shared" si="188"/>
        <v>13716808952568</v>
      </c>
      <c r="P983" s="3">
        <f>SUM($O$4:O983)</f>
        <v>97337064444094</v>
      </c>
      <c r="Y983" s="3">
        <f t="shared" si="189"/>
        <v>980</v>
      </c>
      <c r="Z983" s="3">
        <f t="shared" si="190"/>
        <v>5.71135511623573E+23</v>
      </c>
      <c r="AB983" s="7">
        <f t="shared" si="191"/>
        <v>13040</v>
      </c>
    </row>
    <row r="984" spans="6:28" x14ac:dyDescent="0.15">
      <c r="F984">
        <f t="shared" si="181"/>
        <v>141</v>
      </c>
      <c r="G984">
        <v>981</v>
      </c>
      <c r="H984">
        <f t="shared" si="182"/>
        <v>1.1617534668678321E+28</v>
      </c>
      <c r="I984">
        <f t="shared" si="183"/>
        <v>1.1617534668678301E+28</v>
      </c>
      <c r="J984" s="1">
        <f t="shared" si="184"/>
        <v>1</v>
      </c>
      <c r="K984" s="1">
        <f t="shared" si="185"/>
        <v>1.1617534668678301E+28</v>
      </c>
      <c r="L984" s="1">
        <f t="shared" si="186"/>
        <v>6.4632217873413617E+27</v>
      </c>
      <c r="M984" s="3">
        <f t="shared" si="187"/>
        <v>1665549861106.7412</v>
      </c>
      <c r="N984" s="7">
        <f t="shared" si="192"/>
        <v>6.4632217873413595E+27</v>
      </c>
      <c r="O984" s="7">
        <f t="shared" si="188"/>
        <v>1665549861106</v>
      </c>
      <c r="P984" s="3">
        <f>SUM($O$4:O984)</f>
        <v>99002614305200</v>
      </c>
      <c r="Y984" s="3">
        <f t="shared" si="189"/>
        <v>981</v>
      </c>
      <c r="Z984" s="3">
        <f t="shared" si="190"/>
        <v>6.0030421811006198E+23</v>
      </c>
      <c r="AB984" s="7">
        <f t="shared" si="191"/>
        <v>13040</v>
      </c>
    </row>
    <row r="985" spans="6:28" x14ac:dyDescent="0.15">
      <c r="F985">
        <f t="shared" si="181"/>
        <v>141</v>
      </c>
      <c r="G985">
        <v>982</v>
      </c>
      <c r="H985">
        <f t="shared" si="182"/>
        <v>1.1617534668678321E+28</v>
      </c>
      <c r="I985">
        <f t="shared" si="183"/>
        <v>1.1617534668678301E+28</v>
      </c>
      <c r="J985" s="1">
        <f t="shared" si="184"/>
        <v>1</v>
      </c>
      <c r="K985" s="1">
        <f t="shared" si="185"/>
        <v>1.1617534668678301E+28</v>
      </c>
      <c r="L985" s="1">
        <f t="shared" si="186"/>
        <v>6.4632217873413617E+27</v>
      </c>
      <c r="M985" s="3">
        <f t="shared" si="187"/>
        <v>1665549861106.7412</v>
      </c>
      <c r="N985" s="7">
        <f t="shared" si="192"/>
        <v>6.4632217873413595E+27</v>
      </c>
      <c r="O985" s="7">
        <f t="shared" si="188"/>
        <v>1665549861106</v>
      </c>
      <c r="P985" s="3">
        <f>SUM($O$4:O985)</f>
        <v>100668164166306</v>
      </c>
      <c r="Y985" s="3">
        <f t="shared" si="189"/>
        <v>982</v>
      </c>
      <c r="Z985" s="3">
        <f t="shared" si="190"/>
        <v>6.3096195646614204E+23</v>
      </c>
      <c r="AB985" s="7">
        <f t="shared" si="191"/>
        <v>13040</v>
      </c>
    </row>
    <row r="986" spans="6:28" x14ac:dyDescent="0.15">
      <c r="F986">
        <f t="shared" si="181"/>
        <v>141</v>
      </c>
      <c r="G986">
        <v>983</v>
      </c>
      <c r="H986">
        <f t="shared" si="182"/>
        <v>1.1617534668678321E+28</v>
      </c>
      <c r="I986">
        <f t="shared" si="183"/>
        <v>1.1617534668678301E+28</v>
      </c>
      <c r="J986" s="1">
        <f t="shared" si="184"/>
        <v>1</v>
      </c>
      <c r="K986" s="1">
        <f t="shared" si="185"/>
        <v>1.1617534668678301E+28</v>
      </c>
      <c r="L986" s="1">
        <f t="shared" si="186"/>
        <v>6.4632217873413617E+27</v>
      </c>
      <c r="M986" s="3">
        <f t="shared" si="187"/>
        <v>1665549861106.7412</v>
      </c>
      <c r="N986" s="7">
        <f t="shared" si="192"/>
        <v>6.4632217873413595E+27</v>
      </c>
      <c r="O986" s="7">
        <f t="shared" si="188"/>
        <v>1665549861106</v>
      </c>
      <c r="P986" s="3">
        <f>SUM($O$4:O986)</f>
        <v>102333714027412</v>
      </c>
      <c r="Y986" s="3">
        <f t="shared" si="189"/>
        <v>983</v>
      </c>
      <c r="Z986" s="3">
        <f t="shared" si="190"/>
        <v>6.6318470811255396E+23</v>
      </c>
      <c r="AB986" s="7">
        <f t="shared" si="191"/>
        <v>13040</v>
      </c>
    </row>
    <row r="987" spans="6:28" x14ac:dyDescent="0.15">
      <c r="F987">
        <f t="shared" si="181"/>
        <v>141</v>
      </c>
      <c r="G987">
        <v>984</v>
      </c>
      <c r="H987">
        <f t="shared" si="182"/>
        <v>1.1617534668678321E+28</v>
      </c>
      <c r="I987">
        <f t="shared" si="183"/>
        <v>1.1617534668678301E+28</v>
      </c>
      <c r="J987" s="1">
        <f t="shared" si="184"/>
        <v>1</v>
      </c>
      <c r="K987" s="1">
        <f t="shared" si="185"/>
        <v>1.1617534668678301E+28</v>
      </c>
      <c r="L987" s="1">
        <f t="shared" si="186"/>
        <v>6.4632217873413617E+27</v>
      </c>
      <c r="M987" s="3">
        <f t="shared" si="187"/>
        <v>1665549861106.7412</v>
      </c>
      <c r="N987" s="7">
        <f t="shared" si="192"/>
        <v>6.4632217873413595E+27</v>
      </c>
      <c r="O987" s="7">
        <f t="shared" si="188"/>
        <v>1665549861106</v>
      </c>
      <c r="P987" s="3">
        <f>SUM($O$4:O987)</f>
        <v>103999263888518</v>
      </c>
      <c r="Y987" s="3">
        <f t="shared" si="189"/>
        <v>984</v>
      </c>
      <c r="Z987" s="3">
        <f t="shared" si="190"/>
        <v>6.9705233003244294E+23</v>
      </c>
      <c r="AB987" s="7">
        <f t="shared" si="191"/>
        <v>13040</v>
      </c>
    </row>
    <row r="988" spans="6:28" x14ac:dyDescent="0.15">
      <c r="F988">
        <f t="shared" si="181"/>
        <v>141</v>
      </c>
      <c r="G988">
        <v>985</v>
      </c>
      <c r="H988">
        <f t="shared" si="182"/>
        <v>1.1617534668678321E+28</v>
      </c>
      <c r="I988">
        <f t="shared" si="183"/>
        <v>1.1617534668678301E+28</v>
      </c>
      <c r="J988" s="1">
        <f t="shared" si="184"/>
        <v>1</v>
      </c>
      <c r="K988" s="1">
        <f t="shared" si="185"/>
        <v>1.1617534668678301E+28</v>
      </c>
      <c r="L988" s="1">
        <f t="shared" si="186"/>
        <v>6.4632217873413617E+27</v>
      </c>
      <c r="M988" s="3">
        <f t="shared" si="187"/>
        <v>1665549861106.7412</v>
      </c>
      <c r="N988" s="7">
        <f t="shared" si="192"/>
        <v>6.4632217873413595E+27</v>
      </c>
      <c r="O988" s="7">
        <f t="shared" si="188"/>
        <v>1665549861106</v>
      </c>
      <c r="P988" s="3">
        <f>SUM($O$4:O988)</f>
        <v>105664813749624</v>
      </c>
      <c r="Y988" s="3">
        <f t="shared" si="189"/>
        <v>985</v>
      </c>
      <c r="Z988" s="3">
        <f t="shared" si="190"/>
        <v>7.32648752374038E+23</v>
      </c>
      <c r="AB988" s="7">
        <f t="shared" si="191"/>
        <v>13040</v>
      </c>
    </row>
    <row r="989" spans="6:28" x14ac:dyDescent="0.15">
      <c r="F989">
        <f t="shared" si="181"/>
        <v>141</v>
      </c>
      <c r="G989">
        <v>986</v>
      </c>
      <c r="H989">
        <f t="shared" si="182"/>
        <v>1.1617534668678321E+28</v>
      </c>
      <c r="I989">
        <f t="shared" si="183"/>
        <v>1.1617534668678301E+28</v>
      </c>
      <c r="J989" s="1">
        <f t="shared" si="184"/>
        <v>1</v>
      </c>
      <c r="K989" s="1">
        <f t="shared" si="185"/>
        <v>1.1617534668678301E+28</v>
      </c>
      <c r="L989" s="1">
        <f t="shared" si="186"/>
        <v>6.4632217873413617E+27</v>
      </c>
      <c r="M989" s="3">
        <f t="shared" si="187"/>
        <v>1665549861106.7412</v>
      </c>
      <c r="N989" s="7">
        <f t="shared" si="192"/>
        <v>6.4632217873413595E+27</v>
      </c>
      <c r="O989" s="7">
        <f t="shared" si="188"/>
        <v>1665549861106</v>
      </c>
      <c r="P989" s="3">
        <f>SUM($O$4:O989)</f>
        <v>107330363610730</v>
      </c>
      <c r="Y989" s="3">
        <f t="shared" si="189"/>
        <v>986</v>
      </c>
      <c r="Z989" s="3">
        <f t="shared" si="190"/>
        <v>7.7006218612471297E+23</v>
      </c>
      <c r="AB989" s="7">
        <f t="shared" si="191"/>
        <v>13040</v>
      </c>
    </row>
    <row r="990" spans="6:28" x14ac:dyDescent="0.15">
      <c r="F990">
        <f t="shared" si="181"/>
        <v>141</v>
      </c>
      <c r="G990">
        <v>987</v>
      </c>
      <c r="H990">
        <f t="shared" si="182"/>
        <v>1.1617534668678321E+28</v>
      </c>
      <c r="I990">
        <f t="shared" si="183"/>
        <v>1.1617534668678301E+28</v>
      </c>
      <c r="J990" s="1">
        <f t="shared" si="184"/>
        <v>2</v>
      </c>
      <c r="K990" s="1">
        <f t="shared" si="185"/>
        <v>2.3235069337356602E+28</v>
      </c>
      <c r="L990" s="1">
        <f t="shared" si="186"/>
        <v>1.2926443574682723E+28</v>
      </c>
      <c r="M990" s="3">
        <f t="shared" si="187"/>
        <v>3331099722213.4824</v>
      </c>
      <c r="N990" s="7">
        <f t="shared" si="192"/>
        <v>1.2926443574682699E+28</v>
      </c>
      <c r="O990" s="7">
        <f t="shared" si="188"/>
        <v>3331099722213</v>
      </c>
      <c r="P990" s="3">
        <f>SUM($O$4:O990)</f>
        <v>110661463332943</v>
      </c>
      <c r="Y990" s="3">
        <f t="shared" si="189"/>
        <v>987</v>
      </c>
      <c r="Z990" s="3">
        <f t="shared" si="190"/>
        <v>8.0938534136952004E+23</v>
      </c>
      <c r="AB990" s="7">
        <f t="shared" si="191"/>
        <v>13040</v>
      </c>
    </row>
    <row r="991" spans="6:28" x14ac:dyDescent="0.15">
      <c r="F991">
        <f t="shared" si="181"/>
        <v>142</v>
      </c>
      <c r="G991">
        <v>988</v>
      </c>
      <c r="H991">
        <f t="shared" si="182"/>
        <v>1.8239529429824967E+28</v>
      </c>
      <c r="I991">
        <f t="shared" si="183"/>
        <v>1.8239529429825E+28</v>
      </c>
      <c r="J991" s="1">
        <f t="shared" si="184"/>
        <v>1</v>
      </c>
      <c r="K991" s="1">
        <f t="shared" si="185"/>
        <v>1.8239529429825E+28</v>
      </c>
      <c r="L991" s="1">
        <f t="shared" si="186"/>
        <v>1.0201976794415452E+28</v>
      </c>
      <c r="M991" s="3">
        <f t="shared" si="187"/>
        <v>2022318517348.6118</v>
      </c>
      <c r="N991" s="7">
        <f t="shared" si="192"/>
        <v>1.02019767944155E+28</v>
      </c>
      <c r="O991" s="7">
        <f t="shared" si="188"/>
        <v>2022318517348</v>
      </c>
      <c r="P991" s="3">
        <f>SUM($O$4:O991)</f>
        <v>112683781850291</v>
      </c>
      <c r="Y991" s="3">
        <f t="shared" si="189"/>
        <v>988</v>
      </c>
      <c r="Z991" s="3">
        <f t="shared" si="190"/>
        <v>8.5071565667349503E+23</v>
      </c>
      <c r="AB991" s="7">
        <f t="shared" si="191"/>
        <v>13040</v>
      </c>
    </row>
    <row r="992" spans="6:28" x14ac:dyDescent="0.15">
      <c r="F992">
        <f t="shared" si="181"/>
        <v>142</v>
      </c>
      <c r="G992">
        <v>989</v>
      </c>
      <c r="H992">
        <f t="shared" si="182"/>
        <v>1.8239529429824967E+28</v>
      </c>
      <c r="I992">
        <f t="shared" si="183"/>
        <v>1.8239529429825E+28</v>
      </c>
      <c r="J992" s="1">
        <f t="shared" si="184"/>
        <v>1</v>
      </c>
      <c r="K992" s="1">
        <f t="shared" si="185"/>
        <v>1.8239529429825E+28</v>
      </c>
      <c r="L992" s="1">
        <f t="shared" si="186"/>
        <v>1.0201976794415452E+28</v>
      </c>
      <c r="M992" s="3">
        <f t="shared" si="187"/>
        <v>2022318517348.6118</v>
      </c>
      <c r="N992" s="7">
        <f t="shared" si="192"/>
        <v>1.02019767944155E+28</v>
      </c>
      <c r="O992" s="7">
        <f t="shared" si="188"/>
        <v>2022318517348</v>
      </c>
      <c r="P992" s="3">
        <f>SUM($O$4:O992)</f>
        <v>114706100367639</v>
      </c>
      <c r="Y992" s="3">
        <f t="shared" si="189"/>
        <v>989</v>
      </c>
      <c r="Z992" s="3">
        <f t="shared" si="190"/>
        <v>8.9415554015444395E+23</v>
      </c>
      <c r="AB992" s="7">
        <f t="shared" si="191"/>
        <v>13040</v>
      </c>
    </row>
    <row r="993" spans="6:28" x14ac:dyDescent="0.15">
      <c r="F993">
        <f t="shared" si="181"/>
        <v>142</v>
      </c>
      <c r="G993">
        <v>990</v>
      </c>
      <c r="H993">
        <f t="shared" si="182"/>
        <v>1.8239529429824967E+28</v>
      </c>
      <c r="I993">
        <f t="shared" si="183"/>
        <v>1.8239529429825E+28</v>
      </c>
      <c r="J993" s="1">
        <f t="shared" si="184"/>
        <v>1</v>
      </c>
      <c r="K993" s="1">
        <f t="shared" si="185"/>
        <v>1.8239529429825E+28</v>
      </c>
      <c r="L993" s="1">
        <f t="shared" si="186"/>
        <v>1.0201976794415452E+28</v>
      </c>
      <c r="M993" s="3">
        <f t="shared" si="187"/>
        <v>2022318517348.6118</v>
      </c>
      <c r="N993" s="7">
        <f t="shared" si="192"/>
        <v>1.02019767944155E+28</v>
      </c>
      <c r="O993" s="7">
        <f t="shared" si="188"/>
        <v>2022318517348</v>
      </c>
      <c r="P993" s="3">
        <f>SUM($O$4:O993)</f>
        <v>116728418884987</v>
      </c>
      <c r="Y993" s="3">
        <f t="shared" si="189"/>
        <v>990</v>
      </c>
      <c r="Z993" s="3">
        <f t="shared" si="190"/>
        <v>9.3981262284180405E+23</v>
      </c>
      <c r="AB993" s="7">
        <f t="shared" si="191"/>
        <v>13040</v>
      </c>
    </row>
    <row r="994" spans="6:28" x14ac:dyDescent="0.15">
      <c r="F994">
        <f t="shared" si="181"/>
        <v>142</v>
      </c>
      <c r="G994">
        <v>991</v>
      </c>
      <c r="H994">
        <f t="shared" si="182"/>
        <v>1.8239529429824967E+28</v>
      </c>
      <c r="I994">
        <f t="shared" si="183"/>
        <v>1.8239529429825E+28</v>
      </c>
      <c r="J994" s="1">
        <f t="shared" si="184"/>
        <v>1</v>
      </c>
      <c r="K994" s="1">
        <f t="shared" si="185"/>
        <v>1.8239529429825E+28</v>
      </c>
      <c r="L994" s="1">
        <f t="shared" si="186"/>
        <v>1.0201976794415452E+28</v>
      </c>
      <c r="M994" s="3">
        <f t="shared" si="187"/>
        <v>2022318517348.6118</v>
      </c>
      <c r="N994" s="7">
        <f t="shared" si="192"/>
        <v>1.02019767944155E+28</v>
      </c>
      <c r="O994" s="7">
        <f t="shared" si="188"/>
        <v>2022318517348</v>
      </c>
      <c r="P994" s="3">
        <f>SUM($O$4:O994)</f>
        <v>118750737402335</v>
      </c>
      <c r="Y994" s="3">
        <f t="shared" si="189"/>
        <v>991</v>
      </c>
      <c r="Z994" s="3">
        <f t="shared" si="190"/>
        <v>9.8780002494751505E+23</v>
      </c>
      <c r="AB994" s="7">
        <f t="shared" si="191"/>
        <v>13040</v>
      </c>
    </row>
    <row r="995" spans="6:28" x14ac:dyDescent="0.15">
      <c r="F995">
        <f t="shared" si="181"/>
        <v>142</v>
      </c>
      <c r="G995">
        <v>992</v>
      </c>
      <c r="H995">
        <f t="shared" si="182"/>
        <v>1.8239529429824967E+28</v>
      </c>
      <c r="I995">
        <f t="shared" si="183"/>
        <v>1.8239529429825E+28</v>
      </c>
      <c r="J995" s="1">
        <f t="shared" si="184"/>
        <v>1</v>
      </c>
      <c r="K995" s="1">
        <f t="shared" si="185"/>
        <v>1.8239529429825E+28</v>
      </c>
      <c r="L995" s="1">
        <f t="shared" si="186"/>
        <v>1.0201976794415452E+28</v>
      </c>
      <c r="M995" s="3">
        <f t="shared" si="187"/>
        <v>2022318517348.6118</v>
      </c>
      <c r="N995" s="7">
        <f t="shared" si="192"/>
        <v>1.02019767944155E+28</v>
      </c>
      <c r="O995" s="7">
        <f t="shared" si="188"/>
        <v>2022318517348</v>
      </c>
      <c r="P995" s="3">
        <f>SUM($O$4:O995)</f>
        <v>120773055919683</v>
      </c>
      <c r="Y995" s="3">
        <f t="shared" si="189"/>
        <v>992</v>
      </c>
      <c r="Z995" s="3">
        <f t="shared" si="190"/>
        <v>1.0382366357066899E+24</v>
      </c>
      <c r="AB995" s="7">
        <f t="shared" si="191"/>
        <v>13040</v>
      </c>
    </row>
    <row r="996" spans="6:28" x14ac:dyDescent="0.15">
      <c r="F996">
        <f t="shared" si="181"/>
        <v>142</v>
      </c>
      <c r="G996">
        <v>993</v>
      </c>
      <c r="H996">
        <f t="shared" si="182"/>
        <v>1.8239529429824967E+28</v>
      </c>
      <c r="I996">
        <f t="shared" si="183"/>
        <v>1.8239529429825E+28</v>
      </c>
      <c r="J996" s="1">
        <f t="shared" si="184"/>
        <v>1</v>
      </c>
      <c r="K996" s="1">
        <f t="shared" si="185"/>
        <v>1.8239529429825E+28</v>
      </c>
      <c r="L996" s="1">
        <f t="shared" si="186"/>
        <v>1.0201976794415452E+28</v>
      </c>
      <c r="M996" s="3">
        <f t="shared" si="187"/>
        <v>2022318517348.6118</v>
      </c>
      <c r="N996" s="7">
        <f t="shared" si="192"/>
        <v>1.02019767944155E+28</v>
      </c>
      <c r="O996" s="7">
        <f t="shared" si="188"/>
        <v>2022318517348</v>
      </c>
      <c r="P996" s="3">
        <f>SUM($O$4:O996)</f>
        <v>122795374437031</v>
      </c>
      <c r="Y996" s="3">
        <f t="shared" si="189"/>
        <v>993</v>
      </c>
      <c r="Z996" s="3">
        <f t="shared" si="190"/>
        <v>1.09124740747942E+24</v>
      </c>
      <c r="AB996" s="7">
        <f t="shared" si="191"/>
        <v>13040</v>
      </c>
    </row>
    <row r="997" spans="6:28" x14ac:dyDescent="0.15">
      <c r="F997">
        <f t="shared" si="181"/>
        <v>142</v>
      </c>
      <c r="G997">
        <v>994</v>
      </c>
      <c r="H997">
        <f t="shared" si="182"/>
        <v>1.8239529429824967E+28</v>
      </c>
      <c r="I997">
        <f t="shared" si="183"/>
        <v>1.8239529429825E+28</v>
      </c>
      <c r="J997" s="1">
        <f t="shared" si="184"/>
        <v>4</v>
      </c>
      <c r="K997" s="1">
        <f t="shared" si="185"/>
        <v>7.2958117719299999E+28</v>
      </c>
      <c r="L997" s="1">
        <f t="shared" si="186"/>
        <v>4.0807907177661808E+28</v>
      </c>
      <c r="M997" s="3">
        <f t="shared" si="187"/>
        <v>8089274069394.4473</v>
      </c>
      <c r="N997" s="7">
        <f t="shared" si="192"/>
        <v>4.0807907177661799E+28</v>
      </c>
      <c r="O997" s="7">
        <f t="shared" si="188"/>
        <v>8089274069394</v>
      </c>
      <c r="P997" s="3">
        <f>SUM($O$4:O997)</f>
        <v>130884648506425</v>
      </c>
      <c r="Y997" s="3">
        <f t="shared" si="189"/>
        <v>994</v>
      </c>
      <c r="Z997" s="3">
        <f t="shared" si="190"/>
        <v>1.14696366484015E+24</v>
      </c>
      <c r="AB997" s="7">
        <f t="shared" si="191"/>
        <v>13040</v>
      </c>
    </row>
    <row r="998" spans="6:28" x14ac:dyDescent="0.15">
      <c r="F998">
        <f t="shared" si="181"/>
        <v>143</v>
      </c>
      <c r="G998">
        <v>995</v>
      </c>
      <c r="H998">
        <f t="shared" si="182"/>
        <v>2.8636061204825192E+28</v>
      </c>
      <c r="I998">
        <f t="shared" si="183"/>
        <v>2.8636061204825201E+28</v>
      </c>
      <c r="J998" s="1">
        <f t="shared" si="184"/>
        <v>1</v>
      </c>
      <c r="K998" s="1">
        <f t="shared" si="185"/>
        <v>2.8636061204825201E+28</v>
      </c>
      <c r="L998" s="1">
        <f t="shared" si="186"/>
        <v>1.6103011750846706E+28</v>
      </c>
      <c r="M998" s="3">
        <f t="shared" si="187"/>
        <v>2455438068150.8887</v>
      </c>
      <c r="N998" s="7">
        <f t="shared" si="192"/>
        <v>1.61030117508467E+28</v>
      </c>
      <c r="O998" s="7">
        <f t="shared" si="188"/>
        <v>2455438068150</v>
      </c>
      <c r="P998" s="3">
        <f>SUM($O$4:O998)</f>
        <v>133340086574575</v>
      </c>
      <c r="Y998" s="3">
        <f t="shared" si="189"/>
        <v>995</v>
      </c>
      <c r="Z998" s="3">
        <f t="shared" si="190"/>
        <v>1.20552342941826E+24</v>
      </c>
      <c r="AB998" s="7">
        <f t="shared" si="191"/>
        <v>13040</v>
      </c>
    </row>
    <row r="999" spans="6:28" x14ac:dyDescent="0.15">
      <c r="F999">
        <f t="shared" si="181"/>
        <v>143</v>
      </c>
      <c r="G999">
        <v>996</v>
      </c>
      <c r="H999">
        <f t="shared" si="182"/>
        <v>2.8636061204825192E+28</v>
      </c>
      <c r="I999">
        <f t="shared" si="183"/>
        <v>2.8636061204825201E+28</v>
      </c>
      <c r="J999" s="1">
        <f t="shared" si="184"/>
        <v>1</v>
      </c>
      <c r="K999" s="1">
        <f t="shared" si="185"/>
        <v>2.8636061204825201E+28</v>
      </c>
      <c r="L999" s="1">
        <f t="shared" si="186"/>
        <v>1.6103011750846706E+28</v>
      </c>
      <c r="M999" s="3">
        <f t="shared" si="187"/>
        <v>2455438068150.8887</v>
      </c>
      <c r="N999" s="7">
        <f t="shared" si="192"/>
        <v>1.61030117508467E+28</v>
      </c>
      <c r="O999" s="7">
        <f t="shared" si="188"/>
        <v>2455438068150</v>
      </c>
      <c r="P999" s="3">
        <f>SUM($O$4:O999)</f>
        <v>135795524642725</v>
      </c>
      <c r="Y999" s="3">
        <f t="shared" si="189"/>
        <v>996</v>
      </c>
      <c r="Z999" s="3">
        <f t="shared" si="190"/>
        <v>1.2670717612920701E+24</v>
      </c>
      <c r="AB999" s="7">
        <f t="shared" si="191"/>
        <v>13040</v>
      </c>
    </row>
    <row r="1000" spans="6:28" x14ac:dyDescent="0.15">
      <c r="F1000">
        <f t="shared" si="181"/>
        <v>143</v>
      </c>
      <c r="G1000">
        <v>997</v>
      </c>
      <c r="H1000">
        <f t="shared" si="182"/>
        <v>2.8636061204825192E+28</v>
      </c>
      <c r="I1000">
        <f t="shared" si="183"/>
        <v>2.8636061204825201E+28</v>
      </c>
      <c r="J1000" s="1">
        <f t="shared" si="184"/>
        <v>1</v>
      </c>
      <c r="K1000" s="1">
        <f t="shared" si="185"/>
        <v>2.8636061204825201E+28</v>
      </c>
      <c r="L1000" s="1">
        <f t="shared" si="186"/>
        <v>1.6103011750846706E+28</v>
      </c>
      <c r="M1000" s="3">
        <f t="shared" si="187"/>
        <v>2455438068150.8887</v>
      </c>
      <c r="N1000" s="7">
        <f t="shared" si="192"/>
        <v>1.61030117508467E+28</v>
      </c>
      <c r="O1000" s="7">
        <f t="shared" si="188"/>
        <v>2455438068150</v>
      </c>
      <c r="P1000" s="3">
        <f>SUM($O$4:O1000)</f>
        <v>138250962710875</v>
      </c>
      <c r="Y1000" s="3">
        <f t="shared" si="189"/>
        <v>997</v>
      </c>
      <c r="Z1000" s="3">
        <f t="shared" si="190"/>
        <v>1.3317611177797199E+24</v>
      </c>
      <c r="AB1000" s="7">
        <f t="shared" si="191"/>
        <v>13040</v>
      </c>
    </row>
    <row r="1001" spans="6:28" x14ac:dyDescent="0.15">
      <c r="F1001">
        <f t="shared" si="181"/>
        <v>143</v>
      </c>
      <c r="G1001">
        <v>998</v>
      </c>
      <c r="H1001">
        <f t="shared" si="182"/>
        <v>2.8636061204825192E+28</v>
      </c>
      <c r="I1001">
        <f t="shared" si="183"/>
        <v>2.8636061204825201E+28</v>
      </c>
      <c r="J1001" s="1">
        <f t="shared" si="184"/>
        <v>1</v>
      </c>
      <c r="K1001" s="1">
        <f t="shared" si="185"/>
        <v>2.8636061204825201E+28</v>
      </c>
      <c r="L1001" s="1">
        <f t="shared" si="186"/>
        <v>1.6103011750846706E+28</v>
      </c>
      <c r="M1001" s="3">
        <f t="shared" si="187"/>
        <v>2455438068150.8887</v>
      </c>
      <c r="N1001" s="7">
        <f t="shared" si="192"/>
        <v>1.61030117508467E+28</v>
      </c>
      <c r="O1001" s="7">
        <f t="shared" si="188"/>
        <v>2455438068150</v>
      </c>
      <c r="P1001" s="3">
        <f>SUM($O$4:O1001)</f>
        <v>140706400779025</v>
      </c>
      <c r="Y1001" s="3">
        <f t="shared" si="189"/>
        <v>998</v>
      </c>
      <c r="Z1001" s="3">
        <f t="shared" si="190"/>
        <v>1.3997517305129099E+24</v>
      </c>
      <c r="AB1001" s="7">
        <f t="shared" si="191"/>
        <v>13040</v>
      </c>
    </row>
    <row r="1002" spans="6:28" x14ac:dyDescent="0.15">
      <c r="F1002">
        <f t="shared" si="181"/>
        <v>143</v>
      </c>
      <c r="G1002">
        <v>999</v>
      </c>
      <c r="H1002">
        <f t="shared" si="182"/>
        <v>2.8636061204825192E+28</v>
      </c>
      <c r="I1002">
        <f t="shared" si="183"/>
        <v>2.8636061204825201E+28</v>
      </c>
      <c r="J1002" s="1">
        <f t="shared" si="184"/>
        <v>1</v>
      </c>
      <c r="K1002" s="1">
        <f t="shared" si="185"/>
        <v>2.8636061204825201E+28</v>
      </c>
      <c r="L1002" s="1">
        <f t="shared" si="186"/>
        <v>1.6103011750846706E+28</v>
      </c>
      <c r="M1002" s="3">
        <f t="shared" si="187"/>
        <v>2455438068150.8887</v>
      </c>
      <c r="N1002" s="7">
        <f t="shared" si="192"/>
        <v>1.61030117508467E+28</v>
      </c>
      <c r="O1002" s="7">
        <f t="shared" si="188"/>
        <v>2455438068150</v>
      </c>
      <c r="P1002" s="3">
        <f>SUM($O$4:O1002)</f>
        <v>143161838847175</v>
      </c>
      <c r="Y1002" s="3">
        <f t="shared" si="189"/>
        <v>999</v>
      </c>
      <c r="Z1002" s="3">
        <f t="shared" si="190"/>
        <v>1.4712120017249701E+24</v>
      </c>
      <c r="AB1002" s="7">
        <f t="shared" si="191"/>
        <v>13040</v>
      </c>
    </row>
    <row r="1003" spans="6:28" x14ac:dyDescent="0.15">
      <c r="F1003">
        <f t="shared" si="181"/>
        <v>143</v>
      </c>
      <c r="G1003">
        <v>1000</v>
      </c>
      <c r="H1003">
        <f t="shared" si="182"/>
        <v>2.8636061204825192E+28</v>
      </c>
      <c r="I1003">
        <f t="shared" si="183"/>
        <v>2.8636061204825201E+28</v>
      </c>
      <c r="J1003" s="1">
        <f t="shared" si="184"/>
        <v>6</v>
      </c>
      <c r="K1003" s="1">
        <f t="shared" si="185"/>
        <v>1.7181636722895119E+29</v>
      </c>
      <c r="L1003" s="1">
        <f t="shared" si="186"/>
        <v>9.6618070505080228E+28</v>
      </c>
      <c r="M1003" s="3">
        <f t="shared" si="187"/>
        <v>14732628408905.332</v>
      </c>
      <c r="N1003" s="7">
        <f t="shared" si="192"/>
        <v>9.6618070505080193E+28</v>
      </c>
      <c r="O1003" s="7">
        <f t="shared" si="188"/>
        <v>14732628408905</v>
      </c>
      <c r="P1003" s="3">
        <f>SUM($O$4:O1003)</f>
        <v>157894467256080</v>
      </c>
      <c r="Y1003" s="3">
        <f t="shared" si="189"/>
        <v>1000</v>
      </c>
      <c r="Z1003" s="3">
        <f t="shared" si="190"/>
        <v>1.54631892073195E+24</v>
      </c>
      <c r="AB1003" s="7">
        <f t="shared" si="191"/>
        <v>13040</v>
      </c>
    </row>
    <row r="1004" spans="6:28" x14ac:dyDescent="0.15">
      <c r="M1004" s="3">
        <f t="shared" si="187"/>
        <v>0</v>
      </c>
      <c r="N1004" s="7">
        <f t="shared" si="192"/>
        <v>0</v>
      </c>
      <c r="O1004" s="7">
        <f t="shared" si="188"/>
        <v>0</v>
      </c>
      <c r="P1004" s="3">
        <f>SUM($O$4:O1004)</f>
        <v>157894467256080</v>
      </c>
      <c r="Y1004" s="3">
        <f t="shared" si="189"/>
        <v>0</v>
      </c>
      <c r="Z1004" s="3">
        <f t="shared" si="190"/>
        <v>0</v>
      </c>
      <c r="AB1004" s="7" t="e">
        <f t="shared" si="191"/>
        <v>#N/A</v>
      </c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2" sqref="B2"/>
    </sheetView>
  </sheetViews>
  <sheetFormatPr defaultRowHeight="13.5" x14ac:dyDescent="0.15"/>
  <sheetData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V143"/>
  <sheetViews>
    <sheetView tabSelected="1" topLeftCell="A108" workbookViewId="0">
      <selection activeCell="B118" sqref="B118"/>
    </sheetView>
  </sheetViews>
  <sheetFormatPr defaultRowHeight="13.5" x14ac:dyDescent="0.15"/>
  <cols>
    <col min="1" max="1" width="12.25" customWidth="1"/>
    <col min="2" max="2" width="18.625" customWidth="1"/>
    <col min="3" max="3" width="18" customWidth="1"/>
    <col min="4" max="4" width="17.125" customWidth="1"/>
    <col min="5" max="5" width="15.5" customWidth="1"/>
    <col min="6" max="6" width="18.125" customWidth="1"/>
    <col min="7" max="7" width="15.75" customWidth="1"/>
    <col min="8" max="8" width="17.875" customWidth="1"/>
    <col min="9" max="9" width="13.25" customWidth="1"/>
  </cols>
  <sheetData>
    <row r="2" spans="2:3" x14ac:dyDescent="0.15">
      <c r="B2" t="s">
        <v>125</v>
      </c>
    </row>
    <row r="3" spans="2:3" x14ac:dyDescent="0.15">
      <c r="B3" t="s">
        <v>126</v>
      </c>
    </row>
    <row r="4" spans="2:3" x14ac:dyDescent="0.15">
      <c r="B4" t="s">
        <v>127</v>
      </c>
    </row>
    <row r="5" spans="2:3" x14ac:dyDescent="0.15">
      <c r="B5" t="s">
        <v>128</v>
      </c>
    </row>
    <row r="6" spans="2:3" x14ac:dyDescent="0.15">
      <c r="B6" t="s">
        <v>129</v>
      </c>
    </row>
    <row r="7" spans="2:3" x14ac:dyDescent="0.15">
      <c r="B7" t="s">
        <v>130</v>
      </c>
    </row>
    <row r="8" spans="2:3" x14ac:dyDescent="0.15">
      <c r="B8" t="s">
        <v>131</v>
      </c>
    </row>
    <row r="9" spans="2:3" x14ac:dyDescent="0.15">
      <c r="C9" t="s">
        <v>132</v>
      </c>
    </row>
    <row r="10" spans="2:3" x14ac:dyDescent="0.15">
      <c r="C10" t="s">
        <v>133</v>
      </c>
    </row>
    <row r="11" spans="2:3" x14ac:dyDescent="0.15">
      <c r="C11" t="s">
        <v>134</v>
      </c>
    </row>
    <row r="12" spans="2:3" x14ac:dyDescent="0.15">
      <c r="C12" t="s">
        <v>135</v>
      </c>
    </row>
    <row r="13" spans="2:3" x14ac:dyDescent="0.15">
      <c r="C13" t="s">
        <v>136</v>
      </c>
    </row>
    <row r="14" spans="2:3" x14ac:dyDescent="0.15">
      <c r="C14" t="s">
        <v>137</v>
      </c>
    </row>
    <row r="16" spans="2:3" x14ac:dyDescent="0.15">
      <c r="B16" t="s">
        <v>138</v>
      </c>
    </row>
    <row r="17" spans="2:3" x14ac:dyDescent="0.15">
      <c r="B17" t="s">
        <v>139</v>
      </c>
    </row>
    <row r="18" spans="2:3" x14ac:dyDescent="0.15">
      <c r="B18" t="s">
        <v>140</v>
      </c>
    </row>
    <row r="19" spans="2:3" x14ac:dyDescent="0.15">
      <c r="B19" t="s">
        <v>141</v>
      </c>
    </row>
    <row r="20" spans="2:3" x14ac:dyDescent="0.15">
      <c r="B20" t="s">
        <v>142</v>
      </c>
    </row>
    <row r="21" spans="2:3" x14ac:dyDescent="0.15">
      <c r="B21" t="s">
        <v>143</v>
      </c>
    </row>
    <row r="22" spans="2:3" x14ac:dyDescent="0.15">
      <c r="B22" t="s">
        <v>151</v>
      </c>
    </row>
    <row r="25" spans="2:3" x14ac:dyDescent="0.15">
      <c r="C25" t="s">
        <v>144</v>
      </c>
    </row>
    <row r="26" spans="2:3" x14ac:dyDescent="0.15">
      <c r="C26" t="s">
        <v>145</v>
      </c>
    </row>
    <row r="28" spans="2:3" x14ac:dyDescent="0.15">
      <c r="B28" t="s">
        <v>146</v>
      </c>
    </row>
    <row r="29" spans="2:3" x14ac:dyDescent="0.15">
      <c r="B29" t="s">
        <v>147</v>
      </c>
    </row>
    <row r="30" spans="2:3" x14ac:dyDescent="0.15">
      <c r="B30" t="s">
        <v>148</v>
      </c>
    </row>
    <row r="31" spans="2:3" x14ac:dyDescent="0.15">
      <c r="B31" t="s">
        <v>149</v>
      </c>
    </row>
    <row r="32" spans="2:3" x14ac:dyDescent="0.15">
      <c r="B32" t="s">
        <v>150</v>
      </c>
    </row>
    <row r="34" spans="2:2" x14ac:dyDescent="0.15">
      <c r="B34" t="s">
        <v>152</v>
      </c>
    </row>
    <row r="36" spans="2:2" x14ac:dyDescent="0.15">
      <c r="B36" t="s">
        <v>153</v>
      </c>
    </row>
    <row r="37" spans="2:2" x14ac:dyDescent="0.15">
      <c r="B37" t="s">
        <v>154</v>
      </c>
    </row>
    <row r="38" spans="2:2" x14ac:dyDescent="0.15">
      <c r="B38" t="s">
        <v>155</v>
      </c>
    </row>
    <row r="39" spans="2:2" x14ac:dyDescent="0.15">
      <c r="B39" t="s">
        <v>156</v>
      </c>
    </row>
    <row r="41" spans="2:2" x14ac:dyDescent="0.15">
      <c r="B41" t="s">
        <v>157</v>
      </c>
    </row>
    <row r="43" spans="2:2" x14ac:dyDescent="0.15">
      <c r="B43" t="s">
        <v>158</v>
      </c>
    </row>
    <row r="44" spans="2:2" x14ac:dyDescent="0.15">
      <c r="B44" t="s">
        <v>159</v>
      </c>
    </row>
    <row r="46" spans="2:2" x14ac:dyDescent="0.15">
      <c r="B46" t="s">
        <v>160</v>
      </c>
    </row>
    <row r="49" spans="2:3" x14ac:dyDescent="0.15">
      <c r="B49" t="s">
        <v>161</v>
      </c>
    </row>
    <row r="51" spans="2:3" x14ac:dyDescent="0.15">
      <c r="B51" t="s">
        <v>162</v>
      </c>
    </row>
    <row r="54" spans="2:3" x14ac:dyDescent="0.15">
      <c r="B54" t="s">
        <v>163</v>
      </c>
    </row>
    <row r="56" spans="2:3" x14ac:dyDescent="0.15">
      <c r="B56" t="s">
        <v>164</v>
      </c>
    </row>
    <row r="57" spans="2:3" x14ac:dyDescent="0.15">
      <c r="B57" t="s">
        <v>165</v>
      </c>
    </row>
    <row r="58" spans="2:3" x14ac:dyDescent="0.15">
      <c r="B58" t="s">
        <v>166</v>
      </c>
    </row>
    <row r="59" spans="2:3" x14ac:dyDescent="0.15">
      <c r="B59" t="s">
        <v>167</v>
      </c>
    </row>
    <row r="60" spans="2:3" x14ac:dyDescent="0.15">
      <c r="B60" t="s">
        <v>168</v>
      </c>
    </row>
    <row r="62" spans="2:3" x14ac:dyDescent="0.15">
      <c r="C62" t="s">
        <v>169</v>
      </c>
    </row>
    <row r="64" spans="2:3" x14ac:dyDescent="0.15">
      <c r="B64" t="s">
        <v>170</v>
      </c>
    </row>
    <row r="65" spans="2:4" x14ac:dyDescent="0.15">
      <c r="B65" t="s">
        <v>171</v>
      </c>
    </row>
    <row r="66" spans="2:4" x14ac:dyDescent="0.15">
      <c r="B66" t="s">
        <v>172</v>
      </c>
    </row>
    <row r="67" spans="2:4" x14ac:dyDescent="0.15">
      <c r="B67" t="s">
        <v>173</v>
      </c>
    </row>
    <row r="69" spans="2:4" x14ac:dyDescent="0.15">
      <c r="B69" t="s">
        <v>174</v>
      </c>
    </row>
    <row r="70" spans="2:4" x14ac:dyDescent="0.15">
      <c r="B70" t="s">
        <v>175</v>
      </c>
    </row>
    <row r="72" spans="2:4" x14ac:dyDescent="0.15">
      <c r="B72" t="s">
        <v>176</v>
      </c>
    </row>
    <row r="74" spans="2:4" x14ac:dyDescent="0.15">
      <c r="B74" t="s">
        <v>177</v>
      </c>
    </row>
    <row r="76" spans="2:4" x14ac:dyDescent="0.15">
      <c r="B76" t="s">
        <v>178</v>
      </c>
    </row>
    <row r="78" spans="2:4" x14ac:dyDescent="0.15">
      <c r="B78" t="s">
        <v>179</v>
      </c>
    </row>
    <row r="80" spans="2:4" x14ac:dyDescent="0.15">
      <c r="B80" t="s">
        <v>180</v>
      </c>
      <c r="D80" t="s">
        <v>181</v>
      </c>
    </row>
    <row r="85" spans="2:6" x14ac:dyDescent="0.15">
      <c r="B85" t="s">
        <v>201</v>
      </c>
    </row>
    <row r="86" spans="2:6" x14ac:dyDescent="0.15">
      <c r="B86" t="s">
        <v>200</v>
      </c>
    </row>
    <row r="88" spans="2:6" x14ac:dyDescent="0.15">
      <c r="B88" t="s">
        <v>182</v>
      </c>
      <c r="C88" t="s">
        <v>191</v>
      </c>
    </row>
    <row r="89" spans="2:6" x14ac:dyDescent="0.15">
      <c r="B89" t="s">
        <v>183</v>
      </c>
      <c r="C89" t="s">
        <v>193</v>
      </c>
    </row>
    <row r="90" spans="2:6" x14ac:dyDescent="0.15">
      <c r="B90" t="s">
        <v>184</v>
      </c>
      <c r="C90" t="s">
        <v>192</v>
      </c>
    </row>
    <row r="91" spans="2:6" x14ac:dyDescent="0.15">
      <c r="B91" t="s">
        <v>185</v>
      </c>
      <c r="C91" t="s">
        <v>194</v>
      </c>
    </row>
    <row r="92" spans="2:6" x14ac:dyDescent="0.15">
      <c r="B92" t="s">
        <v>186</v>
      </c>
      <c r="C92" t="s">
        <v>195</v>
      </c>
    </row>
    <row r="93" spans="2:6" x14ac:dyDescent="0.15">
      <c r="B93" t="s">
        <v>187</v>
      </c>
      <c r="C93" t="s">
        <v>196</v>
      </c>
    </row>
    <row r="94" spans="2:6" x14ac:dyDescent="0.15">
      <c r="B94" t="s">
        <v>188</v>
      </c>
      <c r="C94" t="s">
        <v>197</v>
      </c>
    </row>
    <row r="95" spans="2:6" x14ac:dyDescent="0.15">
      <c r="B95" t="s">
        <v>189</v>
      </c>
      <c r="C95" t="s">
        <v>199</v>
      </c>
      <c r="F95" t="s">
        <v>206</v>
      </c>
    </row>
    <row r="96" spans="2:6" x14ac:dyDescent="0.15">
      <c r="B96" t="s">
        <v>190</v>
      </c>
      <c r="C96" t="s">
        <v>198</v>
      </c>
    </row>
    <row r="97" spans="2:22" x14ac:dyDescent="0.15">
      <c r="B97" t="s">
        <v>203</v>
      </c>
    </row>
    <row r="99" spans="2:22" x14ac:dyDescent="0.15">
      <c r="B99" t="s">
        <v>202</v>
      </c>
    </row>
    <row r="100" spans="2:22" x14ac:dyDescent="0.15">
      <c r="B100" t="s">
        <v>204</v>
      </c>
    </row>
    <row r="101" spans="2:22" x14ac:dyDescent="0.15">
      <c r="B101" t="s">
        <v>205</v>
      </c>
    </row>
    <row r="102" spans="2:22" x14ac:dyDescent="0.15">
      <c r="B102" t="s">
        <v>207</v>
      </c>
    </row>
    <row r="105" spans="2:22" x14ac:dyDescent="0.15">
      <c r="B105" s="7" t="s">
        <v>211</v>
      </c>
      <c r="C105" s="7"/>
      <c r="D105" s="7"/>
      <c r="E105" s="7"/>
      <c r="F105" s="7"/>
      <c r="G105" s="7"/>
      <c r="H105" s="7"/>
      <c r="I105" s="7"/>
      <c r="J105" s="7"/>
      <c r="K105" s="7"/>
      <c r="L105" s="7"/>
    </row>
    <row r="106" spans="2:22" ht="33" customHeight="1" x14ac:dyDescent="0.15">
      <c r="B106" s="5" t="s">
        <v>210</v>
      </c>
      <c r="C106" s="5" t="s">
        <v>209</v>
      </c>
      <c r="D106" s="5" t="s">
        <v>216</v>
      </c>
      <c r="E106" s="7"/>
      <c r="G106" s="7" t="s">
        <v>208</v>
      </c>
      <c r="J106" s="7"/>
      <c r="K106" s="7"/>
      <c r="L106" s="7"/>
    </row>
    <row r="107" spans="2:22" x14ac:dyDescent="0.15">
      <c r="B107" s="7" t="s">
        <v>212</v>
      </c>
      <c r="C107" t="s">
        <v>221</v>
      </c>
      <c r="D107" t="s">
        <v>217</v>
      </c>
      <c r="G107" t="s">
        <v>225</v>
      </c>
      <c r="L107" s="7"/>
      <c r="N107" s="7"/>
      <c r="O107" s="7"/>
      <c r="P107" s="7"/>
      <c r="Q107" s="7"/>
      <c r="R107" s="7"/>
      <c r="S107" s="7"/>
      <c r="T107" s="7"/>
      <c r="V107" s="7"/>
    </row>
    <row r="108" spans="2:22" x14ac:dyDescent="0.15">
      <c r="B108" s="7" t="s">
        <v>213</v>
      </c>
      <c r="C108" t="s">
        <v>222</v>
      </c>
      <c r="D108" t="s">
        <v>218</v>
      </c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</row>
    <row r="109" spans="2:22" x14ac:dyDescent="0.15">
      <c r="B109" s="7" t="s">
        <v>214</v>
      </c>
      <c r="C109" t="s">
        <v>223</v>
      </c>
      <c r="D109" t="s">
        <v>219</v>
      </c>
    </row>
    <row r="110" spans="2:22" x14ac:dyDescent="0.15">
      <c r="B110" s="7" t="s">
        <v>215</v>
      </c>
      <c r="C110" t="s">
        <v>224</v>
      </c>
    </row>
    <row r="111" spans="2:22" x14ac:dyDescent="0.15">
      <c r="B111" t="s">
        <v>220</v>
      </c>
    </row>
    <row r="114" spans="1:10" x14ac:dyDescent="0.15">
      <c r="B114" t="s">
        <v>226</v>
      </c>
      <c r="C114" t="s">
        <v>227</v>
      </c>
      <c r="D114" t="s">
        <v>228</v>
      </c>
      <c r="E114" t="s">
        <v>229</v>
      </c>
    </row>
    <row r="115" spans="1:10" x14ac:dyDescent="0.15">
      <c r="A115" s="7" t="s">
        <v>212</v>
      </c>
      <c r="C115" t="s">
        <v>235</v>
      </c>
      <c r="D115" t="s">
        <v>236</v>
      </c>
      <c r="E115" t="s">
        <v>233</v>
      </c>
      <c r="G115" t="s">
        <v>238</v>
      </c>
    </row>
    <row r="116" spans="1:10" x14ac:dyDescent="0.15">
      <c r="A116" s="7" t="s">
        <v>213</v>
      </c>
      <c r="D116" t="s">
        <v>236</v>
      </c>
      <c r="G116" t="s">
        <v>239</v>
      </c>
      <c r="H116" t="s">
        <v>242</v>
      </c>
      <c r="I116" t="s">
        <v>243</v>
      </c>
      <c r="J116" t="s">
        <v>244</v>
      </c>
    </row>
    <row r="117" spans="1:10" x14ac:dyDescent="0.15">
      <c r="A117" s="7" t="s">
        <v>214</v>
      </c>
      <c r="B117" t="s">
        <v>233</v>
      </c>
      <c r="G117" t="s">
        <v>240</v>
      </c>
    </row>
    <row r="118" spans="1:10" x14ac:dyDescent="0.15">
      <c r="A118" s="7" t="s">
        <v>215</v>
      </c>
      <c r="C118" t="s">
        <v>236</v>
      </c>
      <c r="E118" t="s">
        <v>234</v>
      </c>
      <c r="G118" t="s">
        <v>241</v>
      </c>
    </row>
    <row r="120" spans="1:10" x14ac:dyDescent="0.15">
      <c r="A120" s="7"/>
      <c r="G120" s="4" t="s">
        <v>245</v>
      </c>
    </row>
    <row r="121" spans="1:10" x14ac:dyDescent="0.15">
      <c r="A121" t="s">
        <v>250</v>
      </c>
      <c r="B121">
        <v>0</v>
      </c>
      <c r="C121" t="s">
        <v>236</v>
      </c>
      <c r="D121" t="s">
        <v>237</v>
      </c>
      <c r="E121" t="s">
        <v>236</v>
      </c>
      <c r="G121" s="4" t="s">
        <v>252</v>
      </c>
    </row>
    <row r="122" spans="1:10" x14ac:dyDescent="0.15">
      <c r="A122" t="s">
        <v>253</v>
      </c>
      <c r="G122" t="s">
        <v>246</v>
      </c>
    </row>
    <row r="123" spans="1:10" x14ac:dyDescent="0.15">
      <c r="G123" t="s">
        <v>258</v>
      </c>
    </row>
    <row r="125" spans="1:10" x14ac:dyDescent="0.15">
      <c r="G125" t="s">
        <v>247</v>
      </c>
      <c r="H125" t="s">
        <v>248</v>
      </c>
    </row>
    <row r="126" spans="1:10" x14ac:dyDescent="0.15">
      <c r="B126" t="s">
        <v>230</v>
      </c>
      <c r="C126" t="s">
        <v>231</v>
      </c>
      <c r="D126" t="s">
        <v>232</v>
      </c>
    </row>
    <row r="127" spans="1:10" x14ac:dyDescent="0.15">
      <c r="A127" s="7" t="s">
        <v>222</v>
      </c>
      <c r="G127" t="s">
        <v>249</v>
      </c>
    </row>
    <row r="128" spans="1:10" x14ac:dyDescent="0.15">
      <c r="A128" s="7" t="s">
        <v>223</v>
      </c>
    </row>
    <row r="129" spans="1:7" x14ac:dyDescent="0.15">
      <c r="A129" s="7" t="s">
        <v>224</v>
      </c>
      <c r="G129" t="s">
        <v>265</v>
      </c>
    </row>
    <row r="132" spans="1:7" x14ac:dyDescent="0.15">
      <c r="A132" t="s">
        <v>251</v>
      </c>
    </row>
    <row r="133" spans="1:7" x14ac:dyDescent="0.15">
      <c r="A133" t="s">
        <v>254</v>
      </c>
    </row>
    <row r="137" spans="1:7" x14ac:dyDescent="0.15">
      <c r="B137" t="s">
        <v>255</v>
      </c>
      <c r="C137" t="s">
        <v>256</v>
      </c>
      <c r="D137" t="s">
        <v>257</v>
      </c>
      <c r="G137">
        <v>846</v>
      </c>
    </row>
    <row r="138" spans="1:7" x14ac:dyDescent="0.15">
      <c r="A138" t="s">
        <v>217</v>
      </c>
      <c r="G138">
        <v>360</v>
      </c>
    </row>
    <row r="139" spans="1:7" x14ac:dyDescent="0.15">
      <c r="A139" t="s">
        <v>218</v>
      </c>
      <c r="G139">
        <v>2567</v>
      </c>
    </row>
    <row r="140" spans="1:7" x14ac:dyDescent="0.15">
      <c r="A140" t="s">
        <v>219</v>
      </c>
      <c r="G140">
        <v>8499</v>
      </c>
    </row>
    <row r="143" spans="1:7" x14ac:dyDescent="0.15">
      <c r="A143" t="s">
        <v>259</v>
      </c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19"/>
  <sheetViews>
    <sheetView workbookViewId="0">
      <selection activeCell="A14" sqref="A14"/>
    </sheetView>
  </sheetViews>
  <sheetFormatPr defaultRowHeight="13.5" x14ac:dyDescent="0.15"/>
  <cols>
    <col min="5" max="5" width="13.5" customWidth="1"/>
  </cols>
  <sheetData>
    <row r="1" spans="2:14" x14ac:dyDescent="0.15">
      <c r="J1" t="s">
        <v>260</v>
      </c>
      <c r="K1" t="s">
        <v>261</v>
      </c>
      <c r="L1" t="s">
        <v>262</v>
      </c>
      <c r="M1" t="s">
        <v>263</v>
      </c>
      <c r="N1" t="s">
        <v>264</v>
      </c>
    </row>
    <row r="5" spans="2:14" x14ac:dyDescent="0.15">
      <c r="B5" t="s">
        <v>270</v>
      </c>
      <c r="C5" t="s">
        <v>271</v>
      </c>
      <c r="D5" t="s">
        <v>272</v>
      </c>
      <c r="E5" t="s">
        <v>273</v>
      </c>
      <c r="F5" t="s">
        <v>274</v>
      </c>
    </row>
    <row r="6" spans="2:14" x14ac:dyDescent="0.15">
      <c r="B6" t="s">
        <v>266</v>
      </c>
      <c r="E6" s="9">
        <v>0.2</v>
      </c>
    </row>
    <row r="7" spans="2:14" x14ac:dyDescent="0.15">
      <c r="B7" t="s">
        <v>267</v>
      </c>
      <c r="C7" s="9">
        <v>-0.05</v>
      </c>
      <c r="F7" s="9">
        <v>0.2</v>
      </c>
    </row>
    <row r="8" spans="2:14" x14ac:dyDescent="0.15">
      <c r="B8" t="s">
        <v>268</v>
      </c>
      <c r="C8" s="9">
        <v>0.05</v>
      </c>
      <c r="D8" s="9">
        <v>0.2</v>
      </c>
    </row>
    <row r="9" spans="2:14" x14ac:dyDescent="0.15">
      <c r="B9" t="s">
        <v>269</v>
      </c>
      <c r="C9" s="9">
        <v>0.15</v>
      </c>
      <c r="F9" s="9">
        <v>-0.1</v>
      </c>
    </row>
    <row r="14" spans="2:14" x14ac:dyDescent="0.15">
      <c r="B14" t="s">
        <v>275</v>
      </c>
      <c r="C14" t="s">
        <v>276</v>
      </c>
      <c r="D14" t="s">
        <v>277</v>
      </c>
      <c r="E14" t="s">
        <v>278</v>
      </c>
    </row>
    <row r="15" spans="2:14" x14ac:dyDescent="0.15">
      <c r="B15">
        <v>1</v>
      </c>
      <c r="C15">
        <v>10</v>
      </c>
      <c r="E15">
        <v>2</v>
      </c>
    </row>
    <row r="16" spans="2:14" x14ac:dyDescent="0.15">
      <c r="B16">
        <v>2</v>
      </c>
      <c r="C16">
        <v>15</v>
      </c>
      <c r="E16">
        <v>4</v>
      </c>
    </row>
    <row r="17" spans="2:5" x14ac:dyDescent="0.15">
      <c r="B17">
        <v>3</v>
      </c>
      <c r="C17">
        <v>20</v>
      </c>
      <c r="E17">
        <v>6</v>
      </c>
    </row>
    <row r="18" spans="2:5" x14ac:dyDescent="0.15">
      <c r="B18">
        <v>4</v>
      </c>
      <c r="C18">
        <v>20</v>
      </c>
      <c r="E18">
        <v>8</v>
      </c>
    </row>
    <row r="19" spans="2:5" x14ac:dyDescent="0.15">
      <c r="B19">
        <v>5</v>
      </c>
      <c r="C19">
        <v>20</v>
      </c>
      <c r="E19">
        <v>10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简介</vt:lpstr>
      <vt:lpstr>物品</vt:lpstr>
      <vt:lpstr>怪物</vt:lpstr>
      <vt:lpstr>数值总览</vt:lpstr>
      <vt:lpstr>杂七杂八</vt:lpstr>
      <vt:lpstr>Sheet4</vt:lpstr>
      <vt:lpstr>装备数据库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2017-06-20T14:00:58Z</dcterms:modified>
</cp:coreProperties>
</file>